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harts/chart14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harts/chart15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harts/chart16.xml" ContentType="application/vnd.openxmlformats-officedocument.drawingml.chart+xml"/>
  <Override PartName="/xl/drawings/drawing1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9040" windowHeight="15840" tabRatio="850" firstSheet="3" activeTab="3"/>
  </bookViews>
  <sheets>
    <sheet name="Pre" sheetId="13" r:id="rId1"/>
    <sheet name="BASE" sheetId="6" r:id="rId2"/>
    <sheet name="Accident Rate" sheetId="5" r:id="rId3"/>
    <sheet name="터널교통량등제원" sheetId="1" r:id="rId4"/>
    <sheet name="사고시나리오한글용" sheetId="16" r:id="rId5"/>
    <sheet name="EVC Result" sheetId="8" r:id="rId6"/>
    <sheet name="EVC_Result_BF" sheetId="9" r:id="rId7"/>
    <sheet name="EVC_Result_BF2" sheetId="12" r:id="rId8"/>
    <sheet name="대피시간_한글용" sheetId="17" r:id="rId9"/>
    <sheet name="표준시나리오" sheetId="2" r:id="rId10"/>
    <sheet name="FNCurve2" sheetId="11" r:id="rId11"/>
    <sheet name="Raw_Senario" sheetId="14" r:id="rId12"/>
    <sheet name="Raw_FNC" sheetId="15" r:id="rId13"/>
  </sheets>
  <functionGroups builtInGroupCount="17"/>
  <definedNames>
    <definedName name="_xlnm._FilterDatabase" localSheetId="5" hidden="1">'EVC Result'!$A$1:$P$1080</definedName>
    <definedName name="_xlnm._FilterDatabase" localSheetId="6" hidden="1">EVC_Result_BF!#REF!</definedName>
    <definedName name="_rp1">터널교통량등제원!$M$72</definedName>
    <definedName name="_rp2">터널교통량등제원!$N$72</definedName>
    <definedName name="_rp3">터널교통량등제원!$O$72</definedName>
    <definedName name="_rp4">터널교통량등제원!$P$72</definedName>
    <definedName name="_rp5">터널교통량등제원!$Q$72</definedName>
    <definedName name="_rp6">터널교통량등제원!$R$72</definedName>
    <definedName name="BASE">터널교통량등제원!$F$49</definedName>
    <definedName name="CFF">터널교통량등제원!$D$59</definedName>
    <definedName name="CNV0">터널교통량등제원!$D$58</definedName>
    <definedName name="CNVC">터널교통량등제원!$D$57</definedName>
    <definedName name="CongRate">터널교통량등제원!$D$22</definedName>
    <definedName name="EVCResultStart">'EVC Result'!$A$1</definedName>
    <definedName name="exMAX">'EVC Result'!$X$1</definedName>
    <definedName name="ExMin">'EVC Result'!$V$1</definedName>
    <definedName name="FireRate">터널교통량등제원!$D$24</definedName>
    <definedName name="FNChartStart">FNCurve2!$L$3</definedName>
    <definedName name="FNCurve">FNCurve2!$T$3</definedName>
    <definedName name="FNcurveStart">FNCurve2!$A$25</definedName>
    <definedName name="LFR.010">터널교통량등제원!$J$46</definedName>
    <definedName name="LFR.020">터널교통량등제원!$K$46</definedName>
    <definedName name="LFR.030">터널교통량등제원!$L$46</definedName>
    <definedName name="LFR.100">터널교통량등제원!$M$46</definedName>
    <definedName name="LFR.PC">터널교통량등제원!$J$45</definedName>
    <definedName name="LGVK">터널교통량등제원!$D$48</definedName>
    <definedName name="nExit">터널교통량등제원!$D$68</definedName>
    <definedName name="NFF">터널교통량등제원!$D$56</definedName>
    <definedName name="nFire">터널교통량등제원!$G$68</definedName>
    <definedName name="NNV0">터널교통량등제원!$D$55</definedName>
    <definedName name="NNVC">터널교통량등제원!$D$54</definedName>
    <definedName name="NotSerious">터널교통량등제원!$D$23</definedName>
    <definedName name="npersonpday">터널교통량등제원!$D$12</definedName>
    <definedName name="npersonpveh">터널교통량등제원!$D$13</definedName>
    <definedName name="PC">터널교통량등제원!$D$44</definedName>
    <definedName name="PcCont">터널교통량등제원!$D$25</definedName>
    <definedName name="PCVK">터널교통량등제원!$D$44</definedName>
    <definedName name="_xlnm.Print_Area" localSheetId="9">표준시나리오!$B$1:$AF$59</definedName>
    <definedName name="ProjectBaseFolderName">Pre!$F$1</definedName>
    <definedName name="ProjectName">Pre!$F$2</definedName>
    <definedName name="ptExit">터널교통량등제원!$B$72</definedName>
    <definedName name="ranEVCFire">터널교통량등제원!$K$68</definedName>
    <definedName name="RATE_HZV">터널교통량등제원!$J$44</definedName>
    <definedName name="RawFNChartStart">Raw_FNC!$A$3</definedName>
    <definedName name="RAWfncsTART">Raw_FNC!$A$3</definedName>
    <definedName name="RawFNcurve">Raw_FNC!$L$3</definedName>
    <definedName name="ResultBF2Table">EVC_Result_BF2!$A$4:$U$33</definedName>
    <definedName name="rHVB">터널교통량등제원!$D$26</definedName>
    <definedName name="rHVS">터널교통량등제원!$D$28</definedName>
    <definedName name="rHVT">터널교통량등제원!$D$27</definedName>
    <definedName name="SenarioEXTable">표준시나리오!$O$6:$Z$59</definedName>
    <definedName name="SenarioTable">표준시나리오!$O$10:$Z$59</definedName>
    <definedName name="SPVK">터널교통량등제원!$D$47</definedName>
    <definedName name="TACCRate">'Accident Rate'!$L$19</definedName>
    <definedName name="TL">터널교통량등제원!$D$3</definedName>
    <definedName name="TOT.VK.HRR010">터널교통량등제원!$E$44</definedName>
    <definedName name="TOT.VK.HRR020">터널교통량등제원!$E$45</definedName>
    <definedName name="TOT.VK.HRR020.NOT.SER">터널교통량등제원!$F$45</definedName>
    <definedName name="TOT.VK.HRR030">터널교통량등제원!$E$46</definedName>
    <definedName name="TOT.VK.HRR100">터널교통량등제원!$E$47</definedName>
    <definedName name="TOTALVK">터널교통량등제원!$D$49</definedName>
    <definedName name="TRVK">터널교통량등제원!$D$46</definedName>
    <definedName name="TVehkm">터널교통량등제원!$E$32</definedName>
    <definedName name="VK.HRR010">터널교통량등제원!$D$44</definedName>
    <definedName name="VK.HRR020">터널교통량등제원!$D$45</definedName>
    <definedName name="VK.HRR020.dn">터널교통량등제원!$F$45</definedName>
    <definedName name="VK.HRR030">터널교통량등제원!$D$46</definedName>
    <definedName name="vk.hrr030.dn">터널교통량등제원!$F$46</definedName>
    <definedName name="VK.HRR100">터널교통량등제원!$D$47</definedName>
    <definedName name="vk.hrr100.dn">터널교통량등제원!$F$47</definedName>
    <definedName name="VK.LG">터널교통량등제원!$D$48</definedName>
    <definedName name="VK.PC">터널교통량등제원!$D$44</definedName>
    <definedName name="VK.TOTAL">터널교통량등제원!$D$49</definedName>
    <definedName name="WV0">터널교통량등제원!$D$31</definedName>
    <definedName name="WVP">터널교통량등제원!$D$29</definedName>
    <definedName name="WVR">터널교통량등제원!$D$30</definedName>
  </definedNames>
  <calcPr calcId="145621"/>
</workbook>
</file>

<file path=xl/calcChain.xml><?xml version="1.0" encoding="utf-8"?>
<calcChain xmlns="http://schemas.openxmlformats.org/spreadsheetml/2006/main">
  <c r="S3" i="11" l="1"/>
  <c r="S4" i="11" s="1"/>
  <c r="S5" i="11" s="1"/>
  <c r="S6" i="11" s="1"/>
  <c r="S7" i="11" s="1"/>
  <c r="S8" i="11" s="1"/>
  <c r="S9" i="11" s="1"/>
  <c r="S10" i="11" s="1"/>
  <c r="S11" i="11" s="1"/>
  <c r="S12" i="11" s="1"/>
  <c r="S13" i="11" s="1"/>
  <c r="S14" i="11" s="1"/>
  <c r="S15" i="11" s="1"/>
  <c r="S16" i="11" s="1"/>
  <c r="S17" i="11" s="1"/>
  <c r="S18" i="11" s="1"/>
  <c r="S19" i="11" s="1"/>
  <c r="S20" i="11" s="1"/>
  <c r="S21" i="11" s="1"/>
  <c r="S22" i="11" s="1"/>
  <c r="S23" i="11" s="1"/>
  <c r="S24" i="11" s="1"/>
  <c r="S25" i="11" s="1"/>
  <c r="S26" i="11" s="1"/>
  <c r="S27" i="11" s="1"/>
  <c r="S28" i="11" s="1"/>
  <c r="S29" i="11" s="1"/>
  <c r="S30" i="11" s="1"/>
  <c r="S31" i="11" s="1"/>
  <c r="S32" i="11" s="1"/>
  <c r="S33" i="11" s="1"/>
  <c r="S34" i="11" s="1"/>
  <c r="S35" i="11" s="1"/>
  <c r="S36" i="11" s="1"/>
  <c r="S37" i="11" s="1"/>
  <c r="S38" i="11" s="1"/>
  <c r="S39" i="11" s="1"/>
  <c r="S40" i="11" s="1"/>
  <c r="S41" i="11" s="1"/>
  <c r="I324" i="11"/>
  <c r="G324" i="11"/>
  <c r="I323" i="11"/>
  <c r="G323" i="11"/>
  <c r="I322" i="11"/>
  <c r="G322" i="11"/>
  <c r="I321" i="11"/>
  <c r="G321" i="11"/>
  <c r="I320" i="11"/>
  <c r="G320" i="11"/>
  <c r="I319" i="11"/>
  <c r="G319" i="11"/>
  <c r="I318" i="11"/>
  <c r="G318" i="11"/>
  <c r="I317" i="11"/>
  <c r="G317" i="11"/>
  <c r="I316" i="11"/>
  <c r="G316" i="11"/>
  <c r="I315" i="11"/>
  <c r="G315" i="11"/>
  <c r="I314" i="11"/>
  <c r="G314" i="11"/>
  <c r="I313" i="11"/>
  <c r="G313" i="11"/>
  <c r="I312" i="11"/>
  <c r="G312" i="11"/>
  <c r="I311" i="11"/>
  <c r="G311" i="11"/>
  <c r="I310" i="11"/>
  <c r="G310" i="11"/>
  <c r="I309" i="11"/>
  <c r="G309" i="11"/>
  <c r="I308" i="11"/>
  <c r="G308" i="11"/>
  <c r="I307" i="11"/>
  <c r="G307" i="11"/>
  <c r="I306" i="11"/>
  <c r="G306" i="11"/>
  <c r="I305" i="11"/>
  <c r="G305" i="11"/>
  <c r="I304" i="11"/>
  <c r="G304" i="11"/>
  <c r="I303" i="11"/>
  <c r="G303" i="11"/>
  <c r="I302" i="11"/>
  <c r="G302" i="11"/>
  <c r="I301" i="11"/>
  <c r="G301" i="11"/>
  <c r="I300" i="11"/>
  <c r="G300" i="11"/>
  <c r="I299" i="11"/>
  <c r="G299" i="11"/>
  <c r="I298" i="11"/>
  <c r="G298" i="11"/>
  <c r="I297" i="11"/>
  <c r="G297" i="11"/>
  <c r="I296" i="11"/>
  <c r="G296" i="11"/>
  <c r="I295" i="11"/>
  <c r="G295" i="11"/>
  <c r="I294" i="11"/>
  <c r="G294" i="11"/>
  <c r="I293" i="11"/>
  <c r="G293" i="11"/>
  <c r="I292" i="11"/>
  <c r="G292" i="11"/>
  <c r="I291" i="11"/>
  <c r="G291" i="11"/>
  <c r="I290" i="11"/>
  <c r="G290" i="11"/>
  <c r="I289" i="11"/>
  <c r="G289" i="11"/>
  <c r="I288" i="11"/>
  <c r="G288" i="11"/>
  <c r="I287" i="11"/>
  <c r="G287" i="11"/>
  <c r="I286" i="11"/>
  <c r="G286" i="11"/>
  <c r="I285" i="11"/>
  <c r="G285" i="11"/>
  <c r="I284" i="11"/>
  <c r="G284" i="11"/>
  <c r="I283" i="11"/>
  <c r="G283" i="11"/>
  <c r="I282" i="11"/>
  <c r="G282" i="11"/>
  <c r="I281" i="11"/>
  <c r="G281" i="11"/>
  <c r="I280" i="11"/>
  <c r="G280" i="11"/>
  <c r="I279" i="11"/>
  <c r="G279" i="11"/>
  <c r="I278" i="11"/>
  <c r="G278" i="11"/>
  <c r="I277" i="11"/>
  <c r="G277" i="11"/>
  <c r="I276" i="11"/>
  <c r="G276" i="11"/>
  <c r="I275" i="11"/>
  <c r="G275" i="11"/>
  <c r="I274" i="11"/>
  <c r="G274" i="11"/>
  <c r="I273" i="11"/>
  <c r="G273" i="11"/>
  <c r="I272" i="11"/>
  <c r="G272" i="11"/>
  <c r="I271" i="11"/>
  <c r="G271" i="11"/>
  <c r="I270" i="11"/>
  <c r="G270" i="11"/>
  <c r="I269" i="11"/>
  <c r="G269" i="11"/>
  <c r="I268" i="11"/>
  <c r="G268" i="11"/>
  <c r="I267" i="11"/>
  <c r="G267" i="11"/>
  <c r="I266" i="11"/>
  <c r="G266" i="11"/>
  <c r="I265" i="11"/>
  <c r="G265" i="11"/>
  <c r="I264" i="11"/>
  <c r="G264" i="11"/>
  <c r="I263" i="11"/>
  <c r="G263" i="11"/>
  <c r="I262" i="11"/>
  <c r="G262" i="11"/>
  <c r="I261" i="11"/>
  <c r="G261" i="11"/>
  <c r="I260" i="11"/>
  <c r="G260" i="11"/>
  <c r="I259" i="11"/>
  <c r="G259" i="11"/>
  <c r="I258" i="11"/>
  <c r="G258" i="11"/>
  <c r="I257" i="11"/>
  <c r="G257" i="11"/>
  <c r="I256" i="11"/>
  <c r="G256" i="11"/>
  <c r="I255" i="11"/>
  <c r="G255" i="11"/>
  <c r="I254" i="11"/>
  <c r="G254" i="11"/>
  <c r="I253" i="11"/>
  <c r="G253" i="11"/>
  <c r="I252" i="11"/>
  <c r="G252" i="11"/>
  <c r="I251" i="11"/>
  <c r="G251" i="11"/>
  <c r="I250" i="11"/>
  <c r="G250" i="11"/>
  <c r="I249" i="11"/>
  <c r="G249" i="11"/>
  <c r="I248" i="11"/>
  <c r="G248" i="11"/>
  <c r="I247" i="11"/>
  <c r="G247" i="11"/>
  <c r="I246" i="11"/>
  <c r="G246" i="11"/>
  <c r="I245" i="11"/>
  <c r="G245" i="11"/>
  <c r="I244" i="11"/>
  <c r="G244" i="11"/>
  <c r="I243" i="11"/>
  <c r="G243" i="11"/>
  <c r="I242" i="11"/>
  <c r="G242" i="11"/>
  <c r="I241" i="11"/>
  <c r="G241" i="11"/>
  <c r="I240" i="11"/>
  <c r="G240" i="11"/>
  <c r="I239" i="11"/>
  <c r="G239" i="11"/>
  <c r="I238" i="11"/>
  <c r="G238" i="11"/>
  <c r="I237" i="11"/>
  <c r="G237" i="11"/>
  <c r="I236" i="11"/>
  <c r="G236" i="11"/>
  <c r="I235" i="11"/>
  <c r="G235" i="11"/>
  <c r="I234" i="11"/>
  <c r="G234" i="11"/>
  <c r="I233" i="11"/>
  <c r="G233" i="11"/>
  <c r="I232" i="11"/>
  <c r="G232" i="11"/>
  <c r="I231" i="11"/>
  <c r="G231" i="11"/>
  <c r="I230" i="11"/>
  <c r="G230" i="11"/>
  <c r="I229" i="11"/>
  <c r="G229" i="11"/>
  <c r="I228" i="11"/>
  <c r="G228" i="11"/>
  <c r="I227" i="11"/>
  <c r="G227" i="11"/>
  <c r="I226" i="11"/>
  <c r="G226" i="11"/>
  <c r="I225" i="11"/>
  <c r="G225" i="11"/>
  <c r="I224" i="11"/>
  <c r="G224" i="11"/>
  <c r="I223" i="11"/>
  <c r="G223" i="11"/>
  <c r="I222" i="11"/>
  <c r="G222" i="11"/>
  <c r="I221" i="11"/>
  <c r="G221" i="11"/>
  <c r="I220" i="11"/>
  <c r="G220" i="11"/>
  <c r="I219" i="11"/>
  <c r="G219" i="11"/>
  <c r="I218" i="11"/>
  <c r="G218" i="11"/>
  <c r="I217" i="11"/>
  <c r="G217" i="11"/>
  <c r="I216" i="11"/>
  <c r="G216" i="11"/>
  <c r="I215" i="11"/>
  <c r="G215" i="11"/>
  <c r="I214" i="11"/>
  <c r="G214" i="11"/>
  <c r="I213" i="11"/>
  <c r="G213" i="11"/>
  <c r="I212" i="11"/>
  <c r="G212" i="11"/>
  <c r="I211" i="11"/>
  <c r="G211" i="11"/>
  <c r="I210" i="11"/>
  <c r="G210" i="11"/>
  <c r="I209" i="11"/>
  <c r="G209" i="11"/>
  <c r="I208" i="11"/>
  <c r="G208" i="11"/>
  <c r="I207" i="11"/>
  <c r="G207" i="11"/>
  <c r="I206" i="11"/>
  <c r="G206" i="11"/>
  <c r="I205" i="11"/>
  <c r="G205" i="11"/>
  <c r="I204" i="11"/>
  <c r="G204" i="11"/>
  <c r="I203" i="11"/>
  <c r="G203" i="11"/>
  <c r="I202" i="11"/>
  <c r="G202" i="11"/>
  <c r="I201" i="11"/>
  <c r="G201" i="11"/>
  <c r="I200" i="11"/>
  <c r="G200" i="11"/>
  <c r="I199" i="11"/>
  <c r="G199" i="11"/>
  <c r="I198" i="11"/>
  <c r="G198" i="11"/>
  <c r="I197" i="11"/>
  <c r="G197" i="11"/>
  <c r="I196" i="11"/>
  <c r="G196" i="11"/>
  <c r="I195" i="11"/>
  <c r="G195" i="11"/>
  <c r="I194" i="11"/>
  <c r="G194" i="11"/>
  <c r="I193" i="11"/>
  <c r="G193" i="11"/>
  <c r="I192" i="11"/>
  <c r="G192" i="11"/>
  <c r="I191" i="11"/>
  <c r="G191" i="11"/>
  <c r="I190" i="11"/>
  <c r="G190" i="11"/>
  <c r="I189" i="11"/>
  <c r="G189" i="11"/>
  <c r="I188" i="11"/>
  <c r="G188" i="11"/>
  <c r="I187" i="11"/>
  <c r="G187" i="11"/>
  <c r="I186" i="11"/>
  <c r="G186" i="11"/>
  <c r="I185" i="11"/>
  <c r="G185" i="11"/>
  <c r="I184" i="11"/>
  <c r="G184" i="11"/>
  <c r="I183" i="11"/>
  <c r="G183" i="11"/>
  <c r="I182" i="11"/>
  <c r="G182" i="11"/>
  <c r="I181" i="11"/>
  <c r="G181" i="11"/>
  <c r="I180" i="11"/>
  <c r="G180" i="11"/>
  <c r="I179" i="11"/>
  <c r="G179" i="11"/>
  <c r="I178" i="11"/>
  <c r="G178" i="11"/>
  <c r="I177" i="11"/>
  <c r="G177" i="11"/>
  <c r="I176" i="11"/>
  <c r="G176" i="11"/>
  <c r="I175" i="11"/>
  <c r="G175" i="11"/>
  <c r="I174" i="11"/>
  <c r="G174" i="11"/>
  <c r="I173" i="11"/>
  <c r="G173" i="11"/>
  <c r="I172" i="11"/>
  <c r="G172" i="11"/>
  <c r="I171" i="11"/>
  <c r="G171" i="11"/>
  <c r="I170" i="11"/>
  <c r="G170" i="11"/>
  <c r="I169" i="11"/>
  <c r="G169" i="11"/>
  <c r="I168" i="11"/>
  <c r="G168" i="11"/>
  <c r="I167" i="11"/>
  <c r="G167" i="11"/>
  <c r="I166" i="11"/>
  <c r="G166" i="11"/>
  <c r="I165" i="11"/>
  <c r="G165" i="11"/>
  <c r="I164" i="11"/>
  <c r="G164" i="11"/>
  <c r="I163" i="11"/>
  <c r="G163" i="11"/>
  <c r="I162" i="11"/>
  <c r="G162" i="11"/>
  <c r="I161" i="11"/>
  <c r="G161" i="11"/>
  <c r="I160" i="11"/>
  <c r="G160" i="11"/>
  <c r="I159" i="11"/>
  <c r="G159" i="11"/>
  <c r="I158" i="11"/>
  <c r="G158" i="11"/>
  <c r="I157" i="11"/>
  <c r="G157" i="11"/>
  <c r="I156" i="11"/>
  <c r="G156" i="11"/>
  <c r="I155" i="11"/>
  <c r="G155" i="11"/>
  <c r="I154" i="11"/>
  <c r="G154" i="11"/>
  <c r="I153" i="11"/>
  <c r="G153" i="11"/>
  <c r="I152" i="11"/>
  <c r="G152" i="11"/>
  <c r="I151" i="11"/>
  <c r="G151" i="11"/>
  <c r="I150" i="11"/>
  <c r="G150" i="11"/>
  <c r="I149" i="11"/>
  <c r="G149" i="11"/>
  <c r="I148" i="11"/>
  <c r="G148" i="11"/>
  <c r="I147" i="11"/>
  <c r="G147" i="11"/>
  <c r="I146" i="11"/>
  <c r="G146" i="11"/>
  <c r="I145" i="11"/>
  <c r="G145" i="11"/>
  <c r="I144" i="11"/>
  <c r="G144" i="11"/>
  <c r="I143" i="11"/>
  <c r="G143" i="11"/>
  <c r="I142" i="11"/>
  <c r="G142" i="11"/>
  <c r="I141" i="11"/>
  <c r="G141" i="11"/>
  <c r="I140" i="11"/>
  <c r="G140" i="11"/>
  <c r="I139" i="11"/>
  <c r="G139" i="11"/>
  <c r="I138" i="11"/>
  <c r="G138" i="11"/>
  <c r="I137" i="11"/>
  <c r="G137" i="11"/>
  <c r="I136" i="11"/>
  <c r="G136" i="11"/>
  <c r="I135" i="11"/>
  <c r="G135" i="11"/>
  <c r="I134" i="11"/>
  <c r="G134" i="11"/>
  <c r="I133" i="11"/>
  <c r="G133" i="11"/>
  <c r="I132" i="11"/>
  <c r="G132" i="11"/>
  <c r="I131" i="11"/>
  <c r="G131" i="11"/>
  <c r="I130" i="11"/>
  <c r="G130" i="11"/>
  <c r="I129" i="11"/>
  <c r="G129" i="11"/>
  <c r="I128" i="11"/>
  <c r="G128" i="11"/>
  <c r="I127" i="11"/>
  <c r="G127" i="11"/>
  <c r="I126" i="11"/>
  <c r="G126" i="11"/>
  <c r="I125" i="11"/>
  <c r="G125" i="11"/>
  <c r="I124" i="11"/>
  <c r="G124" i="11"/>
  <c r="I123" i="11"/>
  <c r="G123" i="11"/>
  <c r="I122" i="11"/>
  <c r="G122" i="11"/>
  <c r="I121" i="11"/>
  <c r="G121" i="11"/>
  <c r="I120" i="11"/>
  <c r="G120" i="11"/>
  <c r="I119" i="11"/>
  <c r="G119" i="11"/>
  <c r="I118" i="11"/>
  <c r="G118" i="11"/>
  <c r="I117" i="11"/>
  <c r="G117" i="11"/>
  <c r="I116" i="11"/>
  <c r="G116" i="11"/>
  <c r="I115" i="11"/>
  <c r="G115" i="11"/>
  <c r="I114" i="11"/>
  <c r="G114" i="11"/>
  <c r="I113" i="11"/>
  <c r="G113" i="11"/>
  <c r="I112" i="11"/>
  <c r="G112" i="11"/>
  <c r="I111" i="11"/>
  <c r="G111" i="11"/>
  <c r="I110" i="11"/>
  <c r="G110" i="11"/>
  <c r="I109" i="11"/>
  <c r="G109" i="11"/>
  <c r="I108" i="11"/>
  <c r="G108" i="11"/>
  <c r="I107" i="11"/>
  <c r="G107" i="11"/>
  <c r="I106" i="11"/>
  <c r="G106" i="11"/>
  <c r="I105" i="11"/>
  <c r="G105" i="11"/>
  <c r="I104" i="11"/>
  <c r="G104" i="11"/>
  <c r="I103" i="11"/>
  <c r="G103" i="11"/>
  <c r="I102" i="11"/>
  <c r="G102" i="11"/>
  <c r="I101" i="11"/>
  <c r="G101" i="11"/>
  <c r="I100" i="11"/>
  <c r="G100" i="11"/>
  <c r="I99" i="11"/>
  <c r="G99" i="11"/>
  <c r="I98" i="11"/>
  <c r="G98" i="11"/>
  <c r="I97" i="11"/>
  <c r="G97" i="11"/>
  <c r="I96" i="11"/>
  <c r="G96" i="11"/>
  <c r="I95" i="11"/>
  <c r="G95" i="11"/>
  <c r="I94" i="11"/>
  <c r="G94" i="11"/>
  <c r="I93" i="11"/>
  <c r="G93" i="11"/>
  <c r="I92" i="11"/>
  <c r="G92" i="11"/>
  <c r="I91" i="11"/>
  <c r="G91" i="11"/>
  <c r="I90" i="11"/>
  <c r="G90" i="11"/>
  <c r="I89" i="11"/>
  <c r="G89" i="11"/>
  <c r="I88" i="11"/>
  <c r="G88" i="11"/>
  <c r="I87" i="11"/>
  <c r="G87" i="11"/>
  <c r="I86" i="11"/>
  <c r="G86" i="11"/>
  <c r="I85" i="11"/>
  <c r="G85" i="11"/>
  <c r="I84" i="11"/>
  <c r="G84" i="11"/>
  <c r="I83" i="11"/>
  <c r="G83" i="11"/>
  <c r="I82" i="11"/>
  <c r="G82" i="11"/>
  <c r="I81" i="11"/>
  <c r="G81" i="11"/>
  <c r="I80" i="11"/>
  <c r="G80" i="11"/>
  <c r="I79" i="11"/>
  <c r="G79" i="11"/>
  <c r="I78" i="11"/>
  <c r="G78" i="11"/>
  <c r="I77" i="11"/>
  <c r="G77" i="11"/>
  <c r="I76" i="11"/>
  <c r="G76" i="11"/>
  <c r="I75" i="11"/>
  <c r="G75" i="11"/>
  <c r="I74" i="11"/>
  <c r="G74" i="11"/>
  <c r="I73" i="11"/>
  <c r="G73" i="11"/>
  <c r="I72" i="11"/>
  <c r="G72" i="11"/>
  <c r="I71" i="11"/>
  <c r="G71" i="11"/>
  <c r="I70" i="11"/>
  <c r="G70" i="11"/>
  <c r="I69" i="11"/>
  <c r="G69" i="11"/>
  <c r="I68" i="11"/>
  <c r="G68" i="11"/>
  <c r="I67" i="11"/>
  <c r="G67" i="11"/>
  <c r="I66" i="11"/>
  <c r="G66" i="11"/>
  <c r="I65" i="11"/>
  <c r="G65" i="11"/>
  <c r="I64" i="11"/>
  <c r="G64" i="11"/>
  <c r="I63" i="11"/>
  <c r="G63" i="11"/>
  <c r="I62" i="11"/>
  <c r="G62" i="11"/>
  <c r="I61" i="11"/>
  <c r="G61" i="11"/>
  <c r="I60" i="11"/>
  <c r="G60" i="11"/>
  <c r="I59" i="11"/>
  <c r="G59" i="11"/>
  <c r="I58" i="11"/>
  <c r="G58" i="11"/>
  <c r="I57" i="11"/>
  <c r="G57" i="11"/>
  <c r="I56" i="11"/>
  <c r="G56" i="11"/>
  <c r="I55" i="11"/>
  <c r="G55" i="11"/>
  <c r="I54" i="11"/>
  <c r="G54" i="11"/>
  <c r="I53" i="11"/>
  <c r="G53" i="11"/>
  <c r="I52" i="11"/>
  <c r="G52" i="11"/>
  <c r="I51" i="11"/>
  <c r="G51" i="11"/>
  <c r="I50" i="11"/>
  <c r="G50" i="11"/>
  <c r="I49" i="11"/>
  <c r="G49" i="11"/>
  <c r="I48" i="11"/>
  <c r="G48" i="11"/>
  <c r="I47" i="11"/>
  <c r="G47" i="11"/>
  <c r="I46" i="11"/>
  <c r="G46" i="11"/>
  <c r="I45" i="11"/>
  <c r="G45" i="11"/>
  <c r="I44" i="11"/>
  <c r="G44" i="11"/>
  <c r="I43" i="11"/>
  <c r="G43" i="11"/>
  <c r="I42" i="11"/>
  <c r="G42" i="11"/>
  <c r="I41" i="11"/>
  <c r="G41" i="11"/>
  <c r="I40" i="11"/>
  <c r="G40" i="11"/>
  <c r="I39" i="11"/>
  <c r="G39" i="11"/>
  <c r="I38" i="11"/>
  <c r="G38" i="11"/>
  <c r="I37" i="11"/>
  <c r="G37" i="11"/>
  <c r="I36" i="11"/>
  <c r="G36" i="11"/>
  <c r="I35" i="11"/>
  <c r="G35" i="11"/>
  <c r="I34" i="11"/>
  <c r="G34" i="11"/>
  <c r="I33" i="11"/>
  <c r="G33" i="11"/>
  <c r="I32" i="11"/>
  <c r="G32" i="11"/>
  <c r="I31" i="11"/>
  <c r="G31" i="11"/>
  <c r="I30" i="11"/>
  <c r="G30" i="11"/>
  <c r="I29" i="11"/>
  <c r="G29" i="11"/>
  <c r="I28" i="11"/>
  <c r="G28" i="11"/>
  <c r="I27" i="11"/>
  <c r="G27" i="11"/>
  <c r="I26" i="11"/>
  <c r="G26" i="11"/>
  <c r="I25" i="11"/>
  <c r="G25" i="11"/>
  <c r="E73" i="1" l="1"/>
  <c r="F73" i="1" s="1"/>
  <c r="G73" i="1" s="1"/>
  <c r="H73" i="1" l="1"/>
  <c r="I73" i="1" s="1"/>
  <c r="G14" i="1"/>
  <c r="N73" i="1" l="1"/>
  <c r="N72" i="1" s="1"/>
  <c r="J73" i="1"/>
  <c r="M73" i="1"/>
  <c r="M72" i="1" s="1"/>
  <c r="C38" i="1"/>
  <c r="D38" i="1" s="1"/>
  <c r="F38" i="1" s="1"/>
  <c r="G38" i="1" s="1"/>
  <c r="C37" i="1"/>
  <c r="D37" i="1" s="1"/>
  <c r="F37" i="1" s="1"/>
  <c r="G37" i="1" s="1"/>
  <c r="C36" i="1"/>
  <c r="D36" i="1" s="1"/>
  <c r="F36" i="1" s="1"/>
  <c r="G36" i="1" s="1"/>
  <c r="C35" i="1"/>
  <c r="D35" i="1" s="1"/>
  <c r="F35" i="1" s="1"/>
  <c r="G35" i="1" s="1"/>
  <c r="C46" i="1"/>
  <c r="O73" i="1" l="1"/>
  <c r="O72" i="1" s="1"/>
  <c r="K73" i="1"/>
  <c r="F39" i="1"/>
  <c r="G39" i="1" s="1"/>
  <c r="D39" i="1"/>
  <c r="E39" i="1" s="1"/>
  <c r="D40" i="1"/>
  <c r="C40" i="1"/>
  <c r="P73" i="1" l="1"/>
  <c r="P72" i="1" s="1"/>
  <c r="L73" i="1"/>
  <c r="C47" i="1"/>
  <c r="C45" i="1"/>
  <c r="D45" i="1" s="1"/>
  <c r="T24" i="2" l="1"/>
  <c r="T58" i="2"/>
  <c r="T18" i="2"/>
  <c r="T17" i="2"/>
  <c r="T27" i="2"/>
  <c r="T50" i="2"/>
  <c r="T57" i="2"/>
  <c r="R73" i="1"/>
  <c r="R72" i="1" s="1"/>
  <c r="T37" i="2" s="1"/>
  <c r="Q73" i="1"/>
  <c r="Q72" i="1" s="1"/>
  <c r="E12" i="1"/>
  <c r="I2" i="15"/>
  <c r="J3" i="15"/>
  <c r="J4" i="15" s="1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J17" i="15" s="1"/>
  <c r="J18" i="15" s="1"/>
  <c r="J19" i="15" s="1"/>
  <c r="J20" i="15" s="1"/>
  <c r="J21" i="15" s="1"/>
  <c r="J22" i="15" s="1"/>
  <c r="J23" i="15" s="1"/>
  <c r="J24" i="15" s="1"/>
  <c r="J25" i="15" s="1"/>
  <c r="J26" i="15" s="1"/>
  <c r="J27" i="15" s="1"/>
  <c r="J28" i="15" s="1"/>
  <c r="J29" i="15" s="1"/>
  <c r="J30" i="15" s="1"/>
  <c r="J31" i="15" s="1"/>
  <c r="J32" i="15" s="1"/>
  <c r="J33" i="15" s="1"/>
  <c r="J34" i="15" s="1"/>
  <c r="J35" i="15" s="1"/>
  <c r="J36" i="15" s="1"/>
  <c r="J37" i="15" s="1"/>
  <c r="J38" i="15" s="1"/>
  <c r="J39" i="15" s="1"/>
  <c r="J40" i="15" s="1"/>
  <c r="J41" i="15" s="1"/>
  <c r="J42" i="15" s="1"/>
  <c r="J43" i="15" s="1"/>
  <c r="J44" i="15" s="1"/>
  <c r="J45" i="15" s="1"/>
  <c r="J46" i="15" s="1"/>
  <c r="J47" i="15" s="1"/>
  <c r="J48" i="15" s="1"/>
  <c r="J49" i="15" s="1"/>
  <c r="J50" i="15" s="1"/>
  <c r="J51" i="15" s="1"/>
  <c r="J52" i="15" s="1"/>
  <c r="J53" i="15" s="1"/>
  <c r="J54" i="15" s="1"/>
  <c r="J55" i="15" s="1"/>
  <c r="J56" i="15" s="1"/>
  <c r="J57" i="15" s="1"/>
  <c r="J58" i="15" s="1"/>
  <c r="J59" i="15" s="1"/>
  <c r="J60" i="15" s="1"/>
  <c r="J61" i="15" s="1"/>
  <c r="J62" i="15" s="1"/>
  <c r="J63" i="15" s="1"/>
  <c r="J64" i="15" s="1"/>
  <c r="J65" i="15" s="1"/>
  <c r="J66" i="15" s="1"/>
  <c r="J67" i="15" s="1"/>
  <c r="J68" i="15" s="1"/>
  <c r="J69" i="15" s="1"/>
  <c r="J70" i="15" s="1"/>
  <c r="J71" i="15" s="1"/>
  <c r="J72" i="15" s="1"/>
  <c r="J73" i="15" s="1"/>
  <c r="J74" i="15" s="1"/>
  <c r="J75" i="15" s="1"/>
  <c r="J76" i="15" s="1"/>
  <c r="J77" i="15" s="1"/>
  <c r="J78" i="15" s="1"/>
  <c r="J79" i="15" s="1"/>
  <c r="J80" i="15" s="1"/>
  <c r="J81" i="15" s="1"/>
  <c r="J82" i="15" s="1"/>
  <c r="J83" i="15" s="1"/>
  <c r="J84" i="15" s="1"/>
  <c r="J85" i="15" s="1"/>
  <c r="J86" i="15" s="1"/>
  <c r="J87" i="15" s="1"/>
  <c r="J88" i="15" s="1"/>
  <c r="J89" i="15" s="1"/>
  <c r="J90" i="15" s="1"/>
  <c r="J91" i="15" s="1"/>
  <c r="J92" i="15" s="1"/>
  <c r="J93" i="15" s="1"/>
  <c r="J94" i="15" s="1"/>
  <c r="J95" i="15" s="1"/>
  <c r="J96" i="15" s="1"/>
  <c r="J97" i="15" s="1"/>
  <c r="J98" i="15" s="1"/>
  <c r="J99" i="15" s="1"/>
  <c r="J100" i="15" s="1"/>
  <c r="J101" i="15" s="1"/>
  <c r="J102" i="15" s="1"/>
  <c r="J103" i="15" s="1"/>
  <c r="J104" i="15" s="1"/>
  <c r="J105" i="15" s="1"/>
  <c r="J106" i="15" s="1"/>
  <c r="J107" i="15" s="1"/>
  <c r="J108" i="15" s="1"/>
  <c r="J109" i="15" s="1"/>
  <c r="J110" i="15" s="1"/>
  <c r="J111" i="15" s="1"/>
  <c r="J112" i="15" s="1"/>
  <c r="J113" i="15" s="1"/>
  <c r="J114" i="15" s="1"/>
  <c r="J115" i="15" s="1"/>
  <c r="J116" i="15" s="1"/>
  <c r="J117" i="15" s="1"/>
  <c r="J118" i="15" s="1"/>
  <c r="J119" i="15" s="1"/>
  <c r="J120" i="15" s="1"/>
  <c r="J121" i="15" s="1"/>
  <c r="J122" i="15" s="1"/>
  <c r="J123" i="15" s="1"/>
  <c r="J124" i="15" s="1"/>
  <c r="J125" i="15" s="1"/>
  <c r="J126" i="15" s="1"/>
  <c r="J127" i="15" s="1"/>
  <c r="J128" i="15" s="1"/>
  <c r="J129" i="15" s="1"/>
  <c r="J130" i="15" s="1"/>
  <c r="J131" i="15" s="1"/>
  <c r="J132" i="15" s="1"/>
  <c r="J133" i="15" s="1"/>
  <c r="J134" i="15" s="1"/>
  <c r="J135" i="15" s="1"/>
  <c r="J136" i="15" s="1"/>
  <c r="J137" i="15" s="1"/>
  <c r="J138" i="15" s="1"/>
  <c r="J139" i="15" s="1"/>
  <c r="J140" i="15" s="1"/>
  <c r="J141" i="15" s="1"/>
  <c r="J142" i="15" s="1"/>
  <c r="J143" i="15" s="1"/>
  <c r="J144" i="15" s="1"/>
  <c r="J145" i="15" s="1"/>
  <c r="J146" i="15" s="1"/>
  <c r="J147" i="15" s="1"/>
  <c r="J148" i="15" s="1"/>
  <c r="J149" i="15" s="1"/>
  <c r="J150" i="15" s="1"/>
  <c r="J151" i="15" s="1"/>
  <c r="J152" i="15" s="1"/>
  <c r="J153" i="15" s="1"/>
  <c r="J154" i="15" s="1"/>
  <c r="J155" i="15" s="1"/>
  <c r="J156" i="15" s="1"/>
  <c r="J157" i="15" s="1"/>
  <c r="J158" i="15" s="1"/>
  <c r="J159" i="15" s="1"/>
  <c r="J160" i="15" s="1"/>
  <c r="J161" i="15" s="1"/>
  <c r="J162" i="15" s="1"/>
  <c r="J163" i="15" s="1"/>
  <c r="J164" i="15" s="1"/>
  <c r="J165" i="15" s="1"/>
  <c r="J166" i="15" s="1"/>
  <c r="J167" i="15" s="1"/>
  <c r="J168" i="15" s="1"/>
  <c r="J169" i="15" s="1"/>
  <c r="J170" i="15" s="1"/>
  <c r="J171" i="15" s="1"/>
  <c r="J172" i="15" s="1"/>
  <c r="J173" i="15" s="1"/>
  <c r="J174" i="15" s="1"/>
  <c r="J175" i="15" s="1"/>
  <c r="J176" i="15" s="1"/>
  <c r="J177" i="15" s="1"/>
  <c r="J178" i="15" s="1"/>
  <c r="J179" i="15" s="1"/>
  <c r="J180" i="15" s="1"/>
  <c r="J181" i="15" s="1"/>
  <c r="J182" i="15" s="1"/>
  <c r="J183" i="15" s="1"/>
  <c r="J184" i="15" s="1"/>
  <c r="J185" i="15" s="1"/>
  <c r="J186" i="15" s="1"/>
  <c r="J187" i="15" s="1"/>
  <c r="J188" i="15" s="1"/>
  <c r="J189" i="15" s="1"/>
  <c r="J190" i="15" s="1"/>
  <c r="J191" i="15" s="1"/>
  <c r="J192" i="15" s="1"/>
  <c r="J193" i="15" s="1"/>
  <c r="J194" i="15" s="1"/>
  <c r="J195" i="15" s="1"/>
  <c r="J196" i="15" s="1"/>
  <c r="J197" i="15" s="1"/>
  <c r="J198" i="15" s="1"/>
  <c r="J199" i="15" s="1"/>
  <c r="J200" i="15" s="1"/>
  <c r="J201" i="15" s="1"/>
  <c r="J202" i="15" s="1"/>
  <c r="J203" i="15" s="1"/>
  <c r="J204" i="15" s="1"/>
  <c r="J205" i="15" s="1"/>
  <c r="J206" i="15" s="1"/>
  <c r="J207" i="15" s="1"/>
  <c r="J208" i="15" s="1"/>
  <c r="J209" i="15" s="1"/>
  <c r="J210" i="15" s="1"/>
  <c r="J211" i="15" s="1"/>
  <c r="J212" i="15" s="1"/>
  <c r="J213" i="15" s="1"/>
  <c r="J214" i="15" s="1"/>
  <c r="J215" i="15" s="1"/>
  <c r="J216" i="15" s="1"/>
  <c r="J217" i="15" s="1"/>
  <c r="J218" i="15" s="1"/>
  <c r="J219" i="15" s="1"/>
  <c r="J220" i="15" s="1"/>
  <c r="J221" i="15" s="1"/>
  <c r="J222" i="15" s="1"/>
  <c r="J223" i="15" s="1"/>
  <c r="J224" i="15" s="1"/>
  <c r="J225" i="15" s="1"/>
  <c r="J226" i="15" s="1"/>
  <c r="J227" i="15" s="1"/>
  <c r="J228" i="15" s="1"/>
  <c r="J229" i="15" s="1"/>
  <c r="J230" i="15" s="1"/>
  <c r="J231" i="15" s="1"/>
  <c r="J232" i="15" s="1"/>
  <c r="J233" i="15" s="1"/>
  <c r="J234" i="15" s="1"/>
  <c r="J235" i="15" s="1"/>
  <c r="J236" i="15" s="1"/>
  <c r="J237" i="15" s="1"/>
  <c r="J238" i="15" s="1"/>
  <c r="J239" i="15" s="1"/>
  <c r="J240" i="15" s="1"/>
  <c r="J241" i="15" s="1"/>
  <c r="J242" i="15" s="1"/>
  <c r="J243" i="15" s="1"/>
  <c r="J244" i="15" s="1"/>
  <c r="J245" i="15" s="1"/>
  <c r="J246" i="15" s="1"/>
  <c r="J247" i="15" s="1"/>
  <c r="J248" i="15" s="1"/>
  <c r="J249" i="15" s="1"/>
  <c r="J250" i="15" s="1"/>
  <c r="J251" i="15" s="1"/>
  <c r="J252" i="15" s="1"/>
  <c r="J253" i="15" s="1"/>
  <c r="J254" i="15" s="1"/>
  <c r="J255" i="15" s="1"/>
  <c r="J256" i="15" s="1"/>
  <c r="J257" i="15" s="1"/>
  <c r="J258" i="15" s="1"/>
  <c r="J259" i="15" s="1"/>
  <c r="J260" i="15" s="1"/>
  <c r="J261" i="15" s="1"/>
  <c r="J262" i="15" s="1"/>
  <c r="J263" i="15" s="1"/>
  <c r="J264" i="15" s="1"/>
  <c r="J265" i="15" s="1"/>
  <c r="J266" i="15" s="1"/>
  <c r="J267" i="15" s="1"/>
  <c r="J268" i="15" s="1"/>
  <c r="J269" i="15" s="1"/>
  <c r="J270" i="15" s="1"/>
  <c r="J271" i="15" s="1"/>
  <c r="J272" i="15" s="1"/>
  <c r="J273" i="15" s="1"/>
  <c r="J274" i="15" s="1"/>
  <c r="J275" i="15" s="1"/>
  <c r="J276" i="15" s="1"/>
  <c r="J277" i="15" s="1"/>
  <c r="J278" i="15" s="1"/>
  <c r="J279" i="15" s="1"/>
  <c r="J280" i="15" s="1"/>
  <c r="J281" i="15" s="1"/>
  <c r="J282" i="15" s="1"/>
  <c r="J283" i="15" s="1"/>
  <c r="J284" i="15" s="1"/>
  <c r="J285" i="15" s="1"/>
  <c r="J286" i="15" s="1"/>
  <c r="J287" i="15" s="1"/>
  <c r="J288" i="15" s="1"/>
  <c r="J289" i="15" s="1"/>
  <c r="J290" i="15" s="1"/>
  <c r="J291" i="15" s="1"/>
  <c r="J292" i="15" s="1"/>
  <c r="J293" i="15" s="1"/>
  <c r="J294" i="15" s="1"/>
  <c r="J295" i="15" s="1"/>
  <c r="J296" i="15" s="1"/>
  <c r="J297" i="15" s="1"/>
  <c r="J298" i="15" s="1"/>
  <c r="J299" i="15" s="1"/>
  <c r="J300" i="15" s="1"/>
  <c r="J301" i="15" s="1"/>
  <c r="J302" i="15" s="1"/>
  <c r="J303" i="15" s="1"/>
  <c r="J304" i="15" s="1"/>
  <c r="J305" i="15" s="1"/>
  <c r="J306" i="15" s="1"/>
  <c r="J307" i="15" s="1"/>
  <c r="J308" i="15" s="1"/>
  <c r="J309" i="15" s="1"/>
  <c r="J310" i="15" s="1"/>
  <c r="J311" i="15" s="1"/>
  <c r="J312" i="15" s="1"/>
  <c r="J313" i="15" s="1"/>
  <c r="J314" i="15" s="1"/>
  <c r="J315" i="15" s="1"/>
  <c r="J316" i="15" s="1"/>
  <c r="J317" i="15" s="1"/>
  <c r="J318" i="15" s="1"/>
  <c r="J319" i="15" s="1"/>
  <c r="J320" i="15" s="1"/>
  <c r="J321" i="15" s="1"/>
  <c r="J322" i="15" s="1"/>
  <c r="J323" i="15" s="1"/>
  <c r="J324" i="15" s="1"/>
  <c r="J325" i="15" s="1"/>
  <c r="J326" i="15" s="1"/>
  <c r="J327" i="15" s="1"/>
  <c r="J328" i="15" s="1"/>
  <c r="J329" i="15" s="1"/>
  <c r="J330" i="15" s="1"/>
  <c r="J331" i="15" s="1"/>
  <c r="J332" i="15" s="1"/>
  <c r="J333" i="15" s="1"/>
  <c r="J334" i="15" s="1"/>
  <c r="J335" i="15" s="1"/>
  <c r="J336" i="15" s="1"/>
  <c r="J337" i="15" s="1"/>
  <c r="J338" i="15" s="1"/>
  <c r="J339" i="15" s="1"/>
  <c r="J340" i="15" s="1"/>
  <c r="J341" i="15" s="1"/>
  <c r="J342" i="15" s="1"/>
  <c r="J343" i="15" s="1"/>
  <c r="J344" i="15" s="1"/>
  <c r="J345" i="15" s="1"/>
  <c r="J346" i="15" s="1"/>
  <c r="J347" i="15" s="1"/>
  <c r="J348" i="15" s="1"/>
  <c r="J349" i="15" s="1"/>
  <c r="J350" i="15" s="1"/>
  <c r="J351" i="15" s="1"/>
  <c r="J352" i="15" s="1"/>
  <c r="J353" i="15" s="1"/>
  <c r="J354" i="15" s="1"/>
  <c r="J355" i="15" s="1"/>
  <c r="J356" i="15" s="1"/>
  <c r="J357" i="15" s="1"/>
  <c r="J358" i="15" s="1"/>
  <c r="J359" i="15" s="1"/>
  <c r="J360" i="15" s="1"/>
  <c r="J361" i="15" s="1"/>
  <c r="J362" i="15" s="1"/>
  <c r="J363" i="15" s="1"/>
  <c r="J364" i="15" s="1"/>
  <c r="J365" i="15" s="1"/>
  <c r="J366" i="15" s="1"/>
  <c r="J367" i="15" s="1"/>
  <c r="J368" i="15" s="1"/>
  <c r="J369" i="15" s="1"/>
  <c r="J370" i="15" s="1"/>
  <c r="J371" i="15" s="1"/>
  <c r="J372" i="15" s="1"/>
  <c r="J373" i="15" s="1"/>
  <c r="J374" i="15" s="1"/>
  <c r="J375" i="15" s="1"/>
  <c r="J376" i="15" s="1"/>
  <c r="J377" i="15" s="1"/>
  <c r="J378" i="15" s="1"/>
  <c r="J379" i="15" s="1"/>
  <c r="J380" i="15" s="1"/>
  <c r="J381" i="15" s="1"/>
  <c r="J382" i="15" s="1"/>
  <c r="J383" i="15" s="1"/>
  <c r="J384" i="15" s="1"/>
  <c r="J385" i="15" s="1"/>
  <c r="J386" i="15" s="1"/>
  <c r="J387" i="15" s="1"/>
  <c r="J388" i="15" s="1"/>
  <c r="J389" i="15" s="1"/>
  <c r="J390" i="15" s="1"/>
  <c r="J391" i="15" s="1"/>
  <c r="J392" i="15" s="1"/>
  <c r="J393" i="15" s="1"/>
  <c r="J394" i="15" s="1"/>
  <c r="J395" i="15" s="1"/>
  <c r="J396" i="15" s="1"/>
  <c r="J397" i="15" s="1"/>
  <c r="J398" i="15" s="1"/>
  <c r="J399" i="15" s="1"/>
  <c r="J400" i="15" s="1"/>
  <c r="J401" i="15" s="1"/>
  <c r="J402" i="15" s="1"/>
  <c r="J403" i="15" s="1"/>
  <c r="J404" i="15" s="1"/>
  <c r="J405" i="15" s="1"/>
  <c r="J406" i="15" s="1"/>
  <c r="J407" i="15" s="1"/>
  <c r="J408" i="15" s="1"/>
  <c r="J409" i="15" s="1"/>
  <c r="J410" i="15" s="1"/>
  <c r="J411" i="15" s="1"/>
  <c r="J412" i="15" s="1"/>
  <c r="J413" i="15" s="1"/>
  <c r="J414" i="15" s="1"/>
  <c r="J415" i="15" s="1"/>
  <c r="J416" i="15" s="1"/>
  <c r="J417" i="15" s="1"/>
  <c r="J418" i="15" s="1"/>
  <c r="J419" i="15" s="1"/>
  <c r="J420" i="15" s="1"/>
  <c r="J421" i="15" s="1"/>
  <c r="J422" i="15" s="1"/>
  <c r="J423" i="15" s="1"/>
  <c r="J424" i="15" s="1"/>
  <c r="J425" i="15" s="1"/>
  <c r="J426" i="15" s="1"/>
  <c r="J427" i="15" s="1"/>
  <c r="J428" i="15" s="1"/>
  <c r="J429" i="15" s="1"/>
  <c r="J430" i="15" s="1"/>
  <c r="J431" i="15" s="1"/>
  <c r="J432" i="15" s="1"/>
  <c r="J433" i="15" s="1"/>
  <c r="J434" i="15" s="1"/>
  <c r="J435" i="15" s="1"/>
  <c r="J436" i="15" s="1"/>
  <c r="J437" i="15" s="1"/>
  <c r="J438" i="15" s="1"/>
  <c r="J439" i="15" s="1"/>
  <c r="J440" i="15" s="1"/>
  <c r="J441" i="15" s="1"/>
  <c r="J442" i="15" s="1"/>
  <c r="J443" i="15" s="1"/>
  <c r="J444" i="15" s="1"/>
  <c r="J445" i="15" s="1"/>
  <c r="J446" i="15" s="1"/>
  <c r="J447" i="15" s="1"/>
  <c r="J448" i="15" s="1"/>
  <c r="J449" i="15" s="1"/>
  <c r="J450" i="15" s="1"/>
  <c r="J451" i="15" s="1"/>
  <c r="J452" i="15" s="1"/>
  <c r="J453" i="15" s="1"/>
  <c r="J454" i="15" s="1"/>
  <c r="J455" i="15" s="1"/>
  <c r="J456" i="15" s="1"/>
  <c r="J457" i="15" s="1"/>
  <c r="J458" i="15" s="1"/>
  <c r="J459" i="15" s="1"/>
  <c r="J460" i="15" s="1"/>
  <c r="J461" i="15" s="1"/>
  <c r="J462" i="15" s="1"/>
  <c r="J463" i="15" s="1"/>
  <c r="J464" i="15" s="1"/>
  <c r="J465" i="15" s="1"/>
  <c r="J466" i="15" s="1"/>
  <c r="J467" i="15" s="1"/>
  <c r="J468" i="15" s="1"/>
  <c r="J469" i="15" s="1"/>
  <c r="J470" i="15" s="1"/>
  <c r="J471" i="15" s="1"/>
  <c r="J472" i="15" s="1"/>
  <c r="J473" i="15" s="1"/>
  <c r="J474" i="15" s="1"/>
  <c r="J475" i="15" s="1"/>
  <c r="J476" i="15" s="1"/>
  <c r="J477" i="15" s="1"/>
  <c r="J478" i="15" s="1"/>
  <c r="J479" i="15" s="1"/>
  <c r="J480" i="15" s="1"/>
  <c r="J481" i="15" s="1"/>
  <c r="J482" i="15" s="1"/>
  <c r="J483" i="15" s="1"/>
  <c r="J484" i="15" s="1"/>
  <c r="J485" i="15" s="1"/>
  <c r="J486" i="15" s="1"/>
  <c r="J487" i="15" s="1"/>
  <c r="J488" i="15" s="1"/>
  <c r="J489" i="15" s="1"/>
  <c r="J490" i="15" s="1"/>
  <c r="J491" i="15" s="1"/>
  <c r="J492" i="15" s="1"/>
  <c r="J493" i="15" s="1"/>
  <c r="J494" i="15" s="1"/>
  <c r="J495" i="15" s="1"/>
  <c r="J496" i="15" s="1"/>
  <c r="J497" i="15" s="1"/>
  <c r="J498" i="15" s="1"/>
  <c r="J499" i="15" s="1"/>
  <c r="J500" i="15" s="1"/>
  <c r="J501" i="15" s="1"/>
  <c r="J502" i="15" s="1"/>
  <c r="J503" i="15" s="1"/>
  <c r="J504" i="15" s="1"/>
  <c r="J505" i="15" s="1"/>
  <c r="J506" i="15" s="1"/>
  <c r="J507" i="15" s="1"/>
  <c r="J508" i="15" s="1"/>
  <c r="J509" i="15" s="1"/>
  <c r="J510" i="15" s="1"/>
  <c r="J511" i="15" s="1"/>
  <c r="J512" i="15" s="1"/>
  <c r="J513" i="15" s="1"/>
  <c r="J514" i="15" s="1"/>
  <c r="J515" i="15" s="1"/>
  <c r="J516" i="15" s="1"/>
  <c r="J517" i="15" s="1"/>
  <c r="J518" i="15" s="1"/>
  <c r="J519" i="15" s="1"/>
  <c r="J520" i="15" s="1"/>
  <c r="J521" i="15" s="1"/>
  <c r="J522" i="15" s="1"/>
  <c r="J523" i="15" s="1"/>
  <c r="J524" i="15" s="1"/>
  <c r="J525" i="15" s="1"/>
  <c r="J526" i="15" s="1"/>
  <c r="J527" i="15" s="1"/>
  <c r="J528" i="15" s="1"/>
  <c r="J529" i="15" s="1"/>
  <c r="J530" i="15" s="1"/>
  <c r="J531" i="15" s="1"/>
  <c r="J532" i="15" s="1"/>
  <c r="J533" i="15" s="1"/>
  <c r="J534" i="15" s="1"/>
  <c r="J535" i="15" s="1"/>
  <c r="J536" i="15" s="1"/>
  <c r="J537" i="15" s="1"/>
  <c r="J538" i="15" s="1"/>
  <c r="J539" i="15" s="1"/>
  <c r="J540" i="15" s="1"/>
  <c r="J541" i="15" s="1"/>
  <c r="J542" i="15" s="1"/>
  <c r="J543" i="15" s="1"/>
  <c r="J544" i="15" s="1"/>
  <c r="J545" i="15" s="1"/>
  <c r="J546" i="15" s="1"/>
  <c r="J547" i="15" s="1"/>
  <c r="J548" i="15" s="1"/>
  <c r="J549" i="15" s="1"/>
  <c r="J550" i="15" s="1"/>
  <c r="J551" i="15" s="1"/>
  <c r="J552" i="15" s="1"/>
  <c r="J553" i="15" s="1"/>
  <c r="J554" i="15" s="1"/>
  <c r="J555" i="15" s="1"/>
  <c r="J556" i="15" s="1"/>
  <c r="J557" i="15" s="1"/>
  <c r="J558" i="15" s="1"/>
  <c r="J559" i="15" s="1"/>
  <c r="J560" i="15" s="1"/>
  <c r="J561" i="15" s="1"/>
  <c r="J562" i="15" s="1"/>
  <c r="J563" i="15" s="1"/>
  <c r="J564" i="15" s="1"/>
  <c r="J565" i="15" s="1"/>
  <c r="J566" i="15" s="1"/>
  <c r="J567" i="15" s="1"/>
  <c r="J568" i="15" s="1"/>
  <c r="J569" i="15" s="1"/>
  <c r="J570" i="15" s="1"/>
  <c r="J571" i="15" s="1"/>
  <c r="J572" i="15" s="1"/>
  <c r="J573" i="15" s="1"/>
  <c r="J574" i="15" s="1"/>
  <c r="J575" i="15" s="1"/>
  <c r="J576" i="15" s="1"/>
  <c r="J577" i="15" s="1"/>
  <c r="J578" i="15" s="1"/>
  <c r="J579" i="15" s="1"/>
  <c r="J580" i="15" s="1"/>
  <c r="J581" i="15" s="1"/>
  <c r="J582" i="15" s="1"/>
  <c r="J583" i="15" s="1"/>
  <c r="J584" i="15" s="1"/>
  <c r="J585" i="15" s="1"/>
  <c r="J586" i="15" s="1"/>
  <c r="J587" i="15" s="1"/>
  <c r="J588" i="15" s="1"/>
  <c r="J589" i="15" s="1"/>
  <c r="J590" i="15" s="1"/>
  <c r="J591" i="15" s="1"/>
  <c r="J592" i="15" s="1"/>
  <c r="J593" i="15" s="1"/>
  <c r="J594" i="15" s="1"/>
  <c r="J595" i="15" s="1"/>
  <c r="J596" i="15" s="1"/>
  <c r="J597" i="15" s="1"/>
  <c r="J598" i="15" s="1"/>
  <c r="J599" i="15" s="1"/>
  <c r="J600" i="15" s="1"/>
  <c r="J601" i="15" s="1"/>
  <c r="J602" i="15" s="1"/>
  <c r="J603" i="15" s="1"/>
  <c r="J604" i="15" s="1"/>
  <c r="J605" i="15" s="1"/>
  <c r="J606" i="15" s="1"/>
  <c r="J607" i="15" s="1"/>
  <c r="J608" i="15" s="1"/>
  <c r="J609" i="15" s="1"/>
  <c r="J610" i="15" s="1"/>
  <c r="J611" i="15" s="1"/>
  <c r="J612" i="15" s="1"/>
  <c r="J613" i="15" s="1"/>
  <c r="J614" i="15" s="1"/>
  <c r="J615" i="15" s="1"/>
  <c r="J616" i="15" s="1"/>
  <c r="J617" i="15" s="1"/>
  <c r="J618" i="15" s="1"/>
  <c r="J619" i="15" s="1"/>
  <c r="J620" i="15" s="1"/>
  <c r="J621" i="15" s="1"/>
  <c r="J622" i="15" s="1"/>
  <c r="J623" i="15" s="1"/>
  <c r="J624" i="15" s="1"/>
  <c r="J625" i="15" s="1"/>
  <c r="J626" i="15" s="1"/>
  <c r="J627" i="15" s="1"/>
  <c r="J628" i="15" s="1"/>
  <c r="J629" i="15" s="1"/>
  <c r="J630" i="15" s="1"/>
  <c r="J631" i="15" s="1"/>
  <c r="J632" i="15" s="1"/>
  <c r="J633" i="15" s="1"/>
  <c r="J634" i="15" s="1"/>
  <c r="J635" i="15" s="1"/>
  <c r="J636" i="15" s="1"/>
  <c r="J637" i="15" s="1"/>
  <c r="J638" i="15" s="1"/>
  <c r="J639" i="15" s="1"/>
  <c r="J640" i="15" s="1"/>
  <c r="J641" i="15" s="1"/>
  <c r="J642" i="15" s="1"/>
  <c r="J643" i="15" s="1"/>
  <c r="J644" i="15" s="1"/>
  <c r="J645" i="15" s="1"/>
  <c r="J646" i="15" s="1"/>
  <c r="J647" i="15" s="1"/>
  <c r="J648" i="15" s="1"/>
  <c r="J649" i="15" s="1"/>
  <c r="J650" i="15" s="1"/>
  <c r="J651" i="15" s="1"/>
  <c r="J652" i="15" s="1"/>
  <c r="J653" i="15" s="1"/>
  <c r="J654" i="15" s="1"/>
  <c r="J655" i="15" s="1"/>
  <c r="J656" i="15" s="1"/>
  <c r="J657" i="15" s="1"/>
  <c r="J658" i="15" s="1"/>
  <c r="J659" i="15" s="1"/>
  <c r="J660" i="15" s="1"/>
  <c r="J661" i="15" s="1"/>
  <c r="J662" i="15" s="1"/>
  <c r="J663" i="15" s="1"/>
  <c r="J664" i="15" s="1"/>
  <c r="J665" i="15" s="1"/>
  <c r="J666" i="15" s="1"/>
  <c r="J667" i="15" s="1"/>
  <c r="J668" i="15" s="1"/>
  <c r="J669" i="15" s="1"/>
  <c r="J670" i="15" s="1"/>
  <c r="J671" i="15" s="1"/>
  <c r="J672" i="15" s="1"/>
  <c r="J673" i="15" s="1"/>
  <c r="J674" i="15" s="1"/>
  <c r="J675" i="15" s="1"/>
  <c r="J676" i="15" s="1"/>
  <c r="J677" i="15" s="1"/>
  <c r="J678" i="15" s="1"/>
  <c r="J679" i="15" s="1"/>
  <c r="J680" i="15" s="1"/>
  <c r="J681" i="15" s="1"/>
  <c r="J682" i="15" s="1"/>
  <c r="J683" i="15" s="1"/>
  <c r="J684" i="15" s="1"/>
  <c r="J685" i="15" s="1"/>
  <c r="J686" i="15" s="1"/>
  <c r="J687" i="15" s="1"/>
  <c r="J688" i="15" s="1"/>
  <c r="J689" i="15" s="1"/>
  <c r="J690" i="15" s="1"/>
  <c r="J691" i="15" s="1"/>
  <c r="J692" i="15" s="1"/>
  <c r="J693" i="15" s="1"/>
  <c r="J694" i="15" s="1"/>
  <c r="J695" i="15" s="1"/>
  <c r="J696" i="15" s="1"/>
  <c r="J697" i="15" s="1"/>
  <c r="J698" i="15" s="1"/>
  <c r="J699" i="15" s="1"/>
  <c r="J700" i="15" s="1"/>
  <c r="J701" i="15" s="1"/>
  <c r="J702" i="15" s="1"/>
  <c r="J703" i="15" s="1"/>
  <c r="J704" i="15" s="1"/>
  <c r="J705" i="15" s="1"/>
  <c r="J706" i="15" s="1"/>
  <c r="J707" i="15" s="1"/>
  <c r="J708" i="15" s="1"/>
  <c r="J709" i="15" s="1"/>
  <c r="J710" i="15" s="1"/>
  <c r="J711" i="15" s="1"/>
  <c r="J712" i="15" s="1"/>
  <c r="J713" i="15" s="1"/>
  <c r="J714" i="15" s="1"/>
  <c r="J715" i="15" s="1"/>
  <c r="J716" i="15" s="1"/>
  <c r="J717" i="15" s="1"/>
  <c r="T815" i="14"/>
  <c r="T814" i="14"/>
  <c r="T813" i="14"/>
  <c r="T812" i="14"/>
  <c r="T811" i="14"/>
  <c r="T810" i="14"/>
  <c r="T809" i="14"/>
  <c r="T808" i="14"/>
  <c r="T807" i="14"/>
  <c r="T806" i="14"/>
  <c r="T805" i="14"/>
  <c r="T804" i="14"/>
  <c r="T803" i="14"/>
  <c r="T802" i="14"/>
  <c r="T801" i="14"/>
  <c r="T800" i="14"/>
  <c r="T799" i="14"/>
  <c r="T798" i="14"/>
  <c r="T797" i="14"/>
  <c r="T796" i="14"/>
  <c r="T795" i="14"/>
  <c r="T794" i="14"/>
  <c r="T793" i="14"/>
  <c r="T792" i="14"/>
  <c r="T791" i="14"/>
  <c r="T790" i="14"/>
  <c r="T789" i="14"/>
  <c r="T788" i="14"/>
  <c r="T787" i="14"/>
  <c r="T786" i="14"/>
  <c r="T785" i="14"/>
  <c r="T784" i="14"/>
  <c r="T783" i="14"/>
  <c r="T782" i="14"/>
  <c r="T781" i="14"/>
  <c r="T780" i="14"/>
  <c r="T779" i="14"/>
  <c r="T778" i="14"/>
  <c r="T777" i="14"/>
  <c r="T776" i="14"/>
  <c r="T775" i="14"/>
  <c r="T774" i="14"/>
  <c r="T773" i="14"/>
  <c r="T772" i="14"/>
  <c r="T771" i="14"/>
  <c r="T770" i="14"/>
  <c r="T769" i="14"/>
  <c r="T768" i="14"/>
  <c r="T767" i="14"/>
  <c r="T766" i="14"/>
  <c r="T765" i="14"/>
  <c r="T764" i="14"/>
  <c r="T763" i="14"/>
  <c r="T762" i="14"/>
  <c r="T761" i="14"/>
  <c r="T760" i="14"/>
  <c r="T759" i="14"/>
  <c r="T758" i="14"/>
  <c r="T757" i="14"/>
  <c r="T756" i="14"/>
  <c r="T755" i="14"/>
  <c r="T754" i="14"/>
  <c r="T753" i="14"/>
  <c r="T752" i="14"/>
  <c r="T751" i="14"/>
  <c r="T750" i="14"/>
  <c r="T749" i="14"/>
  <c r="T748" i="14"/>
  <c r="T747" i="14"/>
  <c r="T746" i="14"/>
  <c r="T745" i="14"/>
  <c r="T744" i="14"/>
  <c r="T743" i="14"/>
  <c r="T742" i="14"/>
  <c r="T741" i="14"/>
  <c r="T740" i="14"/>
  <c r="T739" i="14"/>
  <c r="T738" i="14"/>
  <c r="T737" i="14"/>
  <c r="T736" i="14"/>
  <c r="T735" i="14"/>
  <c r="T734" i="14"/>
  <c r="T733" i="14"/>
  <c r="T732" i="14"/>
  <c r="T731" i="14"/>
  <c r="T730" i="14"/>
  <c r="T729" i="14"/>
  <c r="T728" i="14"/>
  <c r="T727" i="14"/>
  <c r="T726" i="14"/>
  <c r="T725" i="14"/>
  <c r="T724" i="14"/>
  <c r="T723" i="14"/>
  <c r="T722" i="14"/>
  <c r="T721" i="14"/>
  <c r="T720" i="14"/>
  <c r="T719" i="14"/>
  <c r="T718" i="14"/>
  <c r="T717" i="14"/>
  <c r="T716" i="14"/>
  <c r="T715" i="14"/>
  <c r="T714" i="14"/>
  <c r="T713" i="14"/>
  <c r="T712" i="14"/>
  <c r="T711" i="14"/>
  <c r="T710" i="14"/>
  <c r="T709" i="14"/>
  <c r="T708" i="14"/>
  <c r="T707" i="14"/>
  <c r="T706" i="14"/>
  <c r="T705" i="14"/>
  <c r="T704" i="14"/>
  <c r="T703" i="14"/>
  <c r="T702" i="14"/>
  <c r="T701" i="14"/>
  <c r="T700" i="14"/>
  <c r="T699" i="14"/>
  <c r="T698" i="14"/>
  <c r="T697" i="14"/>
  <c r="T696" i="14"/>
  <c r="T695" i="14"/>
  <c r="T694" i="14"/>
  <c r="T693" i="14"/>
  <c r="T692" i="14"/>
  <c r="T691" i="14"/>
  <c r="T690" i="14"/>
  <c r="T689" i="14"/>
  <c r="T688" i="14"/>
  <c r="T687" i="14"/>
  <c r="T686" i="14"/>
  <c r="T685" i="14"/>
  <c r="T684" i="14"/>
  <c r="T683" i="14"/>
  <c r="T682" i="14"/>
  <c r="T681" i="14"/>
  <c r="T680" i="14"/>
  <c r="T679" i="14"/>
  <c r="T678" i="14"/>
  <c r="T677" i="14"/>
  <c r="T676" i="14"/>
  <c r="T675" i="14"/>
  <c r="T674" i="14"/>
  <c r="T673" i="14"/>
  <c r="T672" i="14"/>
  <c r="T671" i="14"/>
  <c r="T670" i="14"/>
  <c r="T669" i="14"/>
  <c r="T668" i="14"/>
  <c r="T667" i="14"/>
  <c r="T666" i="14"/>
  <c r="T665" i="14"/>
  <c r="T664" i="14"/>
  <c r="T663" i="14"/>
  <c r="T662" i="14"/>
  <c r="T661" i="14"/>
  <c r="T660" i="14"/>
  <c r="T659" i="14"/>
  <c r="T658" i="14"/>
  <c r="T657" i="14"/>
  <c r="T656" i="14"/>
  <c r="T655" i="14"/>
  <c r="T654" i="14"/>
  <c r="T653" i="14"/>
  <c r="T652" i="14"/>
  <c r="T651" i="14"/>
  <c r="T650" i="14"/>
  <c r="T649" i="14"/>
  <c r="T648" i="14"/>
  <c r="T647" i="14"/>
  <c r="T646" i="14"/>
  <c r="T645" i="14"/>
  <c r="T644" i="14"/>
  <c r="T643" i="14"/>
  <c r="T642" i="14"/>
  <c r="T641" i="14"/>
  <c r="T640" i="14"/>
  <c r="T639" i="14"/>
  <c r="T638" i="14"/>
  <c r="T637" i="14"/>
  <c r="T636" i="14"/>
  <c r="T635" i="14"/>
  <c r="T634" i="14"/>
  <c r="T633" i="14"/>
  <c r="T632" i="14"/>
  <c r="T631" i="14"/>
  <c r="T630" i="14"/>
  <c r="T629" i="14"/>
  <c r="T628" i="14"/>
  <c r="T627" i="14"/>
  <c r="T626" i="14"/>
  <c r="T625" i="14"/>
  <c r="T624" i="14"/>
  <c r="T623" i="14"/>
  <c r="T622" i="14"/>
  <c r="T621" i="14"/>
  <c r="T620" i="14"/>
  <c r="T619" i="14"/>
  <c r="T618" i="14"/>
  <c r="T617" i="14"/>
  <c r="T616" i="14"/>
  <c r="T615" i="14"/>
  <c r="T614" i="14"/>
  <c r="T613" i="14"/>
  <c r="T612" i="14"/>
  <c r="T611" i="14"/>
  <c r="T610" i="14"/>
  <c r="T609" i="14"/>
  <c r="T608" i="14"/>
  <c r="T607" i="14"/>
  <c r="T606" i="14"/>
  <c r="T605" i="14"/>
  <c r="T604" i="14"/>
  <c r="T603" i="14"/>
  <c r="T602" i="14"/>
  <c r="T601" i="14"/>
  <c r="T600" i="14"/>
  <c r="T599" i="14"/>
  <c r="T598" i="14"/>
  <c r="T597" i="14"/>
  <c r="T596" i="14"/>
  <c r="T595" i="14"/>
  <c r="T594" i="14"/>
  <c r="T593" i="14"/>
  <c r="T592" i="14"/>
  <c r="T591" i="14"/>
  <c r="T590" i="14"/>
  <c r="T589" i="14"/>
  <c r="T588" i="14"/>
  <c r="T587" i="14"/>
  <c r="T586" i="14"/>
  <c r="T585" i="14"/>
  <c r="T584" i="14"/>
  <c r="T583" i="14"/>
  <c r="T582" i="14"/>
  <c r="T581" i="14"/>
  <c r="T580" i="14"/>
  <c r="T579" i="14"/>
  <c r="T578" i="14"/>
  <c r="T577" i="14"/>
  <c r="T576" i="14"/>
  <c r="T575" i="14"/>
  <c r="T574" i="14"/>
  <c r="T573" i="14"/>
  <c r="T572" i="14"/>
  <c r="T571" i="14"/>
  <c r="T570" i="14"/>
  <c r="T569" i="14"/>
  <c r="T568" i="14"/>
  <c r="T567" i="14"/>
  <c r="T566" i="14"/>
  <c r="T565" i="14"/>
  <c r="T564" i="14"/>
  <c r="T563" i="14"/>
  <c r="T562" i="14"/>
  <c r="T561" i="14"/>
  <c r="T560" i="14"/>
  <c r="T559" i="14"/>
  <c r="T558" i="14"/>
  <c r="T557" i="14"/>
  <c r="T556" i="14"/>
  <c r="T555" i="14"/>
  <c r="T554" i="14"/>
  <c r="T553" i="14"/>
  <c r="T552" i="14"/>
  <c r="T551" i="14"/>
  <c r="T550" i="14"/>
  <c r="T549" i="14"/>
  <c r="T548" i="14"/>
  <c r="T547" i="14"/>
  <c r="T546" i="14"/>
  <c r="T545" i="14"/>
  <c r="T544" i="14"/>
  <c r="T543" i="14"/>
  <c r="T542" i="14"/>
  <c r="T541" i="14"/>
  <c r="T540" i="14"/>
  <c r="T539" i="14"/>
  <c r="T538" i="14"/>
  <c r="T537" i="14"/>
  <c r="T536" i="14"/>
  <c r="T535" i="14"/>
  <c r="T534" i="14"/>
  <c r="T533" i="14"/>
  <c r="T532" i="14"/>
  <c r="T531" i="14"/>
  <c r="T530" i="14"/>
  <c r="T529" i="14"/>
  <c r="T528" i="14"/>
  <c r="T527" i="14"/>
  <c r="T526" i="14"/>
  <c r="T525" i="14"/>
  <c r="T524" i="14"/>
  <c r="T523" i="14"/>
  <c r="T522" i="14"/>
  <c r="T521" i="14"/>
  <c r="T520" i="14"/>
  <c r="T519" i="14"/>
  <c r="T518" i="14"/>
  <c r="T517" i="14"/>
  <c r="T516" i="14"/>
  <c r="T515" i="14"/>
  <c r="T514" i="14"/>
  <c r="T513" i="14"/>
  <c r="T512" i="14"/>
  <c r="T511" i="14"/>
  <c r="T510" i="14"/>
  <c r="T509" i="14"/>
  <c r="T508" i="14"/>
  <c r="T507" i="14"/>
  <c r="T506" i="14"/>
  <c r="T505" i="14"/>
  <c r="T504" i="14"/>
  <c r="T503" i="14"/>
  <c r="T502" i="14"/>
  <c r="T501" i="14"/>
  <c r="T500" i="14"/>
  <c r="T499" i="14"/>
  <c r="T498" i="14"/>
  <c r="T497" i="14"/>
  <c r="T496" i="14"/>
  <c r="T495" i="14"/>
  <c r="T494" i="14"/>
  <c r="T493" i="14"/>
  <c r="T492" i="14"/>
  <c r="T491" i="14"/>
  <c r="T490" i="14"/>
  <c r="T489" i="14"/>
  <c r="T488" i="14"/>
  <c r="T487" i="14"/>
  <c r="T486" i="14"/>
  <c r="T485" i="14"/>
  <c r="T484" i="14"/>
  <c r="T483" i="14"/>
  <c r="T482" i="14"/>
  <c r="T481" i="14"/>
  <c r="T480" i="14"/>
  <c r="T479" i="14"/>
  <c r="T478" i="14"/>
  <c r="T477" i="14"/>
  <c r="T476" i="14"/>
  <c r="T475" i="14"/>
  <c r="T474" i="14"/>
  <c r="T473" i="14"/>
  <c r="T472" i="14"/>
  <c r="T471" i="14"/>
  <c r="T470" i="14"/>
  <c r="T469" i="14"/>
  <c r="T468" i="14"/>
  <c r="T467" i="14"/>
  <c r="T466" i="14"/>
  <c r="T465" i="14"/>
  <c r="T464" i="14"/>
  <c r="T463" i="14"/>
  <c r="T462" i="14"/>
  <c r="T461" i="14"/>
  <c r="T460" i="14"/>
  <c r="T459" i="14"/>
  <c r="T458" i="14"/>
  <c r="T457" i="14"/>
  <c r="T456" i="14"/>
  <c r="T455" i="14"/>
  <c r="T454" i="14"/>
  <c r="T453" i="14"/>
  <c r="T452" i="14"/>
  <c r="T451" i="14"/>
  <c r="T450" i="14"/>
  <c r="T449" i="14"/>
  <c r="T448" i="14"/>
  <c r="T447" i="14"/>
  <c r="T446" i="14"/>
  <c r="T445" i="14"/>
  <c r="T444" i="14"/>
  <c r="T443" i="14"/>
  <c r="T442" i="14"/>
  <c r="T441" i="14"/>
  <c r="T440" i="14"/>
  <c r="T439" i="14"/>
  <c r="T438" i="14"/>
  <c r="T437" i="14"/>
  <c r="T436" i="14"/>
  <c r="T435" i="14"/>
  <c r="T434" i="14"/>
  <c r="T433" i="14"/>
  <c r="T432" i="14"/>
  <c r="T431" i="14"/>
  <c r="T430" i="14"/>
  <c r="T429" i="14"/>
  <c r="T428" i="14"/>
  <c r="T427" i="14"/>
  <c r="T426" i="14"/>
  <c r="T425" i="14"/>
  <c r="T424" i="14"/>
  <c r="T423" i="14"/>
  <c r="T422" i="14"/>
  <c r="T421" i="14"/>
  <c r="T420" i="14"/>
  <c r="T419" i="14"/>
  <c r="T418" i="14"/>
  <c r="T417" i="14"/>
  <c r="T416" i="14"/>
  <c r="T415" i="14"/>
  <c r="T414" i="14"/>
  <c r="T413" i="14"/>
  <c r="T412" i="14"/>
  <c r="T411" i="14"/>
  <c r="T410" i="14"/>
  <c r="T409" i="14"/>
  <c r="T408" i="14"/>
  <c r="T407" i="14"/>
  <c r="T406" i="14"/>
  <c r="T405" i="14"/>
  <c r="T404" i="14"/>
  <c r="T403" i="14"/>
  <c r="T402" i="14"/>
  <c r="T401" i="14"/>
  <c r="T400" i="14"/>
  <c r="T399" i="14"/>
  <c r="T398" i="14"/>
  <c r="T397" i="14"/>
  <c r="T396" i="14"/>
  <c r="T395" i="14"/>
  <c r="T394" i="14"/>
  <c r="T393" i="14"/>
  <c r="T392" i="14"/>
  <c r="T391" i="14"/>
  <c r="T390" i="14"/>
  <c r="T389" i="14"/>
  <c r="T388" i="14"/>
  <c r="T387" i="14"/>
  <c r="T386" i="14"/>
  <c r="T385" i="14"/>
  <c r="T384" i="14"/>
  <c r="T383" i="14"/>
  <c r="T382" i="14"/>
  <c r="T381" i="14"/>
  <c r="T380" i="14"/>
  <c r="T379" i="14"/>
  <c r="T378" i="14"/>
  <c r="T377" i="14"/>
  <c r="T376" i="14"/>
  <c r="T375" i="14"/>
  <c r="T374" i="14"/>
  <c r="T373" i="14"/>
  <c r="T372" i="14"/>
  <c r="T371" i="14"/>
  <c r="T370" i="14"/>
  <c r="T369" i="14"/>
  <c r="T368" i="14"/>
  <c r="T367" i="14"/>
  <c r="T366" i="14"/>
  <c r="T365" i="14"/>
  <c r="T364" i="14"/>
  <c r="T363" i="14"/>
  <c r="T362" i="14"/>
  <c r="T361" i="14"/>
  <c r="T360" i="14"/>
  <c r="T359" i="14"/>
  <c r="T358" i="14"/>
  <c r="T357" i="14"/>
  <c r="T356" i="14"/>
  <c r="T355" i="14"/>
  <c r="T354" i="14"/>
  <c r="T353" i="14"/>
  <c r="T352" i="14"/>
  <c r="T351" i="14"/>
  <c r="T350" i="14"/>
  <c r="T349" i="14"/>
  <c r="T348" i="14"/>
  <c r="T347" i="14"/>
  <c r="T346" i="14"/>
  <c r="T345" i="14"/>
  <c r="T344" i="14"/>
  <c r="T343" i="14"/>
  <c r="T342" i="14"/>
  <c r="T341" i="14"/>
  <c r="T340" i="14"/>
  <c r="T339" i="14"/>
  <c r="T338" i="14"/>
  <c r="T337" i="14"/>
  <c r="T336" i="14"/>
  <c r="T335" i="14"/>
  <c r="T334" i="14"/>
  <c r="T333" i="14"/>
  <c r="T332" i="14"/>
  <c r="T331" i="14"/>
  <c r="T330" i="14"/>
  <c r="T329" i="14"/>
  <c r="T328" i="14"/>
  <c r="T327" i="14"/>
  <c r="T326" i="14"/>
  <c r="T325" i="14"/>
  <c r="T324" i="14"/>
  <c r="T323" i="14"/>
  <c r="T322" i="14"/>
  <c r="T321" i="14"/>
  <c r="T320" i="14"/>
  <c r="T319" i="14"/>
  <c r="T318" i="14"/>
  <c r="T317" i="14"/>
  <c r="T316" i="14"/>
  <c r="T315" i="14"/>
  <c r="T314" i="14"/>
  <c r="T313" i="14"/>
  <c r="T312" i="14"/>
  <c r="T311" i="14"/>
  <c r="T310" i="14"/>
  <c r="T309" i="14"/>
  <c r="T308" i="14"/>
  <c r="T307" i="14"/>
  <c r="T306" i="14"/>
  <c r="T305" i="14"/>
  <c r="T304" i="14"/>
  <c r="T303" i="14"/>
  <c r="T302" i="14"/>
  <c r="T301" i="14"/>
  <c r="T300" i="14"/>
  <c r="T299" i="14"/>
  <c r="T298" i="14"/>
  <c r="T297" i="14"/>
  <c r="T296" i="14"/>
  <c r="T295" i="14"/>
  <c r="T294" i="14"/>
  <c r="T293" i="14"/>
  <c r="T292" i="14"/>
  <c r="T291" i="14"/>
  <c r="T290" i="14"/>
  <c r="T289" i="14"/>
  <c r="T288" i="14"/>
  <c r="T287" i="14"/>
  <c r="T286" i="14"/>
  <c r="T285" i="14"/>
  <c r="T284" i="14"/>
  <c r="T283" i="14"/>
  <c r="T282" i="14"/>
  <c r="T281" i="14"/>
  <c r="T280" i="14"/>
  <c r="T279" i="14"/>
  <c r="T278" i="14"/>
  <c r="T277" i="14"/>
  <c r="T276" i="14"/>
  <c r="T275" i="14"/>
  <c r="T274" i="14"/>
  <c r="T273" i="14"/>
  <c r="T272" i="14"/>
  <c r="T271" i="14"/>
  <c r="T270" i="14"/>
  <c r="T269" i="14"/>
  <c r="T268" i="14"/>
  <c r="T267" i="14"/>
  <c r="T266" i="14"/>
  <c r="T265" i="14"/>
  <c r="T264" i="14"/>
  <c r="T263" i="14"/>
  <c r="T262" i="14"/>
  <c r="T261" i="14"/>
  <c r="T260" i="14"/>
  <c r="T259" i="14"/>
  <c r="T258" i="14"/>
  <c r="T257" i="14"/>
  <c r="T256" i="14"/>
  <c r="T255" i="14"/>
  <c r="T254" i="14"/>
  <c r="T253" i="14"/>
  <c r="T252" i="14"/>
  <c r="T251" i="14"/>
  <c r="T250" i="14"/>
  <c r="T249" i="14"/>
  <c r="T248" i="14"/>
  <c r="T247" i="14"/>
  <c r="T246" i="14"/>
  <c r="T245" i="14"/>
  <c r="T244" i="14"/>
  <c r="T243" i="14"/>
  <c r="T242" i="14"/>
  <c r="T241" i="14"/>
  <c r="T240" i="14"/>
  <c r="T239" i="14"/>
  <c r="T238" i="14"/>
  <c r="T237" i="14"/>
  <c r="T236" i="14"/>
  <c r="T235" i="14"/>
  <c r="T234" i="14"/>
  <c r="T233" i="14"/>
  <c r="T232" i="14"/>
  <c r="T231" i="14"/>
  <c r="T230" i="14"/>
  <c r="T229" i="14"/>
  <c r="T228" i="14"/>
  <c r="T227" i="14"/>
  <c r="T226" i="14"/>
  <c r="T225" i="14"/>
  <c r="T224" i="14"/>
  <c r="T223" i="14"/>
  <c r="T222" i="14"/>
  <c r="T221" i="14"/>
  <c r="T220" i="14"/>
  <c r="T219" i="14"/>
  <c r="T218" i="14"/>
  <c r="T217" i="14"/>
  <c r="T216" i="14"/>
  <c r="T215" i="14"/>
  <c r="T214" i="14"/>
  <c r="T213" i="14"/>
  <c r="T212" i="14"/>
  <c r="T211" i="14"/>
  <c r="T210" i="14"/>
  <c r="T209" i="14"/>
  <c r="T208" i="14"/>
  <c r="T207" i="14"/>
  <c r="T206" i="14"/>
  <c r="T205" i="14"/>
  <c r="T204" i="14"/>
  <c r="T203" i="14"/>
  <c r="T202" i="14"/>
  <c r="T201" i="14"/>
  <c r="T200" i="14"/>
  <c r="T199" i="14"/>
  <c r="T198" i="14"/>
  <c r="T197" i="14"/>
  <c r="T196" i="14"/>
  <c r="T195" i="14"/>
  <c r="T194" i="14"/>
  <c r="T193" i="14"/>
  <c r="T192" i="14"/>
  <c r="T191" i="14"/>
  <c r="T190" i="14"/>
  <c r="T189" i="14"/>
  <c r="T188" i="14"/>
  <c r="T187" i="14"/>
  <c r="T186" i="14"/>
  <c r="T185" i="14"/>
  <c r="T184" i="14"/>
  <c r="T183" i="14"/>
  <c r="T182" i="14"/>
  <c r="T181" i="14"/>
  <c r="T180" i="14"/>
  <c r="T179" i="14"/>
  <c r="T178" i="14"/>
  <c r="T177" i="14"/>
  <c r="T176" i="14"/>
  <c r="T175" i="14"/>
  <c r="T174" i="14"/>
  <c r="T173" i="14"/>
  <c r="T172" i="14"/>
  <c r="T171" i="14"/>
  <c r="T170" i="14"/>
  <c r="T169" i="14"/>
  <c r="T168" i="14"/>
  <c r="T167" i="14"/>
  <c r="T166" i="14"/>
  <c r="T165" i="14"/>
  <c r="T164" i="14"/>
  <c r="T163" i="14"/>
  <c r="T162" i="14"/>
  <c r="T161" i="14"/>
  <c r="T160" i="14"/>
  <c r="T159" i="14"/>
  <c r="T158" i="14"/>
  <c r="T157" i="14"/>
  <c r="T156" i="14"/>
  <c r="T155" i="14"/>
  <c r="T154" i="14"/>
  <c r="T153" i="14"/>
  <c r="T152" i="14"/>
  <c r="T151" i="14"/>
  <c r="T150" i="14"/>
  <c r="T149" i="14"/>
  <c r="T148" i="14"/>
  <c r="T147" i="14"/>
  <c r="T146" i="14"/>
  <c r="T145" i="14"/>
  <c r="T144" i="14"/>
  <c r="T143" i="14"/>
  <c r="T142" i="14"/>
  <c r="T141" i="14"/>
  <c r="T140" i="14"/>
  <c r="T139" i="14"/>
  <c r="T138" i="14"/>
  <c r="T137" i="14"/>
  <c r="T136" i="14"/>
  <c r="T135" i="14"/>
  <c r="T134" i="14"/>
  <c r="T133" i="14"/>
  <c r="T132" i="14"/>
  <c r="T131" i="14"/>
  <c r="T130" i="14"/>
  <c r="T129" i="14"/>
  <c r="T128" i="14"/>
  <c r="T127" i="14"/>
  <c r="T126" i="14"/>
  <c r="T125" i="14"/>
  <c r="T124" i="14"/>
  <c r="T123" i="14"/>
  <c r="T122" i="14"/>
  <c r="T121" i="14"/>
  <c r="T120" i="14"/>
  <c r="T119" i="14"/>
  <c r="T118" i="14"/>
  <c r="T117" i="14"/>
  <c r="T116" i="14"/>
  <c r="T115" i="14"/>
  <c r="T114" i="14"/>
  <c r="T113" i="14"/>
  <c r="T112" i="14"/>
  <c r="T111" i="14"/>
  <c r="T110" i="14"/>
  <c r="T109" i="14"/>
  <c r="T108" i="14"/>
  <c r="T107" i="14"/>
  <c r="T106" i="14"/>
  <c r="T105" i="14"/>
  <c r="T104" i="14"/>
  <c r="T103" i="14"/>
  <c r="T102" i="14"/>
  <c r="T101" i="14"/>
  <c r="T100" i="14"/>
  <c r="T99" i="14"/>
  <c r="T98" i="14"/>
  <c r="T97" i="14"/>
  <c r="T96" i="14"/>
  <c r="T95" i="14"/>
  <c r="T94" i="14"/>
  <c r="T93" i="14"/>
  <c r="T92" i="14"/>
  <c r="T91" i="14"/>
  <c r="T90" i="14"/>
  <c r="T89" i="14"/>
  <c r="T88" i="14"/>
  <c r="T87" i="14"/>
  <c r="T86" i="14"/>
  <c r="T85" i="14"/>
  <c r="T84" i="14"/>
  <c r="T83" i="14"/>
  <c r="T82" i="14"/>
  <c r="T81" i="14"/>
  <c r="T80" i="14"/>
  <c r="T79" i="14"/>
  <c r="T78" i="14"/>
  <c r="T77" i="14"/>
  <c r="T76" i="14"/>
  <c r="T75" i="14"/>
  <c r="T74" i="14"/>
  <c r="T73" i="14"/>
  <c r="T72" i="14"/>
  <c r="T71" i="14"/>
  <c r="T70" i="14"/>
  <c r="T69" i="14"/>
  <c r="T68" i="14"/>
  <c r="T67" i="14"/>
  <c r="T66" i="14"/>
  <c r="T65" i="14"/>
  <c r="T64" i="14"/>
  <c r="T63" i="14"/>
  <c r="T62" i="14"/>
  <c r="T61" i="14"/>
  <c r="T60" i="14"/>
  <c r="T59" i="14"/>
  <c r="T58" i="14"/>
  <c r="T57" i="14"/>
  <c r="T56" i="14"/>
  <c r="T55" i="14"/>
  <c r="T54" i="14"/>
  <c r="T53" i="14"/>
  <c r="T52" i="14"/>
  <c r="T51" i="14"/>
  <c r="T50" i="14"/>
  <c r="T49" i="14"/>
  <c r="T48" i="14"/>
  <c r="T47" i="14"/>
  <c r="T46" i="14"/>
  <c r="T45" i="14"/>
  <c r="T44" i="14"/>
  <c r="T43" i="14"/>
  <c r="T42" i="14"/>
  <c r="T41" i="14"/>
  <c r="T40" i="14"/>
  <c r="T39" i="14"/>
  <c r="T38" i="14"/>
  <c r="T37" i="14"/>
  <c r="T36" i="14"/>
  <c r="T35" i="14"/>
  <c r="T34" i="14"/>
  <c r="T33" i="14"/>
  <c r="T32" i="14"/>
  <c r="T31" i="14"/>
  <c r="T30" i="14"/>
  <c r="T29" i="14"/>
  <c r="T28" i="14"/>
  <c r="T27" i="14"/>
  <c r="T26" i="14"/>
  <c r="T25" i="14"/>
  <c r="T24" i="14"/>
  <c r="T23" i="14"/>
  <c r="T22" i="14"/>
  <c r="T21" i="14"/>
  <c r="T20" i="14"/>
  <c r="T19" i="14"/>
  <c r="T18" i="14"/>
  <c r="T17" i="14"/>
  <c r="T16" i="14"/>
  <c r="T15" i="14"/>
  <c r="T14" i="14"/>
  <c r="T13" i="14"/>
  <c r="T12" i="14"/>
  <c r="T11" i="14"/>
  <c r="T10" i="14"/>
  <c r="T9" i="14"/>
  <c r="T8" i="14"/>
  <c r="T7" i="14"/>
  <c r="T6" i="14"/>
  <c r="T41" i="2" l="1"/>
  <c r="T51" i="2"/>
  <c r="T31" i="2"/>
  <c r="T26" i="2"/>
  <c r="T46" i="2"/>
  <c r="T29" i="2"/>
  <c r="T59" i="2"/>
  <c r="T21" i="2"/>
  <c r="T52" i="2"/>
  <c r="T22" i="2"/>
  <c r="T42" i="2"/>
  <c r="T35" i="2"/>
  <c r="T19" i="2"/>
  <c r="T33" i="2"/>
  <c r="T20" i="2"/>
  <c r="T44" i="2"/>
  <c r="T10" i="2"/>
  <c r="T16" i="2"/>
  <c r="T15" i="2"/>
  <c r="T49" i="2"/>
  <c r="T36" i="2"/>
  <c r="T23" i="2"/>
  <c r="T40" i="2"/>
  <c r="T30" i="2"/>
  <c r="T54" i="2"/>
  <c r="T55" i="2"/>
  <c r="T11" i="2"/>
  <c r="T45" i="2"/>
  <c r="T32" i="2"/>
  <c r="T12" i="2"/>
  <c r="T25" i="2"/>
  <c r="T13" i="2"/>
  <c r="T56" i="2"/>
  <c r="T34" i="2"/>
  <c r="T53" i="2"/>
  <c r="T39" i="2"/>
  <c r="T4" i="14"/>
  <c r="T28" i="2"/>
  <c r="T48" i="2"/>
  <c r="T43" i="2"/>
  <c r="T38" i="2"/>
  <c r="T47" i="2"/>
  <c r="T14" i="2"/>
  <c r="F42" i="2"/>
  <c r="A49" i="16"/>
  <c r="A25" i="16"/>
  <c r="A37" i="16"/>
  <c r="G36" i="2"/>
  <c r="G31" i="2"/>
  <c r="F32" i="2"/>
  <c r="H31" i="2" l="1"/>
  <c r="F14" i="1"/>
  <c r="E12" i="2" l="1"/>
  <c r="E20" i="2"/>
  <c r="I2" i="11" l="1"/>
  <c r="S72" i="1" l="1"/>
  <c r="D46" i="1"/>
  <c r="E58" i="2" l="1"/>
  <c r="V74" i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E27" i="2" l="1"/>
  <c r="H28" i="2" s="1"/>
  <c r="AD13" i="12"/>
  <c r="AC13" i="12"/>
  <c r="AB13" i="12"/>
  <c r="AA13" i="12"/>
  <c r="Z13" i="12"/>
  <c r="Y13" i="12"/>
  <c r="AD12" i="12"/>
  <c r="AC12" i="12"/>
  <c r="AB12" i="12"/>
  <c r="AA12" i="12"/>
  <c r="Z12" i="12"/>
  <c r="Y12" i="12"/>
  <c r="AD11" i="12"/>
  <c r="AC11" i="12"/>
  <c r="AB11" i="12"/>
  <c r="AA11" i="12"/>
  <c r="Z11" i="12"/>
  <c r="Y11" i="12"/>
  <c r="AD10" i="12"/>
  <c r="AC10" i="12"/>
  <c r="AB10" i="12"/>
  <c r="AA10" i="12"/>
  <c r="Z10" i="12"/>
  <c r="Y10" i="12"/>
  <c r="AD9" i="12"/>
  <c r="AC9" i="12"/>
  <c r="AB9" i="12"/>
  <c r="AA9" i="12"/>
  <c r="Z9" i="12"/>
  <c r="Y9" i="12"/>
  <c r="AD8" i="12"/>
  <c r="AC8" i="12"/>
  <c r="AB8" i="12"/>
  <c r="AA8" i="12"/>
  <c r="Z8" i="12"/>
  <c r="Y8" i="12"/>
  <c r="AD7" i="12"/>
  <c r="AC7" i="12"/>
  <c r="AB7" i="12"/>
  <c r="AA7" i="12"/>
  <c r="Z7" i="12"/>
  <c r="Y7" i="12"/>
  <c r="AD6" i="12"/>
  <c r="AC6" i="12"/>
  <c r="AB6" i="12"/>
  <c r="AA6" i="12"/>
  <c r="Z6" i="12"/>
  <c r="Y6" i="12"/>
  <c r="AD5" i="12"/>
  <c r="AC5" i="12"/>
  <c r="AB5" i="12"/>
  <c r="AA5" i="12"/>
  <c r="Z5" i="12"/>
  <c r="Y5" i="12"/>
  <c r="AD4" i="12"/>
  <c r="AC4" i="12"/>
  <c r="AB4" i="12"/>
  <c r="AA4" i="12"/>
  <c r="Z4" i="12"/>
  <c r="Y4" i="12"/>
  <c r="AD23" i="12"/>
  <c r="AC23" i="12"/>
  <c r="AB23" i="12"/>
  <c r="AA23" i="12"/>
  <c r="Z23" i="12"/>
  <c r="Y23" i="12"/>
  <c r="AD22" i="12"/>
  <c r="AC22" i="12"/>
  <c r="AB22" i="12"/>
  <c r="AA22" i="12"/>
  <c r="Z22" i="12"/>
  <c r="Y22" i="12"/>
  <c r="AD21" i="12"/>
  <c r="AC21" i="12"/>
  <c r="AB21" i="12"/>
  <c r="AA21" i="12"/>
  <c r="Z21" i="12"/>
  <c r="Y21" i="12"/>
  <c r="AD20" i="12"/>
  <c r="AC20" i="12"/>
  <c r="AB20" i="12"/>
  <c r="AA20" i="12"/>
  <c r="Z20" i="12"/>
  <c r="Y20" i="12"/>
  <c r="AD19" i="12"/>
  <c r="AC19" i="12"/>
  <c r="AB19" i="12"/>
  <c r="AA19" i="12"/>
  <c r="Z19" i="12"/>
  <c r="Y19" i="12"/>
  <c r="AD18" i="12"/>
  <c r="AC18" i="12"/>
  <c r="AB18" i="12"/>
  <c r="AA18" i="12"/>
  <c r="Z18" i="12"/>
  <c r="Y18" i="12"/>
  <c r="AD17" i="12"/>
  <c r="AC17" i="12"/>
  <c r="AB17" i="12"/>
  <c r="AA17" i="12"/>
  <c r="Z17" i="12"/>
  <c r="Y17" i="12"/>
  <c r="AD16" i="12"/>
  <c r="AC16" i="12"/>
  <c r="AB16" i="12"/>
  <c r="AA16" i="12"/>
  <c r="Z16" i="12"/>
  <c r="Y16" i="12"/>
  <c r="AD15" i="12"/>
  <c r="AC15" i="12"/>
  <c r="AB15" i="12"/>
  <c r="AA15" i="12"/>
  <c r="Z15" i="12"/>
  <c r="Y15" i="12"/>
  <c r="AD14" i="12"/>
  <c r="AC14" i="12"/>
  <c r="AB14" i="12"/>
  <c r="AA14" i="12"/>
  <c r="Z14" i="12"/>
  <c r="Y14" i="12"/>
  <c r="AC24" i="12"/>
  <c r="AD24" i="12"/>
  <c r="AC25" i="12"/>
  <c r="AD25" i="12"/>
  <c r="AC26" i="12"/>
  <c r="AD26" i="12"/>
  <c r="AC27" i="12"/>
  <c r="AD27" i="12"/>
  <c r="AC28" i="12"/>
  <c r="AD28" i="12"/>
  <c r="AB25" i="12"/>
  <c r="AB26" i="12"/>
  <c r="AB27" i="12"/>
  <c r="AB28" i="12"/>
  <c r="AB24" i="12"/>
  <c r="Z24" i="12"/>
  <c r="AA24" i="12"/>
  <c r="Z25" i="12"/>
  <c r="AA25" i="12"/>
  <c r="Z26" i="12"/>
  <c r="AA26" i="12"/>
  <c r="Z27" i="12"/>
  <c r="AA27" i="12"/>
  <c r="Z28" i="12"/>
  <c r="AA28" i="12"/>
  <c r="Y25" i="12"/>
  <c r="Y26" i="12"/>
  <c r="Y27" i="12"/>
  <c r="Y28" i="12"/>
  <c r="Y24" i="12"/>
  <c r="Z29" i="12"/>
  <c r="AA29" i="12"/>
  <c r="Z30" i="12"/>
  <c r="AA30" i="12"/>
  <c r="Z31" i="12"/>
  <c r="AA31" i="12"/>
  <c r="Z32" i="12"/>
  <c r="AA32" i="12"/>
  <c r="Z33" i="12"/>
  <c r="AA33" i="12"/>
  <c r="Y30" i="12"/>
  <c r="Y31" i="12"/>
  <c r="Y32" i="12"/>
  <c r="Y33" i="12"/>
  <c r="Y29" i="12"/>
  <c r="AC29" i="12"/>
  <c r="AD29" i="12"/>
  <c r="AC30" i="12"/>
  <c r="AD30" i="12"/>
  <c r="AC31" i="12"/>
  <c r="AD31" i="12"/>
  <c r="AC32" i="12"/>
  <c r="AD32" i="12"/>
  <c r="AC33" i="12"/>
  <c r="AD33" i="12"/>
  <c r="AB30" i="12"/>
  <c r="AB31" i="12"/>
  <c r="AB32" i="12"/>
  <c r="AB33" i="12"/>
  <c r="AB29" i="12"/>
  <c r="E50" i="2"/>
  <c r="F52" i="2" s="1"/>
  <c r="E40" i="2"/>
  <c r="E30" i="2"/>
  <c r="E47" i="2"/>
  <c r="H48" i="2" s="1"/>
  <c r="E37" i="2"/>
  <c r="H38" i="2" s="1"/>
  <c r="C43" i="2"/>
  <c r="D47" i="1"/>
  <c r="E47" i="1" s="1"/>
  <c r="C44" i="1"/>
  <c r="D44" i="1" s="1"/>
  <c r="D21" i="11"/>
  <c r="D18" i="11"/>
  <c r="D14" i="11"/>
  <c r="D6" i="11"/>
  <c r="E14" i="2"/>
  <c r="F12" i="2" s="1"/>
  <c r="E6" i="2"/>
  <c r="H7" i="2" s="1"/>
  <c r="J7" i="2" s="1"/>
  <c r="P10" i="1"/>
  <c r="Q10" i="1" s="1"/>
  <c r="E66" i="2"/>
  <c r="E67" i="2"/>
  <c r="E68" i="2"/>
  <c r="H71" i="2"/>
  <c r="V4" i="12"/>
  <c r="W4" i="12"/>
  <c r="X4" i="12"/>
  <c r="V5" i="12"/>
  <c r="W5" i="12"/>
  <c r="X5" i="12"/>
  <c r="V6" i="12"/>
  <c r="W6" i="12"/>
  <c r="X6" i="12"/>
  <c r="V7" i="12"/>
  <c r="W7" i="12"/>
  <c r="X7" i="12"/>
  <c r="V8" i="12"/>
  <c r="W8" i="12"/>
  <c r="X8" i="12"/>
  <c r="V9" i="12"/>
  <c r="W9" i="12"/>
  <c r="X9" i="12"/>
  <c r="V10" i="12"/>
  <c r="W10" i="12"/>
  <c r="X10" i="12"/>
  <c r="V11" i="12"/>
  <c r="W11" i="12"/>
  <c r="X11" i="12"/>
  <c r="V12" i="12"/>
  <c r="W12" i="12"/>
  <c r="X12" i="12"/>
  <c r="V13" i="12"/>
  <c r="W13" i="12"/>
  <c r="X13" i="12"/>
  <c r="V14" i="12"/>
  <c r="W14" i="12"/>
  <c r="X14" i="12"/>
  <c r="V15" i="12"/>
  <c r="W15" i="12"/>
  <c r="X15" i="12"/>
  <c r="V16" i="12"/>
  <c r="W16" i="12"/>
  <c r="X16" i="12"/>
  <c r="V17" i="12"/>
  <c r="W17" i="12"/>
  <c r="X17" i="12"/>
  <c r="V18" i="12"/>
  <c r="W18" i="12"/>
  <c r="X18" i="12"/>
  <c r="V19" i="12"/>
  <c r="W19" i="12"/>
  <c r="X19" i="12"/>
  <c r="V20" i="12"/>
  <c r="W20" i="12"/>
  <c r="X20" i="12"/>
  <c r="V21" i="12"/>
  <c r="W21" i="12"/>
  <c r="X21" i="12"/>
  <c r="V22" i="12"/>
  <c r="W22" i="12"/>
  <c r="X22" i="12"/>
  <c r="V23" i="12"/>
  <c r="W23" i="12"/>
  <c r="X23" i="12"/>
  <c r="V24" i="12"/>
  <c r="W24" i="12"/>
  <c r="X24" i="12"/>
  <c r="V25" i="12"/>
  <c r="W25" i="12"/>
  <c r="X25" i="12"/>
  <c r="V26" i="12"/>
  <c r="W26" i="12"/>
  <c r="X26" i="12"/>
  <c r="V27" i="12"/>
  <c r="W27" i="12"/>
  <c r="X27" i="12"/>
  <c r="V28" i="12"/>
  <c r="W28" i="12"/>
  <c r="X28" i="12"/>
  <c r="V29" i="12"/>
  <c r="W29" i="12"/>
  <c r="X29" i="12"/>
  <c r="V30" i="12"/>
  <c r="W30" i="12"/>
  <c r="X30" i="12"/>
  <c r="V31" i="12"/>
  <c r="W31" i="12"/>
  <c r="X31" i="12"/>
  <c r="V32" i="12"/>
  <c r="W32" i="12"/>
  <c r="X32" i="12"/>
  <c r="V33" i="12"/>
  <c r="W33" i="12"/>
  <c r="X33" i="12"/>
  <c r="C3" i="6"/>
  <c r="F3" i="6"/>
  <c r="B9" i="6"/>
  <c r="D8" i="1"/>
  <c r="E9" i="1" s="1"/>
  <c r="E10" i="1"/>
  <c r="F10" i="1"/>
  <c r="G10" i="1"/>
  <c r="H10" i="1"/>
  <c r="I10" i="1"/>
  <c r="J10" i="1"/>
  <c r="K10" i="1"/>
  <c r="F12" i="1"/>
  <c r="G12" i="1"/>
  <c r="H12" i="1"/>
  <c r="I12" i="1"/>
  <c r="J12" i="1"/>
  <c r="K12" i="1"/>
  <c r="K23" i="1"/>
  <c r="K24" i="1"/>
  <c r="L2" i="5"/>
  <c r="L3" i="5"/>
  <c r="L4" i="5"/>
  <c r="E5" i="5"/>
  <c r="F5" i="5"/>
  <c r="G5" i="5"/>
  <c r="H5" i="5"/>
  <c r="I5" i="5"/>
  <c r="J5" i="5"/>
  <c r="K5" i="5"/>
  <c r="L6" i="5"/>
  <c r="L7" i="5"/>
  <c r="L8" i="5"/>
  <c r="L9" i="5"/>
  <c r="L10" i="5"/>
  <c r="L11" i="5"/>
  <c r="L12" i="5"/>
  <c r="E13" i="5"/>
  <c r="F13" i="5"/>
  <c r="G13" i="5"/>
  <c r="H13" i="5"/>
  <c r="I13" i="5"/>
  <c r="J13" i="5"/>
  <c r="K13" i="5"/>
  <c r="E14" i="5"/>
  <c r="F14" i="5"/>
  <c r="G14" i="5"/>
  <c r="H14" i="5"/>
  <c r="I14" i="5"/>
  <c r="J14" i="5"/>
  <c r="K14" i="5"/>
  <c r="E15" i="5"/>
  <c r="F15" i="5"/>
  <c r="G15" i="5"/>
  <c r="H15" i="5"/>
  <c r="I15" i="5"/>
  <c r="J15" i="5"/>
  <c r="K15" i="5"/>
  <c r="L17" i="5"/>
  <c r="E18" i="5"/>
  <c r="E19" i="5" s="1"/>
  <c r="E22" i="5" s="1"/>
  <c r="F18" i="5"/>
  <c r="F19" i="5" s="1"/>
  <c r="G18" i="5"/>
  <c r="G19" i="5" s="1"/>
  <c r="H18" i="5"/>
  <c r="H19" i="5" s="1"/>
  <c r="I18" i="5"/>
  <c r="I19" i="5" s="1"/>
  <c r="J18" i="5"/>
  <c r="J19" i="5" s="1"/>
  <c r="K18" i="5"/>
  <c r="K19" i="5" s="1"/>
  <c r="K22" i="5" s="1"/>
  <c r="J20" i="5" l="1"/>
  <c r="F20" i="5"/>
  <c r="D12" i="1"/>
  <c r="J2" i="11" s="1"/>
  <c r="F45" i="1"/>
  <c r="K28" i="2" s="1"/>
  <c r="C33" i="2"/>
  <c r="J28" i="2"/>
  <c r="J38" i="2"/>
  <c r="H41" i="2"/>
  <c r="J40" i="2" s="1"/>
  <c r="H11" i="2"/>
  <c r="C44" i="2"/>
  <c r="F37" i="16" s="1"/>
  <c r="E37" i="16"/>
  <c r="D7" i="11"/>
  <c r="H56" i="2"/>
  <c r="J55" i="2" s="1"/>
  <c r="F53" i="2"/>
  <c r="E20" i="5"/>
  <c r="I20" i="5"/>
  <c r="AH13" i="12"/>
  <c r="AJ10" i="12"/>
  <c r="AH11" i="12"/>
  <c r="AI10" i="12"/>
  <c r="AI13" i="12"/>
  <c r="AI12" i="12"/>
  <c r="AH10" i="12"/>
  <c r="F47" i="1"/>
  <c r="AH9" i="12"/>
  <c r="AI9" i="12"/>
  <c r="AI14" i="12"/>
  <c r="D10" i="1"/>
  <c r="R8" i="1" s="1"/>
  <c r="G9" i="1"/>
  <c r="I9" i="1"/>
  <c r="C48" i="1"/>
  <c r="C12" i="2"/>
  <c r="E4" i="16" s="1"/>
  <c r="E44" i="1"/>
  <c r="K7" i="2"/>
  <c r="H9" i="1"/>
  <c r="F9" i="1"/>
  <c r="K9" i="1"/>
  <c r="D9" i="1"/>
  <c r="G22" i="5"/>
  <c r="G20" i="5"/>
  <c r="H46" i="2"/>
  <c r="J45" i="2" s="1"/>
  <c r="AJ14" i="12"/>
  <c r="J9" i="1"/>
  <c r="F22" i="5"/>
  <c r="F22" i="2"/>
  <c r="R11" i="1"/>
  <c r="C53" i="2"/>
  <c r="AJ9" i="12"/>
  <c r="AJ11" i="12"/>
  <c r="AJ13" i="12"/>
  <c r="AJ12" i="12"/>
  <c r="K48" i="2"/>
  <c r="E50" i="16" s="1"/>
  <c r="E59" i="2"/>
  <c r="K38" i="2"/>
  <c r="E38" i="16" s="1"/>
  <c r="H51" i="2"/>
  <c r="J50" i="2" s="1"/>
  <c r="AH14" i="12"/>
  <c r="AH12" i="12"/>
  <c r="L5" i="5"/>
  <c r="J22" i="5"/>
  <c r="L19" i="5"/>
  <c r="B4" i="6" s="1"/>
  <c r="H22" i="5"/>
  <c r="H20" i="5"/>
  <c r="D8" i="11"/>
  <c r="H16" i="2"/>
  <c r="F13" i="2"/>
  <c r="E6" i="16" s="1"/>
  <c r="AI11" i="12"/>
  <c r="K20" i="5"/>
  <c r="E69" i="2"/>
  <c r="D15" i="11"/>
  <c r="J30" i="2"/>
  <c r="H36" i="2"/>
  <c r="J35" i="2" s="1"/>
  <c r="F46" i="1"/>
  <c r="E46" i="1"/>
  <c r="I22" i="5"/>
  <c r="D48" i="1"/>
  <c r="E45" i="1"/>
  <c r="L18" i="5"/>
  <c r="L13" i="5"/>
  <c r="L15" i="5"/>
  <c r="L14" i="5"/>
  <c r="K21" i="5" s="1"/>
  <c r="F33" i="2" l="1"/>
  <c r="E27" i="16" s="1"/>
  <c r="D49" i="1"/>
  <c r="D41" i="1"/>
  <c r="E25" i="16"/>
  <c r="K4" i="2"/>
  <c r="L12" i="1"/>
  <c r="M12" i="1" s="1"/>
  <c r="C34" i="2"/>
  <c r="F25" i="16" s="1"/>
  <c r="F59" i="2"/>
  <c r="G59" i="2" s="1"/>
  <c r="F43" i="2"/>
  <c r="F44" i="2" s="1"/>
  <c r="J15" i="2"/>
  <c r="J10" i="2"/>
  <c r="K10" i="2"/>
  <c r="E7" i="16" s="1"/>
  <c r="D9" i="11"/>
  <c r="D16" i="11"/>
  <c r="C54" i="2"/>
  <c r="F49" i="16" s="1"/>
  <c r="E49" i="16"/>
  <c r="L7" i="2"/>
  <c r="F5" i="16" s="1"/>
  <c r="E5" i="16"/>
  <c r="D20" i="11"/>
  <c r="D17" i="11"/>
  <c r="F23" i="2"/>
  <c r="F24" i="2" s="1"/>
  <c r="F15" i="16" s="1"/>
  <c r="L28" i="2"/>
  <c r="F26" i="16" s="1"/>
  <c r="E26" i="16"/>
  <c r="E21" i="11"/>
  <c r="F21" i="11" s="1"/>
  <c r="E51" i="16"/>
  <c r="D22" i="11"/>
  <c r="D23" i="11"/>
  <c r="D19" i="11"/>
  <c r="D11" i="11"/>
  <c r="H21" i="2"/>
  <c r="J20" i="2" s="1"/>
  <c r="F54" i="2"/>
  <c r="F51" i="16" s="1"/>
  <c r="K55" i="2"/>
  <c r="H26" i="2"/>
  <c r="J25" i="2" s="1"/>
  <c r="K50" i="2"/>
  <c r="E7" i="11"/>
  <c r="F7" i="11" s="1"/>
  <c r="Q7" i="2"/>
  <c r="R7" i="2" s="1"/>
  <c r="D13" i="1"/>
  <c r="L9" i="1"/>
  <c r="M7" i="2"/>
  <c r="C13" i="2"/>
  <c r="E6" i="11"/>
  <c r="F6" i="11" s="1"/>
  <c r="M48" i="2"/>
  <c r="L48" i="2"/>
  <c r="F50" i="16" s="1"/>
  <c r="L20" i="5"/>
  <c r="L38" i="2"/>
  <c r="F38" i="16" s="1"/>
  <c r="M38" i="2"/>
  <c r="M28" i="2"/>
  <c r="F14" i="2"/>
  <c r="F6" i="16" s="1"/>
  <c r="E8" i="11"/>
  <c r="G21" i="5"/>
  <c r="F21" i="5"/>
  <c r="I16" i="5"/>
  <c r="F16" i="5"/>
  <c r="H21" i="5"/>
  <c r="I21" i="5"/>
  <c r="J16" i="5"/>
  <c r="K16" i="5"/>
  <c r="E48" i="1"/>
  <c r="E49" i="1" s="1"/>
  <c r="L22" i="5"/>
  <c r="C4" i="6"/>
  <c r="D4" i="6"/>
  <c r="E4" i="6" s="1"/>
  <c r="H16" i="5"/>
  <c r="E16" i="5"/>
  <c r="E21" i="5"/>
  <c r="G16" i="5"/>
  <c r="J21" i="5"/>
  <c r="D10" i="11"/>
  <c r="K15" i="2"/>
  <c r="E11" i="16" s="1"/>
  <c r="E15" i="11" l="1"/>
  <c r="G15" i="11" s="1"/>
  <c r="K35" i="2"/>
  <c r="E32" i="16" s="1"/>
  <c r="F34" i="2"/>
  <c r="F27" i="16" s="1"/>
  <c r="K30" i="2"/>
  <c r="E28" i="16" s="1"/>
  <c r="L4" i="2"/>
  <c r="J4" i="2"/>
  <c r="E39" i="16"/>
  <c r="Q12" i="2"/>
  <c r="S12" i="2" s="1"/>
  <c r="E9" i="11"/>
  <c r="G9" i="11" s="1"/>
  <c r="Q10" i="2"/>
  <c r="E8" i="16" s="1"/>
  <c r="L10" i="2"/>
  <c r="F7" i="16" s="1"/>
  <c r="Q11" i="2"/>
  <c r="M10" i="2"/>
  <c r="Q13" i="2"/>
  <c r="R13" i="2" s="1"/>
  <c r="G21" i="11"/>
  <c r="Q14" i="2"/>
  <c r="R14" i="2" s="1"/>
  <c r="K25" i="2"/>
  <c r="E20" i="16" s="1"/>
  <c r="Q54" i="2"/>
  <c r="R54" i="2" s="1"/>
  <c r="E52" i="16"/>
  <c r="E11" i="11"/>
  <c r="E15" i="16"/>
  <c r="K20" i="2"/>
  <c r="E16" i="16" s="1"/>
  <c r="Q58" i="2"/>
  <c r="S58" i="2" s="1"/>
  <c r="E56" i="16"/>
  <c r="G6" i="11"/>
  <c r="F4" i="16"/>
  <c r="L55" i="2"/>
  <c r="F56" i="16" s="1"/>
  <c r="D12" i="11"/>
  <c r="M55" i="2"/>
  <c r="D13" i="11"/>
  <c r="Q59" i="2"/>
  <c r="R59" i="2" s="1"/>
  <c r="Q57" i="2"/>
  <c r="Q55" i="2"/>
  <c r="E23" i="11"/>
  <c r="Q56" i="2"/>
  <c r="Q53" i="2"/>
  <c r="S53" i="2" s="1"/>
  <c r="E22" i="11"/>
  <c r="F22" i="11" s="1"/>
  <c r="L50" i="2"/>
  <c r="F52" i="16" s="1"/>
  <c r="Q51" i="2"/>
  <c r="G7" i="11"/>
  <c r="Q50" i="2"/>
  <c r="Q52" i="2"/>
  <c r="M50" i="2"/>
  <c r="S7" i="2"/>
  <c r="K40" i="2"/>
  <c r="F39" i="16"/>
  <c r="K45" i="2"/>
  <c r="E44" i="16" s="1"/>
  <c r="E18" i="11"/>
  <c r="L21" i="5"/>
  <c r="D5" i="6"/>
  <c r="D6" i="6" s="1"/>
  <c r="B5" i="6"/>
  <c r="B6" i="6" s="1"/>
  <c r="C5" i="6"/>
  <c r="C6" i="6" s="1"/>
  <c r="K2" i="11"/>
  <c r="L16" i="5"/>
  <c r="F4" i="6"/>
  <c r="E5" i="6"/>
  <c r="E6" i="6" s="1"/>
  <c r="Q36" i="2"/>
  <c r="Q35" i="2"/>
  <c r="Q37" i="2"/>
  <c r="E35" i="16" s="1"/>
  <c r="Q39" i="2"/>
  <c r="L35" i="2"/>
  <c r="F32" i="16" s="1"/>
  <c r="E17" i="11"/>
  <c r="Q16" i="2"/>
  <c r="E13" i="16" s="1"/>
  <c r="Q15" i="2"/>
  <c r="Q17" i="2"/>
  <c r="E14" i="16" s="1"/>
  <c r="E10" i="11"/>
  <c r="L15" i="2"/>
  <c r="F11" i="16" s="1"/>
  <c r="Q19" i="2"/>
  <c r="M15" i="2"/>
  <c r="Q18" i="2"/>
  <c r="D3" i="11"/>
  <c r="D4" i="11"/>
  <c r="F8" i="11"/>
  <c r="G8" i="11"/>
  <c r="Q38" i="2" l="1"/>
  <c r="Q32" i="2"/>
  <c r="E31" i="16" s="1"/>
  <c r="M35" i="2"/>
  <c r="Q34" i="2"/>
  <c r="R34" i="2" s="1"/>
  <c r="F15" i="11"/>
  <c r="Q30" i="2"/>
  <c r="R30" i="2" s="1"/>
  <c r="F29" i="16" s="1"/>
  <c r="Q33" i="2"/>
  <c r="S33" i="2" s="1"/>
  <c r="E16" i="11"/>
  <c r="F16" i="11" s="1"/>
  <c r="Q31" i="2"/>
  <c r="S31" i="2" s="1"/>
  <c r="L30" i="2"/>
  <c r="F28" i="16" s="1"/>
  <c r="M30" i="2"/>
  <c r="E34" i="16"/>
  <c r="E30" i="16"/>
  <c r="F30" i="16" s="1"/>
  <c r="S11" i="2"/>
  <c r="R11" i="2"/>
  <c r="F9" i="16" s="1"/>
  <c r="E9" i="16"/>
  <c r="S51" i="2"/>
  <c r="E54" i="16"/>
  <c r="F54" i="16" s="1"/>
  <c r="R10" i="2"/>
  <c r="F8" i="16" s="1"/>
  <c r="E10" i="16"/>
  <c r="S10" i="2"/>
  <c r="L25" i="2"/>
  <c r="F20" i="16" s="1"/>
  <c r="S14" i="2"/>
  <c r="F9" i="11"/>
  <c r="R12" i="2"/>
  <c r="F10" i="16" s="1"/>
  <c r="Q27" i="2"/>
  <c r="E23" i="16" s="1"/>
  <c r="S13" i="2"/>
  <c r="L20" i="2"/>
  <c r="F16" i="16" s="1"/>
  <c r="Q21" i="2"/>
  <c r="S54" i="2"/>
  <c r="Q24" i="2"/>
  <c r="R24" i="2" s="1"/>
  <c r="Q22" i="2"/>
  <c r="E19" i="16" s="1"/>
  <c r="M25" i="2"/>
  <c r="E13" i="11"/>
  <c r="F13" i="11" s="1"/>
  <c r="Q29" i="2"/>
  <c r="R29" i="2" s="1"/>
  <c r="E12" i="11"/>
  <c r="G12" i="11" s="1"/>
  <c r="Q25" i="2"/>
  <c r="S25" i="2" s="1"/>
  <c r="M20" i="2"/>
  <c r="Q28" i="2"/>
  <c r="S28" i="2" s="1"/>
  <c r="Q23" i="2"/>
  <c r="S23" i="2" s="1"/>
  <c r="Q20" i="2"/>
  <c r="S20" i="2" s="1"/>
  <c r="Q26" i="2"/>
  <c r="E22" i="16" s="1"/>
  <c r="R57" i="2"/>
  <c r="F59" i="16" s="1"/>
  <c r="E59" i="16"/>
  <c r="F11" i="11"/>
  <c r="G11" i="11"/>
  <c r="R56" i="2"/>
  <c r="F58" i="16" s="1"/>
  <c r="E58" i="16"/>
  <c r="R55" i="2"/>
  <c r="F57" i="16" s="1"/>
  <c r="E57" i="16"/>
  <c r="R15" i="2"/>
  <c r="F12" i="16" s="1"/>
  <c r="E12" i="16"/>
  <c r="R52" i="2"/>
  <c r="F55" i="16" s="1"/>
  <c r="E55" i="16"/>
  <c r="E40" i="16"/>
  <c r="Q40" i="2"/>
  <c r="S40" i="2" s="1"/>
  <c r="S50" i="2"/>
  <c r="R50" i="2"/>
  <c r="F53" i="16" s="1"/>
  <c r="E53" i="16"/>
  <c r="R58" i="2"/>
  <c r="E33" i="16"/>
  <c r="R35" i="2"/>
  <c r="F33" i="16" s="1"/>
  <c r="S57" i="2"/>
  <c r="S59" i="2"/>
  <c r="G22" i="11"/>
  <c r="R53" i="2"/>
  <c r="S55" i="2"/>
  <c r="S56" i="2"/>
  <c r="F23" i="11"/>
  <c r="G23" i="11"/>
  <c r="R51" i="2"/>
  <c r="S52" i="2"/>
  <c r="E20" i="11"/>
  <c r="Q48" i="2"/>
  <c r="L45" i="2"/>
  <c r="F44" i="16" s="1"/>
  <c r="Q49" i="2"/>
  <c r="Q46" i="2"/>
  <c r="E46" i="16" s="1"/>
  <c r="Q47" i="2"/>
  <c r="E47" i="16" s="1"/>
  <c r="Q45" i="2"/>
  <c r="E45" i="16" s="1"/>
  <c r="M45" i="2"/>
  <c r="G18" i="11"/>
  <c r="F18" i="11"/>
  <c r="Q41" i="2"/>
  <c r="E42" i="16" s="1"/>
  <c r="F42" i="16" s="1"/>
  <c r="Q44" i="2"/>
  <c r="E19" i="11"/>
  <c r="L40" i="2"/>
  <c r="F40" i="16" s="1"/>
  <c r="Q42" i="2"/>
  <c r="E43" i="16" s="1"/>
  <c r="Q43" i="2"/>
  <c r="M40" i="2"/>
  <c r="E5" i="11"/>
  <c r="R33" i="2"/>
  <c r="H4" i="6"/>
  <c r="H5" i="6" s="1"/>
  <c r="H6" i="6" s="1"/>
  <c r="I4" i="6"/>
  <c r="I5" i="6" s="1"/>
  <c r="I6" i="6" s="1"/>
  <c r="G4" i="6"/>
  <c r="G5" i="6" s="1"/>
  <c r="G6" i="6" s="1"/>
  <c r="F5" i="6"/>
  <c r="F6" i="6" s="1"/>
  <c r="R36" i="2"/>
  <c r="F34" i="16" s="1"/>
  <c r="S36" i="2"/>
  <c r="F17" i="11"/>
  <c r="G17" i="11"/>
  <c r="R19" i="2"/>
  <c r="S19" i="2"/>
  <c r="D5" i="11"/>
  <c r="C75" i="2"/>
  <c r="D81" i="2" s="1"/>
  <c r="D82" i="2" s="1"/>
  <c r="E3" i="11"/>
  <c r="F10" i="11"/>
  <c r="G10" i="11"/>
  <c r="R38" i="2"/>
  <c r="S38" i="2"/>
  <c r="R16" i="2"/>
  <c r="F13" i="16" s="1"/>
  <c r="S16" i="2"/>
  <c r="S18" i="2"/>
  <c r="R18" i="2"/>
  <c r="S39" i="2"/>
  <c r="R39" i="2"/>
  <c r="S17" i="2"/>
  <c r="R17" i="2"/>
  <c r="F14" i="16" s="1"/>
  <c r="R37" i="2"/>
  <c r="F35" i="16" s="1"/>
  <c r="S37" i="2"/>
  <c r="S15" i="2"/>
  <c r="S35" i="2"/>
  <c r="G16" i="11" l="1"/>
  <c r="S34" i="2"/>
  <c r="E29" i="16"/>
  <c r="S30" i="2"/>
  <c r="S32" i="2"/>
  <c r="R32" i="2"/>
  <c r="F31" i="16" s="1"/>
  <c r="R31" i="2"/>
  <c r="G7" i="16"/>
  <c r="R21" i="2"/>
  <c r="E18" i="16"/>
  <c r="F18" i="16" s="1"/>
  <c r="S21" i="2"/>
  <c r="S24" i="2"/>
  <c r="R27" i="2"/>
  <c r="F23" i="16" s="1"/>
  <c r="S27" i="2"/>
  <c r="R23" i="2"/>
  <c r="R22" i="2"/>
  <c r="F19" i="16" s="1"/>
  <c r="S22" i="2"/>
  <c r="R28" i="2"/>
  <c r="F12" i="11"/>
  <c r="S29" i="2"/>
  <c r="E21" i="16"/>
  <c r="R25" i="2"/>
  <c r="F21" i="16" s="1"/>
  <c r="G13" i="11"/>
  <c r="R26" i="2"/>
  <c r="F22" i="16" s="1"/>
  <c r="S26" i="2"/>
  <c r="E17" i="16"/>
  <c r="R20" i="2"/>
  <c r="F17" i="16" s="1"/>
  <c r="E41" i="16"/>
  <c r="R40" i="2"/>
  <c r="F41" i="16" s="1"/>
  <c r="E4" i="11"/>
  <c r="G4" i="11" s="1"/>
  <c r="R47" i="2"/>
  <c r="F47" i="16" s="1"/>
  <c r="S47" i="2"/>
  <c r="R44" i="2"/>
  <c r="S44" i="2"/>
  <c r="S46" i="2"/>
  <c r="R46" i="2"/>
  <c r="F46" i="16" s="1"/>
  <c r="S45" i="2"/>
  <c r="R45" i="2"/>
  <c r="F45" i="16" s="1"/>
  <c r="F19" i="11"/>
  <c r="G19" i="11"/>
  <c r="S41" i="2"/>
  <c r="R41" i="2"/>
  <c r="R49" i="2"/>
  <c r="S49" i="2"/>
  <c r="R48" i="2"/>
  <c r="S48" i="2"/>
  <c r="R43" i="2"/>
  <c r="S43" i="2"/>
  <c r="F20" i="11"/>
  <c r="G20" i="11"/>
  <c r="R42" i="2"/>
  <c r="F43" i="16" s="1"/>
  <c r="S42" i="2"/>
  <c r="F3" i="11"/>
  <c r="G3" i="11"/>
  <c r="G5" i="11"/>
  <c r="F5" i="11"/>
  <c r="F4" i="11" l="1"/>
  <c r="E14" i="11"/>
  <c r="G14" i="11" l="1"/>
  <c r="F14" i="11"/>
</calcChain>
</file>

<file path=xl/comments1.xml><?xml version="1.0" encoding="utf-8"?>
<comments xmlns="http://schemas.openxmlformats.org/spreadsheetml/2006/main">
  <authors>
    <author>유지오</author>
  </authors>
  <commentList>
    <comment ref="E3" authorId="0">
      <text>
        <r>
          <rPr>
            <b/>
            <sz val="9"/>
            <color indexed="81"/>
            <rFont val="굴림"/>
            <family val="3"/>
            <charset val="129"/>
          </rPr>
          <t>유지오:</t>
        </r>
        <r>
          <rPr>
            <sz val="9"/>
            <color indexed="81"/>
            <rFont val="굴림"/>
            <family val="3"/>
            <charset val="129"/>
          </rPr>
          <t xml:space="preserve">
총주행거리(veh·km)비</t>
        </r>
      </text>
    </comment>
    <comment ref="F3" authorId="0">
      <text>
        <r>
          <rPr>
            <b/>
            <sz val="9"/>
            <color indexed="81"/>
            <rFont val="굴림"/>
            <family val="3"/>
            <charset val="129"/>
          </rPr>
          <t>유지오:</t>
        </r>
        <r>
          <rPr>
            <sz val="9"/>
            <color indexed="81"/>
            <rFont val="굴림"/>
            <family val="3"/>
            <charset val="129"/>
          </rPr>
          <t xml:space="preserve">
주행거리(Veh·km) 국내연구보고서 인용
</t>
        </r>
      </text>
    </comment>
  </commentList>
</comments>
</file>

<file path=xl/sharedStrings.xml><?xml version="1.0" encoding="utf-8"?>
<sst xmlns="http://schemas.openxmlformats.org/spreadsheetml/2006/main" count="44408" uniqueCount="4647">
  <si>
    <t>부상</t>
    <phoneticPr fontId="3" type="noConversion"/>
  </si>
  <si>
    <t>건수(A)</t>
    <phoneticPr fontId="3" type="noConversion"/>
  </si>
  <si>
    <t>건수(B)</t>
    <phoneticPr fontId="3" type="noConversion"/>
  </si>
  <si>
    <t>건수(C)</t>
    <phoneticPr fontId="3" type="noConversion"/>
  </si>
  <si>
    <t>일반사고발생율(1)</t>
    <phoneticPr fontId="3" type="noConversion"/>
  </si>
  <si>
    <t>1. 일반사고발생율은 일반도로의 사고건수(A)/총주행거리, 즉 일반도로의 사고발생율을 그데로 터널에서 사고발생율로 고려한 경우임</t>
    <phoneticPr fontId="3" type="noConversion"/>
  </si>
  <si>
    <t>화재사고발생율(2)</t>
    <phoneticPr fontId="3" type="noConversion"/>
  </si>
  <si>
    <t>2. 터널내 일반사고중 화재사고의 비율을 적용하여 일반사고발생율로 부터 화재사고발생율을 계산한 경우임.</t>
    <phoneticPr fontId="3" type="noConversion"/>
  </si>
  <si>
    <t>건수</t>
    <phoneticPr fontId="3" type="noConversion"/>
  </si>
  <si>
    <t>5%(시나리오적용)</t>
    <phoneticPr fontId="3" type="noConversion"/>
  </si>
  <si>
    <t>C/B적용</t>
    <phoneticPr fontId="3" type="noConversion"/>
  </si>
  <si>
    <t>일반사고발생율(3)</t>
    <phoneticPr fontId="3" type="noConversion"/>
  </si>
  <si>
    <t>화재사고발생율(4)</t>
    <phoneticPr fontId="3" type="noConversion"/>
  </si>
  <si>
    <t>역풍</t>
    <phoneticPr fontId="3" type="noConversion"/>
  </si>
  <si>
    <t>정채빈도</t>
    <phoneticPr fontId="3" type="noConversion"/>
  </si>
  <si>
    <t>정상</t>
    <phoneticPr fontId="3" type="noConversion"/>
  </si>
  <si>
    <t>사폐산</t>
    <phoneticPr fontId="3" type="noConversion"/>
  </si>
  <si>
    <t>SMOKE Control</t>
    <phoneticPr fontId="3" type="noConversion"/>
  </si>
  <si>
    <t>A</t>
  </si>
  <si>
    <t>P1N</t>
  </si>
  <si>
    <t>P1C</t>
  </si>
  <si>
    <t>P2N</t>
  </si>
  <si>
    <t>P2C</t>
  </si>
  <si>
    <t>순풍</t>
    <phoneticPr fontId="3" type="noConversion"/>
  </si>
  <si>
    <t>정상소통시</t>
    <phoneticPr fontId="3" type="noConversion"/>
  </si>
  <si>
    <t>0 m/s제연</t>
    <phoneticPr fontId="3" type="noConversion"/>
  </si>
  <si>
    <t>제연팬불능</t>
    <phoneticPr fontId="3" type="noConversion"/>
  </si>
  <si>
    <t>정체시</t>
    <phoneticPr fontId="3" type="noConversion"/>
  </si>
  <si>
    <t>PC단독</t>
    <phoneticPr fontId="3" type="noConversion"/>
  </si>
  <si>
    <t>0 m/s</t>
    <phoneticPr fontId="3" type="noConversion"/>
  </si>
  <si>
    <t>정상가동</t>
    <phoneticPr fontId="3" type="noConversion"/>
  </si>
  <si>
    <t>고장</t>
    <phoneticPr fontId="3" type="noConversion"/>
  </si>
  <si>
    <t>임계풍속</t>
    <phoneticPr fontId="3" type="noConversion"/>
  </si>
  <si>
    <t>자연풍 : 0</t>
    <phoneticPr fontId="3" type="noConversion"/>
  </si>
  <si>
    <t>자연풍 : -</t>
    <phoneticPr fontId="3" type="noConversion"/>
  </si>
  <si>
    <t>자연풍 : +</t>
    <phoneticPr fontId="3" type="noConversion"/>
  </si>
  <si>
    <t>정체</t>
    <phoneticPr fontId="3" type="noConversion"/>
  </si>
  <si>
    <t>PC연속</t>
    <phoneticPr fontId="3" type="noConversion"/>
  </si>
  <si>
    <t>버스</t>
    <phoneticPr fontId="3" type="noConversion"/>
  </si>
  <si>
    <t>일반트럭</t>
    <phoneticPr fontId="3" type="noConversion"/>
  </si>
  <si>
    <t>특수트럭</t>
    <phoneticPr fontId="3" type="noConversion"/>
  </si>
  <si>
    <t>BN</t>
  </si>
  <si>
    <t>BC</t>
  </si>
  <si>
    <t>STN</t>
  </si>
  <si>
    <t>STC</t>
  </si>
  <si>
    <t>GVN</t>
  </si>
  <si>
    <t>GVC</t>
  </si>
  <si>
    <t>Collision</t>
  </si>
  <si>
    <t>AVG</t>
  </si>
  <si>
    <t>Scenario</t>
    <phoneticPr fontId="3" type="noConversion"/>
  </si>
  <si>
    <t>Frequency  /yr</t>
    <phoneticPr fontId="3" type="noConversion"/>
  </si>
  <si>
    <t>Frequency  /veh-km</t>
    <phoneticPr fontId="3" type="noConversion"/>
  </si>
  <si>
    <t>Return Year</t>
    <phoneticPr fontId="3" type="noConversion"/>
  </si>
  <si>
    <t>Fetalities</t>
    <phoneticPr fontId="3" type="noConversion"/>
  </si>
  <si>
    <t>No</t>
    <phoneticPr fontId="3" type="noConversion"/>
  </si>
  <si>
    <t>Description</t>
    <phoneticPr fontId="3" type="noConversion"/>
  </si>
  <si>
    <t>F/N CURVE Data</t>
    <phoneticPr fontId="3" type="noConversion"/>
  </si>
  <si>
    <t>N</t>
    <phoneticPr fontId="3" type="noConversion"/>
  </si>
  <si>
    <t>F</t>
    <phoneticPr fontId="3" type="noConversion"/>
  </si>
  <si>
    <t>Cumulative
Freq.</t>
    <phoneticPr fontId="3" type="noConversion"/>
  </si>
  <si>
    <t>P1</t>
    <phoneticPr fontId="3" type="noConversion"/>
  </si>
  <si>
    <t>P2</t>
    <phoneticPr fontId="3" type="noConversion"/>
  </si>
  <si>
    <t>P3</t>
    <phoneticPr fontId="3" type="noConversion"/>
  </si>
  <si>
    <t>P5</t>
    <phoneticPr fontId="3" type="noConversion"/>
  </si>
  <si>
    <t>P6</t>
    <phoneticPr fontId="3" type="noConversion"/>
  </si>
  <si>
    <t>P4</t>
    <phoneticPr fontId="3" type="noConversion"/>
  </si>
  <si>
    <t>파일명</t>
  </si>
  <si>
    <t>EV Time</t>
  </si>
  <si>
    <t>0.1이상</t>
  </si>
  <si>
    <t>0.2이상</t>
  </si>
  <si>
    <t>0.3이상</t>
  </si>
  <si>
    <t>0.4이상</t>
  </si>
  <si>
    <t>0.5이상</t>
  </si>
  <si>
    <t>0.6이상</t>
  </si>
  <si>
    <t>0.7이상</t>
  </si>
  <si>
    <t>0.8이상</t>
  </si>
  <si>
    <t>0.9이상</t>
  </si>
  <si>
    <t>1.0이상</t>
  </si>
  <si>
    <t>EQ Fatal</t>
  </si>
  <si>
    <t>HRR</t>
  </si>
  <si>
    <t>대피인원</t>
  </si>
  <si>
    <t>Fire Point</t>
    <phoneticPr fontId="3" type="noConversion"/>
  </si>
  <si>
    <t>터널직경</t>
    <phoneticPr fontId="3" type="noConversion"/>
  </si>
  <si>
    <t>둘레길이</t>
    <phoneticPr fontId="3" type="noConversion"/>
  </si>
  <si>
    <t>터널명</t>
    <phoneticPr fontId="3" type="noConversion"/>
  </si>
  <si>
    <t>Jet Fan댓수</t>
    <phoneticPr fontId="3" type="noConversion"/>
  </si>
  <si>
    <t>-</t>
  </si>
  <si>
    <t>대피인원</t>
    <phoneticPr fontId="3" type="noConversion"/>
  </si>
  <si>
    <t>대피시간</t>
    <phoneticPr fontId="3" type="noConversion"/>
  </si>
  <si>
    <t>사상자수</t>
    <phoneticPr fontId="3" type="noConversion"/>
  </si>
  <si>
    <t>화재위치별</t>
    <phoneticPr fontId="3" type="noConversion"/>
  </si>
  <si>
    <t>Fire Position</t>
  </si>
  <si>
    <t>Traffic Condition</t>
  </si>
  <si>
    <t>Fan&amp;Wind Condition</t>
  </si>
  <si>
    <t>100 MW</t>
    <phoneticPr fontId="3" type="noConversion"/>
  </si>
  <si>
    <t>CONGEST</t>
  </si>
  <si>
    <t>NORMAL</t>
  </si>
  <si>
    <t>10MW</t>
    <phoneticPr fontId="3" type="noConversion"/>
  </si>
  <si>
    <t>Not Serious</t>
    <phoneticPr fontId="3" type="noConversion"/>
  </si>
  <si>
    <t>20 MW 이하</t>
    <phoneticPr fontId="3" type="noConversion"/>
  </si>
  <si>
    <t>Return Year</t>
    <phoneticPr fontId="3" type="noConversion"/>
  </si>
  <si>
    <t>Elb tunnel</t>
    <phoneticPr fontId="3" type="noConversion"/>
  </si>
  <si>
    <t>프랑스</t>
    <phoneticPr fontId="3" type="noConversion"/>
  </si>
  <si>
    <t>차종</t>
    <phoneticPr fontId="3" type="noConversion"/>
  </si>
  <si>
    <t>승용차</t>
    <phoneticPr fontId="3" type="noConversion"/>
  </si>
  <si>
    <t>소형버스</t>
    <phoneticPr fontId="3" type="noConversion"/>
  </si>
  <si>
    <t>대형버스</t>
    <phoneticPr fontId="3" type="noConversion"/>
  </si>
  <si>
    <t>소형트럭</t>
    <phoneticPr fontId="3" type="noConversion"/>
  </si>
  <si>
    <t>중형트럭</t>
    <phoneticPr fontId="3" type="noConversion"/>
  </si>
  <si>
    <t>대형트럭</t>
    <phoneticPr fontId="3" type="noConversion"/>
  </si>
  <si>
    <t>특수트럭</t>
    <phoneticPr fontId="3" type="noConversion"/>
  </si>
  <si>
    <t>※ 승용차 : 화물차의 Veh·km의 비율 (61:39%)</t>
    <phoneticPr fontId="3" type="noConversion"/>
  </si>
  <si>
    <t>HGV</t>
    <phoneticPr fontId="3" type="noConversion"/>
  </si>
  <si>
    <t>참고문헌 [1]</t>
    <phoneticPr fontId="3" type="noConversion"/>
  </si>
  <si>
    <t>단독화재</t>
    <phoneticPr fontId="3" type="noConversion"/>
  </si>
  <si>
    <t>Normal</t>
    <phoneticPr fontId="3" type="noConversion"/>
  </si>
  <si>
    <t>5MW</t>
    <phoneticPr fontId="3" type="noConversion"/>
  </si>
  <si>
    <t>Congest</t>
    <phoneticPr fontId="3" type="noConversion"/>
  </si>
  <si>
    <t>2대연속화재</t>
    <phoneticPr fontId="3" type="noConversion"/>
  </si>
  <si>
    <t>HGV/PC</t>
    <phoneticPr fontId="3" type="noConversion"/>
  </si>
  <si>
    <t>PV</t>
    <phoneticPr fontId="3" type="noConversion"/>
  </si>
  <si>
    <r>
      <t>사고발생율(건/10</t>
    </r>
    <r>
      <rPr>
        <vertAlign val="superscript"/>
        <sz val="10"/>
        <rFont val="돋움"/>
        <family val="3"/>
        <charset val="129"/>
      </rPr>
      <t>8</t>
    </r>
    <r>
      <rPr>
        <sz val="10"/>
        <rFont val="돋움"/>
        <family val="3"/>
        <charset val="129"/>
      </rPr>
      <t>veh·km)</t>
    </r>
    <phoneticPr fontId="3" type="noConversion"/>
  </si>
  <si>
    <t>(Bus)</t>
    <phoneticPr fontId="3" type="noConversion"/>
  </si>
  <si>
    <t>(대형화물)</t>
    <phoneticPr fontId="3" type="noConversion"/>
  </si>
  <si>
    <t>(특수화물)</t>
    <phoneticPr fontId="3" type="noConversion"/>
  </si>
  <si>
    <t>합계</t>
    <phoneticPr fontId="3" type="noConversion"/>
  </si>
  <si>
    <t>PC</t>
    <phoneticPr fontId="3" type="noConversion"/>
  </si>
  <si>
    <t>20MW</t>
    <phoneticPr fontId="3" type="noConversion"/>
  </si>
  <si>
    <t>30MW</t>
    <phoneticPr fontId="3" type="noConversion"/>
  </si>
  <si>
    <t>트럭특수</t>
    <phoneticPr fontId="3" type="noConversion"/>
  </si>
  <si>
    <t>10MW이하</t>
    <phoneticPr fontId="3" type="noConversion"/>
  </si>
  <si>
    <t>대형차량합계</t>
    <phoneticPr fontId="3" type="noConversion"/>
  </si>
  <si>
    <t>Total Veh-KM</t>
    <phoneticPr fontId="3" type="noConversion"/>
  </si>
  <si>
    <t>Frequency [/yrveh·km]</t>
    <phoneticPr fontId="3" type="noConversion"/>
  </si>
  <si>
    <t>Frequency per Yr</t>
    <phoneticPr fontId="3" type="noConversion"/>
  </si>
  <si>
    <t>Fetalities    (명/건)</t>
    <phoneticPr fontId="3" type="noConversion"/>
  </si>
  <si>
    <t>B1</t>
    <phoneticPr fontId="3" type="noConversion"/>
  </si>
  <si>
    <t>Collision</t>
    <phoneticPr fontId="3" type="noConversion"/>
  </si>
  <si>
    <t>Scenario NO</t>
    <phoneticPr fontId="3" type="noConversion"/>
  </si>
  <si>
    <t>Description</t>
    <phoneticPr fontId="3" type="noConversion"/>
  </si>
  <si>
    <t>※ 87%,11%,2%는 프랑스의 통계자료에 근거했음.</t>
    <phoneticPr fontId="3" type="noConversion"/>
  </si>
  <si>
    <t>All</t>
    <phoneticPr fontId="3" type="noConversion"/>
  </si>
  <si>
    <t>Yearly Frequency</t>
    <phoneticPr fontId="3" type="noConversion"/>
  </si>
  <si>
    <t>Average ruturn Period</t>
    <phoneticPr fontId="3" type="noConversion"/>
  </si>
  <si>
    <t>Fire</t>
    <phoneticPr fontId="3" type="noConversion"/>
  </si>
  <si>
    <t>일반도로</t>
  </si>
  <si>
    <t>사망</t>
  </si>
  <si>
    <t>터널</t>
  </si>
  <si>
    <t>일반사고</t>
  </si>
  <si>
    <t>부상</t>
  </si>
  <si>
    <t>화재사고</t>
  </si>
  <si>
    <t>발생비</t>
  </si>
  <si>
    <t>(%)</t>
  </si>
  <si>
    <t>B/A</t>
  </si>
  <si>
    <t>C/B</t>
  </si>
  <si>
    <t>(I)</t>
  </si>
  <si>
    <t>(II)</t>
  </si>
  <si>
    <t>터널사고 발생율 (건/1억대km)</t>
    <phoneticPr fontId="3" type="noConversion"/>
  </si>
  <si>
    <t>감소율(%)</t>
    <phoneticPr fontId="3" type="noConversion"/>
  </si>
  <si>
    <t>총주행거리(10억Veh-km)</t>
    <phoneticPr fontId="3" type="noConversion"/>
  </si>
  <si>
    <t>사망률(명/10억Veh-km)</t>
    <phoneticPr fontId="3" type="noConversion"/>
  </si>
  <si>
    <t>연  도</t>
    <phoneticPr fontId="3" type="noConversion"/>
  </si>
  <si>
    <t>Return year</t>
    <phoneticPr fontId="3" type="noConversion"/>
  </si>
  <si>
    <t>Frequency /yrVeh-km</t>
    <phoneticPr fontId="3" type="noConversion"/>
  </si>
  <si>
    <t>혼입율(%)</t>
    <phoneticPr fontId="3" type="noConversion"/>
  </si>
  <si>
    <t>높이</t>
    <phoneticPr fontId="3" type="noConversion"/>
  </si>
  <si>
    <t>경사도</t>
    <phoneticPr fontId="3" type="noConversion"/>
  </si>
  <si>
    <t>차단시간</t>
    <phoneticPr fontId="3" type="noConversion"/>
  </si>
  <si>
    <t>분</t>
    <phoneticPr fontId="3" type="noConversion"/>
  </si>
  <si>
    <t>경고방송시간</t>
    <phoneticPr fontId="3" type="noConversion"/>
  </si>
  <si>
    <t>정상</t>
    <phoneticPr fontId="3" type="noConversion"/>
  </si>
  <si>
    <t>지체</t>
    <phoneticPr fontId="3" type="noConversion"/>
  </si>
  <si>
    <t>km/h</t>
    <phoneticPr fontId="3" type="noConversion"/>
  </si>
  <si>
    <t>승차인원</t>
    <phoneticPr fontId="3" type="noConversion"/>
  </si>
  <si>
    <t>화재위치</t>
    <phoneticPr fontId="3" type="noConversion"/>
  </si>
  <si>
    <t>(터널중앙부)</t>
    <phoneticPr fontId="3" type="noConversion"/>
  </si>
  <si>
    <t>명</t>
    <phoneticPr fontId="3" type="noConversion"/>
  </si>
  <si>
    <t>(비정체시)</t>
    <phoneticPr fontId="3" type="noConversion"/>
  </si>
  <si>
    <t>(정체시)</t>
    <phoneticPr fontId="3" type="noConversion"/>
  </si>
  <si>
    <t>지체빈도</t>
    <phoneticPr fontId="3" type="noConversion"/>
  </si>
  <si>
    <t>승용차화재중 경미한 화재비율</t>
    <phoneticPr fontId="3" type="noConversion"/>
  </si>
  <si>
    <t>일반사고중 화재사고 비율</t>
    <phoneticPr fontId="3" type="noConversion"/>
  </si>
  <si>
    <t>승용차 화재중 2대연속 발전할 비율</t>
    <phoneticPr fontId="3" type="noConversion"/>
  </si>
  <si>
    <t>외국의 자료인용(ELB tunnel</t>
    <phoneticPr fontId="3" type="noConversion"/>
  </si>
  <si>
    <t>대형차화재중 차종별 가중치</t>
    <phoneticPr fontId="3" type="noConversion"/>
  </si>
  <si>
    <t>1. 터널일반제원</t>
    <phoneticPr fontId="3" type="noConversion"/>
  </si>
  <si>
    <t>2. 터널교통량</t>
    <phoneticPr fontId="3" type="noConversion"/>
  </si>
  <si>
    <t>3. 화재발생시나리오</t>
    <phoneticPr fontId="3" type="noConversion"/>
  </si>
  <si>
    <t>Bus   (Light)</t>
    <phoneticPr fontId="3" type="noConversion"/>
  </si>
  <si>
    <t>Truck  (Medium)</t>
    <phoneticPr fontId="3" type="noConversion"/>
  </si>
  <si>
    <t>DGV (Seorios)</t>
    <phoneticPr fontId="3" type="noConversion"/>
  </si>
  <si>
    <t>HV Fire</t>
    <phoneticPr fontId="3" type="noConversion"/>
  </si>
  <si>
    <t>PC Fire</t>
    <phoneticPr fontId="3" type="noConversion"/>
  </si>
  <si>
    <t>Accident rate per 100 million vehicle km</t>
    <phoneticPr fontId="3" type="noConversion"/>
  </si>
  <si>
    <t>SUMMARY OF ACCIDENT FREQUENCIES</t>
    <phoneticPr fontId="3" type="noConversion"/>
  </si>
  <si>
    <t>30 MW</t>
    <phoneticPr fontId="3" type="noConversion"/>
  </si>
  <si>
    <t>AADT</t>
    <phoneticPr fontId="3" type="noConversion"/>
  </si>
  <si>
    <t>평균</t>
    <phoneticPr fontId="3" type="noConversion"/>
  </si>
  <si>
    <r>
      <t>주행거리계 (10</t>
    </r>
    <r>
      <rPr>
        <vertAlign val="superscript"/>
        <sz val="10"/>
        <rFont val="돋움"/>
        <family val="3"/>
        <charset val="129"/>
      </rPr>
      <t>8</t>
    </r>
    <r>
      <rPr>
        <sz val="10"/>
        <rFont val="돋움"/>
        <family val="3"/>
        <charset val="129"/>
      </rPr>
      <t>Veh-km/Yr)</t>
    </r>
    <phoneticPr fontId="3" type="noConversion"/>
  </si>
  <si>
    <r>
      <t>일본 : 4.545건/10</t>
    </r>
    <r>
      <rPr>
        <vertAlign val="superscript"/>
        <sz val="10"/>
        <rFont val="돋움"/>
        <family val="3"/>
        <charset val="129"/>
      </rPr>
      <t>8</t>
    </r>
    <r>
      <rPr>
        <sz val="10"/>
        <rFont val="돋움"/>
        <family val="3"/>
        <charset val="129"/>
      </rPr>
      <t>veh.km</t>
    </r>
    <phoneticPr fontId="3" type="noConversion"/>
  </si>
  <si>
    <t>일본 :</t>
    <phoneticPr fontId="3" type="noConversion"/>
  </si>
  <si>
    <t>4.545건</t>
    <phoneticPr fontId="3" type="noConversion"/>
  </si>
  <si>
    <r>
      <t>«</t>
    </r>
    <r>
      <rPr>
        <sz val="10"/>
        <rFont val="돋움"/>
        <family val="3"/>
        <charset val="129"/>
      </rPr>
      <t xml:space="preserve"> 참고</t>
    </r>
    <phoneticPr fontId="3" type="noConversion"/>
  </si>
  <si>
    <t>년</t>
    <phoneticPr fontId="3" type="noConversion"/>
  </si>
  <si>
    <r>
      <t>10</t>
    </r>
    <r>
      <rPr>
        <vertAlign val="superscript"/>
        <sz val="10"/>
        <rFont val="돋움"/>
        <family val="3"/>
        <charset val="129"/>
      </rPr>
      <t>8</t>
    </r>
    <r>
      <rPr>
        <sz val="10"/>
        <rFont val="돋움"/>
        <family val="3"/>
        <charset val="129"/>
      </rPr>
      <t>Veh-km에 도달하는데 소요되는 기간 :</t>
    </r>
    <phoneticPr fontId="3" type="noConversion"/>
  </si>
  <si>
    <t>대피통로
설치간격
(m)</t>
    <phoneticPr fontId="3" type="noConversion"/>
  </si>
  <si>
    <t>개소</t>
    <phoneticPr fontId="3" type="noConversion"/>
  </si>
  <si>
    <t>자연풍 빈도</t>
    <phoneticPr fontId="3" type="noConversion"/>
  </si>
  <si>
    <t>미풍(0 근접)</t>
    <phoneticPr fontId="3" type="noConversion"/>
  </si>
  <si>
    <t>트럭</t>
    <phoneticPr fontId="3" type="noConversion"/>
  </si>
  <si>
    <t>4. Traffic Performance (차량종별 주행킬로)</t>
    <phoneticPr fontId="3" type="noConversion"/>
  </si>
  <si>
    <t>화재시 
대피인원</t>
    <phoneticPr fontId="3" type="noConversion"/>
  </si>
  <si>
    <t>화재시 
주행속도</t>
    <phoneticPr fontId="3" type="noConversion"/>
  </si>
  <si>
    <t>명칭</t>
    <phoneticPr fontId="3" type="noConversion"/>
  </si>
  <si>
    <t>연결통로위치</t>
    <phoneticPr fontId="3" type="noConversion"/>
  </si>
  <si>
    <t>연번</t>
    <phoneticPr fontId="3" type="noConversion"/>
  </si>
  <si>
    <t>연결통로간 
간격</t>
    <phoneticPr fontId="3" type="noConversion"/>
  </si>
  <si>
    <t>화재지점 수 :</t>
    <phoneticPr fontId="3" type="noConversion"/>
  </si>
  <si>
    <t>1 섹션거리</t>
    <phoneticPr fontId="3" type="noConversion"/>
  </si>
  <si>
    <t>대형차혼입율</t>
    <phoneticPr fontId="3" type="noConversion"/>
  </si>
  <si>
    <r>
      <t>단면적(㎡</t>
    </r>
    <r>
      <rPr>
        <sz val="10"/>
        <rFont val="돋움"/>
        <family val="3"/>
        <charset val="129"/>
      </rPr>
      <t>)</t>
    </r>
    <phoneticPr fontId="3" type="noConversion"/>
  </si>
  <si>
    <t>m</t>
    <phoneticPr fontId="3" type="noConversion"/>
  </si>
  <si>
    <t>연결통로 근접화재범위 :</t>
    <phoneticPr fontId="3" type="noConversion"/>
  </si>
  <si>
    <t>분기비</t>
    <phoneticPr fontId="3" type="noConversion"/>
  </si>
  <si>
    <t>5. 교통조건에 따른 팬가동조건</t>
    <phoneticPr fontId="3" type="noConversion"/>
  </si>
  <si>
    <t>최대 6</t>
    <phoneticPr fontId="3" type="noConversion"/>
  </si>
  <si>
    <t>일통과인원</t>
    <phoneticPr fontId="3" type="noConversion"/>
  </si>
  <si>
    <t>연간통과인원</t>
    <phoneticPr fontId="3" type="noConversion"/>
  </si>
  <si>
    <t>Project Folder Name :</t>
  </si>
  <si>
    <t>Fire Point</t>
  </si>
  <si>
    <t>Scenario</t>
  </si>
  <si>
    <t>사고발생율
(1억 Veh-km)</t>
  </si>
  <si>
    <t>Frequency  /yr</t>
  </si>
  <si>
    <t>Frequency  /veh-km</t>
  </si>
  <si>
    <t>Return Year</t>
  </si>
  <si>
    <t>Fetalities</t>
  </si>
  <si>
    <t>Risk Index</t>
  </si>
  <si>
    <t>No</t>
  </si>
  <si>
    <t>Description</t>
  </si>
  <si>
    <t>NA</t>
  </si>
  <si>
    <t>ALL</t>
  </si>
  <si>
    <t>Traffic Accidents</t>
  </si>
  <si>
    <t>F</t>
  </si>
  <si>
    <t>Fire</t>
  </si>
  <si>
    <t>PC</t>
  </si>
  <si>
    <t>PASSENGER CAR</t>
  </si>
  <si>
    <t>PC1NOTS</t>
  </si>
  <si>
    <t>PASSENGER CAR+Not Serious</t>
  </si>
  <si>
    <t>PC1</t>
  </si>
  <si>
    <t>PASSENGER CAR+단독화재</t>
  </si>
  <si>
    <t>PC1N</t>
  </si>
  <si>
    <t>PASSENGER CAR+단독화재+Normal</t>
  </si>
  <si>
    <t>PC1C</t>
  </si>
  <si>
    <t>PASSENGER CAR+단독화재+Congest</t>
  </si>
  <si>
    <t>PC2</t>
  </si>
  <si>
    <t>PASSENGER CAR+2대연속화재</t>
  </si>
  <si>
    <t>PC2N</t>
  </si>
  <si>
    <t>PASSENGER CAR+2대연속화재+Normal</t>
  </si>
  <si>
    <t>PC2C</t>
  </si>
  <si>
    <t>PASSENGER CAR+2대연속화재+Congest</t>
  </si>
  <si>
    <t>NA - 여기부터 화재사고에 대한 시나리오 재정리임</t>
  </si>
  <si>
    <t>PC1N+NNVC</t>
  </si>
  <si>
    <t>PC1NNormal+임계풍속제연</t>
  </si>
  <si>
    <t>PC1N+NNV0</t>
  </si>
  <si>
    <t>PC1NNormal+풍속0화운전</t>
  </si>
  <si>
    <t>PC1N+NFV0</t>
  </si>
  <si>
    <t>PC1NNormal+팬고장+미풍</t>
  </si>
  <si>
    <t>PC1N+NFVM</t>
  </si>
  <si>
    <t>PC1NNormal+팬고장+역풍</t>
  </si>
  <si>
    <t>PC1N+NFVP</t>
  </si>
  <si>
    <t>PC1NNormal+팬고장+순풍</t>
  </si>
  <si>
    <t>PC1C+CNVC</t>
  </si>
  <si>
    <t>PC1CCongest+임계풍속제연</t>
  </si>
  <si>
    <t>PC1C+CNV0</t>
  </si>
  <si>
    <t>PC1CCongest+풍속0화운전</t>
  </si>
  <si>
    <t>PC1C+CFV0</t>
  </si>
  <si>
    <t>PC1CCongest+팬고장+미풍</t>
  </si>
  <si>
    <t>PC1C+CFVM</t>
  </si>
  <si>
    <t>PC1CCongest+팬고장+역풍</t>
  </si>
  <si>
    <t>PC1C+CFVP</t>
  </si>
  <si>
    <t>PC1CCongest+팬고장+순풍</t>
  </si>
  <si>
    <t>PC2N+NNVC</t>
  </si>
  <si>
    <t>PC2NNormal+임계풍속제연</t>
  </si>
  <si>
    <t>PC2N+NNV0</t>
  </si>
  <si>
    <t>PC2NNormal+풍속0화운전</t>
  </si>
  <si>
    <t>PC2N+NFV0</t>
  </si>
  <si>
    <t>PC2NNormal+팬고장+미풍</t>
  </si>
  <si>
    <t>PC2N+NFVM</t>
  </si>
  <si>
    <t>PC2NNormal+팬고장+역풍</t>
  </si>
  <si>
    <t>PC2N+NFVP</t>
  </si>
  <si>
    <t>PC2NNormal+팬고장+순풍</t>
  </si>
  <si>
    <t>PC2C+CNVC</t>
  </si>
  <si>
    <t>PC2CCongest+임계풍속제연</t>
  </si>
  <si>
    <t>PC2C+CNV0</t>
  </si>
  <si>
    <t>PC2CCongest+풍속0화운전</t>
  </si>
  <si>
    <t>PC2C+CFV0</t>
  </si>
  <si>
    <t>PC2CCongest+팬고장+미풍</t>
  </si>
  <si>
    <t>PC2C+CFVM</t>
  </si>
  <si>
    <t>PC2CCongest+팬고장+역풍</t>
  </si>
  <si>
    <t>PC2C+CFVP</t>
  </si>
  <si>
    <t>PC2CCongest+팬고장+순풍</t>
  </si>
  <si>
    <t>평균대피시간</t>
  </si>
  <si>
    <t>최소</t>
  </si>
  <si>
    <t>최대</t>
  </si>
  <si>
    <t>대피시간</t>
  </si>
  <si>
    <t>사상자수</t>
  </si>
  <si>
    <t>사망자수</t>
  </si>
  <si>
    <t>NVC</t>
  </si>
  <si>
    <t>FV0</t>
  </si>
  <si>
    <t>FVP</t>
  </si>
  <si>
    <t>FVM</t>
  </si>
  <si>
    <t>NV0</t>
  </si>
  <si>
    <t>020</t>
  </si>
  <si>
    <t>020</t>
    <phoneticPr fontId="3" type="noConversion"/>
  </si>
  <si>
    <t>030</t>
  </si>
  <si>
    <t>030</t>
    <phoneticPr fontId="3" type="noConversion"/>
  </si>
  <si>
    <t>100</t>
  </si>
  <si>
    <t>100</t>
    <phoneticPr fontId="3" type="noConversion"/>
  </si>
  <si>
    <t>PC1N</t>
    <phoneticPr fontId="3" type="noConversion"/>
  </si>
  <si>
    <t>PC1C</t>
    <phoneticPr fontId="3" type="noConversion"/>
  </si>
  <si>
    <t>PC2N</t>
    <phoneticPr fontId="3" type="noConversion"/>
  </si>
  <si>
    <t>PC2C</t>
    <phoneticPr fontId="3" type="noConversion"/>
  </si>
  <si>
    <t>020N</t>
    <phoneticPr fontId="3" type="noConversion"/>
  </si>
  <si>
    <t>020C</t>
    <phoneticPr fontId="3" type="noConversion"/>
  </si>
  <si>
    <t>030N</t>
    <phoneticPr fontId="3" type="noConversion"/>
  </si>
  <si>
    <t>030C</t>
    <phoneticPr fontId="3" type="noConversion"/>
  </si>
  <si>
    <t>100N</t>
    <phoneticPr fontId="3" type="noConversion"/>
  </si>
  <si>
    <t>100C</t>
    <phoneticPr fontId="3" type="noConversion"/>
  </si>
  <si>
    <t>NNVC</t>
  </si>
  <si>
    <t>NNV0</t>
  </si>
  <si>
    <t>NFV0</t>
  </si>
  <si>
    <t>NFVM</t>
  </si>
  <si>
    <t>NFVP</t>
  </si>
  <si>
    <t>CNVC</t>
  </si>
  <si>
    <t>CNV0</t>
  </si>
  <si>
    <t>CFV0</t>
  </si>
  <si>
    <t>CFVM</t>
  </si>
  <si>
    <t>CFVP</t>
  </si>
  <si>
    <t>BUS</t>
    <phoneticPr fontId="3" type="noConversion"/>
  </si>
  <si>
    <t>BUSN</t>
    <phoneticPr fontId="3" type="noConversion"/>
  </si>
  <si>
    <t>BUSC</t>
    <phoneticPr fontId="3" type="noConversion"/>
  </si>
  <si>
    <t>LTR</t>
    <phoneticPr fontId="3" type="noConversion"/>
  </si>
  <si>
    <t>LTRN</t>
    <phoneticPr fontId="3" type="noConversion"/>
  </si>
  <si>
    <t>LTRC</t>
    <phoneticPr fontId="3" type="noConversion"/>
  </si>
  <si>
    <t>HGN</t>
    <phoneticPr fontId="3" type="noConversion"/>
  </si>
  <si>
    <t>HGC</t>
    <phoneticPr fontId="3" type="noConversion"/>
  </si>
  <si>
    <t>BUS&amp;HGV</t>
    <phoneticPr fontId="3" type="noConversion"/>
  </si>
  <si>
    <t>BUS+NORMARL</t>
    <phoneticPr fontId="3" type="noConversion"/>
  </si>
  <si>
    <t>BUS+CONGEST</t>
    <phoneticPr fontId="3" type="noConversion"/>
  </si>
  <si>
    <t>TRUCK</t>
    <phoneticPr fontId="3" type="noConversion"/>
  </si>
  <si>
    <t>TRUCK+NORMAL</t>
    <phoneticPr fontId="3" type="noConversion"/>
  </si>
  <si>
    <t>TRUCK+CONGEST</t>
    <phoneticPr fontId="3" type="noConversion"/>
  </si>
  <si>
    <t>HAZARD GOOD VEH</t>
    <phoneticPr fontId="3" type="noConversion"/>
  </si>
  <si>
    <t>HGV+NORMAL</t>
    <phoneticPr fontId="3" type="noConversion"/>
  </si>
  <si>
    <t>HGV+CONGEST</t>
    <phoneticPr fontId="3" type="noConversion"/>
  </si>
  <si>
    <t>020N+NNVC</t>
  </si>
  <si>
    <t>020NNormal+임계풍속제연</t>
  </si>
  <si>
    <t>020N+NNV0</t>
  </si>
  <si>
    <t>020NNormal+풍속0화운전</t>
  </si>
  <si>
    <t>020N+NFV0</t>
  </si>
  <si>
    <t>020NNormal+팬고장+미풍</t>
  </si>
  <si>
    <t>020N+NFVM</t>
  </si>
  <si>
    <t>020NNormal+팬고장+역풍</t>
  </si>
  <si>
    <t>020N+NFVP</t>
  </si>
  <si>
    <t>020NNormal+팬고장+순풍</t>
  </si>
  <si>
    <t>020C+CNVC</t>
  </si>
  <si>
    <t>020CCongest+임계풍속제연</t>
  </si>
  <si>
    <t>020C+CNV0</t>
  </si>
  <si>
    <t>020CCongest+풍속0화운전</t>
  </si>
  <si>
    <t>020C+CFV0</t>
  </si>
  <si>
    <t>020CCongest+팬고장+미풍</t>
  </si>
  <si>
    <t>020C+CFVM</t>
  </si>
  <si>
    <t>020CCongest+팬고장+역풍</t>
  </si>
  <si>
    <t>020C+CFVP</t>
  </si>
  <si>
    <t>020CCongest+팬고장+순풍</t>
  </si>
  <si>
    <t>030N+NNVC</t>
  </si>
  <si>
    <t>030NNormal+임계풍속제연</t>
  </si>
  <si>
    <t>030N+NNV0</t>
  </si>
  <si>
    <t>030NNormal+풍속0화운전</t>
  </si>
  <si>
    <t>030N+NFV0</t>
  </si>
  <si>
    <t>030NNormal+팬고장+미풍</t>
  </si>
  <si>
    <t>030N+NFVM</t>
  </si>
  <si>
    <t>030NNormal+팬고장+역풍</t>
  </si>
  <si>
    <t>030N+NFVP</t>
  </si>
  <si>
    <t>030NNormal+팬고장+순풍</t>
  </si>
  <si>
    <t>030C+CNVC</t>
  </si>
  <si>
    <t>030CCongest+임계풍속제연</t>
  </si>
  <si>
    <t>030C+CNV0</t>
  </si>
  <si>
    <t>030CCongest+풍속0화운전</t>
  </si>
  <si>
    <t>030C+CFV0</t>
  </si>
  <si>
    <t>030CCongest+팬고장+미풍</t>
  </si>
  <si>
    <t>030C+CFVM</t>
  </si>
  <si>
    <t>030CCongest+팬고장+역풍</t>
  </si>
  <si>
    <t>030C+CFVP</t>
  </si>
  <si>
    <t>030CCongest+팬고장+순풍</t>
  </si>
  <si>
    <t>100N+NNVC</t>
  </si>
  <si>
    <t>100NNormal+임계풍속제연</t>
  </si>
  <si>
    <t>100N+NNV0</t>
  </si>
  <si>
    <t>100NNormal+풍속0화운전</t>
  </si>
  <si>
    <t>100N+NFV0</t>
  </si>
  <si>
    <t>100NNormal+팬고장+미풍</t>
  </si>
  <si>
    <t>100N+NFVM</t>
  </si>
  <si>
    <t>100NNormal+팬고장+역풍</t>
  </si>
  <si>
    <t>100N+NFVP</t>
  </si>
  <si>
    <t>100NNormal+팬고장+순풍</t>
  </si>
  <si>
    <t>100C+CNVC</t>
  </si>
  <si>
    <t>100CCongest+임계풍속제연</t>
  </si>
  <si>
    <t>100C+CNV0</t>
  </si>
  <si>
    <t>100CCongest+풍속0화운전</t>
  </si>
  <si>
    <t>100C+CFV0</t>
  </si>
  <si>
    <t>100CCongest+팬고장+미풍</t>
  </si>
  <si>
    <t>100C+CFVM</t>
  </si>
  <si>
    <t>100CCongest+팬고장+역풍</t>
  </si>
  <si>
    <t>100C+CFVP</t>
  </si>
  <si>
    <t>100CCongest+팬고장+순풍</t>
  </si>
  <si>
    <t>Norm</t>
  </si>
  <si>
    <t>Cong</t>
  </si>
  <si>
    <t>IR2(fat/1e10per.km)</t>
    <phoneticPr fontId="3" type="noConversion"/>
  </si>
  <si>
    <t>person.km/yr</t>
    <phoneticPr fontId="3" type="noConversion"/>
  </si>
  <si>
    <t>6. 피난연결통로 위치</t>
    <phoneticPr fontId="3" type="noConversion"/>
  </si>
  <si>
    <t>대형차량 구성비 :</t>
    <phoneticPr fontId="3" type="noConversion"/>
  </si>
  <si>
    <t>소형차량 구성비 :</t>
    <phoneticPr fontId="3" type="noConversion"/>
  </si>
  <si>
    <t xml:space="preserve">대형차량 사고발생률 : </t>
    <phoneticPr fontId="3" type="noConversion"/>
  </si>
  <si>
    <t>Y</t>
    <phoneticPr fontId="3" type="noConversion"/>
  </si>
  <si>
    <t>소형차량 사고발생율 :</t>
    <phoneticPr fontId="3" type="noConversion"/>
  </si>
  <si>
    <t>X</t>
    <phoneticPr fontId="3" type="noConversion"/>
  </si>
  <si>
    <t>= X  * 0.61 + Y * 0.39</t>
    <phoneticPr fontId="3" type="noConversion"/>
  </si>
  <si>
    <t>= X * 0.61 + 3.5 * X * 0.39</t>
    <phoneticPr fontId="3" type="noConversion"/>
  </si>
  <si>
    <t>따라서,</t>
    <phoneticPr fontId="3" type="noConversion"/>
  </si>
  <si>
    <t>Y = 3.51X</t>
    <phoneticPr fontId="3" type="noConversion"/>
  </si>
  <si>
    <t xml:space="preserve">Y </t>
    <phoneticPr fontId="3" type="noConversion"/>
  </si>
  <si>
    <t>터널화재에 대한 차종별 사고발생률 및 대형차량에 대한 소형차량의 사고발생비</t>
    <phoneticPr fontId="3" type="noConversion"/>
  </si>
  <si>
    <t xml:space="preserve">X </t>
    <phoneticPr fontId="3" type="noConversion"/>
  </si>
  <si>
    <t>= 2.1092 /(0.61 + 3.5 * 0.39)</t>
    <phoneticPr fontId="3" type="noConversion"/>
  </si>
  <si>
    <t>그러므로</t>
    <phoneticPr fontId="3" type="noConversion"/>
  </si>
  <si>
    <t>Iter. No.</t>
  </si>
  <si>
    <t>사망자수</t>
    <phoneticPr fontId="3" type="noConversion"/>
  </si>
  <si>
    <t>Risk Index</t>
    <phoneticPr fontId="3" type="noConversion"/>
  </si>
  <si>
    <t>020-CONGEST</t>
  </si>
  <si>
    <t>020-FVM</t>
  </si>
  <si>
    <t>020-NVC</t>
  </si>
  <si>
    <t>030-FV0</t>
  </si>
  <si>
    <t>030-CONGEST</t>
  </si>
  <si>
    <t>030-FVM</t>
  </si>
  <si>
    <t>030-NV0</t>
  </si>
  <si>
    <t>030-NVC</t>
  </si>
  <si>
    <t>100-FV0</t>
  </si>
  <si>
    <t>100-CONGEST</t>
  </si>
  <si>
    <t>100-FVP</t>
  </si>
  <si>
    <t>100-FVM</t>
  </si>
  <si>
    <t>100-NORMAL</t>
  </si>
  <si>
    <t>1-1</t>
  </si>
  <si>
    <t>1-2</t>
  </si>
  <si>
    <t>1-3</t>
  </si>
  <si>
    <t>2-1</t>
  </si>
  <si>
    <t>2-2</t>
  </si>
  <si>
    <t>2-3</t>
  </si>
  <si>
    <t>3-1</t>
  </si>
  <si>
    <t>3-2</t>
  </si>
  <si>
    <t>3-3</t>
  </si>
  <si>
    <t>4-1</t>
  </si>
  <si>
    <t>4-2</t>
  </si>
  <si>
    <t>4-3</t>
  </si>
  <si>
    <t>5-3</t>
  </si>
  <si>
    <t>5-1</t>
  </si>
  <si>
    <t>5-2</t>
  </si>
  <si>
    <t>6-3</t>
  </si>
  <si>
    <t>6-1</t>
  </si>
  <si>
    <t>6-2</t>
  </si>
  <si>
    <t>Senario No.</t>
    <phoneticPr fontId="3" type="noConversion"/>
  </si>
  <si>
    <t>Senario Def.</t>
    <phoneticPr fontId="3" type="noConversion"/>
  </si>
  <si>
    <t>Frequency</t>
  </si>
  <si>
    <t>P-I</t>
    <phoneticPr fontId="3" type="noConversion"/>
  </si>
  <si>
    <t>020-FV0</t>
  </si>
  <si>
    <t>020-FVP</t>
  </si>
  <si>
    <t>030-FVP</t>
  </si>
  <si>
    <t>030-NORMAL</t>
  </si>
  <si>
    <t>지침은 2.0%</t>
    <phoneticPr fontId="3" type="noConversion"/>
  </si>
  <si>
    <t>FDS53 020NNVC.FDS</t>
  </si>
  <si>
    <t>FDS53 020NNV0.FDS</t>
  </si>
  <si>
    <t>FDS53 020NFVP.FDS</t>
  </si>
  <si>
    <t>FDS53 020NFV0.FDS</t>
  </si>
  <si>
    <t>FDS53 020NFVM.FDS</t>
  </si>
  <si>
    <t>FDS53 020CNVC.FDS</t>
  </si>
  <si>
    <t>FDS53 020CNV0.FDS</t>
  </si>
  <si>
    <t>FDS53 020CFVP.FDS</t>
  </si>
  <si>
    <t>FDS53 020CFV0.FDS</t>
  </si>
  <si>
    <t>FDS53 020CFVM.FDS</t>
  </si>
  <si>
    <t>FDS53 030NNVC.FDS</t>
  </si>
  <si>
    <t>FDS53 030NNV0.FDS</t>
  </si>
  <si>
    <t>FDS53 030NFVP.FDS</t>
  </si>
  <si>
    <t>FDS53 030NFV0.FDS</t>
  </si>
  <si>
    <t>FDS53 030NFVM.FDS</t>
  </si>
  <si>
    <t>FDS53 030CNVC.FDS</t>
  </si>
  <si>
    <t>FDS53 030CNV0.FDS</t>
  </si>
  <si>
    <t>FDS53 030CFVP.FDS</t>
  </si>
  <si>
    <t>FDS53 030CFV0.FDS</t>
  </si>
  <si>
    <t>FDS53 030CFVM.FDS</t>
  </si>
  <si>
    <t>FDS53 100NNVC.FDS</t>
  </si>
  <si>
    <t>FDS53 100NNV0.FDS</t>
  </si>
  <si>
    <t>FDS53 100NFVP.FDS</t>
  </si>
  <si>
    <t>FDS53 100NFV0.FDS</t>
  </si>
  <si>
    <t>FDS53 100NFVM.FDS</t>
  </si>
  <si>
    <t>FDS53 100CNVC.FDS</t>
  </si>
  <si>
    <t>FDS53 100CNV0.FDS</t>
  </si>
  <si>
    <t>FDS53 100CFVP.FDS</t>
  </si>
  <si>
    <t>FDS53 100CFV0.FDS</t>
  </si>
  <si>
    <t>FDS53 100CFVM.FDS</t>
  </si>
  <si>
    <t>020-NORMAL</t>
  </si>
  <si>
    <t>1-4</t>
  </si>
  <si>
    <t>1-5</t>
  </si>
  <si>
    <t>2-4</t>
  </si>
  <si>
    <t>2-5</t>
  </si>
  <si>
    <t>3-4</t>
  </si>
  <si>
    <t>3-5</t>
  </si>
  <si>
    <t>4-4</t>
  </si>
  <si>
    <t>4-5</t>
  </si>
  <si>
    <t>5-4</t>
  </si>
  <si>
    <t>5-5</t>
  </si>
  <si>
    <t>6-4</t>
  </si>
  <si>
    <t>6-5</t>
  </si>
  <si>
    <t>트럭(중대)</t>
    <phoneticPr fontId="3" type="noConversion"/>
  </si>
  <si>
    <t>버스+트럭(소)</t>
    <phoneticPr fontId="3" type="noConversion"/>
  </si>
  <si>
    <t>100MW</t>
    <phoneticPr fontId="3" type="noConversion"/>
  </si>
  <si>
    <t>BUS</t>
    <phoneticPr fontId="3" type="noConversion"/>
  </si>
  <si>
    <t>위험물수송차량 비율</t>
    <phoneticPr fontId="3" type="noConversion"/>
  </si>
  <si>
    <t>* 없어짐</t>
    <phoneticPr fontId="3" type="noConversion"/>
  </si>
  <si>
    <t>화재사고중 화재확대확률</t>
    <phoneticPr fontId="3" type="noConversion"/>
  </si>
  <si>
    <t>중대형 화물</t>
    <phoneticPr fontId="3" type="noConversion"/>
  </si>
  <si>
    <t>위험물수송</t>
    <phoneticPr fontId="3" type="noConversion"/>
  </si>
  <si>
    <t>ACCR</t>
    <phoneticPr fontId="3" type="noConversion"/>
  </si>
  <si>
    <t>건/년</t>
    <phoneticPr fontId="3" type="noConversion"/>
  </si>
  <si>
    <t>RY</t>
    <phoneticPr fontId="3" type="noConversion"/>
  </si>
  <si>
    <t>BUS&amp;SHGV</t>
    <phoneticPr fontId="3" type="noConversion"/>
  </si>
  <si>
    <t>BUS+Serious Fire</t>
    <phoneticPr fontId="3" type="noConversion"/>
  </si>
  <si>
    <t>차량수</t>
    <phoneticPr fontId="3" type="noConversion"/>
  </si>
  <si>
    <t>VKM</t>
    <phoneticPr fontId="3" type="noConversion"/>
  </si>
  <si>
    <t>VKM(2)</t>
    <phoneticPr fontId="3" type="noConversion"/>
  </si>
  <si>
    <t>VKM(2)</t>
    <phoneticPr fontId="3" type="noConversion"/>
  </si>
  <si>
    <t>해당차종의 차량에 대한  Traffic Performance</t>
    <phoneticPr fontId="3" type="noConversion"/>
  </si>
  <si>
    <t>VKM(3)</t>
    <phoneticPr fontId="3" type="noConversion"/>
  </si>
  <si>
    <t>해당차종에 대한 경미한 화재의 주행거리계</t>
    <phoneticPr fontId="3" type="noConversion"/>
  </si>
  <si>
    <t>최소</t>
    <phoneticPr fontId="3" type="noConversion"/>
  </si>
  <si>
    <t>최대</t>
    <phoneticPr fontId="3" type="noConversion"/>
  </si>
  <si>
    <t>평균</t>
    <phoneticPr fontId="3" type="noConversion"/>
  </si>
  <si>
    <t>BS1</t>
    <phoneticPr fontId="3" type="noConversion"/>
  </si>
  <si>
    <t>터널연장
(km)</t>
    <phoneticPr fontId="3" type="noConversion"/>
  </si>
  <si>
    <t>21생활권</t>
    <phoneticPr fontId="3" type="noConversion"/>
  </si>
  <si>
    <t>주추</t>
    <phoneticPr fontId="3" type="noConversion"/>
  </si>
  <si>
    <t>사오</t>
    <phoneticPr fontId="3" type="noConversion"/>
  </si>
  <si>
    <t>피난연결통로 지점 p6-&gt;p4로 변경 그에 따라 발생빈도도 변경</t>
    <phoneticPr fontId="3" type="noConversion"/>
  </si>
  <si>
    <t>경미한 화재</t>
    <phoneticPr fontId="3" type="noConversion"/>
  </si>
  <si>
    <t>심각한 화재</t>
    <phoneticPr fontId="3" type="noConversion"/>
  </si>
  <si>
    <t>정상소통</t>
    <phoneticPr fontId="3" type="noConversion"/>
  </si>
  <si>
    <t>NNVC</t>
    <phoneticPr fontId="3" type="noConversion"/>
  </si>
  <si>
    <t>CNVC</t>
    <phoneticPr fontId="3" type="noConversion"/>
  </si>
  <si>
    <t>CNV0</t>
    <phoneticPr fontId="3" type="noConversion"/>
  </si>
  <si>
    <t>년간발생건수 (건/yr)</t>
    <phoneticPr fontId="3" type="noConversion"/>
  </si>
  <si>
    <t>회귀기간 (년)</t>
    <phoneticPr fontId="3" type="noConversion"/>
  </si>
  <si>
    <t>(20MW)</t>
    <phoneticPr fontId="3" type="noConversion"/>
  </si>
  <si>
    <t>단독</t>
    <phoneticPr fontId="3" type="noConversion"/>
  </si>
  <si>
    <t>2대 연속</t>
    <phoneticPr fontId="3" type="noConversion"/>
  </si>
  <si>
    <t>화재강도구분</t>
    <phoneticPr fontId="3" type="noConversion"/>
  </si>
  <si>
    <t>주행상태</t>
    <phoneticPr fontId="3" type="noConversion"/>
  </si>
  <si>
    <t>시나리오</t>
    <phoneticPr fontId="3" type="noConversion"/>
  </si>
  <si>
    <t>NFV0,P,M</t>
    <phoneticPr fontId="3" type="noConversion"/>
  </si>
  <si>
    <t>CFV0,P,M</t>
    <phoneticPr fontId="3" type="noConversion"/>
  </si>
  <si>
    <t>U:\2020\EUM\SLIM\EVC2\020\CONG\FV0\020CFV0_P1_1</t>
  </si>
  <si>
    <t>U:\2020\EUM\SLIM\EVC2\020\CONG\FV0\020CFV0_P1_2</t>
  </si>
  <si>
    <t>U:\2020\EUM\SLIM\EVC2\020\CONG\FV0\020CFV0_P1_3</t>
  </si>
  <si>
    <t>U:\2020\EUM\SLIM\EVC2\020\CONG\FV0\020CFV0_P1_4</t>
  </si>
  <si>
    <t>U:\2020\EUM\SLIM\EVC2\020\CONG\FV0\020CFV0_P1_5</t>
  </si>
  <si>
    <t>U:\2020\EUM\SLIM\EVC2\020\CONG\FV0\020CFV0_P2_1</t>
  </si>
  <si>
    <t>U:\2020\EUM\SLIM\EVC2\020\CONG\FV0\020CFV0_P2_2</t>
  </si>
  <si>
    <t>U:\2020\EUM\SLIM\EVC2\020\CONG\FV0\020CFV0_P2_3</t>
  </si>
  <si>
    <t>U:\2020\EUM\SLIM\EVC2\020\CONG\FV0\020CFV0_P2_4</t>
  </si>
  <si>
    <t>U:\2020\EUM\SLIM\EVC2\020\CONG\FV0\020CFV0_P2_5</t>
  </si>
  <si>
    <t>U:\2020\EUM\SLIM\EVC2\020\CONG\FV0\020CFV0_P3_1</t>
  </si>
  <si>
    <t>U:\2020\EUM\SLIM\EVC2\020\CONG\FV0\020CFV0_P3_2</t>
  </si>
  <si>
    <t>U:\2020\EUM\SLIM\EVC2\020\CONG\FV0\020CFV0_P3_3</t>
  </si>
  <si>
    <t>U:\2020\EUM\SLIM\EVC2\020\CONG\FV0\020CFV0_P3_4</t>
  </si>
  <si>
    <t>U:\2020\EUM\SLIM\EVC2\020\CONG\FV0\020CFV0_P3_5</t>
  </si>
  <si>
    <t>U:\2020\EUM\SLIM\EVC2\020\CONG\FV0\020CFV0_P4_1</t>
  </si>
  <si>
    <t>U:\2020\EUM\SLIM\EVC2\020\CONG\FV0\020CFV0_P4_2</t>
  </si>
  <si>
    <t>U:\2020\EUM\SLIM\EVC2\020\CONG\FV0\020CFV0_P4_3</t>
  </si>
  <si>
    <t>U:\2020\EUM\SLIM\EVC2\020\CONG\FV0\020CFV0_P4_4</t>
  </si>
  <si>
    <t>U:\2020\EUM\SLIM\EVC2\020\CONG\FV0\020CFV0_P4_5</t>
  </si>
  <si>
    <t>U:\2020\EUM\SLIM\EVC2\020\CONG\FV0\020CFV0_P5_1</t>
  </si>
  <si>
    <t>U:\2020\EUM\SLIM\EVC2\020\CONG\FV0\020CFV0_P5_2</t>
  </si>
  <si>
    <t>U:\2020\EUM\SLIM\EVC2\020\CONG\FV0\020CFV0_P5_3</t>
  </si>
  <si>
    <t>U:\2020\EUM\SLIM\EVC2\020\CONG\FV0\020CFV0_P5_4</t>
  </si>
  <si>
    <t>U:\2020\EUM\SLIM\EVC2\020\CONG\FV0\020CFV0_P5_5</t>
  </si>
  <si>
    <t>U:\2020\EUM\SLIM\EVC2\020\CONG\FV0\020CFV0_P6_1</t>
  </si>
  <si>
    <t>U:\2020\EUM\SLIM\EVC2\020\CONG\FV0\020CFV0_P6_2</t>
  </si>
  <si>
    <t>U:\2020\EUM\SLIM\EVC2\020\CONG\FV0\020CFV0_P6_3</t>
  </si>
  <si>
    <t>U:\2020\EUM\SLIM\EVC2\020\CONG\FV0\020CFV0_P6_4</t>
  </si>
  <si>
    <t>U:\2020\EUM\SLIM\EVC2\020\CONG\FV0\020CFV0_P6_5</t>
  </si>
  <si>
    <t>U:\2020\EUM\SLIM\EVC2\020\CONG\FVM\020CFVM_P1_1</t>
  </si>
  <si>
    <t>U:\2020\EUM\SLIM\EVC2\020\CONG\FVM\020CFVM_P1_2</t>
  </si>
  <si>
    <t>U:\2020\EUM\SLIM\EVC2\020\CONG\FVM\020CFVM_P1_3</t>
  </si>
  <si>
    <t>U:\2020\EUM\SLIM\EVC2\020\CONG\FVM\020CFVM_P1_4</t>
  </si>
  <si>
    <t>U:\2020\EUM\SLIM\EVC2\020\CONG\FVM\020CFVM_P1_5</t>
  </si>
  <si>
    <t>U:\2020\EUM\SLIM\EVC2\020\CONG\FVM\020CFVM_P2_1</t>
  </si>
  <si>
    <t>U:\2020\EUM\SLIM\EVC2\020\CONG\FVM\020CFVM_P2_2</t>
  </si>
  <si>
    <t>U:\2020\EUM\SLIM\EVC2\020\CONG\FVM\020CFVM_P2_3</t>
  </si>
  <si>
    <t>U:\2020\EUM\SLIM\EVC2\020\CONG\FVM\020CFVM_P2_4</t>
  </si>
  <si>
    <t>U:\2020\EUM\SLIM\EVC2\020\CONG\FVM\020CFVM_P2_5</t>
  </si>
  <si>
    <t>U:\2020\EUM\SLIM\EVC2\020\CONG\FVM\020CFVM_P3_1</t>
  </si>
  <si>
    <t>U:\2020\EUM\SLIM\EVC2\020\CONG\FVM\020CFVM_P3_2</t>
  </si>
  <si>
    <t>U:\2020\EUM\SLIM\EVC2\020\CONG\FVM\020CFVM_P3_3</t>
  </si>
  <si>
    <t>U:\2020\EUM\SLIM\EVC2\020\CONG\FVM\020CFVM_P3_4</t>
  </si>
  <si>
    <t>U:\2020\EUM\SLIM\EVC2\020\CONG\FVM\020CFVM_P3_5</t>
  </si>
  <si>
    <t>U:\2020\EUM\SLIM\EVC2\020\CONG\FVM\020CFVM_P4_1</t>
  </si>
  <si>
    <t>U:\2020\EUM\SLIM\EVC2\020\CONG\FVM\020CFVM_P4_2</t>
  </si>
  <si>
    <t>U:\2020\EUM\SLIM\EVC2\020\CONG\FVM\020CFVM_P4_3</t>
  </si>
  <si>
    <t>U:\2020\EUM\SLIM\EVC2\020\CONG\FVM\020CFVM_P4_4</t>
  </si>
  <si>
    <t>U:\2020\EUM\SLIM\EVC2\020\CONG\FVM\020CFVM_P4_5</t>
  </si>
  <si>
    <t>U:\2020\EUM\SLIM\EVC2\020\CONG\FVM\020CFVM_P5_1</t>
  </si>
  <si>
    <t>U:\2020\EUM\SLIM\EVC2\020\CONG\FVM\020CFVM_P5_2</t>
  </si>
  <si>
    <t>U:\2020\EUM\SLIM\EVC2\020\CONG\FVM\020CFVM_P5_3</t>
  </si>
  <si>
    <t>U:\2020\EUM\SLIM\EVC2\020\CONG\FVM\020CFVM_P5_4</t>
  </si>
  <si>
    <t>U:\2020\EUM\SLIM\EVC2\020\CONG\FVM\020CFVM_P5_5</t>
  </si>
  <si>
    <t>U:\2020\EUM\SLIM\EVC2\020\CONG\FVM\020CFVM_P6_1</t>
  </si>
  <si>
    <t>U:\2020\EUM\SLIM\EVC2\020\CONG\FVM\020CFVM_P6_2</t>
  </si>
  <si>
    <t>U:\2020\EUM\SLIM\EVC2\020\CONG\FVM\020CFVM_P6_3</t>
  </si>
  <si>
    <t>U:\2020\EUM\SLIM\EVC2\020\CONG\FVM\020CFVM_P6_4</t>
  </si>
  <si>
    <t>U:\2020\EUM\SLIM\EVC2\020\CONG\FVM\020CFVM_P6_5</t>
  </si>
  <si>
    <t>U:\2020\EUM\SLIM\EVC2\020\CONG\FVP\020CFVP_P1_1</t>
  </si>
  <si>
    <t>U:\2020\EUM\SLIM\EVC2\020\CONG\FVP\020CFVP_P1_2</t>
  </si>
  <si>
    <t>U:\2020\EUM\SLIM\EVC2\020\CONG\FVP\020CFVP_P1_3</t>
  </si>
  <si>
    <t>U:\2020\EUM\SLIM\EVC2\020\CONG\FVP\020CFVP_P1_4</t>
  </si>
  <si>
    <t>U:\2020\EUM\SLIM\EVC2\020\CONG\FVP\020CFVP_P1_5</t>
  </si>
  <si>
    <t>U:\2020\EUM\SLIM\EVC2\020\CONG\FVP\020CFVP_P2_1</t>
  </si>
  <si>
    <t>U:\2020\EUM\SLIM\EVC2\020\CONG\FVP\020CFVP_P2_2</t>
  </si>
  <si>
    <t>U:\2020\EUM\SLIM\EVC2\020\CONG\FVP\020CFVP_P2_3</t>
  </si>
  <si>
    <t>U:\2020\EUM\SLIM\EVC2\020\CONG\FVP\020CFVP_P2_4</t>
  </si>
  <si>
    <t>U:\2020\EUM\SLIM\EVC2\020\CONG\FVP\020CFVP_P2_5</t>
  </si>
  <si>
    <t>U:\2020\EUM\SLIM\EVC2\020\CONG\FVP\020CFVP_P3_1</t>
  </si>
  <si>
    <t>U:\2020\EUM\SLIM\EVC2\020\CONG\FVP\020CFVP_P3_2</t>
  </si>
  <si>
    <t>U:\2020\EUM\SLIM\EVC2\020\CONG\FVP\020CFVP_P3_3</t>
  </si>
  <si>
    <t>U:\2020\EUM\SLIM\EVC2\020\CONG\FVP\020CFVP_P3_4</t>
  </si>
  <si>
    <t>U:\2020\EUM\SLIM\EVC2\020\CONG\FVP\020CFVP_P3_5</t>
  </si>
  <si>
    <t>U:\2020\EUM\SLIM\EVC2\020\CONG\FVP\020CFVP_P4_1</t>
  </si>
  <si>
    <t>U:\2020\EUM\SLIM\EVC2\020\CONG\FVP\020CFVP_P4_2</t>
  </si>
  <si>
    <t>U:\2020\EUM\SLIM\EVC2\020\CONG\FVP\020CFVP_P4_3</t>
  </si>
  <si>
    <t>U:\2020\EUM\SLIM\EVC2\020\CONG\FVP\020CFVP_P4_4</t>
  </si>
  <si>
    <t>U:\2020\EUM\SLIM\EVC2\020\CONG\FVP\020CFVP_P4_5</t>
  </si>
  <si>
    <t>U:\2020\EUM\SLIM\EVC2\020\CONG\FVP\020CFVP_P5_1</t>
  </si>
  <si>
    <t>U:\2020\EUM\SLIM\EVC2\020\CONG\FVP\020CFVP_P5_2</t>
  </si>
  <si>
    <t>U:\2020\EUM\SLIM\EVC2\020\CONG\FVP\020CFVP_P5_3</t>
  </si>
  <si>
    <t>U:\2020\EUM\SLIM\EVC2\020\CONG\FVP\020CFVP_P5_4</t>
  </si>
  <si>
    <t>U:\2020\EUM\SLIM\EVC2\020\CONG\FVP\020CFVP_P5_5</t>
  </si>
  <si>
    <t>U:\2020\EUM\SLIM\EVC2\020\CONG\FVP\020CFVP_P6_1</t>
  </si>
  <si>
    <t>U:\2020\EUM\SLIM\EVC2\020\CONG\FVP\020CFVP_P6_2</t>
  </si>
  <si>
    <t>U:\2020\EUM\SLIM\EVC2\020\CONG\FVP\020CFVP_P6_3</t>
  </si>
  <si>
    <t>U:\2020\EUM\SLIM\EVC2\020\CONG\FVP\020CFVP_P6_4</t>
  </si>
  <si>
    <t>U:\2020\EUM\SLIM\EVC2\020\CONG\FVP\020CFVP_P6_5</t>
  </si>
  <si>
    <t>U:\2020\EUM\SLIM\EVC2\020\CONG\NV0\020CNV0_P1_1</t>
  </si>
  <si>
    <t>U:\2020\EUM\SLIM\EVC2\020\CONG\NV0\020CNV0_P1_2</t>
  </si>
  <si>
    <t>U:\2020\EUM\SLIM\EVC2\020\CONG\NV0\020CNV0_P1_3</t>
  </si>
  <si>
    <t>U:\2020\EUM\SLIM\EVC2\020\CONG\NV0\020CNV0_P1_4</t>
  </si>
  <si>
    <t>U:\2020\EUM\SLIM\EVC2\020\CONG\NV0\020CNV0_P1_5</t>
  </si>
  <si>
    <t>U:\2020\EUM\SLIM\EVC2\020\CONG\NV0\020CNV0_P2_1</t>
  </si>
  <si>
    <t>U:\2020\EUM\SLIM\EVC2\020\CONG\NV0\020CNV0_P2_2</t>
  </si>
  <si>
    <t>U:\2020\EUM\SLIM\EVC2\020\CONG\NV0\020CNV0_P2_3</t>
  </si>
  <si>
    <t>U:\2020\EUM\SLIM\EVC2\020\CONG\NV0\020CNV0_P2_4</t>
  </si>
  <si>
    <t>U:\2020\EUM\SLIM\EVC2\020\CONG\NV0\020CNV0_P2_5</t>
  </si>
  <si>
    <t>U:\2020\EUM\SLIM\EVC2\020\CONG\NV0\020CNV0_P3_1</t>
  </si>
  <si>
    <t>U:\2020\EUM\SLIM\EVC2\020\CONG\NV0\020CNV0_P3_2</t>
  </si>
  <si>
    <t>U:\2020\EUM\SLIM\EVC2\020\CONG\NV0\020CNV0_P3_3</t>
  </si>
  <si>
    <t>U:\2020\EUM\SLIM\EVC2\020\CONG\NV0\020CNV0_P3_4</t>
  </si>
  <si>
    <t>U:\2020\EUM\SLIM\EVC2\020\CONG\NV0\020CNV0_P3_5</t>
  </si>
  <si>
    <t>U:\2020\EUM\SLIM\EVC2\020\CONG\NV0\020CNV0_P4_1</t>
  </si>
  <si>
    <t>U:\2020\EUM\SLIM\EVC2\020\CONG\NV0\020CNV0_P4_2</t>
  </si>
  <si>
    <t>U:\2020\EUM\SLIM\EVC2\020\CONG\NV0\020CNV0_P4_3</t>
  </si>
  <si>
    <t>U:\2020\EUM\SLIM\EVC2\020\CONG\NV0\020CNV0_P4_4</t>
  </si>
  <si>
    <t>U:\2020\EUM\SLIM\EVC2\020\CONG\NV0\020CNV0_P4_5</t>
  </si>
  <si>
    <t>U:\2020\EUM\SLIM\EVC2\020\CONG\NV0\020CNV0_P5_1</t>
  </si>
  <si>
    <t>U:\2020\EUM\SLIM\EVC2\020\CONG\NV0\020CNV0_P5_2</t>
  </si>
  <si>
    <t>U:\2020\EUM\SLIM\EVC2\020\CONG\NV0\020CNV0_P5_3</t>
  </si>
  <si>
    <t>U:\2020\EUM\SLIM\EVC2\020\CONG\NV0\020CNV0_P5_4</t>
  </si>
  <si>
    <t>U:\2020\EUM\SLIM\EVC2\020\CONG\NV0\020CNV0_P5_5</t>
  </si>
  <si>
    <t>U:\2020\EUM\SLIM\EVC2\020\CONG\NV0\020CNV0_P6_1</t>
  </si>
  <si>
    <t>U:\2020\EUM\SLIM\EVC2\020\CONG\NV0\020CNV0_P6_2</t>
  </si>
  <si>
    <t>U:\2020\EUM\SLIM\EVC2\020\CONG\NV0\020CNV0_P6_3</t>
  </si>
  <si>
    <t>U:\2020\EUM\SLIM\EVC2\020\CONG\NV0\020CNV0_P6_4</t>
  </si>
  <si>
    <t>U:\2020\EUM\SLIM\EVC2\020\CONG\NV0\020CNV0_P6_5</t>
  </si>
  <si>
    <t>U:\2020\EUM\SLIM\EVC2\020\CONG\NVC\020CNVC_P1_1</t>
  </si>
  <si>
    <t>U:\2020\EUM\SLIM\EVC2\020\CONG\NVC\020CNVC_P1_2</t>
  </si>
  <si>
    <t>U:\2020\EUM\SLIM\EVC2\020\CONG\NVC\020CNVC_P1_3</t>
  </si>
  <si>
    <t>U:\2020\EUM\SLIM\EVC2\020\CONG\NVC\020CNVC_P1_4</t>
  </si>
  <si>
    <t>U:\2020\EUM\SLIM\EVC2\020\CONG\NVC\020CNVC_P1_5</t>
  </si>
  <si>
    <t>U:\2020\EUM\SLIM\EVC2\020\CONG\NVC\020CNVC_P2_1</t>
  </si>
  <si>
    <t>U:\2020\EUM\SLIM\EVC2\020\CONG\NVC\020CNVC_P2_2</t>
  </si>
  <si>
    <t>U:\2020\EUM\SLIM\EVC2\020\CONG\NVC\020CNVC_P2_3</t>
  </si>
  <si>
    <t>U:\2020\EUM\SLIM\EVC2\020\CONG\NVC\020CNVC_P2_4</t>
  </si>
  <si>
    <t>U:\2020\EUM\SLIM\EVC2\020\CONG\NVC\020CNVC_P2_5</t>
  </si>
  <si>
    <t>U:\2020\EUM\SLIM\EVC2\020\CONG\NVC\020CNVC_P3_1</t>
  </si>
  <si>
    <t>U:\2020\EUM\SLIM\EVC2\020\CONG\NVC\020CNVC_P3_2</t>
  </si>
  <si>
    <t>U:\2020\EUM\SLIM\EVC2\020\CONG\NVC\020CNVC_P3_3</t>
  </si>
  <si>
    <t>U:\2020\EUM\SLIM\EVC2\020\CONG\NVC\020CNVC_P3_4</t>
  </si>
  <si>
    <t>U:\2020\EUM\SLIM\EVC2\020\CONG\NVC\020CNVC_P3_5</t>
  </si>
  <si>
    <t>U:\2020\EUM\SLIM\EVC2\020\CONG\NVC\020CNVC_P4_1</t>
  </si>
  <si>
    <t>U:\2020\EUM\SLIM\EVC2\020\CONG\NVC\020CNVC_P4_2</t>
  </si>
  <si>
    <t>U:\2020\EUM\SLIM\EVC2\020\CONG\NVC\020CNVC_P4_3</t>
  </si>
  <si>
    <t>U:\2020\EUM\SLIM\EVC2\020\CONG\NVC\020CNVC_P4_4</t>
  </si>
  <si>
    <t>U:\2020\EUM\SLIM\EVC2\020\CONG\NVC\020CNVC_P4_5</t>
  </si>
  <si>
    <t>U:\2020\EUM\SLIM\EVC2\020\CONG\NVC\020CNVC_P5_1</t>
  </si>
  <si>
    <t>U:\2020\EUM\SLIM\EVC2\020\CONG\NVC\020CNVC_P5_2</t>
  </si>
  <si>
    <t>U:\2020\EUM\SLIM\EVC2\020\CONG\NVC\020CNVC_P5_3</t>
  </si>
  <si>
    <t>U:\2020\EUM\SLIM\EVC2\020\CONG\NVC\020CNVC_P5_4</t>
  </si>
  <si>
    <t>U:\2020\EUM\SLIM\EVC2\020\CONG\NVC\020CNVC_P5_5</t>
  </si>
  <si>
    <t>U:\2020\EUM\SLIM\EVC2\020\CONG\NVC\020CNVC_P6_1</t>
  </si>
  <si>
    <t>U:\2020\EUM\SLIM\EVC2\020\CONG\NVC\020CNVC_P6_2</t>
  </si>
  <si>
    <t>U:\2020\EUM\SLIM\EVC2\020\CONG\NVC\020CNVC_P6_3</t>
  </si>
  <si>
    <t>U:\2020\EUM\SLIM\EVC2\020\CONG\NVC\020CNVC_P6_4</t>
  </si>
  <si>
    <t>U:\2020\EUM\SLIM\EVC2\020\CONG\NVC\020CNVC_P6_5</t>
  </si>
  <si>
    <t>U:\2020\EUM\SLIM\EVC2\020\NORM\FV0\020NFV0_P1_1</t>
  </si>
  <si>
    <t>U:\2020\EUM\SLIM\EVC2\020\NORM\FV0\020NFV0_P1_2</t>
  </si>
  <si>
    <t>U:\2020\EUM\SLIM\EVC2\020\NORM\FV0\020NFV0_P1_3</t>
  </si>
  <si>
    <t>U:\2020\EUM\SLIM\EVC2\020\NORM\FV0\020NFV0_P1_4</t>
  </si>
  <si>
    <t>U:\2020\EUM\SLIM\EVC2\020\NORM\FV0\020NFV0_P1_5</t>
  </si>
  <si>
    <t>U:\2020\EUM\SLIM\EVC2\020\NORM\FV0\020NFV0_P2_1</t>
  </si>
  <si>
    <t>U:\2020\EUM\SLIM\EVC2\020\NORM\FV0\020NFV0_P2_2</t>
  </si>
  <si>
    <t>U:\2020\EUM\SLIM\EVC2\020\NORM\FV0\020NFV0_P2_3</t>
  </si>
  <si>
    <t>U:\2020\EUM\SLIM\EVC2\020\NORM\FV0\020NFV0_P2_4</t>
  </si>
  <si>
    <t>U:\2020\EUM\SLIM\EVC2\020\NORM\FV0\020NFV0_P2_5</t>
  </si>
  <si>
    <t>U:\2020\EUM\SLIM\EVC2\020\NORM\FV0\020NFV0_P3_1</t>
  </si>
  <si>
    <t>U:\2020\EUM\SLIM\EVC2\020\NORM\FV0\020NFV0_P3_2</t>
  </si>
  <si>
    <t>U:\2020\EUM\SLIM\EVC2\020\NORM\FV0\020NFV0_P3_3</t>
  </si>
  <si>
    <t>U:\2020\EUM\SLIM\EVC2\020\NORM\FV0\020NFV0_P3_4</t>
  </si>
  <si>
    <t>U:\2020\EUM\SLIM\EVC2\020\NORM\FV0\020NFV0_P3_5</t>
  </si>
  <si>
    <t>U:\2020\EUM\SLIM\EVC2\020\NORM\FV0\020NFV0_P4_1</t>
  </si>
  <si>
    <t>U:\2020\EUM\SLIM\EVC2\020\NORM\FV0\020NFV0_P4_2</t>
  </si>
  <si>
    <t>U:\2020\EUM\SLIM\EVC2\020\NORM\FV0\020NFV0_P4_3</t>
  </si>
  <si>
    <t>U:\2020\EUM\SLIM\EVC2\020\NORM\FV0\020NFV0_P4_4</t>
  </si>
  <si>
    <t>U:\2020\EUM\SLIM\EVC2\020\NORM\FV0\020NFV0_P4_5</t>
  </si>
  <si>
    <t>U:\2020\EUM\SLIM\EVC2\020\NORM\FV0\020NFV0_P5_1</t>
  </si>
  <si>
    <t>U:\2020\EUM\SLIM\EVC2\020\NORM\FV0\020NFV0_P5_2</t>
  </si>
  <si>
    <t>U:\2020\EUM\SLIM\EVC2\020\NORM\FV0\020NFV0_P5_3</t>
  </si>
  <si>
    <t>U:\2020\EUM\SLIM\EVC2\020\NORM\FV0\020NFV0_P5_4</t>
  </si>
  <si>
    <t>U:\2020\EUM\SLIM\EVC2\020\NORM\FV0\020NFV0_P5_5</t>
  </si>
  <si>
    <t>U:\2020\EUM\SLIM\EVC2\020\NORM\FV0\020NFV0_P6_1</t>
  </si>
  <si>
    <t>U:\2020\EUM\SLIM\EVC2\020\NORM\FV0\020NFV0_P6_2</t>
  </si>
  <si>
    <t>U:\2020\EUM\SLIM\EVC2\020\NORM\FV0\020NFV0_P6_3</t>
  </si>
  <si>
    <t>U:\2020\EUM\SLIM\EVC2\020\NORM\FV0\020NFV0_P6_4</t>
  </si>
  <si>
    <t>U:\2020\EUM\SLIM\EVC2\020\NORM\FV0\020NFV0_P6_5</t>
  </si>
  <si>
    <t>U:\2020\EUM\SLIM\EVC2\020\NORM\FVM\020NFVM_P1_1</t>
  </si>
  <si>
    <t>U:\2020\EUM\SLIM\EVC2\020\NORM\FVM\020NFVM_P1_2</t>
  </si>
  <si>
    <t>U:\2020\EUM\SLIM\EVC2\020\NORM\FVM\020NFVM_P1_3</t>
  </si>
  <si>
    <t>U:\2020\EUM\SLIM\EVC2\020\NORM\FVM\020NFVM_P1_4</t>
  </si>
  <si>
    <t>U:\2020\EUM\SLIM\EVC2\020\NORM\FVM\020NFVM_P1_5</t>
  </si>
  <si>
    <t>U:\2020\EUM\SLIM\EVC2\020\NORM\FVM\020NFVM_P2_1</t>
  </si>
  <si>
    <t>U:\2020\EUM\SLIM\EVC2\020\NORM\FVM\020NFVM_P2_2</t>
  </si>
  <si>
    <t>U:\2020\EUM\SLIM\EVC2\020\NORM\FVM\020NFVM_P2_3</t>
  </si>
  <si>
    <t>U:\2020\EUM\SLIM\EVC2\020\NORM\FVM\020NFVM_P2_4</t>
  </si>
  <si>
    <t>U:\2020\EUM\SLIM\EVC2\020\NORM\FVM\020NFVM_P2_5</t>
  </si>
  <si>
    <t>U:\2020\EUM\SLIM\EVC2\020\NORM\FVM\020NFVM_P3_1</t>
  </si>
  <si>
    <t>U:\2020\EUM\SLIM\EVC2\020\NORM\FVM\020NFVM_P3_2</t>
  </si>
  <si>
    <t>U:\2020\EUM\SLIM\EVC2\020\NORM\FVM\020NFVM_P3_3</t>
  </si>
  <si>
    <t>U:\2020\EUM\SLIM\EVC2\020\NORM\FVM\020NFVM_P3_4</t>
  </si>
  <si>
    <t>U:\2020\EUM\SLIM\EVC2\020\NORM\FVM\020NFVM_P3_5</t>
  </si>
  <si>
    <t>U:\2020\EUM\SLIM\EVC2\020\NORM\FVM\020NFVM_P4_1</t>
  </si>
  <si>
    <t>U:\2020\EUM\SLIM\EVC2\020\NORM\FVM\020NFVM_P4_2</t>
  </si>
  <si>
    <t>U:\2020\EUM\SLIM\EVC2\020\NORM\FVM\020NFVM_P4_3</t>
  </si>
  <si>
    <t>U:\2020\EUM\SLIM\EVC2\020\NORM\FVM\020NFVM_P4_4</t>
  </si>
  <si>
    <t>U:\2020\EUM\SLIM\EVC2\020\NORM\FVM\020NFVM_P4_5</t>
  </si>
  <si>
    <t>U:\2020\EUM\SLIM\EVC2\020\NORM\FVM\020NFVM_P5_1</t>
  </si>
  <si>
    <t>U:\2020\EUM\SLIM\EVC2\020\NORM\FVM\020NFVM_P5_2</t>
  </si>
  <si>
    <t>U:\2020\EUM\SLIM\EVC2\020\NORM\FVM\020NFVM_P5_3</t>
  </si>
  <si>
    <t>U:\2020\EUM\SLIM\EVC2\020\NORM\FVM\020NFVM_P5_4</t>
  </si>
  <si>
    <t>U:\2020\EUM\SLIM\EVC2\020\NORM\FVM\020NFVM_P5_5</t>
  </si>
  <si>
    <t>U:\2020\EUM\SLIM\EVC2\020\NORM\FVM\020NFVM_P6_1</t>
  </si>
  <si>
    <t>U:\2020\EUM\SLIM\EVC2\020\NORM\FVM\020NFVM_P6_2</t>
  </si>
  <si>
    <t>U:\2020\EUM\SLIM\EVC2\020\NORM\FVM\020NFVM_P6_3</t>
  </si>
  <si>
    <t>U:\2020\EUM\SLIM\EVC2\020\NORM\FVM\020NFVM_P6_4</t>
  </si>
  <si>
    <t>U:\2020\EUM\SLIM\EVC2\020\NORM\FVM\020NFVM_P6_5</t>
  </si>
  <si>
    <t>U:\2020\EUM\SLIM\EVC2\020\NORM\FVP\020NFVP_P1_1</t>
  </si>
  <si>
    <t>U:\2020\EUM\SLIM\EVC2\020\NORM\FVP\020NFVP_P1_2</t>
  </si>
  <si>
    <t>U:\2020\EUM\SLIM\EVC2\020\NORM\FVP\020NFVP_P1_3</t>
  </si>
  <si>
    <t>U:\2020\EUM\SLIM\EVC2\020\NORM\FVP\020NFVP_P1_4</t>
  </si>
  <si>
    <t>U:\2020\EUM\SLIM\EVC2\020\NORM\FVP\020NFVP_P1_5</t>
  </si>
  <si>
    <t>U:\2020\EUM\SLIM\EVC2\020\NORM\FVP\020NFVP_P2_1</t>
  </si>
  <si>
    <t>U:\2020\EUM\SLIM\EVC2\020\NORM\FVP\020NFVP_P2_2</t>
  </si>
  <si>
    <t>U:\2020\EUM\SLIM\EVC2\020\NORM\FVP\020NFVP_P2_3</t>
  </si>
  <si>
    <t>U:\2020\EUM\SLIM\EVC2\020\NORM\FVP\020NFVP_P2_4</t>
  </si>
  <si>
    <t>U:\2020\EUM\SLIM\EVC2\020\NORM\FVP\020NFVP_P2_5</t>
  </si>
  <si>
    <t>U:\2020\EUM\SLIM\EVC2\020\NORM\FVP\020NFVP_P3_1</t>
  </si>
  <si>
    <t>U:\2020\EUM\SLIM\EVC2\020\NORM\FVP\020NFVP_P3_2</t>
  </si>
  <si>
    <t>U:\2020\EUM\SLIM\EVC2\020\NORM\FVP\020NFVP_P3_3</t>
  </si>
  <si>
    <t>U:\2020\EUM\SLIM\EVC2\020\NORM\FVP\020NFVP_P3_4</t>
  </si>
  <si>
    <t>U:\2020\EUM\SLIM\EVC2\020\NORM\FVP\020NFVP_P3_5</t>
  </si>
  <si>
    <t>U:\2020\EUM\SLIM\EVC2\020\NORM\FVP\020NFVP_P4_1</t>
  </si>
  <si>
    <t>U:\2020\EUM\SLIM\EVC2\020\NORM\FVP\020NFVP_P4_2</t>
  </si>
  <si>
    <t>U:\2020\EUM\SLIM\EVC2\020\NORM\FVP\020NFVP_P4_3</t>
  </si>
  <si>
    <t>U:\2020\EUM\SLIM\EVC2\020\NORM\FVP\020NFVP_P4_4</t>
  </si>
  <si>
    <t>U:\2020\EUM\SLIM\EVC2\020\NORM\FVP\020NFVP_P4_5</t>
  </si>
  <si>
    <t>U:\2020\EUM\SLIM\EVC2\020\NORM\FVP\020NFVP_P5_1</t>
  </si>
  <si>
    <t>U:\2020\EUM\SLIM\EVC2\020\NORM\FVP\020NFVP_P5_2</t>
  </si>
  <si>
    <t>U:\2020\EUM\SLIM\EVC2\020\NORM\FVP\020NFVP_P5_3</t>
  </si>
  <si>
    <t>U:\2020\EUM\SLIM\EVC2\020\NORM\FVP\020NFVP_P5_4</t>
  </si>
  <si>
    <t>U:\2020\EUM\SLIM\EVC2\020\NORM\FVP\020NFVP_P5_5</t>
  </si>
  <si>
    <t>U:\2020\EUM\SLIM\EVC2\020\NORM\FVP\020NFVP_P6_1</t>
  </si>
  <si>
    <t>U:\2020\EUM\SLIM\EVC2\020\NORM\FVP\020NFVP_P6_2</t>
  </si>
  <si>
    <t>U:\2020\EUM\SLIM\EVC2\020\NORM\FVP\020NFVP_P6_3</t>
  </si>
  <si>
    <t>U:\2020\EUM\SLIM\EVC2\020\NORM\FVP\020NFVP_P6_4</t>
  </si>
  <si>
    <t>U:\2020\EUM\SLIM\EVC2\020\NORM\FVP\020NFVP_P6_5</t>
  </si>
  <si>
    <t>U:\2020\EUM\SLIM\EVC2\020\NORM\NVC\020NNVC_P1_1</t>
  </si>
  <si>
    <t>U:\2020\EUM\SLIM\EVC2\020\NORM\NVC\020NNVC_P1_2</t>
  </si>
  <si>
    <t>U:\2020\EUM\SLIM\EVC2\020\NORM\NVC\020NNVC_P1_3</t>
  </si>
  <si>
    <t>U:\2020\EUM\SLIM\EVC2\020\NORM\NVC\020NNVC_P1_4</t>
  </si>
  <si>
    <t>U:\2020\EUM\SLIM\EVC2\020\NORM\NVC\020NNVC_P1_5</t>
  </si>
  <si>
    <t>U:\2020\EUM\SLIM\EVC2\020\NORM\NVC\020NNVC_P2_1</t>
  </si>
  <si>
    <t>U:\2020\EUM\SLIM\EVC2\020\NORM\NVC\020NNVC_P2_2</t>
  </si>
  <si>
    <t>U:\2020\EUM\SLIM\EVC2\020\NORM\NVC\020NNVC_P2_3</t>
  </si>
  <si>
    <t>U:\2020\EUM\SLIM\EVC2\020\NORM\NVC\020NNVC_P2_4</t>
  </si>
  <si>
    <t>U:\2020\EUM\SLIM\EVC2\020\NORM\NVC\020NNVC_P2_5</t>
  </si>
  <si>
    <t>U:\2020\EUM\SLIM\EVC2\020\NORM\NVC\020NNVC_P3_1</t>
  </si>
  <si>
    <t>U:\2020\EUM\SLIM\EVC2\020\NORM\NVC\020NNVC_P3_2</t>
  </si>
  <si>
    <t>U:\2020\EUM\SLIM\EVC2\020\NORM\NVC\020NNVC_P3_3</t>
  </si>
  <si>
    <t>U:\2020\EUM\SLIM\EVC2\020\NORM\NVC\020NNVC_P3_4</t>
  </si>
  <si>
    <t>U:\2020\EUM\SLIM\EVC2\020\NORM\NVC\020NNVC_P3_5</t>
  </si>
  <si>
    <t>U:\2020\EUM\SLIM\EVC2\020\NORM\NVC\020NNVC_P4_1</t>
  </si>
  <si>
    <t>U:\2020\EUM\SLIM\EVC2\020\NORM\NVC\020NNVC_P4_2</t>
  </si>
  <si>
    <t>U:\2020\EUM\SLIM\EVC2\020\NORM\NVC\020NNVC_P4_3</t>
  </si>
  <si>
    <t>U:\2020\EUM\SLIM\EVC2\020\NORM\NVC\020NNVC_P4_4</t>
  </si>
  <si>
    <t>U:\2020\EUM\SLIM\EVC2\020\NORM\NVC\020NNVC_P4_5</t>
  </si>
  <si>
    <t>U:\2020\EUM\SLIM\EVC2\020\NORM\NVC\020NNVC_P5_1</t>
  </si>
  <si>
    <t>U:\2020\EUM\SLIM\EVC2\020\NORM\NVC\020NNVC_P5_2</t>
  </si>
  <si>
    <t>U:\2020\EUM\SLIM\EVC2\020\NORM\NVC\020NNVC_P5_3</t>
  </si>
  <si>
    <t>U:\2020\EUM\SLIM\EVC2\020\NORM\NVC\020NNVC_P5_4</t>
  </si>
  <si>
    <t>U:\2020\EUM\SLIM\EVC2\020\NORM\NVC\020NNVC_P5_5</t>
  </si>
  <si>
    <t>U:\2020\EUM\SLIM\EVC2\020\NORM\NVC\020NNVC_P6_1</t>
  </si>
  <si>
    <t>U:\2020\EUM\SLIM\EVC2\020\NORM\NVC\020NNVC_P6_2</t>
  </si>
  <si>
    <t>U:\2020\EUM\SLIM\EVC2\020\NORM\NVC\020NNVC_P6_3</t>
  </si>
  <si>
    <t>U:\2020\EUM\SLIM\EVC2\020\NORM\NVC\020NNVC_P6_4</t>
  </si>
  <si>
    <t>U:\2020\EUM\SLIM\EVC2\020\NORM\NVC\020NNVC_P6_5</t>
  </si>
  <si>
    <t>U:\2020\EUM\SLIM\EVC2\030\CONG\FV0\030CFV0_P1_1</t>
  </si>
  <si>
    <t>U:\2020\EUM\SLIM\EVC2\030\CONG\FV0\030CFV0_P1_2</t>
  </si>
  <si>
    <t>U:\2020\EUM\SLIM\EVC2\030\CONG\FV0\030CFV0_P1_3</t>
  </si>
  <si>
    <t>U:\2020\EUM\SLIM\EVC2\030\CONG\FV0\030CFV0_P1_4</t>
  </si>
  <si>
    <t>U:\2020\EUM\SLIM\EVC2\030\CONG\FV0\030CFV0_P1_5</t>
  </si>
  <si>
    <t>U:\2020\EUM\SLIM\EVC2\030\CONG\FV0\030CFV0_P2_1</t>
  </si>
  <si>
    <t>U:\2020\EUM\SLIM\EVC2\030\CONG\FV0\030CFV0_P2_2</t>
  </si>
  <si>
    <t>U:\2020\EUM\SLIM\EVC2\030\CONG\FV0\030CFV0_P2_3</t>
  </si>
  <si>
    <t>U:\2020\EUM\SLIM\EVC2\030\CONG\FV0\030CFV0_P2_4</t>
  </si>
  <si>
    <t>U:\2020\EUM\SLIM\EVC2\030\CONG\FV0\030CFV0_P2_5</t>
  </si>
  <si>
    <t>U:\2020\EUM\SLIM\EVC2\030\CONG\FV0\030CFV0_P3_1</t>
  </si>
  <si>
    <t>U:\2020\EUM\SLIM\EVC2\030\CONG\FV0\030CFV0_P3_2</t>
  </si>
  <si>
    <t>U:\2020\EUM\SLIM\EVC2\030\CONG\FV0\030CFV0_P3_3</t>
  </si>
  <si>
    <t>U:\2020\EUM\SLIM\EVC2\030\CONG\FV0\030CFV0_P3_4</t>
  </si>
  <si>
    <t>U:\2020\EUM\SLIM\EVC2\030\CONG\FV0\030CFV0_P3_5</t>
  </si>
  <si>
    <t>U:\2020\EUM\SLIM\EVC2\030\CONG\FV0\030CFV0_P4_1</t>
  </si>
  <si>
    <t>U:\2020\EUM\SLIM\EVC2\030\CONG\FV0\030CFV0_P4_2</t>
  </si>
  <si>
    <t>U:\2020\EUM\SLIM\EVC2\030\CONG\FV0\030CFV0_P4_3</t>
  </si>
  <si>
    <t>U:\2020\EUM\SLIM\EVC2\030\CONG\FV0\030CFV0_P4_4</t>
  </si>
  <si>
    <t>U:\2020\EUM\SLIM\EVC2\030\CONG\FV0\030CFV0_P4_5</t>
  </si>
  <si>
    <t>U:\2020\EUM\SLIM\EVC2\030\CONG\FV0\030CFV0_P5_1</t>
  </si>
  <si>
    <t>U:\2020\EUM\SLIM\EVC2\030\CONG\FV0\030CFV0_P5_2</t>
  </si>
  <si>
    <t>U:\2020\EUM\SLIM\EVC2\030\CONG\FV0\030CFV0_P5_3</t>
  </si>
  <si>
    <t>U:\2020\EUM\SLIM\EVC2\030\CONG\FV0\030CFV0_P5_4</t>
  </si>
  <si>
    <t>U:\2020\EUM\SLIM\EVC2\030\CONG\FV0\030CFV0_P5_5</t>
  </si>
  <si>
    <t>U:\2020\EUM\SLIM\EVC2\030\CONG\FV0\030CFV0_P6_1</t>
  </si>
  <si>
    <t>U:\2020\EUM\SLIM\EVC2\030\CONG\FV0\030CFV0_P6_2</t>
  </si>
  <si>
    <t>U:\2020\EUM\SLIM\EVC2\030\CONG\FV0\030CFV0_P6_3</t>
  </si>
  <si>
    <t>U:\2020\EUM\SLIM\EVC2\030\CONG\FV0\030CFV0_P6_4</t>
  </si>
  <si>
    <t>U:\2020\EUM\SLIM\EVC2\030\CONG\FV0\030CFV0_P6_5</t>
  </si>
  <si>
    <t>U:\2020\EUM\SLIM\EVC2\030\CONG\FVM\030CFVM_P1_1</t>
  </si>
  <si>
    <t>U:\2020\EUM\SLIM\EVC2\030\CONG\FVM\030CFVM_P1_2</t>
  </si>
  <si>
    <t>U:\2020\EUM\SLIM\EVC2\030\CONG\FVM\030CFVM_P1_3</t>
  </si>
  <si>
    <t>U:\2020\EUM\SLIM\EVC2\030\CONG\FVM\030CFVM_P1_4</t>
  </si>
  <si>
    <t>U:\2020\EUM\SLIM\EVC2\030\CONG\FVM\030CFVM_P1_5</t>
  </si>
  <si>
    <t>U:\2020\EUM\SLIM\EVC2\030\CONG\FVM\030CFVM_P2_1</t>
  </si>
  <si>
    <t>U:\2020\EUM\SLIM\EVC2\030\CONG\FVM\030CFVM_P2_2</t>
  </si>
  <si>
    <t>U:\2020\EUM\SLIM\EVC2\030\CONG\FVM\030CFVM_P2_3</t>
  </si>
  <si>
    <t>U:\2020\EUM\SLIM\EVC2\030\CONG\FVM\030CFVM_P2_4</t>
  </si>
  <si>
    <t>U:\2020\EUM\SLIM\EVC2\030\CONG\FVM\030CFVM_P2_5</t>
  </si>
  <si>
    <t>U:\2020\EUM\SLIM\EVC2\030\CONG\FVM\030CFVM_P3_1</t>
  </si>
  <si>
    <t>U:\2020\EUM\SLIM\EVC2\030\CONG\FVM\030CFVM_P3_2</t>
  </si>
  <si>
    <t>U:\2020\EUM\SLIM\EVC2\030\CONG\FVM\030CFVM_P3_3</t>
  </si>
  <si>
    <t>U:\2020\EUM\SLIM\EVC2\030\CONG\FVM\030CFVM_P3_4</t>
  </si>
  <si>
    <t>U:\2020\EUM\SLIM\EVC2\030\CONG\FVM\030CFVM_P3_5</t>
  </si>
  <si>
    <t>U:\2020\EUM\SLIM\EVC2\030\CONG\FVM\030CFVM_P4_1</t>
  </si>
  <si>
    <t>U:\2020\EUM\SLIM\EVC2\030\CONG\FVM\030CFVM_P4_2</t>
  </si>
  <si>
    <t>U:\2020\EUM\SLIM\EVC2\030\CONG\FVM\030CFVM_P4_3</t>
  </si>
  <si>
    <t>U:\2020\EUM\SLIM\EVC2\030\CONG\FVM\030CFVM_P4_4</t>
  </si>
  <si>
    <t>U:\2020\EUM\SLIM\EVC2\030\CONG\FVM\030CFVM_P4_5</t>
  </si>
  <si>
    <t>U:\2020\EUM\SLIM\EVC2\030\CONG\FVM\030CFVM_P5_1</t>
  </si>
  <si>
    <t>U:\2020\EUM\SLIM\EVC2\030\CONG\FVM\030CFVM_P5_2</t>
  </si>
  <si>
    <t>U:\2020\EUM\SLIM\EVC2\030\CONG\FVM\030CFVM_P5_3</t>
  </si>
  <si>
    <t>U:\2020\EUM\SLIM\EVC2\030\CONG\FVM\030CFVM_P5_4</t>
  </si>
  <si>
    <t>U:\2020\EUM\SLIM\EVC2\030\CONG\FVM\030CFVM_P5_5</t>
  </si>
  <si>
    <t>U:\2020\EUM\SLIM\EVC2\030\CONG\FVM\030CFVM_P6_1</t>
  </si>
  <si>
    <t>U:\2020\EUM\SLIM\EVC2\030\CONG\FVM\030CFVM_P6_2</t>
  </si>
  <si>
    <t>U:\2020\EUM\SLIM\EVC2\030\CONG\FVM\030CFVM_P6_3</t>
  </si>
  <si>
    <t>U:\2020\EUM\SLIM\EVC2\030\CONG\FVM\030CFVM_P6_4</t>
  </si>
  <si>
    <t>U:\2020\EUM\SLIM\EVC2\030\CONG\FVM\030CFVM_P6_5</t>
  </si>
  <si>
    <t>U:\2020\EUM\SLIM\EVC2\030\CONG\FVP\030CFVP_P1_1</t>
  </si>
  <si>
    <t>U:\2020\EUM\SLIM\EVC2\030\CONG\FVP\030CFVP_P1_2</t>
  </si>
  <si>
    <t>U:\2020\EUM\SLIM\EVC2\030\CONG\FVP\030CFVP_P1_3</t>
  </si>
  <si>
    <t>U:\2020\EUM\SLIM\EVC2\030\CONG\FVP\030CFVP_P1_4</t>
  </si>
  <si>
    <t>U:\2020\EUM\SLIM\EVC2\030\CONG\FVP\030CFVP_P1_5</t>
  </si>
  <si>
    <t>U:\2020\EUM\SLIM\EVC2\030\CONG\FVP\030CFVP_P2_1</t>
  </si>
  <si>
    <t>U:\2020\EUM\SLIM\EVC2\030\CONG\FVP\030CFVP_P2_2</t>
  </si>
  <si>
    <t>U:\2020\EUM\SLIM\EVC2\030\CONG\FVP\030CFVP_P2_3</t>
  </si>
  <si>
    <t>U:\2020\EUM\SLIM\EVC2\030\CONG\FVP\030CFVP_P2_4</t>
  </si>
  <si>
    <t>U:\2020\EUM\SLIM\EVC2\030\CONG\FVP\030CFVP_P2_5</t>
  </si>
  <si>
    <t>U:\2020\EUM\SLIM\EVC2\030\CONG\FVP\030CFVP_P3_1</t>
  </si>
  <si>
    <t>U:\2020\EUM\SLIM\EVC2\030\CONG\FVP\030CFVP_P3_2</t>
  </si>
  <si>
    <t>U:\2020\EUM\SLIM\EVC2\030\CONG\FVP\030CFVP_P3_3</t>
  </si>
  <si>
    <t>U:\2020\EUM\SLIM\EVC2\030\CONG\FVP\030CFVP_P3_4</t>
  </si>
  <si>
    <t>U:\2020\EUM\SLIM\EVC2\030\CONG\FVP\030CFVP_P3_5</t>
  </si>
  <si>
    <t>U:\2020\EUM\SLIM\EVC2\030\CONG\FVP\030CFVP_P4_1</t>
  </si>
  <si>
    <t>U:\2020\EUM\SLIM\EVC2\030\CONG\FVP\030CFVP_P4_2</t>
  </si>
  <si>
    <t>U:\2020\EUM\SLIM\EVC2\030\CONG\FVP\030CFVP_P4_3</t>
  </si>
  <si>
    <t>U:\2020\EUM\SLIM\EVC2\030\CONG\FVP\030CFVP_P4_4</t>
  </si>
  <si>
    <t>U:\2020\EUM\SLIM\EVC2\030\CONG\FVP\030CFVP_P4_5</t>
  </si>
  <si>
    <t>U:\2020\EUM\SLIM\EVC2\030\CONG\FVP\030CFVP_P5_1</t>
  </si>
  <si>
    <t>U:\2020\EUM\SLIM\EVC2\030\CONG\FVP\030CFVP_P5_2</t>
  </si>
  <si>
    <t>U:\2020\EUM\SLIM\EVC2\030\CONG\FVP\030CFVP_P5_3</t>
  </si>
  <si>
    <t>U:\2020\EUM\SLIM\EVC2\030\CONG\FVP\030CFVP_P5_4</t>
  </si>
  <si>
    <t>U:\2020\EUM\SLIM\EVC2\030\CONG\FVP\030CFVP_P5_5</t>
  </si>
  <si>
    <t>U:\2020\EUM\SLIM\EVC2\030\CONG\FVP\030CFVP_P6_1</t>
  </si>
  <si>
    <t>U:\2020\EUM\SLIM\EVC2\030\CONG\FVP\030CFVP_P6_2</t>
  </si>
  <si>
    <t>U:\2020\EUM\SLIM\EVC2\030\CONG\FVP\030CFVP_P6_3</t>
  </si>
  <si>
    <t>U:\2020\EUM\SLIM\EVC2\030\CONG\FVP\030CFVP_P6_4</t>
  </si>
  <si>
    <t>U:\2020\EUM\SLIM\EVC2\030\CONG\FVP\030CFVP_P6_5</t>
  </si>
  <si>
    <t>U:\2020\EUM\SLIM\EVC2\030\CONG\NV0\030CNV0_P1_1</t>
  </si>
  <si>
    <t>U:\2020\EUM\SLIM\EVC2\030\CONG\NV0\030CNV0_P1_2</t>
  </si>
  <si>
    <t>U:\2020\EUM\SLIM\EVC2\030\CONG\NV0\030CNV0_P1_3</t>
  </si>
  <si>
    <t>U:\2020\EUM\SLIM\EVC2\030\CONG\NV0\030CNV0_P1_4</t>
  </si>
  <si>
    <t>U:\2020\EUM\SLIM\EVC2\030\CONG\NV0\030CNV0_P1_5</t>
  </si>
  <si>
    <t>U:\2020\EUM\SLIM\EVC2\030\CONG\NV0\030CNV0_P2_1</t>
  </si>
  <si>
    <t>U:\2020\EUM\SLIM\EVC2\030\CONG\NV0\030CNV0_P2_2</t>
  </si>
  <si>
    <t>U:\2020\EUM\SLIM\EVC2\030\CONG\NV0\030CNV0_P2_3</t>
  </si>
  <si>
    <t>U:\2020\EUM\SLIM\EVC2\030\CONG\NV0\030CNV0_P2_4</t>
  </si>
  <si>
    <t>U:\2020\EUM\SLIM\EVC2\030\CONG\NV0\030CNV0_P2_5</t>
  </si>
  <si>
    <t>U:\2020\EUM\SLIM\EVC2\030\CONG\NV0\030CNV0_P3_1</t>
  </si>
  <si>
    <t>U:\2020\EUM\SLIM\EVC2\030\CONG\NV0\030CNV0_P3_2</t>
  </si>
  <si>
    <t>U:\2020\EUM\SLIM\EVC2\030\CONG\NV0\030CNV0_P3_3</t>
  </si>
  <si>
    <t>U:\2020\EUM\SLIM\EVC2\030\CONG\NV0\030CNV0_P3_4</t>
  </si>
  <si>
    <t>U:\2020\EUM\SLIM\EVC2\030\CONG\NV0\030CNV0_P3_5</t>
  </si>
  <si>
    <t>U:\2020\EUM\SLIM\EVC2\030\CONG\NV0\030CNV0_P4_1</t>
  </si>
  <si>
    <t>U:\2020\EUM\SLIM\EVC2\030\CONG\NV0\030CNV0_P4_2</t>
  </si>
  <si>
    <t>U:\2020\EUM\SLIM\EVC2\030\CONG\NV0\030CNV0_P4_3</t>
  </si>
  <si>
    <t>U:\2020\EUM\SLIM\EVC2\030\CONG\NV0\030CNV0_P4_4</t>
  </si>
  <si>
    <t>U:\2020\EUM\SLIM\EVC2\030\CONG\NV0\030CNV0_P4_5</t>
  </si>
  <si>
    <t>U:\2020\EUM\SLIM\EVC2\030\CONG\NV0\030CNV0_P5_1</t>
  </si>
  <si>
    <t>U:\2020\EUM\SLIM\EVC2\030\CONG\NV0\030CNV0_P5_2</t>
  </si>
  <si>
    <t>U:\2020\EUM\SLIM\EVC2\030\CONG\NV0\030CNV0_P5_3</t>
  </si>
  <si>
    <t>U:\2020\EUM\SLIM\EVC2\030\CONG\NV0\030CNV0_P5_4</t>
  </si>
  <si>
    <t>U:\2020\EUM\SLIM\EVC2\030\CONG\NV0\030CNV0_P5_5</t>
  </si>
  <si>
    <t>U:\2020\EUM\SLIM\EVC2\030\CONG\NV0\030CNV0_P6_1</t>
  </si>
  <si>
    <t>U:\2020\EUM\SLIM\EVC2\030\CONG\NV0\030CNV0_P6_2</t>
  </si>
  <si>
    <t>U:\2020\EUM\SLIM\EVC2\030\CONG\NV0\030CNV0_P6_3</t>
  </si>
  <si>
    <t>U:\2020\EUM\SLIM\EVC2\030\CONG\NV0\030CNV0_P6_4</t>
  </si>
  <si>
    <t>U:\2020\EUM\SLIM\EVC2\030\CONG\NV0\030CNV0_P6_5</t>
  </si>
  <si>
    <t>U:\2020\EUM\SLIM\EVC2\030\CONG\NVC\030CNVC_P1_1</t>
  </si>
  <si>
    <t>U:\2020\EUM\SLIM\EVC2\030\CONG\NVC\030CNVC_P1_2</t>
  </si>
  <si>
    <t>U:\2020\EUM\SLIM\EVC2\030\CONG\NVC\030CNVC_P1_3</t>
  </si>
  <si>
    <t>U:\2020\EUM\SLIM\EVC2\030\CONG\NVC\030CNVC_P1_4</t>
  </si>
  <si>
    <t>U:\2020\EUM\SLIM\EVC2\030\CONG\NVC\030CNVC_P1_5</t>
  </si>
  <si>
    <t>U:\2020\EUM\SLIM\EVC2\030\CONG\NVC\030CNVC_P2_1</t>
  </si>
  <si>
    <t>U:\2020\EUM\SLIM\EVC2\030\CONG\NVC\030CNVC_P2_2</t>
  </si>
  <si>
    <t>U:\2020\EUM\SLIM\EVC2\030\CONG\NVC\030CNVC_P2_3</t>
  </si>
  <si>
    <t>U:\2020\EUM\SLIM\EVC2\030\CONG\NVC\030CNVC_P2_4</t>
  </si>
  <si>
    <t>U:\2020\EUM\SLIM\EVC2\030\CONG\NVC\030CNVC_P2_5</t>
  </si>
  <si>
    <t>U:\2020\EUM\SLIM\EVC2\030\CONG\NVC\030CNVC_P3_1</t>
  </si>
  <si>
    <t>U:\2020\EUM\SLIM\EVC2\030\CONG\NVC\030CNVC_P3_2</t>
  </si>
  <si>
    <t>U:\2020\EUM\SLIM\EVC2\030\CONG\NVC\030CNVC_P3_3</t>
  </si>
  <si>
    <t>U:\2020\EUM\SLIM\EVC2\030\CONG\NVC\030CNVC_P3_4</t>
  </si>
  <si>
    <t>U:\2020\EUM\SLIM\EVC2\030\CONG\NVC\030CNVC_P3_5</t>
  </si>
  <si>
    <t>U:\2020\EUM\SLIM\EVC2\030\CONG\NVC\030CNVC_P4_1</t>
  </si>
  <si>
    <t>U:\2020\EUM\SLIM\EVC2\030\CONG\NVC\030CNVC_P4_2</t>
  </si>
  <si>
    <t>U:\2020\EUM\SLIM\EVC2\030\CONG\NVC\030CNVC_P4_3</t>
  </si>
  <si>
    <t>U:\2020\EUM\SLIM\EVC2\030\CONG\NVC\030CNVC_P4_4</t>
  </si>
  <si>
    <t>U:\2020\EUM\SLIM\EVC2\030\CONG\NVC\030CNVC_P4_5</t>
  </si>
  <si>
    <t>U:\2020\EUM\SLIM\EVC2\030\CONG\NVC\030CNVC_P5_1</t>
  </si>
  <si>
    <t>U:\2020\EUM\SLIM\EVC2\030\CONG\NVC\030CNVC_P5_2</t>
  </si>
  <si>
    <t>U:\2020\EUM\SLIM\EVC2\030\CONG\NVC\030CNVC_P5_3</t>
  </si>
  <si>
    <t>U:\2020\EUM\SLIM\EVC2\030\CONG\NVC\030CNVC_P5_4</t>
  </si>
  <si>
    <t>U:\2020\EUM\SLIM\EVC2\030\CONG\NVC\030CNVC_P5_5</t>
  </si>
  <si>
    <t>U:\2020\EUM\SLIM\EVC2\030\CONG\NVC\030CNVC_P6_1</t>
  </si>
  <si>
    <t>U:\2020\EUM\SLIM\EVC2\030\CONG\NVC\030CNVC_P6_2</t>
  </si>
  <si>
    <t>U:\2020\EUM\SLIM\EVC2\030\CONG\NVC\030CNVC_P6_3</t>
  </si>
  <si>
    <t>U:\2020\EUM\SLIM\EVC2\030\CONG\NVC\030CNVC_P6_4</t>
  </si>
  <si>
    <t>U:\2020\EUM\SLIM\EVC2\030\CONG\NVC\030CNVC_P6_5</t>
  </si>
  <si>
    <t>U:\2020\EUM\SLIM\EVC2\030\NORM\FV0\030NFV0_P1_1</t>
  </si>
  <si>
    <t>U:\2020\EUM\SLIM\EVC2\030\NORM\FV0\030NFV0_P1_2</t>
  </si>
  <si>
    <t>U:\2020\EUM\SLIM\EVC2\030\NORM\FV0\030NFV0_P1_3</t>
  </si>
  <si>
    <t>U:\2020\EUM\SLIM\EVC2\030\NORM\FV0\030NFV0_P1_4</t>
  </si>
  <si>
    <t>U:\2020\EUM\SLIM\EVC2\030\NORM\FV0\030NFV0_P1_5</t>
  </si>
  <si>
    <t>U:\2020\EUM\SLIM\EVC2\030\NORM\FV0\030NFV0_P2_1</t>
  </si>
  <si>
    <t>U:\2020\EUM\SLIM\EVC2\030\NORM\FV0\030NFV0_P2_2</t>
  </si>
  <si>
    <t>U:\2020\EUM\SLIM\EVC2\030\NORM\FV0\030NFV0_P2_3</t>
  </si>
  <si>
    <t>U:\2020\EUM\SLIM\EVC2\030\NORM\FV0\030NFV0_P2_4</t>
  </si>
  <si>
    <t>U:\2020\EUM\SLIM\EVC2\030\NORM\FV0\030NFV0_P2_5</t>
  </si>
  <si>
    <t>U:\2020\EUM\SLIM\EVC2\030\NORM\FV0\030NFV0_P3_1</t>
  </si>
  <si>
    <t>U:\2020\EUM\SLIM\EVC2\030\NORM\FV0\030NFV0_P3_2</t>
  </si>
  <si>
    <t>U:\2020\EUM\SLIM\EVC2\030\NORM\FV0\030NFV0_P3_3</t>
  </si>
  <si>
    <t>U:\2020\EUM\SLIM\EVC2\030\NORM\FV0\030NFV0_P3_4</t>
  </si>
  <si>
    <t>U:\2020\EUM\SLIM\EVC2\030\NORM\FV0\030NFV0_P3_5</t>
  </si>
  <si>
    <t>U:\2020\EUM\SLIM\EVC2\030\NORM\FV0\030NFV0_P4_1</t>
  </si>
  <si>
    <t>U:\2020\EUM\SLIM\EVC2\030\NORM\FV0\030NFV0_P4_2</t>
  </si>
  <si>
    <t>U:\2020\EUM\SLIM\EVC2\030\NORM\FV0\030NFV0_P4_3</t>
  </si>
  <si>
    <t>U:\2020\EUM\SLIM\EVC2\030\NORM\FV0\030NFV0_P4_4</t>
  </si>
  <si>
    <t>U:\2020\EUM\SLIM\EVC2\030\NORM\FV0\030NFV0_P4_5</t>
  </si>
  <si>
    <t>U:\2020\EUM\SLIM\EVC2\030\NORM\FV0\030NFV0_P5_1</t>
  </si>
  <si>
    <t>U:\2020\EUM\SLIM\EVC2\030\NORM\FV0\030NFV0_P5_2</t>
  </si>
  <si>
    <t>U:\2020\EUM\SLIM\EVC2\030\NORM\FV0\030NFV0_P5_3</t>
  </si>
  <si>
    <t>U:\2020\EUM\SLIM\EVC2\030\NORM\FV0\030NFV0_P5_4</t>
  </si>
  <si>
    <t>U:\2020\EUM\SLIM\EVC2\030\NORM\FV0\030NFV0_P5_5</t>
  </si>
  <si>
    <t>U:\2020\EUM\SLIM\EVC2\030\NORM\FV0\030NFV0_P6_1</t>
  </si>
  <si>
    <t>U:\2020\EUM\SLIM\EVC2\030\NORM\FV0\030NFV0_P6_2</t>
  </si>
  <si>
    <t>U:\2020\EUM\SLIM\EVC2\030\NORM\FV0\030NFV0_P6_3</t>
  </si>
  <si>
    <t>U:\2020\EUM\SLIM\EVC2\030\NORM\FV0\030NFV0_P6_4</t>
  </si>
  <si>
    <t>U:\2020\EUM\SLIM\EVC2\030\NORM\FV0\030NFV0_P6_5</t>
  </si>
  <si>
    <t>U:\2020\EUM\SLIM\EVC2\030\NORM\FVM\030NFVM_P1_1</t>
  </si>
  <si>
    <t>U:\2020\EUM\SLIM\EVC2\030\NORM\FVM\030NFVM_P1_2</t>
  </si>
  <si>
    <t>U:\2020\EUM\SLIM\EVC2\030\NORM\FVM\030NFVM_P1_3</t>
  </si>
  <si>
    <t>U:\2020\EUM\SLIM\EVC2\030\NORM\FVM\030NFVM_P1_4</t>
  </si>
  <si>
    <t>U:\2020\EUM\SLIM\EVC2\030\NORM\FVM\030NFVM_P1_5</t>
  </si>
  <si>
    <t>U:\2020\EUM\SLIM\EVC2\030\NORM\FVM\030NFVM_P2_1</t>
  </si>
  <si>
    <t>U:\2020\EUM\SLIM\EVC2\030\NORM\FVM\030NFVM_P2_2</t>
  </si>
  <si>
    <t>U:\2020\EUM\SLIM\EVC2\030\NORM\FVM\030NFVM_P2_3</t>
  </si>
  <si>
    <t>U:\2020\EUM\SLIM\EVC2\030\NORM\FVM\030NFVM_P2_4</t>
  </si>
  <si>
    <t>U:\2020\EUM\SLIM\EVC2\030\NORM\FVM\030NFVM_P2_5</t>
  </si>
  <si>
    <t>U:\2020\EUM\SLIM\EVC2\030\NORM\FVM\030NFVM_P3_1</t>
  </si>
  <si>
    <t>U:\2020\EUM\SLIM\EVC2\030\NORM\FVM\030NFVM_P3_2</t>
  </si>
  <si>
    <t>U:\2020\EUM\SLIM\EVC2\030\NORM\FVM\030NFVM_P3_3</t>
  </si>
  <si>
    <t>U:\2020\EUM\SLIM\EVC2\030\NORM\FVM\030NFVM_P3_4</t>
  </si>
  <si>
    <t>U:\2020\EUM\SLIM\EVC2\030\NORM\FVM\030NFVM_P3_5</t>
  </si>
  <si>
    <t>U:\2020\EUM\SLIM\EVC2\030\NORM\FVM\030NFVM_P4_1</t>
  </si>
  <si>
    <t>U:\2020\EUM\SLIM\EVC2\030\NORM\FVM\030NFVM_P4_2</t>
  </si>
  <si>
    <t>U:\2020\EUM\SLIM\EVC2\030\NORM\FVM\030NFVM_P4_3</t>
  </si>
  <si>
    <t>U:\2020\EUM\SLIM\EVC2\030\NORM\FVM\030NFVM_P4_4</t>
  </si>
  <si>
    <t>U:\2020\EUM\SLIM\EVC2\030\NORM\FVM\030NFVM_P4_5</t>
  </si>
  <si>
    <t>U:\2020\EUM\SLIM\EVC2\030\NORM\FVM\030NFVM_P5_1</t>
  </si>
  <si>
    <t>U:\2020\EUM\SLIM\EVC2\030\NORM\FVM\030NFVM_P5_2</t>
  </si>
  <si>
    <t>U:\2020\EUM\SLIM\EVC2\030\NORM\FVM\030NFVM_P5_3</t>
  </si>
  <si>
    <t>U:\2020\EUM\SLIM\EVC2\030\NORM\FVM\030NFVM_P5_4</t>
  </si>
  <si>
    <t>U:\2020\EUM\SLIM\EVC2\030\NORM\FVM\030NFVM_P5_5</t>
  </si>
  <si>
    <t>U:\2020\EUM\SLIM\EVC2\030\NORM\FVM\030NFVM_P6_1</t>
  </si>
  <si>
    <t>U:\2020\EUM\SLIM\EVC2\030\NORM\FVM\030NFVM_P6_2</t>
  </si>
  <si>
    <t>U:\2020\EUM\SLIM\EVC2\030\NORM\FVM\030NFVM_P6_3</t>
  </si>
  <si>
    <t>U:\2020\EUM\SLIM\EVC2\030\NORM\FVM\030NFVM_P6_4</t>
  </si>
  <si>
    <t>U:\2020\EUM\SLIM\EVC2\030\NORM\FVM\030NFVM_P6_5</t>
  </si>
  <si>
    <t>U:\2020\EUM\SLIM\EVC2\030\NORM\FVP\030NFVP_P1_1</t>
  </si>
  <si>
    <t>U:\2020\EUM\SLIM\EVC2\030\NORM\FVP\030NFVP_P1_2</t>
  </si>
  <si>
    <t>U:\2020\EUM\SLIM\EVC2\030\NORM\FVP\030NFVP_P1_3</t>
  </si>
  <si>
    <t>U:\2020\EUM\SLIM\EVC2\030\NORM\FVP\030NFVP_P1_4</t>
  </si>
  <si>
    <t>U:\2020\EUM\SLIM\EVC2\030\NORM\FVP\030NFVP_P1_5</t>
  </si>
  <si>
    <t>U:\2020\EUM\SLIM\EVC2\030\NORM\FVP\030NFVP_P2_1</t>
  </si>
  <si>
    <t>U:\2020\EUM\SLIM\EVC2\030\NORM\FVP\030NFVP_P2_2</t>
  </si>
  <si>
    <t>U:\2020\EUM\SLIM\EVC2\030\NORM\FVP\030NFVP_P2_3</t>
  </si>
  <si>
    <t>U:\2020\EUM\SLIM\EVC2\030\NORM\FVP\030NFVP_P2_4</t>
  </si>
  <si>
    <t>U:\2020\EUM\SLIM\EVC2\030\NORM\FVP\030NFVP_P2_5</t>
  </si>
  <si>
    <t>U:\2020\EUM\SLIM\EVC2\030\NORM\FVP\030NFVP_P3_1</t>
  </si>
  <si>
    <t>U:\2020\EUM\SLIM\EVC2\030\NORM\FVP\030NFVP_P3_2</t>
  </si>
  <si>
    <t>U:\2020\EUM\SLIM\EVC2\030\NORM\FVP\030NFVP_P3_3</t>
  </si>
  <si>
    <t>U:\2020\EUM\SLIM\EVC2\030\NORM\FVP\030NFVP_P3_4</t>
  </si>
  <si>
    <t>U:\2020\EUM\SLIM\EVC2\030\NORM\FVP\030NFVP_P3_5</t>
  </si>
  <si>
    <t>U:\2020\EUM\SLIM\EVC2\030\NORM\FVP\030NFVP_P4_1</t>
  </si>
  <si>
    <t>U:\2020\EUM\SLIM\EVC2\030\NORM\FVP\030NFVP_P4_2</t>
  </si>
  <si>
    <t>U:\2020\EUM\SLIM\EVC2\030\NORM\FVP\030NFVP_P4_3</t>
  </si>
  <si>
    <t>U:\2020\EUM\SLIM\EVC2\030\NORM\FVP\030NFVP_P4_4</t>
  </si>
  <si>
    <t>U:\2020\EUM\SLIM\EVC2\030\NORM\FVP\030NFVP_P4_5</t>
  </si>
  <si>
    <t>U:\2020\EUM\SLIM\EVC2\030\NORM\FVP\030NFVP_P5_1</t>
  </si>
  <si>
    <t>U:\2020\EUM\SLIM\EVC2\030\NORM\FVP\030NFVP_P5_2</t>
  </si>
  <si>
    <t>U:\2020\EUM\SLIM\EVC2\030\NORM\FVP\030NFVP_P5_3</t>
  </si>
  <si>
    <t>U:\2020\EUM\SLIM\EVC2\030\NORM\FVP\030NFVP_P5_4</t>
  </si>
  <si>
    <t>U:\2020\EUM\SLIM\EVC2\030\NORM\FVP\030NFVP_P5_5</t>
  </si>
  <si>
    <t>U:\2020\EUM\SLIM\EVC2\030\NORM\FVP\030NFVP_P6_1</t>
  </si>
  <si>
    <t>U:\2020\EUM\SLIM\EVC2\030\NORM\FVP\030NFVP_P6_2</t>
  </si>
  <si>
    <t>U:\2020\EUM\SLIM\EVC2\030\NORM\FVP\030NFVP_P6_3</t>
  </si>
  <si>
    <t>U:\2020\EUM\SLIM\EVC2\030\NORM\FVP\030NFVP_P6_4</t>
  </si>
  <si>
    <t>U:\2020\EUM\SLIM\EVC2\030\NORM\FVP\030NFVP_P6_5</t>
  </si>
  <si>
    <t>U:\2020\EUM\SLIM\EVC2\030\NORM\NVC\030NNVC_P1_1</t>
  </si>
  <si>
    <t>U:\2020\EUM\SLIM\EVC2\030\NORM\NVC\030NNVC_P1_2</t>
  </si>
  <si>
    <t>U:\2020\EUM\SLIM\EVC2\030\NORM\NVC\030NNVC_P1_3</t>
  </si>
  <si>
    <t>U:\2020\EUM\SLIM\EVC2\030\NORM\NVC\030NNVC_P1_4</t>
  </si>
  <si>
    <t>U:\2020\EUM\SLIM\EVC2\030\NORM\NVC\030NNVC_P1_5</t>
  </si>
  <si>
    <t>U:\2020\EUM\SLIM\EVC2\030\NORM\NVC\030NNVC_P2_1</t>
  </si>
  <si>
    <t>U:\2020\EUM\SLIM\EVC2\030\NORM\NVC\030NNVC_P2_2</t>
  </si>
  <si>
    <t>U:\2020\EUM\SLIM\EVC2\030\NORM\NVC\030NNVC_P2_3</t>
  </si>
  <si>
    <t>U:\2020\EUM\SLIM\EVC2\030\NORM\NVC\030NNVC_P2_4</t>
  </si>
  <si>
    <t>U:\2020\EUM\SLIM\EVC2\030\NORM\NVC\030NNVC_P2_5</t>
  </si>
  <si>
    <t>U:\2020\EUM\SLIM\EVC2\030\NORM\NVC\030NNVC_P3_1</t>
  </si>
  <si>
    <t>U:\2020\EUM\SLIM\EVC2\030\NORM\NVC\030NNVC_P3_2</t>
  </si>
  <si>
    <t>U:\2020\EUM\SLIM\EVC2\030\NORM\NVC\030NNVC_P3_3</t>
  </si>
  <si>
    <t>U:\2020\EUM\SLIM\EVC2\030\NORM\NVC\030NNVC_P3_4</t>
  </si>
  <si>
    <t>U:\2020\EUM\SLIM\EVC2\030\NORM\NVC\030NNVC_P3_5</t>
  </si>
  <si>
    <t>U:\2020\EUM\SLIM\EVC2\030\NORM\NVC\030NNVC_P4_1</t>
  </si>
  <si>
    <t>U:\2020\EUM\SLIM\EVC2\030\NORM\NVC\030NNVC_P4_2</t>
  </si>
  <si>
    <t>U:\2020\EUM\SLIM\EVC2\030\NORM\NVC\030NNVC_P4_3</t>
  </si>
  <si>
    <t>U:\2020\EUM\SLIM\EVC2\030\NORM\NVC\030NNVC_P4_4</t>
  </si>
  <si>
    <t>U:\2020\EUM\SLIM\EVC2\030\NORM\NVC\030NNVC_P4_5</t>
  </si>
  <si>
    <t>U:\2020\EUM\SLIM\EVC2\030\NORM\NVC\030NNVC_P5_1</t>
  </si>
  <si>
    <t>U:\2020\EUM\SLIM\EVC2\030\NORM\NVC\030NNVC_P5_2</t>
  </si>
  <si>
    <t>U:\2020\EUM\SLIM\EVC2\030\NORM\NVC\030NNVC_P5_3</t>
  </si>
  <si>
    <t>U:\2020\EUM\SLIM\EVC2\030\NORM\NVC\030NNVC_P5_4</t>
  </si>
  <si>
    <t>U:\2020\EUM\SLIM\EVC2\030\NORM\NVC\030NNVC_P5_5</t>
  </si>
  <si>
    <t>U:\2020\EUM\SLIM\EVC2\030\NORM\NVC\030NNVC_P6_1</t>
  </si>
  <si>
    <t>U:\2020\EUM\SLIM\EVC2\030\NORM\NVC\030NNVC_P6_2</t>
  </si>
  <si>
    <t>U:\2020\EUM\SLIM\EVC2\030\NORM\NVC\030NNVC_P6_3</t>
  </si>
  <si>
    <t>U:\2020\EUM\SLIM\EVC2\030\NORM\NVC\030NNVC_P6_4</t>
  </si>
  <si>
    <t>U:\2020\EUM\SLIM\EVC2\030\NORM\NVC\030NNVC_P6_5</t>
  </si>
  <si>
    <t>U:\2020\EUM\SLIM\EVC2\100\CONG\FV0\100CFV0_P1_1</t>
  </si>
  <si>
    <t>U:\2020\EUM\SLIM\EVC2\100\CONG\FV0\100CFV0_P1_2</t>
  </si>
  <si>
    <t>U:\2020\EUM\SLIM\EVC2\100\CONG\FV0\100CFV0_P1_3</t>
  </si>
  <si>
    <t>U:\2020\EUM\SLIM\EVC2\100\CONG\FV0\100CFV0_P1_4</t>
  </si>
  <si>
    <t>U:\2020\EUM\SLIM\EVC2\100\CONG\FV0\100CFV0_P1_5</t>
  </si>
  <si>
    <t>U:\2020\EUM\SLIM\EVC2\100\CONG\FV0\100CFV0_P2_1</t>
  </si>
  <si>
    <t>U:\2020\EUM\SLIM\EVC2\100\CONG\FV0\100CFV0_P2_2</t>
  </si>
  <si>
    <t>U:\2020\EUM\SLIM\EVC2\100\CONG\FV0\100CFV0_P2_3</t>
  </si>
  <si>
    <t>U:\2020\EUM\SLIM\EVC2\100\CONG\FV0\100CFV0_P2_4</t>
  </si>
  <si>
    <t>U:\2020\EUM\SLIM\EVC2\100\CONG\FV0\100CFV0_P2_5</t>
  </si>
  <si>
    <t>U:\2020\EUM\SLIM\EVC2\100\CONG\FV0\100CFV0_P3_1</t>
  </si>
  <si>
    <t>U:\2020\EUM\SLIM\EVC2\100\CONG\FV0\100CFV0_P3_2</t>
  </si>
  <si>
    <t>U:\2020\EUM\SLIM\EVC2\100\CONG\FV0\100CFV0_P3_3</t>
  </si>
  <si>
    <t>U:\2020\EUM\SLIM\EVC2\100\CONG\FV0\100CFV0_P3_4</t>
  </si>
  <si>
    <t>U:\2020\EUM\SLIM\EVC2\100\CONG\FV0\100CFV0_P3_5</t>
  </si>
  <si>
    <t>U:\2020\EUM\SLIM\EVC2\100\CONG\FV0\100CFV0_P4_1</t>
  </si>
  <si>
    <t>U:\2020\EUM\SLIM\EVC2\100\CONG\FV0\100CFV0_P4_2</t>
  </si>
  <si>
    <t>U:\2020\EUM\SLIM\EVC2\100\CONG\FV0\100CFV0_P4_3</t>
  </si>
  <si>
    <t>U:\2020\EUM\SLIM\EVC2\100\CONG\FV0\100CFV0_P4_4</t>
  </si>
  <si>
    <t>U:\2020\EUM\SLIM\EVC2\100\CONG\FV0\100CFV0_P4_5</t>
  </si>
  <si>
    <t>U:\2020\EUM\SLIM\EVC2\100\CONG\FV0\100CFV0_P5_1</t>
  </si>
  <si>
    <t>U:\2020\EUM\SLIM\EVC2\100\CONG\FV0\100CFV0_P5_2</t>
  </si>
  <si>
    <t>U:\2020\EUM\SLIM\EVC2\100\CONG\FV0\100CFV0_P5_3</t>
  </si>
  <si>
    <t>U:\2020\EUM\SLIM\EVC2\100\CONG\FV0\100CFV0_P5_4</t>
  </si>
  <si>
    <t>U:\2020\EUM\SLIM\EVC2\100\CONG\FV0\100CFV0_P5_5</t>
  </si>
  <si>
    <t>U:\2020\EUM\SLIM\EVC2\100\CONG\FV0\100CFV0_P6_1</t>
  </si>
  <si>
    <t>U:\2020\EUM\SLIM\EVC2\100\CONG\FV0\100CFV0_P6_2</t>
  </si>
  <si>
    <t>U:\2020\EUM\SLIM\EVC2\100\CONG\FV0\100CFV0_P6_3</t>
  </si>
  <si>
    <t>U:\2020\EUM\SLIM\EVC2\100\CONG\FV0\100CFV0_P6_4</t>
  </si>
  <si>
    <t>U:\2020\EUM\SLIM\EVC2\100\CONG\FV0\100CFV0_P6_5</t>
  </si>
  <si>
    <t>U:\2020\EUM\SLIM\EVC2\100\CONG\FVM\100CFVM_P1_1</t>
  </si>
  <si>
    <t>U:\2020\EUM\SLIM\EVC2\100\CONG\FVM\100CFVM_P1_2</t>
  </si>
  <si>
    <t>U:\2020\EUM\SLIM\EVC2\100\CONG\FVM\100CFVM_P1_3</t>
  </si>
  <si>
    <t>U:\2020\EUM\SLIM\EVC2\100\CONG\FVM\100CFVM_P1_4</t>
  </si>
  <si>
    <t>U:\2020\EUM\SLIM\EVC2\100\CONG\FVM\100CFVM_P1_5</t>
  </si>
  <si>
    <t>U:\2020\EUM\SLIM\EVC2\100\CONG\FVM\100CFVM_P2_1</t>
  </si>
  <si>
    <t>U:\2020\EUM\SLIM\EVC2\100\CONG\FVM\100CFVM_P2_2</t>
  </si>
  <si>
    <t>U:\2020\EUM\SLIM\EVC2\100\CONG\FVM\100CFVM_P2_3</t>
  </si>
  <si>
    <t>U:\2020\EUM\SLIM\EVC2\100\CONG\FVM\100CFVM_P2_4</t>
  </si>
  <si>
    <t>U:\2020\EUM\SLIM\EVC2\100\CONG\FVM\100CFVM_P2_5</t>
  </si>
  <si>
    <t>U:\2020\EUM\SLIM\EVC2\100\CONG\FVM\100CFVM_P3_1</t>
  </si>
  <si>
    <t>U:\2020\EUM\SLIM\EVC2\100\CONG\FVM\100CFVM_P3_2</t>
  </si>
  <si>
    <t>U:\2020\EUM\SLIM\EVC2\100\CONG\FVM\100CFVM_P3_3</t>
  </si>
  <si>
    <t>U:\2020\EUM\SLIM\EVC2\100\CONG\FVM\100CFVM_P3_4</t>
  </si>
  <si>
    <t>U:\2020\EUM\SLIM\EVC2\100\CONG\FVM\100CFVM_P3_5</t>
  </si>
  <si>
    <t>U:\2020\EUM\SLIM\EVC2\100\CONG\FVM\100CFVM_P4_1</t>
  </si>
  <si>
    <t>U:\2020\EUM\SLIM\EVC2\100\CONG\FVM\100CFVM_P4_2</t>
  </si>
  <si>
    <t>U:\2020\EUM\SLIM\EVC2\100\CONG\FVM\100CFVM_P4_3</t>
  </si>
  <si>
    <t>U:\2020\EUM\SLIM\EVC2\100\CONG\FVM\100CFVM_P4_4</t>
  </si>
  <si>
    <t>U:\2020\EUM\SLIM\EVC2\100\CONG\FVM\100CFVM_P4_5</t>
  </si>
  <si>
    <t>U:\2020\EUM\SLIM\EVC2\100\CONG\FVM\100CFVM_P5_1</t>
  </si>
  <si>
    <t>U:\2020\EUM\SLIM\EVC2\100\CONG\FVM\100CFVM_P5_2</t>
  </si>
  <si>
    <t>U:\2020\EUM\SLIM\EVC2\100\CONG\FVM\100CFVM_P5_3</t>
  </si>
  <si>
    <t>U:\2020\EUM\SLIM\EVC2\100\CONG\FVM\100CFVM_P5_4</t>
  </si>
  <si>
    <t>U:\2020\EUM\SLIM\EVC2\100\CONG\FVM\100CFVM_P5_5</t>
  </si>
  <si>
    <t>U:\2020\EUM\SLIM\EVC2\100\CONG\FVM\100CFVM_P6_1</t>
  </si>
  <si>
    <t>U:\2020\EUM\SLIM\EVC2\100\CONG\FVM\100CFVM_P6_2</t>
  </si>
  <si>
    <t>U:\2020\EUM\SLIM\EVC2\100\CONG\FVM\100CFVM_P6_3</t>
  </si>
  <si>
    <t>U:\2020\EUM\SLIM\EVC2\100\CONG\FVM\100CFVM_P6_4</t>
  </si>
  <si>
    <t>U:\2020\EUM\SLIM\EVC2\100\CONG\FVM\100CFVM_P6_5</t>
  </si>
  <si>
    <t>U:\2020\EUM\SLIM\EVC2\100\CONG\FVP\100CFVP_P1_1</t>
  </si>
  <si>
    <t>U:\2020\EUM\SLIM\EVC2\100\CONG\FVP\100CFVP_P1_2</t>
  </si>
  <si>
    <t>U:\2020\EUM\SLIM\EVC2\100\CONG\FVP\100CFVP_P1_3</t>
  </si>
  <si>
    <t>U:\2020\EUM\SLIM\EVC2\100\CONG\FVP\100CFVP_P1_4</t>
  </si>
  <si>
    <t>U:\2020\EUM\SLIM\EVC2\100\CONG\FVP\100CFVP_P1_5</t>
  </si>
  <si>
    <t>U:\2020\EUM\SLIM\EVC2\100\CONG\FVP\100CFVP_P2_1</t>
  </si>
  <si>
    <t>U:\2020\EUM\SLIM\EVC2\100\CONG\FVP\100CFVP_P2_2</t>
  </si>
  <si>
    <t>U:\2020\EUM\SLIM\EVC2\100\CONG\FVP\100CFVP_P2_3</t>
  </si>
  <si>
    <t>U:\2020\EUM\SLIM\EVC2\100\CONG\FVP\100CFVP_P2_4</t>
  </si>
  <si>
    <t>U:\2020\EUM\SLIM\EVC2\100\CONG\FVP\100CFVP_P2_5</t>
  </si>
  <si>
    <t>U:\2020\EUM\SLIM\EVC2\100\CONG\FVP\100CFVP_P3_1</t>
  </si>
  <si>
    <t>U:\2020\EUM\SLIM\EVC2\100\CONG\FVP\100CFVP_P3_2</t>
  </si>
  <si>
    <t>U:\2020\EUM\SLIM\EVC2\100\CONG\FVP\100CFVP_P3_3</t>
  </si>
  <si>
    <t>U:\2020\EUM\SLIM\EVC2\100\CONG\FVP\100CFVP_P3_4</t>
  </si>
  <si>
    <t>U:\2020\EUM\SLIM\EVC2\100\CONG\FVP\100CFVP_P3_5</t>
  </si>
  <si>
    <t>U:\2020\EUM\SLIM\EVC2\100\CONG\FVP\100CFVP_P4_1</t>
  </si>
  <si>
    <t>U:\2020\EUM\SLIM\EVC2\100\CONG\FVP\100CFVP_P4_2</t>
  </si>
  <si>
    <t>U:\2020\EUM\SLIM\EVC2\100\CONG\FVP\100CFVP_P4_3</t>
  </si>
  <si>
    <t>U:\2020\EUM\SLIM\EVC2\100\CONG\FVP\100CFVP_P4_4</t>
  </si>
  <si>
    <t>U:\2020\EUM\SLIM\EVC2\100\CONG\FVP\100CFVP_P4_5</t>
  </si>
  <si>
    <t>U:\2020\EUM\SLIM\EVC2\100\CONG\FVP\100CFVP_P5_1</t>
  </si>
  <si>
    <t>U:\2020\EUM\SLIM\EVC2\100\CONG\FVP\100CFVP_P5_2</t>
  </si>
  <si>
    <t>U:\2020\EUM\SLIM\EVC2\100\CONG\FVP\100CFVP_P5_3</t>
  </si>
  <si>
    <t>U:\2020\EUM\SLIM\EVC2\100\CONG\FVP\100CFVP_P5_4</t>
  </si>
  <si>
    <t>U:\2020\EUM\SLIM\EVC2\100\CONG\FVP\100CFVP_P5_5</t>
  </si>
  <si>
    <t>U:\2020\EUM\SLIM\EVC2\100\CONG\FVP\100CFVP_P6_1</t>
  </si>
  <si>
    <t>U:\2020\EUM\SLIM\EVC2\100\CONG\FVP\100CFVP_P6_2</t>
  </si>
  <si>
    <t>U:\2020\EUM\SLIM\EVC2\100\CONG\FVP\100CFVP_P6_3</t>
  </si>
  <si>
    <t>U:\2020\EUM\SLIM\EVC2\100\CONG\FVP\100CFVP_P6_4</t>
  </si>
  <si>
    <t>U:\2020\EUM\SLIM\EVC2\100\CONG\FVP\100CFVP_P6_5</t>
  </si>
  <si>
    <t>U:\2020\EUM\SLIM\EVC2\100\CONG\NV0\100CNV0_P1_1</t>
  </si>
  <si>
    <t>U:\2020\EUM\SLIM\EVC2\100\CONG\NV0\100CNV0_P1_2</t>
  </si>
  <si>
    <t>U:\2020\EUM\SLIM\EVC2\100\CONG\NV0\100CNV0_P1_3</t>
  </si>
  <si>
    <t>U:\2020\EUM\SLIM\EVC2\100\CONG\NV0\100CNV0_P1_4</t>
  </si>
  <si>
    <t>U:\2020\EUM\SLIM\EVC2\100\CONG\NV0\100CNV0_P1_5</t>
  </si>
  <si>
    <t>U:\2020\EUM\SLIM\EVC2\100\CONG\NV0\100CNV0_P2_1</t>
  </si>
  <si>
    <t>U:\2020\EUM\SLIM\EVC2\100\CONG\NV0\100CNV0_P2_2</t>
  </si>
  <si>
    <t>U:\2020\EUM\SLIM\EVC2\100\CONG\NV0\100CNV0_P2_3</t>
  </si>
  <si>
    <t>U:\2020\EUM\SLIM\EVC2\100\CONG\NV0\100CNV0_P2_4</t>
  </si>
  <si>
    <t>U:\2020\EUM\SLIM\EVC2\100\CONG\NV0\100CNV0_P2_5</t>
  </si>
  <si>
    <t>U:\2020\EUM\SLIM\EVC2\100\CONG\NV0\100CNV0_P3_1</t>
  </si>
  <si>
    <t>U:\2020\EUM\SLIM\EVC2\100\CONG\NV0\100CNV0_P3_2</t>
  </si>
  <si>
    <t>U:\2020\EUM\SLIM\EVC2\100\CONG\NV0\100CNV0_P3_3</t>
  </si>
  <si>
    <t>U:\2020\EUM\SLIM\EVC2\100\CONG\NV0\100CNV0_P3_4</t>
  </si>
  <si>
    <t>U:\2020\EUM\SLIM\EVC2\100\CONG\NV0\100CNV0_P3_5</t>
  </si>
  <si>
    <t>U:\2020\EUM\SLIM\EVC2\100\CONG\NV0\100CNV0_P4_1</t>
  </si>
  <si>
    <t>U:\2020\EUM\SLIM\EVC2\100\CONG\NV0\100CNV0_P4_2</t>
  </si>
  <si>
    <t>U:\2020\EUM\SLIM\EVC2\100\CONG\NV0\100CNV0_P4_3</t>
  </si>
  <si>
    <t>U:\2020\EUM\SLIM\EVC2\100\CONG\NV0\100CNV0_P4_4</t>
  </si>
  <si>
    <t>U:\2020\EUM\SLIM\EVC2\100\CONG\NV0\100CNV0_P4_5</t>
  </si>
  <si>
    <t>U:\2020\EUM\SLIM\EVC2\100\CONG\NV0\100CNV0_P5_1</t>
  </si>
  <si>
    <t>U:\2020\EUM\SLIM\EVC2\100\CONG\NV0\100CNV0_P5_2</t>
  </si>
  <si>
    <t>U:\2020\EUM\SLIM\EVC2\100\CONG\NV0\100CNV0_P5_3</t>
  </si>
  <si>
    <t>U:\2020\EUM\SLIM\EVC2\100\CONG\NV0\100CNV0_P5_4</t>
  </si>
  <si>
    <t>U:\2020\EUM\SLIM\EVC2\100\CONG\NV0\100CNV0_P5_5</t>
  </si>
  <si>
    <t>U:\2020\EUM\SLIM\EVC2\100\CONG\NV0\100CNV0_P6_1</t>
  </si>
  <si>
    <t>U:\2020\EUM\SLIM\EVC2\100\CONG\NV0\100CNV0_P6_2</t>
  </si>
  <si>
    <t>U:\2020\EUM\SLIM\EVC2\100\CONG\NV0\100CNV0_P6_3</t>
  </si>
  <si>
    <t>U:\2020\EUM\SLIM\EVC2\100\CONG\NV0\100CNV0_P6_4</t>
  </si>
  <si>
    <t>U:\2020\EUM\SLIM\EVC2\100\CONG\NV0\100CNV0_P6_5</t>
  </si>
  <si>
    <t>U:\2020\EUM\SLIM\EVC2\100\CONG\NVC\100CNVC_P1_1</t>
  </si>
  <si>
    <t>U:\2020\EUM\SLIM\EVC2\100\CONG\NVC\100CNVC_P1_2</t>
  </si>
  <si>
    <t>U:\2020\EUM\SLIM\EVC2\100\CONG\NVC\100CNVC_P1_3</t>
  </si>
  <si>
    <t>U:\2020\EUM\SLIM\EVC2\100\CONG\NVC\100CNVC_P1_4</t>
  </si>
  <si>
    <t>U:\2020\EUM\SLIM\EVC2\100\CONG\NVC\100CNVC_P1_5</t>
  </si>
  <si>
    <t>U:\2020\EUM\SLIM\EVC2\100\CONG\NVC\100CNVC_P2_1</t>
  </si>
  <si>
    <t>U:\2020\EUM\SLIM\EVC2\100\CONG\NVC\100CNVC_P2_2</t>
  </si>
  <si>
    <t>U:\2020\EUM\SLIM\EVC2\100\CONG\NVC\100CNVC_P2_3</t>
  </si>
  <si>
    <t>U:\2020\EUM\SLIM\EVC2\100\CONG\NVC\100CNVC_P2_4</t>
  </si>
  <si>
    <t>U:\2020\EUM\SLIM\EVC2\100\CONG\NVC\100CNVC_P2_5</t>
  </si>
  <si>
    <t>U:\2020\EUM\SLIM\EVC2\100\CONG\NVC\100CNVC_P3_1</t>
  </si>
  <si>
    <t>U:\2020\EUM\SLIM\EVC2\100\CONG\NVC\100CNVC_P3_2</t>
  </si>
  <si>
    <t>U:\2020\EUM\SLIM\EVC2\100\CONG\NVC\100CNVC_P3_3</t>
  </si>
  <si>
    <t>U:\2020\EUM\SLIM\EVC2\100\CONG\NVC\100CNVC_P3_4</t>
  </si>
  <si>
    <t>U:\2020\EUM\SLIM\EVC2\100\CONG\NVC\100CNVC_P3_5</t>
  </si>
  <si>
    <t>U:\2020\EUM\SLIM\EVC2\100\CONG\NVC\100CNVC_P4_1</t>
  </si>
  <si>
    <t>U:\2020\EUM\SLIM\EVC2\100\CONG\NVC\100CNVC_P4_2</t>
  </si>
  <si>
    <t>U:\2020\EUM\SLIM\EVC2\100\CONG\NVC\100CNVC_P4_3</t>
  </si>
  <si>
    <t>U:\2020\EUM\SLIM\EVC2\100\CONG\NVC\100CNVC_P4_4</t>
  </si>
  <si>
    <t>U:\2020\EUM\SLIM\EVC2\100\CONG\NVC\100CNVC_P4_5</t>
  </si>
  <si>
    <t>U:\2020\EUM\SLIM\EVC2\100\CONG\NVC\100CNVC_P5_1</t>
  </si>
  <si>
    <t>U:\2020\EUM\SLIM\EVC2\100\CONG\NVC\100CNVC_P5_2</t>
  </si>
  <si>
    <t>U:\2020\EUM\SLIM\EVC2\100\CONG\NVC\100CNVC_P5_3</t>
  </si>
  <si>
    <t>U:\2020\EUM\SLIM\EVC2\100\CONG\NVC\100CNVC_P5_4</t>
  </si>
  <si>
    <t>U:\2020\EUM\SLIM\EVC2\100\CONG\NVC\100CNVC_P5_5</t>
  </si>
  <si>
    <t>U:\2020\EUM\SLIM\EVC2\100\CONG\NVC\100CNVC_P6_1</t>
  </si>
  <si>
    <t>U:\2020\EUM\SLIM\EVC2\100\CONG\NVC\100CNVC_P6_2</t>
  </si>
  <si>
    <t>U:\2020\EUM\SLIM\EVC2\100\CONG\NVC\100CNVC_P6_3</t>
  </si>
  <si>
    <t>U:\2020\EUM\SLIM\EVC2\100\CONG\NVC\100CNVC_P6_4</t>
  </si>
  <si>
    <t>U:\2020\EUM\SLIM\EVC2\100\CONG\NVC\100CNVC_P6_5</t>
  </si>
  <si>
    <t>U:\2020\EUM\SLIM\EVC2\100\NORM\FV0\100NFV0_P1_1</t>
  </si>
  <si>
    <t>U:\2020\EUM\SLIM\EVC2\100\NORM\FV0\100NFV0_P1_2</t>
  </si>
  <si>
    <t>U:\2020\EUM\SLIM\EVC2\100\NORM\FV0\100NFV0_P1_3</t>
  </si>
  <si>
    <t>U:\2020\EUM\SLIM\EVC2\100\NORM\FV0\100NFV0_P1_4</t>
  </si>
  <si>
    <t>U:\2020\EUM\SLIM\EVC2\100\NORM\FV0\100NFV0_P1_5</t>
  </si>
  <si>
    <t>U:\2020\EUM\SLIM\EVC2\100\NORM\FV0\100NFV0_P2_1</t>
  </si>
  <si>
    <t>U:\2020\EUM\SLIM\EVC2\100\NORM\FV0\100NFV0_P2_2</t>
  </si>
  <si>
    <t>U:\2020\EUM\SLIM\EVC2\100\NORM\FV0\100NFV0_P2_3</t>
  </si>
  <si>
    <t>U:\2020\EUM\SLIM\EVC2\100\NORM\FV0\100NFV0_P2_4</t>
  </si>
  <si>
    <t>U:\2020\EUM\SLIM\EVC2\100\NORM\FV0\100NFV0_P2_5</t>
  </si>
  <si>
    <t>U:\2020\EUM\SLIM\EVC2\100\NORM\FV0\100NFV0_P3_1</t>
  </si>
  <si>
    <t>U:\2020\EUM\SLIM\EVC2\100\NORM\FV0\100NFV0_P3_2</t>
  </si>
  <si>
    <t>U:\2020\EUM\SLIM\EVC2\100\NORM\FV0\100NFV0_P3_3</t>
  </si>
  <si>
    <t>U:\2020\EUM\SLIM\EVC2\100\NORM\FV0\100NFV0_P3_4</t>
  </si>
  <si>
    <t>U:\2020\EUM\SLIM\EVC2\100\NORM\FV0\100NFV0_P3_5</t>
  </si>
  <si>
    <t>U:\2020\EUM\SLIM\EVC2\100\NORM\FV0\100NFV0_P4_1</t>
  </si>
  <si>
    <t>U:\2020\EUM\SLIM\EVC2\100\NORM\FV0\100NFV0_P4_2</t>
  </si>
  <si>
    <t>U:\2020\EUM\SLIM\EVC2\100\NORM\FV0\100NFV0_P4_3</t>
  </si>
  <si>
    <t>U:\2020\EUM\SLIM\EVC2\100\NORM\FV0\100NFV0_P4_4</t>
  </si>
  <si>
    <t>U:\2020\EUM\SLIM\EVC2\100\NORM\FV0\100NFV0_P4_5</t>
  </si>
  <si>
    <t>U:\2020\EUM\SLIM\EVC2\100\NORM\FV0\100NFV0_P5_1</t>
  </si>
  <si>
    <t>U:\2020\EUM\SLIM\EVC2\100\NORM\FV0\100NFV0_P5_2</t>
  </si>
  <si>
    <t>U:\2020\EUM\SLIM\EVC2\100\NORM\FV0\100NFV0_P5_3</t>
  </si>
  <si>
    <t>U:\2020\EUM\SLIM\EVC2\100\NORM\FV0\100NFV0_P5_4</t>
  </si>
  <si>
    <t>U:\2020\EUM\SLIM\EVC2\100\NORM\FV0\100NFV0_P5_5</t>
  </si>
  <si>
    <t>U:\2020\EUM\SLIM\EVC2\100\NORM\FV0\100NFV0_P6_1</t>
  </si>
  <si>
    <t>U:\2020\EUM\SLIM\EVC2\100\NORM\FV0\100NFV0_P6_2</t>
  </si>
  <si>
    <t>U:\2020\EUM\SLIM\EVC2\100\NORM\FV0\100NFV0_P6_3</t>
  </si>
  <si>
    <t>U:\2020\EUM\SLIM\EVC2\100\NORM\FV0\100NFV0_P6_4</t>
  </si>
  <si>
    <t>U:\2020\EUM\SLIM\EVC2\100\NORM\FV0\100NFV0_P6_5</t>
  </si>
  <si>
    <t>U:\2020\EUM\SLIM\EVC2\100\NORM\FVM\100NFVM_P1_1</t>
  </si>
  <si>
    <t>U:\2020\EUM\SLIM\EVC2\100\NORM\FVM\100NFVM_P1_2</t>
  </si>
  <si>
    <t>U:\2020\EUM\SLIM\EVC2\100\NORM\FVM\100NFVM_P1_3</t>
  </si>
  <si>
    <t>U:\2020\EUM\SLIM\EVC2\100\NORM\FVM\100NFVM_P1_4</t>
  </si>
  <si>
    <t>U:\2020\EUM\SLIM\EVC2\100\NORM\FVM\100NFVM_P1_5</t>
  </si>
  <si>
    <t>U:\2020\EUM\SLIM\EVC2\100\NORM\FVM\100NFVM_P2_1</t>
  </si>
  <si>
    <t>U:\2020\EUM\SLIM\EVC2\100\NORM\FVM\100NFVM_P2_2</t>
  </si>
  <si>
    <t>U:\2020\EUM\SLIM\EVC2\100\NORM\FVM\100NFVM_P2_3</t>
  </si>
  <si>
    <t>U:\2020\EUM\SLIM\EVC2\100\NORM\FVM\100NFVM_P2_4</t>
  </si>
  <si>
    <t>U:\2020\EUM\SLIM\EVC2\100\NORM\FVM\100NFVM_P2_5</t>
  </si>
  <si>
    <t>U:\2020\EUM\SLIM\EVC2\100\NORM\FVM\100NFVM_P3_1</t>
  </si>
  <si>
    <t>U:\2020\EUM\SLIM\EVC2\100\NORM\FVM\100NFVM_P3_2</t>
  </si>
  <si>
    <t>U:\2020\EUM\SLIM\EVC2\100\NORM\FVM\100NFVM_P3_3</t>
  </si>
  <si>
    <t>U:\2020\EUM\SLIM\EVC2\100\NORM\FVM\100NFVM_P3_4</t>
  </si>
  <si>
    <t>U:\2020\EUM\SLIM\EVC2\100\NORM\FVM\100NFVM_P3_5</t>
  </si>
  <si>
    <t>U:\2020\EUM\SLIM\EVC2\100\NORM\FVM\100NFVM_P4_1</t>
  </si>
  <si>
    <t>U:\2020\EUM\SLIM\EVC2\100\NORM\FVM\100NFVM_P4_2</t>
  </si>
  <si>
    <t>U:\2020\EUM\SLIM\EVC2\100\NORM\FVM\100NFVM_P4_3</t>
  </si>
  <si>
    <t>U:\2020\EUM\SLIM\EVC2\100\NORM\FVM\100NFVM_P4_4</t>
  </si>
  <si>
    <t>U:\2020\EUM\SLIM\EVC2\100\NORM\FVM\100NFVM_P4_5</t>
  </si>
  <si>
    <t>U:\2020\EUM\SLIM\EVC2\100\NORM\FVM\100NFVM_P5_1</t>
  </si>
  <si>
    <t>U:\2020\EUM\SLIM\EVC2\100\NORM\FVM\100NFVM_P5_2</t>
  </si>
  <si>
    <t>U:\2020\EUM\SLIM\EVC2\100\NORM\FVM\100NFVM_P5_3</t>
  </si>
  <si>
    <t>U:\2020\EUM\SLIM\EVC2\100\NORM\FVM\100NFVM_P5_4</t>
  </si>
  <si>
    <t>U:\2020\EUM\SLIM\EVC2\100\NORM\FVM\100NFVM_P5_5</t>
  </si>
  <si>
    <t>U:\2020\EUM\SLIM\EVC2\100\NORM\FVM\100NFVM_P6_1</t>
  </si>
  <si>
    <t>U:\2020\EUM\SLIM\EVC2\100\NORM\FVM\100NFVM_P6_2</t>
  </si>
  <si>
    <t>U:\2020\EUM\SLIM\EVC2\100\NORM\FVM\100NFVM_P6_3</t>
  </si>
  <si>
    <t>U:\2020\EUM\SLIM\EVC2\100\NORM\FVM\100NFVM_P6_4</t>
  </si>
  <si>
    <t>U:\2020\EUM\SLIM\EVC2\100\NORM\FVM\100NFVM_P6_5</t>
  </si>
  <si>
    <t>U:\2020\EUM\SLIM\EVC2\100\NORM\FVP\100NFVP_P1_1</t>
  </si>
  <si>
    <t>U:\2020\EUM\SLIM\EVC2\100\NORM\FVP\100NFVP_P1_2</t>
  </si>
  <si>
    <t>U:\2020\EUM\SLIM\EVC2\100\NORM\FVP\100NFVP_P1_3</t>
  </si>
  <si>
    <t>U:\2020\EUM\SLIM\EVC2\100\NORM\FVP\100NFVP_P1_4</t>
  </si>
  <si>
    <t>U:\2020\EUM\SLIM\EVC2\100\NORM\FVP\100NFVP_P1_5</t>
  </si>
  <si>
    <t>U:\2020\EUM\SLIM\EVC2\100\NORM\FVP\100NFVP_P2_1</t>
  </si>
  <si>
    <t>U:\2020\EUM\SLIM\EVC2\100\NORM\FVP\100NFVP_P2_2</t>
  </si>
  <si>
    <t>U:\2020\EUM\SLIM\EVC2\100\NORM\FVP\100NFVP_P2_3</t>
  </si>
  <si>
    <t>U:\2020\EUM\SLIM\EVC2\100\NORM\FVP\100NFVP_P2_4</t>
  </si>
  <si>
    <t>U:\2020\EUM\SLIM\EVC2\100\NORM\FVP\100NFVP_P2_5</t>
  </si>
  <si>
    <t>U:\2020\EUM\SLIM\EVC2\100\NORM\FVP\100NFVP_P3_1</t>
  </si>
  <si>
    <t>U:\2020\EUM\SLIM\EVC2\100\NORM\FVP\100NFVP_P3_2</t>
  </si>
  <si>
    <t>U:\2020\EUM\SLIM\EVC2\100\NORM\FVP\100NFVP_P3_3</t>
  </si>
  <si>
    <t>U:\2020\EUM\SLIM\EVC2\100\NORM\FVP\100NFVP_P3_4</t>
  </si>
  <si>
    <t>U:\2020\EUM\SLIM\EVC2\100\NORM\FVP\100NFVP_P3_5</t>
  </si>
  <si>
    <t>U:\2020\EUM\SLIM\EVC2\100\NORM\FVP\100NFVP_P4_1</t>
  </si>
  <si>
    <t>U:\2020\EUM\SLIM\EVC2\100\NORM\FVP\100NFVP_P4_2</t>
  </si>
  <si>
    <t>U:\2020\EUM\SLIM\EVC2\100\NORM\FVP\100NFVP_P4_3</t>
  </si>
  <si>
    <t>U:\2020\EUM\SLIM\EVC2\100\NORM\FVP\100NFVP_P4_4</t>
  </si>
  <si>
    <t>U:\2020\EUM\SLIM\EVC2\100\NORM\FVP\100NFVP_P4_5</t>
  </si>
  <si>
    <t>U:\2020\EUM\SLIM\EVC2\100\NORM\FVP\100NFVP_P5_1</t>
  </si>
  <si>
    <t>U:\2020\EUM\SLIM\EVC2\100\NORM\FVP\100NFVP_P5_2</t>
  </si>
  <si>
    <t>U:\2020\EUM\SLIM\EVC2\100\NORM\FVP\100NFVP_P5_3</t>
  </si>
  <si>
    <t>U:\2020\EUM\SLIM\EVC2\100\NORM\FVP\100NFVP_P5_4</t>
  </si>
  <si>
    <t>U:\2020\EUM\SLIM\EVC2\100\NORM\FVP\100NFVP_P5_5</t>
  </si>
  <si>
    <t>U:\2020\EUM\SLIM\EVC2\100\NORM\FVP\100NFVP_P6_1</t>
  </si>
  <si>
    <t>U:\2020\EUM\SLIM\EVC2\100\NORM\FVP\100NFVP_P6_2</t>
  </si>
  <si>
    <t>U:\2020\EUM\SLIM\EVC2\100\NORM\FVP\100NFVP_P6_3</t>
  </si>
  <si>
    <t>U:\2020\EUM\SLIM\EVC2\100\NORM\FVP\100NFVP_P6_4</t>
  </si>
  <si>
    <t>U:\2020\EUM\SLIM\EVC2\100\NORM\FVP\100NFVP_P6_5</t>
  </si>
  <si>
    <t>U:\2020\EUM\SLIM\EVC2\100\NORM\NVC\100NNVC_P1_1</t>
  </si>
  <si>
    <t>U:\2020\EUM\SLIM\EVC2\100\NORM\NVC\100NNVC_P1_2</t>
  </si>
  <si>
    <t>U:\2020\EUM\SLIM\EVC2\100\NORM\NVC\100NNVC_P1_3</t>
  </si>
  <si>
    <t>U:\2020\EUM\SLIM\EVC2\100\NORM\NVC\100NNVC_P1_4</t>
  </si>
  <si>
    <t>U:\2020\EUM\SLIM\EVC2\100\NORM\NVC\100NNVC_P1_5</t>
  </si>
  <si>
    <t>U:\2020\EUM\SLIM\EVC2\100\NORM\NVC\100NNVC_P2_1</t>
  </si>
  <si>
    <t>U:\2020\EUM\SLIM\EVC2\100\NORM\NVC\100NNVC_P2_2</t>
  </si>
  <si>
    <t>U:\2020\EUM\SLIM\EVC2\100\NORM\NVC\100NNVC_P2_3</t>
  </si>
  <si>
    <t>U:\2020\EUM\SLIM\EVC2\100\NORM\NVC\100NNVC_P2_4</t>
  </si>
  <si>
    <t>U:\2020\EUM\SLIM\EVC2\100\NORM\NVC\100NNVC_P2_5</t>
  </si>
  <si>
    <t>U:\2020\EUM\SLIM\EVC2\100\NORM\NVC\100NNVC_P3_1</t>
  </si>
  <si>
    <t>U:\2020\EUM\SLIM\EVC2\100\NORM\NVC\100NNVC_P3_2</t>
  </si>
  <si>
    <t>U:\2020\EUM\SLIM\EVC2\100\NORM\NVC\100NNVC_P3_3</t>
  </si>
  <si>
    <t>U:\2020\EUM\SLIM\EVC2\100\NORM\NVC\100NNVC_P3_4</t>
  </si>
  <si>
    <t>U:\2020\EUM\SLIM\EVC2\100\NORM\NVC\100NNVC_P3_5</t>
  </si>
  <si>
    <t>U:\2020\EUM\SLIM\EVC2\100\NORM\NVC\100NNVC_P4_1</t>
  </si>
  <si>
    <t>U:\2020\EUM\SLIM\EVC2\100\NORM\NVC\100NNVC_P4_2</t>
  </si>
  <si>
    <t>U:\2020\EUM\SLIM\EVC2\100\NORM\NVC\100NNVC_P4_3</t>
  </si>
  <si>
    <t>U:\2020\EUM\SLIM\EVC2\100\NORM\NVC\100NNVC_P4_4</t>
  </si>
  <si>
    <t>U:\2020\EUM\SLIM\EVC2\100\NORM\NVC\100NNVC_P4_5</t>
  </si>
  <si>
    <t>U:\2020\EUM\SLIM\EVC2\100\NORM\NVC\100NNVC_P5_1</t>
  </si>
  <si>
    <t>U:\2020\EUM\SLIM\EVC2\100\NORM\NVC\100NNVC_P5_2</t>
  </si>
  <si>
    <t>U:\2020\EUM\SLIM\EVC2\100\NORM\NVC\100NNVC_P5_3</t>
  </si>
  <si>
    <t>U:\2020\EUM\SLIM\EVC2\100\NORM\NVC\100NNVC_P5_4</t>
  </si>
  <si>
    <t>U:\2020\EUM\SLIM\EVC2\100\NORM\NVC\100NNVC_P5_5</t>
  </si>
  <si>
    <t>U:\2020\EUM\SLIM\EVC2\100\NORM\NVC\100NNVC_P6_1</t>
  </si>
  <si>
    <t>U:\2020\EUM\SLIM\EVC2\100\NORM\NVC\100NNVC_P6_2</t>
  </si>
  <si>
    <t>U:\2020\EUM\SLIM\EVC2\100\NORM\NVC\100NNVC_P6_3</t>
  </si>
  <si>
    <t>U:\2020\EUM\SLIM\EVC2\100\NORM\NVC\100NNVC_P6_4</t>
  </si>
  <si>
    <t>U:\2020\EUM\SLIM\EVC2\100\NORM\NVC\100NNVC_P6_5</t>
  </si>
  <si>
    <t>020-NV0</t>
  </si>
  <si>
    <t>100-NV0</t>
  </si>
  <si>
    <t>100-NVC</t>
  </si>
  <si>
    <t>PLL</t>
    <phoneticPr fontId="3" type="noConversion"/>
  </si>
  <si>
    <t>QRA1</t>
    <phoneticPr fontId="3" type="noConversion"/>
  </si>
  <si>
    <t>2-&gt;-2</t>
    <phoneticPr fontId="3" type="noConversion"/>
  </si>
  <si>
    <t>0 은 넣으면 안됨</t>
    <phoneticPr fontId="3" type="noConversion"/>
  </si>
  <si>
    <t>Control</t>
    <phoneticPr fontId="3" type="noConversion"/>
  </si>
  <si>
    <t>2-&gt;2</t>
    <phoneticPr fontId="3" type="noConversion"/>
  </si>
  <si>
    <t>일방향</t>
    <phoneticPr fontId="3" type="noConversion"/>
  </si>
  <si>
    <t>=&gt; FVM</t>
    <phoneticPr fontId="3" type="noConversion"/>
  </si>
  <si>
    <t>2-&gt;F0</t>
    <phoneticPr fontId="3" type="noConversion"/>
  </si>
  <si>
    <t>FV0</t>
    <phoneticPr fontId="3" type="noConversion"/>
  </si>
  <si>
    <t>FVM</t>
    <phoneticPr fontId="3" type="noConversion"/>
  </si>
  <si>
    <t>2-&gt;2, 2-&gt;N0</t>
    <phoneticPr fontId="3" type="noConversion"/>
  </si>
  <si>
    <t>F:\2021\GUMOK\EVC_RE\020\CONG\FV0\020CFV0_P1_1</t>
  </si>
  <si>
    <t>F:\2021\GUMOK\EVC_RE\020\CONG\FV0\020CFV0_P1_2</t>
  </si>
  <si>
    <t>F:\2021\GUMOK\EVC_RE\020\CONG\FV0\020CFV0_P1_3</t>
  </si>
  <si>
    <t>F:\2021\GUMOK\EVC_RE\020\CONG\FV0\020CFV0_P1_4</t>
  </si>
  <si>
    <t>F:\2021\GUMOK\EVC_RE\020\CONG\FV0\020CFV0_P1_5</t>
  </si>
  <si>
    <t>F:\2021\GUMOK\EVC_RE\020\CONG\FV0\020CFV0_P2_1</t>
  </si>
  <si>
    <t>F:\2021\GUMOK\EVC_RE\020\CONG\FV0\020CFV0_P2_2</t>
  </si>
  <si>
    <t>F:\2021\GUMOK\EVC_RE\020\CONG\FV0\020CFV0_P2_3</t>
  </si>
  <si>
    <t>F:\2021\GUMOK\EVC_RE\020\CONG\FV0\020CFV0_P2_4</t>
  </si>
  <si>
    <t>F:\2021\GUMOK\EVC_RE\020\CONG\FV0\020CFV0_P2_5</t>
  </si>
  <si>
    <t>F:\2021\GUMOK\EVC_RE\020\CONG\FV0\020CFV0_P3_1</t>
  </si>
  <si>
    <t>F:\2021\GUMOK\EVC_RE\020\CONG\FV0\020CFV0_P3_2</t>
  </si>
  <si>
    <t>F:\2021\GUMOK\EVC_RE\020\CONG\FV0\020CFV0_P3_3</t>
  </si>
  <si>
    <t>F:\2021\GUMOK\EVC_RE\020\CONG\FV0\020CFV0_P3_4</t>
  </si>
  <si>
    <t>F:\2021\GUMOK\EVC_RE\020\CONG\FV0\020CFV0_P3_5</t>
  </si>
  <si>
    <t>F:\2021\GUMOK\EVC_RE\020\CONG\FV0\020CFV0_P4_1</t>
  </si>
  <si>
    <t>F:\2021\GUMOK\EVC_RE\020\CONG\FV0\020CFV0_P4_2</t>
  </si>
  <si>
    <t>F:\2021\GUMOK\EVC_RE\020\CONG\FV0\020CFV0_P4_3</t>
  </si>
  <si>
    <t>F:\2021\GUMOK\EVC_RE\020\CONG\FV0\020CFV0_P4_4</t>
  </si>
  <si>
    <t>F:\2021\GUMOK\EVC_RE\020\CONG\FV0\020CFV0_P4_5</t>
  </si>
  <si>
    <t>F:\2021\GUMOK\EVC_RE\020\CONG\FV0\020CFV0_P5_1</t>
  </si>
  <si>
    <t>F:\2021\GUMOK\EVC_RE\020\CONG\FV0\020CFV0_P5_2</t>
  </si>
  <si>
    <t>F:\2021\GUMOK\EVC_RE\020\CONG\FV0\020CFV0_P5_3</t>
  </si>
  <si>
    <t>F:\2021\GUMOK\EVC_RE\020\CONG\FV0\020CFV0_P5_4</t>
  </si>
  <si>
    <t>F:\2021\GUMOK\EVC_RE\020\CONG\FV0\020CFV0_P5_5</t>
  </si>
  <si>
    <t>F:\2021\GUMOK\EVC_RE\020\CONG\FV0\020CFV0_P6_1</t>
  </si>
  <si>
    <t>F:\2021\GUMOK\EVC_RE\020\CONG\FV0\020CFV0_P6_2</t>
  </si>
  <si>
    <t>F:\2021\GUMOK\EVC_RE\020\CONG\FV0\020CFV0_P6_3</t>
  </si>
  <si>
    <t>F:\2021\GUMOK\EVC_RE\020\CONG\FV0\020CFV0_P6_4</t>
  </si>
  <si>
    <t>F:\2021\GUMOK\EVC_RE\020\CONG\FV0\020CFV0_P6_5</t>
  </si>
  <si>
    <t>F:\2021\GUMOK\EVC_RE\020\CONG\FVM\020CFVM_P1_1</t>
  </si>
  <si>
    <t>F:\2021\GUMOK\EVC_RE\020\CONG\FVM\020CFVM_P1_2</t>
  </si>
  <si>
    <t>F:\2021\GUMOK\EVC_RE\020\CONG\FVM\020CFVM_P1_3</t>
  </si>
  <si>
    <t>F:\2021\GUMOK\EVC_RE\020\CONG\FVM\020CFVM_P1_4</t>
  </si>
  <si>
    <t>F:\2021\GUMOK\EVC_RE\020\CONG\FVM\020CFVM_P1_5</t>
  </si>
  <si>
    <t>F:\2021\GUMOK\EVC_RE\020\CONG\FVM\020CFVM_P2_1</t>
  </si>
  <si>
    <t>F:\2021\GUMOK\EVC_RE\020\CONG\FVM\020CFVM_P2_2</t>
  </si>
  <si>
    <t>F:\2021\GUMOK\EVC_RE\020\CONG\FVM\020CFVM_P2_3</t>
  </si>
  <si>
    <t>F:\2021\GUMOK\EVC_RE\020\CONG\FVM\020CFVM_P2_4</t>
  </si>
  <si>
    <t>F:\2021\GUMOK\EVC_RE\020\CONG\FVM\020CFVM_P2_5</t>
  </si>
  <si>
    <t>F:\2021\GUMOK\EVC_RE\020\CONG\FVM\020CFVM_P3_1</t>
  </si>
  <si>
    <t>F:\2021\GUMOK\EVC_RE\020\CONG\FVM\020CFVM_P3_2</t>
  </si>
  <si>
    <t>F:\2021\GUMOK\EVC_RE\020\CONG\FVM\020CFVM_P3_3</t>
  </si>
  <si>
    <t>F:\2021\GUMOK\EVC_RE\020\CONG\FVM\020CFVM_P3_4</t>
  </si>
  <si>
    <t>F:\2021\GUMOK\EVC_RE\020\CONG\FVM\020CFVM_P3_5</t>
  </si>
  <si>
    <t>F:\2021\GUMOK\EVC_RE\020\CONG\FVM\020CFVM_P4_1</t>
  </si>
  <si>
    <t>F:\2021\GUMOK\EVC_RE\020\CONG\FVM\020CFVM_P4_2</t>
  </si>
  <si>
    <t>F:\2021\GUMOK\EVC_RE\020\CONG\FVM\020CFVM_P4_3</t>
  </si>
  <si>
    <t>F:\2021\GUMOK\EVC_RE\020\CONG\FVM\020CFVM_P4_4</t>
  </si>
  <si>
    <t>F:\2021\GUMOK\EVC_RE\020\CONG\FVM\020CFVM_P4_5</t>
  </si>
  <si>
    <t>F:\2021\GUMOK\EVC_RE\020\CONG\FVM\020CFVM_P5_1</t>
  </si>
  <si>
    <t>F:\2021\GUMOK\EVC_RE\020\CONG\FVM\020CFVM_P5_2</t>
  </si>
  <si>
    <t>F:\2021\GUMOK\EVC_RE\020\CONG\FVM\020CFVM_P5_3</t>
  </si>
  <si>
    <t>F:\2021\GUMOK\EVC_RE\020\CONG\FVM\020CFVM_P5_4</t>
  </si>
  <si>
    <t>F:\2021\GUMOK\EVC_RE\020\CONG\FVM\020CFVM_P5_5</t>
  </si>
  <si>
    <t>F:\2021\GUMOK\EVC_RE\020\CONG\FVM\020CFVM_P6_1</t>
  </si>
  <si>
    <t>F:\2021\GUMOK\EVC_RE\020\CONG\FVM\020CFVM_P6_2</t>
  </si>
  <si>
    <t>F:\2021\GUMOK\EVC_RE\020\CONG\FVM\020CFVM_P6_3</t>
  </si>
  <si>
    <t>F:\2021\GUMOK\EVC_RE\020\CONG\FVM\020CFVM_P6_4</t>
  </si>
  <si>
    <t>F:\2021\GUMOK\EVC_RE\020\CONG\FVM\020CFVM_P6_5</t>
  </si>
  <si>
    <t>F:\2021\GUMOK\EVC_RE\020\CONG\FVP\020CFVP_P1_1</t>
  </si>
  <si>
    <t>F:\2021\GUMOK\EVC_RE\020\CONG\FVP\020CFVP_P1_2</t>
  </si>
  <si>
    <t>F:\2021\GUMOK\EVC_RE\020\CONG\FVP\020CFVP_P1_3</t>
  </si>
  <si>
    <t>F:\2021\GUMOK\EVC_RE\020\CONG\FVP\020CFVP_P1_4</t>
  </si>
  <si>
    <t>F:\2021\GUMOK\EVC_RE\020\CONG\FVP\020CFVP_P1_5</t>
  </si>
  <si>
    <t>F:\2021\GUMOK\EVC_RE\020\CONG\FVP\020CFVP_P2_1</t>
  </si>
  <si>
    <t>F:\2021\GUMOK\EVC_RE\020\CONG\FVP\020CFVP_P2_2</t>
  </si>
  <si>
    <t>F:\2021\GUMOK\EVC_RE\020\CONG\FVP\020CFVP_P2_3</t>
  </si>
  <si>
    <t>F:\2021\GUMOK\EVC_RE\020\CONG\FVP\020CFVP_P2_4</t>
  </si>
  <si>
    <t>F:\2021\GUMOK\EVC_RE\020\CONG\FVP\020CFVP_P2_5</t>
  </si>
  <si>
    <t>F:\2021\GUMOK\EVC_RE\020\CONG\FVP\020CFVP_P3_1</t>
  </si>
  <si>
    <t>F:\2021\GUMOK\EVC_RE\020\CONG\FVP\020CFVP_P3_2</t>
  </si>
  <si>
    <t>F:\2021\GUMOK\EVC_RE\020\CONG\FVP\020CFVP_P3_3</t>
  </si>
  <si>
    <t>F:\2021\GUMOK\EVC_RE\020\CONG\FVP\020CFVP_P3_4</t>
  </si>
  <si>
    <t>F:\2021\GUMOK\EVC_RE\020\CONG\FVP\020CFVP_P3_5</t>
  </si>
  <si>
    <t>F:\2021\GUMOK\EVC_RE\020\CONG\FVP\020CFVP_P4_1</t>
  </si>
  <si>
    <t>F:\2021\GUMOK\EVC_RE\020\CONG\FVP\020CFVP_P4_2</t>
  </si>
  <si>
    <t>F:\2021\GUMOK\EVC_RE\020\CONG\FVP\020CFVP_P4_3</t>
  </si>
  <si>
    <t>F:\2021\GUMOK\EVC_RE\020\CONG\FVP\020CFVP_P4_4</t>
  </si>
  <si>
    <t>F:\2021\GUMOK\EVC_RE\020\CONG\FVP\020CFVP_P4_5</t>
  </si>
  <si>
    <t>F:\2021\GUMOK\EVC_RE\020\CONG\FVP\020CFVP_P5_1</t>
  </si>
  <si>
    <t>F:\2021\GUMOK\EVC_RE\020\CONG\FVP\020CFVP_P5_2</t>
  </si>
  <si>
    <t>F:\2021\GUMOK\EVC_RE\020\CONG\FVP\020CFVP_P5_3</t>
  </si>
  <si>
    <t>F:\2021\GUMOK\EVC_RE\020\CONG\FVP\020CFVP_P5_4</t>
  </si>
  <si>
    <t>F:\2021\GUMOK\EVC_RE\020\CONG\FVP\020CFVP_P5_5</t>
  </si>
  <si>
    <t>F:\2021\GUMOK\EVC_RE\020\CONG\FVP\020CFVP_P6_1</t>
  </si>
  <si>
    <t>F:\2021\GUMOK\EVC_RE\020\CONG\FVP\020CFVP_P6_2</t>
  </si>
  <si>
    <t>F:\2021\GUMOK\EVC_RE\020\CONG\FVP\020CFVP_P6_3</t>
  </si>
  <si>
    <t>F:\2021\GUMOK\EVC_RE\020\CONG\FVP\020CFVP_P6_4</t>
  </si>
  <si>
    <t>F:\2021\GUMOK\EVC_RE\020\CONG\FVP\020CFVP_P6_5</t>
  </si>
  <si>
    <t>F:\2021\GUMOK\EVC_RE\020\CONG\NV0\020CNV0_P1_1</t>
  </si>
  <si>
    <t>F:\2021\GUMOK\EVC_RE\020\CONG\NV0\020CNV0_P1_2</t>
  </si>
  <si>
    <t>F:\2021\GUMOK\EVC_RE\020\CONG\NV0\020CNV0_P1_3</t>
  </si>
  <si>
    <t>F:\2021\GUMOK\EVC_RE\020\CONG\NV0\020CNV0_P1_4</t>
  </si>
  <si>
    <t>F:\2021\GUMOK\EVC_RE\020\CONG\NV0\020CNV0_P1_5</t>
  </si>
  <si>
    <t>F:\2021\GUMOK\EVC_RE\020\CONG\NV0\020CNV0_P2_1</t>
  </si>
  <si>
    <t>F:\2021\GUMOK\EVC_RE\020\CONG\NV0\020CNV0_P2_2</t>
  </si>
  <si>
    <t>F:\2021\GUMOK\EVC_RE\020\CONG\NV0\020CNV0_P2_3</t>
  </si>
  <si>
    <t>F:\2021\GUMOK\EVC_RE\020\CONG\NV0\020CNV0_P2_4</t>
  </si>
  <si>
    <t>F:\2021\GUMOK\EVC_RE\020\CONG\NV0\020CNV0_P2_5</t>
  </si>
  <si>
    <t>F:\2021\GUMOK\EVC_RE\020\CONG\NV0\020CNV0_P3_1</t>
  </si>
  <si>
    <t>F:\2021\GUMOK\EVC_RE\020\CONG\NV0\020CNV0_P3_2</t>
  </si>
  <si>
    <t>F:\2021\GUMOK\EVC_RE\020\CONG\NV0\020CNV0_P3_3</t>
  </si>
  <si>
    <t>F:\2021\GUMOK\EVC_RE\020\CONG\NV0\020CNV0_P3_4</t>
  </si>
  <si>
    <t>F:\2021\GUMOK\EVC_RE\020\CONG\NV0\020CNV0_P3_5</t>
  </si>
  <si>
    <t>F:\2021\GUMOK\EVC_RE\020\CONG\NV0\020CNV0_P4_1</t>
  </si>
  <si>
    <t>F:\2021\GUMOK\EVC_RE\020\CONG\NV0\020CNV0_P4_2</t>
  </si>
  <si>
    <t>F:\2021\GUMOK\EVC_RE\020\CONG\NV0\020CNV0_P4_3</t>
  </si>
  <si>
    <t>F:\2021\GUMOK\EVC_RE\020\CONG\NV0\020CNV0_P4_4</t>
  </si>
  <si>
    <t>F:\2021\GUMOK\EVC_RE\020\CONG\NV0\020CNV0_P4_5</t>
  </si>
  <si>
    <t>F:\2021\GUMOK\EVC_RE\020\CONG\NV0\020CNV0_P5_1</t>
  </si>
  <si>
    <t>F:\2021\GUMOK\EVC_RE\020\CONG\NV0\020CNV0_P5_2</t>
  </si>
  <si>
    <t>F:\2021\GUMOK\EVC_RE\020\CONG\NV0\020CNV0_P5_3</t>
  </si>
  <si>
    <t>F:\2021\GUMOK\EVC_RE\020\CONG\NV0\020CNV0_P5_4</t>
  </si>
  <si>
    <t>F:\2021\GUMOK\EVC_RE\020\CONG\NV0\020CNV0_P5_5</t>
  </si>
  <si>
    <t>F:\2021\GUMOK\EVC_RE\020\CONG\NV0\020CNV0_P6_1</t>
  </si>
  <si>
    <t>F:\2021\GUMOK\EVC_RE\020\CONG\NV0\020CNV0_P6_2</t>
  </si>
  <si>
    <t>F:\2021\GUMOK\EVC_RE\020\CONG\NV0\020CNV0_P6_3</t>
  </si>
  <si>
    <t>F:\2021\GUMOK\EVC_RE\020\CONG\NV0\020CNV0_P6_4</t>
  </si>
  <si>
    <t>F:\2021\GUMOK\EVC_RE\020\CONG\NV0\020CNV0_P6_5</t>
  </si>
  <si>
    <t>F:\2021\GUMOK\EVC_RE\020\CONG\NVC\020CNVC_P1_1</t>
  </si>
  <si>
    <t>F:\2021\GUMOK\EVC_RE\020\CONG\NVC\020CNVC_P1_2</t>
  </si>
  <si>
    <t>F:\2021\GUMOK\EVC_RE\020\CONG\NVC\020CNVC_P1_3</t>
  </si>
  <si>
    <t>F:\2021\GUMOK\EVC_RE\020\CONG\NVC\020CNVC_P1_4</t>
  </si>
  <si>
    <t>F:\2021\GUMOK\EVC_RE\020\CONG\NVC\020CNVC_P1_5</t>
  </si>
  <si>
    <t>F:\2021\GUMOK\EVC_RE\020\CONG\NVC\020CNVC_P2_1</t>
  </si>
  <si>
    <t>F:\2021\GUMOK\EVC_RE\020\CONG\NVC\020CNVC_P2_2</t>
  </si>
  <si>
    <t>F:\2021\GUMOK\EVC_RE\020\CONG\NVC\020CNVC_P2_3</t>
  </si>
  <si>
    <t>F:\2021\GUMOK\EVC_RE\020\CONG\NVC\020CNVC_P2_4</t>
  </si>
  <si>
    <t>F:\2021\GUMOK\EVC_RE\020\CONG\NVC\020CNVC_P2_5</t>
  </si>
  <si>
    <t>F:\2021\GUMOK\EVC_RE\020\CONG\NVC\020CNVC_P3_1</t>
  </si>
  <si>
    <t>F:\2021\GUMOK\EVC_RE\020\CONG\NVC\020CNVC_P3_2</t>
  </si>
  <si>
    <t>F:\2021\GUMOK\EVC_RE\020\CONG\NVC\020CNVC_P3_3</t>
  </si>
  <si>
    <t>F:\2021\GUMOK\EVC_RE\020\CONG\NVC\020CNVC_P3_4</t>
  </si>
  <si>
    <t>F:\2021\GUMOK\EVC_RE\020\CONG\NVC\020CNVC_P3_5</t>
  </si>
  <si>
    <t>F:\2021\GUMOK\EVC_RE\020\CONG\NVC\020CNVC_P4_1</t>
  </si>
  <si>
    <t>F:\2021\GUMOK\EVC_RE\020\CONG\NVC\020CNVC_P4_2</t>
  </si>
  <si>
    <t>F:\2021\GUMOK\EVC_RE\020\CONG\NVC\020CNVC_P4_3</t>
  </si>
  <si>
    <t>F:\2021\GUMOK\EVC_RE\020\CONG\NVC\020CNVC_P4_4</t>
  </si>
  <si>
    <t>F:\2021\GUMOK\EVC_RE\020\CONG\NVC\020CNVC_P4_5</t>
  </si>
  <si>
    <t>F:\2021\GUMOK\EVC_RE\020\CONG\NVC\020CNVC_P5_1</t>
  </si>
  <si>
    <t>F:\2021\GUMOK\EVC_RE\020\CONG\NVC\020CNVC_P5_2</t>
  </si>
  <si>
    <t>F:\2021\GUMOK\EVC_RE\020\CONG\NVC\020CNVC_P5_3</t>
  </si>
  <si>
    <t>F:\2021\GUMOK\EVC_RE\020\CONG\NVC\020CNVC_P5_4</t>
  </si>
  <si>
    <t>F:\2021\GUMOK\EVC_RE\020\CONG\NVC\020CNVC_P5_5</t>
  </si>
  <si>
    <t>F:\2021\GUMOK\EVC_RE\020\CONG\NVC\020CNVC_P6_1</t>
  </si>
  <si>
    <t>F:\2021\GUMOK\EVC_RE\020\CONG\NVC\020CNVC_P6_2</t>
  </si>
  <si>
    <t>F:\2021\GUMOK\EVC_RE\020\CONG\NVC\020CNVC_P6_3</t>
  </si>
  <si>
    <t>F:\2021\GUMOK\EVC_RE\020\CONG\NVC\020CNVC_P6_4</t>
  </si>
  <si>
    <t>F:\2021\GUMOK\EVC_RE\020\CONG\NVC\020CNVC_P6_5</t>
  </si>
  <si>
    <t>F:\2021\GUMOK\EVC_RE\020\NORM\FV0\020NFV0_P1_1</t>
  </si>
  <si>
    <t>F:\2021\GUMOK\EVC_RE\020\NORM\FV0\020NFV0_P1_2</t>
  </si>
  <si>
    <t>F:\2021\GUMOK\EVC_RE\020\NORM\FV0\020NFV0_P1_3</t>
  </si>
  <si>
    <t>F:\2021\GUMOK\EVC_RE\020\NORM\FV0\020NFV0_P1_4</t>
  </si>
  <si>
    <t>F:\2021\GUMOK\EVC_RE\020\NORM\FV0\020NFV0_P1_5</t>
  </si>
  <si>
    <t>F:\2021\GUMOK\EVC_RE\020\NORM\FV0\020NFV0_P2_1</t>
  </si>
  <si>
    <t>F:\2021\GUMOK\EVC_RE\020\NORM\FV0\020NFV0_P2_2</t>
  </si>
  <si>
    <t>F:\2021\GUMOK\EVC_RE\020\NORM\FV0\020NFV0_P2_3</t>
  </si>
  <si>
    <t>F:\2021\GUMOK\EVC_RE\020\NORM\FV0\020NFV0_P2_4</t>
  </si>
  <si>
    <t>F:\2021\GUMOK\EVC_RE\020\NORM\FV0\020NFV0_P2_5</t>
  </si>
  <si>
    <t>F:\2021\GUMOK\EVC_RE\020\NORM\FV0\020NFV0_P3_1</t>
  </si>
  <si>
    <t>F:\2021\GUMOK\EVC_RE\020\NORM\FV0\020NFV0_P3_2</t>
  </si>
  <si>
    <t>F:\2021\GUMOK\EVC_RE\020\NORM\FV0\020NFV0_P3_3</t>
  </si>
  <si>
    <t>F:\2021\GUMOK\EVC_RE\020\NORM\FV0\020NFV0_P3_4</t>
  </si>
  <si>
    <t>F:\2021\GUMOK\EVC_RE\020\NORM\FV0\020NFV0_P3_5</t>
  </si>
  <si>
    <t>F:\2021\GUMOK\EVC_RE\020\NORM\FV0\020NFV0_P4_1</t>
  </si>
  <si>
    <t>F:\2021\GUMOK\EVC_RE\020\NORM\FV0\020NFV0_P4_2</t>
  </si>
  <si>
    <t>F:\2021\GUMOK\EVC_RE\020\NORM\FV0\020NFV0_P4_3</t>
  </si>
  <si>
    <t>F:\2021\GUMOK\EVC_RE\020\NORM\FV0\020NFV0_P4_4</t>
  </si>
  <si>
    <t>F:\2021\GUMOK\EVC_RE\020\NORM\FV0\020NFV0_P4_5</t>
  </si>
  <si>
    <t>F:\2021\GUMOK\EVC_RE\020\NORM\FV0\020NFV0_P5_1</t>
  </si>
  <si>
    <t>F:\2021\GUMOK\EVC_RE\020\NORM\FV0\020NFV0_P5_2</t>
  </si>
  <si>
    <t>F:\2021\GUMOK\EVC_RE\020\NORM\FV0\020NFV0_P5_3</t>
  </si>
  <si>
    <t>F:\2021\GUMOK\EVC_RE\020\NORM\FV0\020NFV0_P5_4</t>
  </si>
  <si>
    <t>F:\2021\GUMOK\EVC_RE\020\NORM\FV0\020NFV0_P5_5</t>
  </si>
  <si>
    <t>F:\2021\GUMOK\EVC_RE\020\NORM\FV0\020NFV0_P6_1</t>
  </si>
  <si>
    <t>F:\2021\GUMOK\EVC_RE\020\NORM\FV0\020NFV0_P6_2</t>
  </si>
  <si>
    <t>F:\2021\GUMOK\EVC_RE\020\NORM\FV0\020NFV0_P6_3</t>
  </si>
  <si>
    <t>F:\2021\GUMOK\EVC_RE\020\NORM\FV0\020NFV0_P6_4</t>
  </si>
  <si>
    <t>F:\2021\GUMOK\EVC_RE\020\NORM\FV0\020NFV0_P6_5</t>
  </si>
  <si>
    <t>F:\2021\GUMOK\EVC_RE\020\NORM\FVM\020NFVM_P1_1</t>
  </si>
  <si>
    <t>F:\2021\GUMOK\EVC_RE\020\NORM\FVM\020NFVM_P1_2</t>
  </si>
  <si>
    <t>F:\2021\GUMOK\EVC_RE\020\NORM\FVM\020NFVM_P1_3</t>
  </si>
  <si>
    <t>F:\2021\GUMOK\EVC_RE\020\NORM\FVM\020NFVM_P1_4</t>
  </si>
  <si>
    <t>F:\2021\GUMOK\EVC_RE\020\NORM\FVM\020NFVM_P1_5</t>
  </si>
  <si>
    <t>F:\2021\GUMOK\EVC_RE\020\NORM\FVM\020NFVM_P2_1</t>
  </si>
  <si>
    <t>F:\2021\GUMOK\EVC_RE\020\NORM\FVM\020NFVM_P2_2</t>
  </si>
  <si>
    <t>F:\2021\GUMOK\EVC_RE\020\NORM\FVM\020NFVM_P2_3</t>
  </si>
  <si>
    <t>F:\2021\GUMOK\EVC_RE\020\NORM\FVM\020NFVM_P2_4</t>
  </si>
  <si>
    <t>F:\2021\GUMOK\EVC_RE\020\NORM\FVM\020NFVM_P2_5</t>
  </si>
  <si>
    <t>F:\2021\GUMOK\EVC_RE\020\NORM\FVM\020NFVM_P3_1</t>
  </si>
  <si>
    <t>F:\2021\GUMOK\EVC_RE\020\NORM\FVM\020NFVM_P3_2</t>
  </si>
  <si>
    <t>F:\2021\GUMOK\EVC_RE\020\NORM\FVM\020NFVM_P3_3</t>
  </si>
  <si>
    <t>F:\2021\GUMOK\EVC_RE\020\NORM\FVM\020NFVM_P3_4</t>
  </si>
  <si>
    <t>F:\2021\GUMOK\EVC_RE\020\NORM\FVM\020NFVM_P3_5</t>
  </si>
  <si>
    <t>F:\2021\GUMOK\EVC_RE\020\NORM\FVM\020NFVM_P4_1</t>
  </si>
  <si>
    <t>F:\2021\GUMOK\EVC_RE\020\NORM\FVM\020NFVM_P4_2</t>
  </si>
  <si>
    <t>F:\2021\GUMOK\EVC_RE\020\NORM\FVM\020NFVM_P4_3</t>
  </si>
  <si>
    <t>F:\2021\GUMOK\EVC_RE\020\NORM\FVM\020NFVM_P4_4</t>
  </si>
  <si>
    <t>F:\2021\GUMOK\EVC_RE\020\NORM\FVM\020NFVM_P4_5</t>
  </si>
  <si>
    <t>F:\2021\GUMOK\EVC_RE\020\NORM\FVM\020NFVM_P5_1</t>
  </si>
  <si>
    <t>F:\2021\GUMOK\EVC_RE\020\NORM\FVM\020NFVM_P5_2</t>
  </si>
  <si>
    <t>F:\2021\GUMOK\EVC_RE\020\NORM\FVM\020NFVM_P5_3</t>
  </si>
  <si>
    <t>F:\2021\GUMOK\EVC_RE\020\NORM\FVM\020NFVM_P5_4</t>
  </si>
  <si>
    <t>F:\2021\GUMOK\EVC_RE\020\NORM\FVM\020NFVM_P5_5</t>
  </si>
  <si>
    <t>F:\2021\GUMOK\EVC_RE\020\NORM\FVM\020NFVM_P6_1</t>
  </si>
  <si>
    <t>F:\2021\GUMOK\EVC_RE\020\NORM\FVM\020NFVM_P6_2</t>
  </si>
  <si>
    <t>F:\2021\GUMOK\EVC_RE\020\NORM\FVM\020NFVM_P6_3</t>
  </si>
  <si>
    <t>F:\2021\GUMOK\EVC_RE\020\NORM\FVM\020NFVM_P6_4</t>
  </si>
  <si>
    <t>F:\2021\GUMOK\EVC_RE\020\NORM\FVM\020NFVM_P6_5</t>
  </si>
  <si>
    <t>F:\2021\GUMOK\EVC_RE\020\NORM\FVP\020NFVP_P1_1</t>
  </si>
  <si>
    <t>F:\2021\GUMOK\EVC_RE\020\NORM\FVP\020NFVP_P1_2</t>
  </si>
  <si>
    <t>F:\2021\GUMOK\EVC_RE\020\NORM\FVP\020NFVP_P1_3</t>
  </si>
  <si>
    <t>F:\2021\GUMOK\EVC_RE\020\NORM\FVP\020NFVP_P1_4</t>
  </si>
  <si>
    <t>F:\2021\GUMOK\EVC_RE\020\NORM\FVP\020NFVP_P1_5</t>
  </si>
  <si>
    <t>F:\2021\GUMOK\EVC_RE\020\NORM\FVP\020NFVP_P2_1</t>
  </si>
  <si>
    <t>F:\2021\GUMOK\EVC_RE\020\NORM\FVP\020NFVP_P2_2</t>
  </si>
  <si>
    <t>F:\2021\GUMOK\EVC_RE\020\NORM\FVP\020NFVP_P2_3</t>
  </si>
  <si>
    <t>F:\2021\GUMOK\EVC_RE\020\NORM\FVP\020NFVP_P2_4</t>
  </si>
  <si>
    <t>F:\2021\GUMOK\EVC_RE\020\NORM\FVP\020NFVP_P2_5</t>
  </si>
  <si>
    <t>F:\2021\GUMOK\EVC_RE\020\NORM\FVP\020NFVP_P3_1</t>
  </si>
  <si>
    <t>F:\2021\GUMOK\EVC_RE\020\NORM\FVP\020NFVP_P3_2</t>
  </si>
  <si>
    <t>F:\2021\GUMOK\EVC_RE\020\NORM\FVP\020NFVP_P3_3</t>
  </si>
  <si>
    <t>F:\2021\GUMOK\EVC_RE\020\NORM\FVP\020NFVP_P3_4</t>
  </si>
  <si>
    <t>F:\2021\GUMOK\EVC_RE\020\NORM\FVP\020NFVP_P3_5</t>
  </si>
  <si>
    <t>F:\2021\GUMOK\EVC_RE\020\NORM\FVP\020NFVP_P4_1</t>
  </si>
  <si>
    <t>F:\2021\GUMOK\EVC_RE\020\NORM\FVP\020NFVP_P4_2</t>
  </si>
  <si>
    <t>F:\2021\GUMOK\EVC_RE\020\NORM\FVP\020NFVP_P4_3</t>
  </si>
  <si>
    <t>F:\2021\GUMOK\EVC_RE\020\NORM\FVP\020NFVP_P4_4</t>
  </si>
  <si>
    <t>F:\2021\GUMOK\EVC_RE\020\NORM\FVP\020NFVP_P4_5</t>
  </si>
  <si>
    <t>F:\2021\GUMOK\EVC_RE\020\NORM\FVP\020NFVP_P5_1</t>
  </si>
  <si>
    <t>F:\2021\GUMOK\EVC_RE\020\NORM\FVP\020NFVP_P5_2</t>
  </si>
  <si>
    <t>F:\2021\GUMOK\EVC_RE\020\NORM\FVP\020NFVP_P5_3</t>
  </si>
  <si>
    <t>F:\2021\GUMOK\EVC_RE\020\NORM\FVP\020NFVP_P5_4</t>
  </si>
  <si>
    <t>F:\2021\GUMOK\EVC_RE\020\NORM\FVP\020NFVP_P5_5</t>
  </si>
  <si>
    <t>F:\2021\GUMOK\EVC_RE\020\NORM\FVP\020NFVP_P6_1</t>
  </si>
  <si>
    <t>F:\2021\GUMOK\EVC_RE\020\NORM\FVP\020NFVP_P6_2</t>
  </si>
  <si>
    <t>F:\2021\GUMOK\EVC_RE\020\NORM\FVP\020NFVP_P6_3</t>
  </si>
  <si>
    <t>F:\2021\GUMOK\EVC_RE\020\NORM\FVP\020NFVP_P6_4</t>
  </si>
  <si>
    <t>F:\2021\GUMOK\EVC_RE\020\NORM\FVP\020NFVP_P6_5</t>
  </si>
  <si>
    <t>F:\2021\GUMOK\EVC_RE\020\NORM\NV0\020NNV0_P1_1</t>
  </si>
  <si>
    <t>F:\2021\GUMOK\EVC_RE\020\NORM\NV0\020NNV0_P1_2</t>
  </si>
  <si>
    <t>F:\2021\GUMOK\EVC_RE\020\NORM\NV0\020NNV0_P1_3</t>
  </si>
  <si>
    <t>F:\2021\GUMOK\EVC_RE\020\NORM\NV0\020NNV0_P1_4</t>
  </si>
  <si>
    <t>F:\2021\GUMOK\EVC_RE\020\NORM\NV0\020NNV0_P1_5</t>
  </si>
  <si>
    <t>F:\2021\GUMOK\EVC_RE\020\NORM\NV0\020NNV0_P2_1</t>
  </si>
  <si>
    <t>F:\2021\GUMOK\EVC_RE\020\NORM\NV0\020NNV0_P2_2</t>
  </si>
  <si>
    <t>F:\2021\GUMOK\EVC_RE\020\NORM\NV0\020NNV0_P2_3</t>
  </si>
  <si>
    <t>F:\2021\GUMOK\EVC_RE\020\NORM\NV0\020NNV0_P2_4</t>
  </si>
  <si>
    <t>F:\2021\GUMOK\EVC_RE\020\NORM\NV0\020NNV0_P2_5</t>
  </si>
  <si>
    <t>F:\2021\GUMOK\EVC_RE\020\NORM\NV0\020NNV0_P3_1</t>
  </si>
  <si>
    <t>F:\2021\GUMOK\EVC_RE\020\NORM\NV0\020NNV0_P3_2</t>
  </si>
  <si>
    <t>F:\2021\GUMOK\EVC_RE\020\NORM\NV0\020NNV0_P3_3</t>
  </si>
  <si>
    <t>F:\2021\GUMOK\EVC_RE\020\NORM\NV0\020NNV0_P3_4</t>
  </si>
  <si>
    <t>F:\2021\GUMOK\EVC_RE\020\NORM\NV0\020NNV0_P3_5</t>
  </si>
  <si>
    <t>F:\2021\GUMOK\EVC_RE\020\NORM\NV0\020NNV0_P4_1</t>
  </si>
  <si>
    <t>F:\2021\GUMOK\EVC_RE\020\NORM\NV0\020NNV0_P4_2</t>
  </si>
  <si>
    <t>F:\2021\GUMOK\EVC_RE\020\NORM\NV0\020NNV0_P4_3</t>
  </si>
  <si>
    <t>F:\2021\GUMOK\EVC_RE\020\NORM\NV0\020NNV0_P4_4</t>
  </si>
  <si>
    <t>F:\2021\GUMOK\EVC_RE\020\NORM\NV0\020NNV0_P4_5</t>
  </si>
  <si>
    <t>F:\2021\GUMOK\EVC_RE\020\NORM\NV0\020NNV0_P5_1</t>
  </si>
  <si>
    <t>F:\2021\GUMOK\EVC_RE\020\NORM\NV0\020NNV0_P5_2</t>
  </si>
  <si>
    <t>F:\2021\GUMOK\EVC_RE\020\NORM\NV0\020NNV0_P5_3</t>
  </si>
  <si>
    <t>F:\2021\GUMOK\EVC_RE\020\NORM\NV0\020NNV0_P5_4</t>
  </si>
  <si>
    <t>F:\2021\GUMOK\EVC_RE\020\NORM\NV0\020NNV0_P5_5</t>
  </si>
  <si>
    <t>F:\2021\GUMOK\EVC_RE\020\NORM\NV0\020NNV0_P6_1</t>
  </si>
  <si>
    <t>F:\2021\GUMOK\EVC_RE\020\NORM\NV0\020NNV0_P6_2</t>
  </si>
  <si>
    <t>F:\2021\GUMOK\EVC_RE\020\NORM\NV0\020NNV0_P6_3</t>
  </si>
  <si>
    <t>F:\2021\GUMOK\EVC_RE\020\NORM\NV0\020NNV0_P6_4</t>
  </si>
  <si>
    <t>F:\2021\GUMOK\EVC_RE\020\NORM\NV0\020NNV0_P6_5</t>
  </si>
  <si>
    <t>F:\2021\GUMOK\EVC_RE\020\NORM\NVC\020NNVC_P1_1</t>
  </si>
  <si>
    <t>F:\2021\GUMOK\EVC_RE\020\NORM\NVC\020NNVC_P1_2</t>
  </si>
  <si>
    <t>F:\2021\GUMOK\EVC_RE\020\NORM\NVC\020NNVC_P1_3</t>
  </si>
  <si>
    <t>F:\2021\GUMOK\EVC_RE\020\NORM\NVC\020NNVC_P1_4</t>
  </si>
  <si>
    <t>F:\2021\GUMOK\EVC_RE\020\NORM\NVC\020NNVC_P1_5</t>
  </si>
  <si>
    <t>F:\2021\GUMOK\EVC_RE\020\NORM\NVC\020NNVC_P2_1</t>
  </si>
  <si>
    <t>F:\2021\GUMOK\EVC_RE\020\NORM\NVC\020NNVC_P2_2</t>
  </si>
  <si>
    <t>F:\2021\GUMOK\EVC_RE\020\NORM\NVC\020NNVC_P2_3</t>
  </si>
  <si>
    <t>F:\2021\GUMOK\EVC_RE\020\NORM\NVC\020NNVC_P2_4</t>
  </si>
  <si>
    <t>F:\2021\GUMOK\EVC_RE\020\NORM\NVC\020NNVC_P2_5</t>
  </si>
  <si>
    <t>F:\2021\GUMOK\EVC_RE\020\NORM\NVC\020NNVC_P3_1</t>
  </si>
  <si>
    <t>F:\2021\GUMOK\EVC_RE\020\NORM\NVC\020NNVC_P3_2</t>
  </si>
  <si>
    <t>F:\2021\GUMOK\EVC_RE\020\NORM\NVC\020NNVC_P3_3</t>
  </si>
  <si>
    <t>F:\2021\GUMOK\EVC_RE\020\NORM\NVC\020NNVC_P3_4</t>
  </si>
  <si>
    <t>F:\2021\GUMOK\EVC_RE\020\NORM\NVC\020NNVC_P3_5</t>
  </si>
  <si>
    <t>F:\2021\GUMOK\EVC_RE\020\NORM\NVC\020NNVC_P4_1</t>
  </si>
  <si>
    <t>F:\2021\GUMOK\EVC_RE\020\NORM\NVC\020NNVC_P4_2</t>
  </si>
  <si>
    <t>F:\2021\GUMOK\EVC_RE\020\NORM\NVC\020NNVC_P4_3</t>
  </si>
  <si>
    <t>F:\2021\GUMOK\EVC_RE\020\NORM\NVC\020NNVC_P4_4</t>
  </si>
  <si>
    <t>F:\2021\GUMOK\EVC_RE\020\NORM\NVC\020NNVC_P4_5</t>
  </si>
  <si>
    <t>F:\2021\GUMOK\EVC_RE\020\NORM\NVC\020NNVC_P5_1</t>
  </si>
  <si>
    <t>F:\2021\GUMOK\EVC_RE\020\NORM\NVC\020NNVC_P5_2</t>
  </si>
  <si>
    <t>F:\2021\GUMOK\EVC_RE\020\NORM\NVC\020NNVC_P5_3</t>
  </si>
  <si>
    <t>F:\2021\GUMOK\EVC_RE\020\NORM\NVC\020NNVC_P5_4</t>
  </si>
  <si>
    <t>F:\2021\GUMOK\EVC_RE\020\NORM\NVC\020NNVC_P5_5</t>
  </si>
  <si>
    <t>F:\2021\GUMOK\EVC_RE\020\NORM\NVC\020NNVC_P6_1</t>
  </si>
  <si>
    <t>F:\2021\GUMOK\EVC_RE\020\NORM\NVC\020NNVC_P6_2</t>
  </si>
  <si>
    <t>F:\2021\GUMOK\EVC_RE\020\NORM\NVC\020NNVC_P6_3</t>
  </si>
  <si>
    <t>F:\2021\GUMOK\EVC_RE\020\NORM\NVC\020NNVC_P6_4</t>
  </si>
  <si>
    <t>F:\2021\GUMOK\EVC_RE\020\NORM\NVC\020NNVC_P6_5</t>
  </si>
  <si>
    <t>F:\2021\GUMOK\EVC_RE\030\CONG\FV0\030CFV0_P1_1</t>
  </si>
  <si>
    <t>F:\2021\GUMOK\EVC_RE\030\CONG\FV0\030CFV0_P1_2</t>
  </si>
  <si>
    <t>F:\2021\GUMOK\EVC_RE\030\CONG\FV0\030CFV0_P1_3</t>
  </si>
  <si>
    <t>F:\2021\GUMOK\EVC_RE\030\CONG\FV0\030CFV0_P1_4</t>
  </si>
  <si>
    <t>F:\2021\GUMOK\EVC_RE\030\CONG\FV0\030CFV0_P1_5</t>
  </si>
  <si>
    <t>F:\2021\GUMOK\EVC_RE\030\CONG\FV0\030CFV0_P2_1</t>
  </si>
  <si>
    <t>F:\2021\GUMOK\EVC_RE\030\CONG\FV0\030CFV0_P2_2</t>
  </si>
  <si>
    <t>F:\2021\GUMOK\EVC_RE\030\CONG\FV0\030CFV0_P2_3</t>
  </si>
  <si>
    <t>F:\2021\GUMOK\EVC_RE\030\CONG\FV0\030CFV0_P2_4</t>
  </si>
  <si>
    <t>F:\2021\GUMOK\EVC_RE\030\CONG\FV0\030CFV0_P2_5</t>
  </si>
  <si>
    <t>F:\2021\GUMOK\EVC_RE\030\CONG\FV0\030CFV0_P3_1</t>
  </si>
  <si>
    <t>F:\2021\GUMOK\EVC_RE\030\CONG\FV0\030CFV0_P3_2</t>
  </si>
  <si>
    <t>F:\2021\GUMOK\EVC_RE\030\CONG\FV0\030CFV0_P3_3</t>
  </si>
  <si>
    <t>F:\2021\GUMOK\EVC_RE\030\CONG\FV0\030CFV0_P3_4</t>
  </si>
  <si>
    <t>F:\2021\GUMOK\EVC_RE\030\CONG\FV0\030CFV0_P3_5</t>
  </si>
  <si>
    <t>F:\2021\GUMOK\EVC_RE\030\CONG\FV0\030CFV0_P4_1</t>
  </si>
  <si>
    <t>F:\2021\GUMOK\EVC_RE\030\CONG\FV0\030CFV0_P4_2</t>
  </si>
  <si>
    <t>F:\2021\GUMOK\EVC_RE\030\CONG\FV0\030CFV0_P4_3</t>
  </si>
  <si>
    <t>F:\2021\GUMOK\EVC_RE\030\CONG\FV0\030CFV0_P4_4</t>
  </si>
  <si>
    <t>F:\2021\GUMOK\EVC_RE\030\CONG\FV0\030CFV0_P4_5</t>
  </si>
  <si>
    <t>F:\2021\GUMOK\EVC_RE\030\CONG\FV0\030CFV0_P5_1</t>
  </si>
  <si>
    <t>F:\2021\GUMOK\EVC_RE\030\CONG\FV0\030CFV0_P5_2</t>
  </si>
  <si>
    <t>F:\2021\GUMOK\EVC_RE\030\CONG\FV0\030CFV0_P5_3</t>
  </si>
  <si>
    <t>F:\2021\GUMOK\EVC_RE\030\CONG\FV0\030CFV0_P5_4</t>
  </si>
  <si>
    <t>F:\2021\GUMOK\EVC_RE\030\CONG\FV0\030CFV0_P5_5</t>
  </si>
  <si>
    <t>F:\2021\GUMOK\EVC_RE\030\CONG\FV0\030CFV0_P6_1</t>
  </si>
  <si>
    <t>F:\2021\GUMOK\EVC_RE\030\CONG\FV0\030CFV0_P6_2</t>
  </si>
  <si>
    <t>F:\2021\GUMOK\EVC_RE\030\CONG\FV0\030CFV0_P6_3</t>
  </si>
  <si>
    <t>F:\2021\GUMOK\EVC_RE\030\CONG\FV0\030CFV0_P6_4</t>
  </si>
  <si>
    <t>F:\2021\GUMOK\EVC_RE\030\CONG\FV0\030CFV0_P6_5</t>
  </si>
  <si>
    <t>F:\2021\GUMOK\EVC_RE\030\CONG\FVM\030CFVM_P1_1</t>
  </si>
  <si>
    <t>F:\2021\GUMOK\EVC_RE\030\CONG\FVM\030CFVM_P1_2</t>
  </si>
  <si>
    <t>F:\2021\GUMOK\EVC_RE\030\CONG\FVM\030CFVM_P1_3</t>
  </si>
  <si>
    <t>F:\2021\GUMOK\EVC_RE\030\CONG\FVM\030CFVM_P1_4</t>
  </si>
  <si>
    <t>F:\2021\GUMOK\EVC_RE\030\CONG\FVM\030CFVM_P1_5</t>
  </si>
  <si>
    <t>F:\2021\GUMOK\EVC_RE\030\CONG\FVM\030CFVM_P2_1</t>
  </si>
  <si>
    <t>F:\2021\GUMOK\EVC_RE\030\CONG\FVM\030CFVM_P2_2</t>
  </si>
  <si>
    <t>F:\2021\GUMOK\EVC_RE\030\CONG\FVM\030CFVM_P2_3</t>
  </si>
  <si>
    <t>F:\2021\GUMOK\EVC_RE\030\CONG\FVM\030CFVM_P2_4</t>
  </si>
  <si>
    <t>F:\2021\GUMOK\EVC_RE\030\CONG\FVM\030CFVM_P2_5</t>
  </si>
  <si>
    <t>F:\2021\GUMOK\EVC_RE\030\CONG\FVM\030CFVM_P3_1</t>
  </si>
  <si>
    <t>F:\2021\GUMOK\EVC_RE\030\CONG\FVM\030CFVM_P3_2</t>
  </si>
  <si>
    <t>F:\2021\GUMOK\EVC_RE\030\CONG\FVM\030CFVM_P3_3</t>
  </si>
  <si>
    <t>F:\2021\GUMOK\EVC_RE\030\CONG\FVM\030CFVM_P3_4</t>
  </si>
  <si>
    <t>F:\2021\GUMOK\EVC_RE\030\CONG\FVM\030CFVM_P3_5</t>
  </si>
  <si>
    <t>F:\2021\GUMOK\EVC_RE\030\CONG\FVM\030CFVM_P4_1</t>
  </si>
  <si>
    <t>F:\2021\GUMOK\EVC_RE\030\CONG\FVM\030CFVM_P4_2</t>
  </si>
  <si>
    <t>F:\2021\GUMOK\EVC_RE\030\CONG\FVM\030CFVM_P4_3</t>
  </si>
  <si>
    <t>F:\2021\GUMOK\EVC_RE\030\CONG\FVM\030CFVM_P4_4</t>
  </si>
  <si>
    <t>F:\2021\GUMOK\EVC_RE\030\CONG\FVM\030CFVM_P4_5</t>
  </si>
  <si>
    <t>F:\2021\GUMOK\EVC_RE\030\CONG\FVM\030CFVM_P5_1</t>
  </si>
  <si>
    <t>F:\2021\GUMOK\EVC_RE\030\CONG\FVM\030CFVM_P5_2</t>
  </si>
  <si>
    <t>F:\2021\GUMOK\EVC_RE\030\CONG\FVM\030CFVM_P5_3</t>
  </si>
  <si>
    <t>F:\2021\GUMOK\EVC_RE\030\CONG\FVM\030CFVM_P5_4</t>
  </si>
  <si>
    <t>F:\2021\GUMOK\EVC_RE\030\CONG\FVM\030CFVM_P5_5</t>
  </si>
  <si>
    <t>F:\2021\GUMOK\EVC_RE\030\CONG\FVM\030CFVM_P6_1</t>
  </si>
  <si>
    <t>F:\2021\GUMOK\EVC_RE\030\CONG\FVM\030CFVM_P6_2</t>
  </si>
  <si>
    <t>F:\2021\GUMOK\EVC_RE\030\CONG\FVM\030CFVM_P6_3</t>
  </si>
  <si>
    <t>F:\2021\GUMOK\EVC_RE\030\CONG\FVM\030CFVM_P6_4</t>
  </si>
  <si>
    <t>F:\2021\GUMOK\EVC_RE\030\CONG\FVM\030CFVM_P6_5</t>
  </si>
  <si>
    <t>F:\2021\GUMOK\EVC_RE\030\CONG\FVP\030CFVP_P1_1</t>
  </si>
  <si>
    <t>F:\2021\GUMOK\EVC_RE\030\CONG\FVP\030CFVP_P1_2</t>
  </si>
  <si>
    <t>F:\2021\GUMOK\EVC_RE\030\CONG\FVP\030CFVP_P1_3</t>
  </si>
  <si>
    <t>F:\2021\GUMOK\EVC_RE\030\CONG\FVP\030CFVP_P1_4</t>
  </si>
  <si>
    <t>F:\2021\GUMOK\EVC_RE\030\CONG\FVP\030CFVP_P1_5</t>
  </si>
  <si>
    <t>F:\2021\GUMOK\EVC_RE\030\CONG\FVP\030CFVP_P2_1</t>
  </si>
  <si>
    <t>F:\2021\GUMOK\EVC_RE\030\CONG\FVP\030CFVP_P2_2</t>
  </si>
  <si>
    <t>F:\2021\GUMOK\EVC_RE\030\CONG\FVP\030CFVP_P2_3</t>
  </si>
  <si>
    <t>F:\2021\GUMOK\EVC_RE\030\CONG\FVP\030CFVP_P2_4</t>
  </si>
  <si>
    <t>F:\2021\GUMOK\EVC_RE\030\CONG\FVP\030CFVP_P2_5</t>
  </si>
  <si>
    <t>F:\2021\GUMOK\EVC_RE\030\CONG\FVP\030CFVP_P3_1</t>
  </si>
  <si>
    <t>F:\2021\GUMOK\EVC_RE\030\CONG\FVP\030CFVP_P3_2</t>
  </si>
  <si>
    <t>F:\2021\GUMOK\EVC_RE\030\CONG\FVP\030CFVP_P3_3</t>
  </si>
  <si>
    <t>F:\2021\GUMOK\EVC_RE\030\CONG\FVP\030CFVP_P3_4</t>
  </si>
  <si>
    <t>F:\2021\GUMOK\EVC_RE\030\CONG\FVP\030CFVP_P3_5</t>
  </si>
  <si>
    <t>F:\2021\GUMOK\EVC_RE\030\CONG\FVP\030CFVP_P4_1</t>
  </si>
  <si>
    <t>F:\2021\GUMOK\EVC_RE\030\CONG\FVP\030CFVP_P4_2</t>
  </si>
  <si>
    <t>F:\2021\GUMOK\EVC_RE\030\CONG\FVP\030CFVP_P4_3</t>
  </si>
  <si>
    <t>F:\2021\GUMOK\EVC_RE\030\CONG\FVP\030CFVP_P4_4</t>
  </si>
  <si>
    <t>F:\2021\GUMOK\EVC_RE\030\CONG\FVP\030CFVP_P4_5</t>
  </si>
  <si>
    <t>F:\2021\GUMOK\EVC_RE\030\CONG\FVP\030CFVP_P5_1</t>
  </si>
  <si>
    <t>F:\2021\GUMOK\EVC_RE\030\CONG\FVP\030CFVP_P5_2</t>
  </si>
  <si>
    <t>F:\2021\GUMOK\EVC_RE\030\CONG\FVP\030CFVP_P5_3</t>
  </si>
  <si>
    <t>F:\2021\GUMOK\EVC_RE\030\CONG\FVP\030CFVP_P5_4</t>
  </si>
  <si>
    <t>F:\2021\GUMOK\EVC_RE\030\CONG\FVP\030CFVP_P5_5</t>
  </si>
  <si>
    <t>F:\2021\GUMOK\EVC_RE\030\CONG\FVP\030CFVP_P6_1</t>
  </si>
  <si>
    <t>F:\2021\GUMOK\EVC_RE\030\CONG\FVP\030CFVP_P6_2</t>
  </si>
  <si>
    <t>F:\2021\GUMOK\EVC_RE\030\CONG\FVP\030CFVP_P6_3</t>
  </si>
  <si>
    <t>F:\2021\GUMOK\EVC_RE\030\CONG\FVP\030CFVP_P6_4</t>
  </si>
  <si>
    <t>F:\2021\GUMOK\EVC_RE\030\CONG\FVP\030CFVP_P6_5</t>
  </si>
  <si>
    <t>F:\2021\GUMOK\EVC_RE\030\CONG\NV0\030CNV0_P1_1</t>
  </si>
  <si>
    <t>F:\2021\GUMOK\EVC_RE\030\CONG\NV0\030CNV0_P1_2</t>
  </si>
  <si>
    <t>F:\2021\GUMOK\EVC_RE\030\CONG\NV0\030CNV0_P1_3</t>
  </si>
  <si>
    <t>F:\2021\GUMOK\EVC_RE\030\CONG\NV0\030CNV0_P1_4</t>
  </si>
  <si>
    <t>F:\2021\GUMOK\EVC_RE\030\CONG\NV0\030CNV0_P1_5</t>
  </si>
  <si>
    <t>F:\2021\GUMOK\EVC_RE\030\CONG\NV0\030CNV0_P2_1</t>
  </si>
  <si>
    <t>F:\2021\GUMOK\EVC_RE\030\CONG\NV0\030CNV0_P2_2</t>
  </si>
  <si>
    <t>F:\2021\GUMOK\EVC_RE\030\CONG\NV0\030CNV0_P2_3</t>
  </si>
  <si>
    <t>F:\2021\GUMOK\EVC_RE\030\CONG\NV0\030CNV0_P2_4</t>
  </si>
  <si>
    <t>F:\2021\GUMOK\EVC_RE\030\CONG\NV0\030CNV0_P2_5</t>
  </si>
  <si>
    <t>F:\2021\GUMOK\EVC_RE\030\CONG\NV0\030CNV0_P3_1</t>
  </si>
  <si>
    <t>F:\2021\GUMOK\EVC_RE\030\CONG\NV0\030CNV0_P3_2</t>
  </si>
  <si>
    <t>F:\2021\GUMOK\EVC_RE\030\CONG\NV0\030CNV0_P3_3</t>
  </si>
  <si>
    <t>F:\2021\GUMOK\EVC_RE\030\CONG\NV0\030CNV0_P3_4</t>
  </si>
  <si>
    <t>F:\2021\GUMOK\EVC_RE\030\CONG\NV0\030CNV0_P3_5</t>
  </si>
  <si>
    <t>F:\2021\GUMOK\EVC_RE\030\CONG\NV0\030CNV0_P4_1</t>
  </si>
  <si>
    <t>F:\2021\GUMOK\EVC_RE\030\CONG\NV0\030CNV0_P4_2</t>
  </si>
  <si>
    <t>F:\2021\GUMOK\EVC_RE\030\CONG\NV0\030CNV0_P4_3</t>
  </si>
  <si>
    <t>F:\2021\GUMOK\EVC_RE\030\CONG\NV0\030CNV0_P4_4</t>
  </si>
  <si>
    <t>F:\2021\GUMOK\EVC_RE\030\CONG\NV0\030CNV0_P4_5</t>
  </si>
  <si>
    <t>F:\2021\GUMOK\EVC_RE\030\CONG\NV0\030CNV0_P5_1</t>
  </si>
  <si>
    <t>F:\2021\GUMOK\EVC_RE\030\CONG\NV0\030CNV0_P5_2</t>
  </si>
  <si>
    <t>F:\2021\GUMOK\EVC_RE\030\CONG\NV0\030CNV0_P5_3</t>
  </si>
  <si>
    <t>F:\2021\GUMOK\EVC_RE\030\CONG\NV0\030CNV0_P5_4</t>
  </si>
  <si>
    <t>F:\2021\GUMOK\EVC_RE\030\CONG\NV0\030CNV0_P5_5</t>
  </si>
  <si>
    <t>F:\2021\GUMOK\EVC_RE\030\CONG\NV0\030CNV0_P6_1</t>
  </si>
  <si>
    <t>F:\2021\GUMOK\EVC_RE\030\CONG\NV0\030CNV0_P6_2</t>
  </si>
  <si>
    <t>F:\2021\GUMOK\EVC_RE\030\CONG\NV0\030CNV0_P6_3</t>
  </si>
  <si>
    <t>F:\2021\GUMOK\EVC_RE\030\CONG\NV0\030CNV0_P6_4</t>
  </si>
  <si>
    <t>F:\2021\GUMOK\EVC_RE\030\CONG\NV0\030CNV0_P6_5</t>
  </si>
  <si>
    <t>F:\2021\GUMOK\EVC_RE\030\CONG\NVC\030CNVC_P1_1</t>
  </si>
  <si>
    <t>F:\2021\GUMOK\EVC_RE\030\CONG\NVC\030CNVC_P1_2</t>
  </si>
  <si>
    <t>F:\2021\GUMOK\EVC_RE\030\CONG\NVC\030CNVC_P1_3</t>
  </si>
  <si>
    <t>F:\2021\GUMOK\EVC_RE\030\CONG\NVC\030CNVC_P1_4</t>
  </si>
  <si>
    <t>F:\2021\GUMOK\EVC_RE\030\CONG\NVC\030CNVC_P1_5</t>
  </si>
  <si>
    <t>F:\2021\GUMOK\EVC_RE\030\CONG\NVC\030CNVC_P2_1</t>
  </si>
  <si>
    <t>F:\2021\GUMOK\EVC_RE\030\CONG\NVC\030CNVC_P2_2</t>
  </si>
  <si>
    <t>F:\2021\GUMOK\EVC_RE\030\CONG\NVC\030CNVC_P2_3</t>
  </si>
  <si>
    <t>F:\2021\GUMOK\EVC_RE\030\CONG\NVC\030CNVC_P2_4</t>
  </si>
  <si>
    <t>F:\2021\GUMOK\EVC_RE\030\CONG\NVC\030CNVC_P2_5</t>
  </si>
  <si>
    <t>F:\2021\GUMOK\EVC_RE\030\CONG\NVC\030CNVC_P3_1</t>
  </si>
  <si>
    <t>F:\2021\GUMOK\EVC_RE\030\CONG\NVC\030CNVC_P3_2</t>
  </si>
  <si>
    <t>F:\2021\GUMOK\EVC_RE\030\CONG\NVC\030CNVC_P3_3</t>
  </si>
  <si>
    <t>F:\2021\GUMOK\EVC_RE\030\CONG\NVC\030CNVC_P3_4</t>
  </si>
  <si>
    <t>F:\2021\GUMOK\EVC_RE\030\CONG\NVC\030CNVC_P3_5</t>
  </si>
  <si>
    <t>F:\2021\GUMOK\EVC_RE\030\CONG\NVC\030CNVC_P4_1</t>
  </si>
  <si>
    <t>F:\2021\GUMOK\EVC_RE\030\CONG\NVC\030CNVC_P4_2</t>
  </si>
  <si>
    <t>F:\2021\GUMOK\EVC_RE\030\CONG\NVC\030CNVC_P4_3</t>
  </si>
  <si>
    <t>F:\2021\GUMOK\EVC_RE\030\CONG\NVC\030CNVC_P4_4</t>
  </si>
  <si>
    <t>F:\2021\GUMOK\EVC_RE\030\CONG\NVC\030CNVC_P4_5</t>
  </si>
  <si>
    <t>F:\2021\GUMOK\EVC_RE\030\CONG\NVC\030CNVC_P5_1</t>
  </si>
  <si>
    <t>F:\2021\GUMOK\EVC_RE\030\CONG\NVC\030CNVC_P5_2</t>
  </si>
  <si>
    <t>F:\2021\GUMOK\EVC_RE\030\CONG\NVC\030CNVC_P5_3</t>
  </si>
  <si>
    <t>F:\2021\GUMOK\EVC_RE\030\CONG\NVC\030CNVC_P5_4</t>
  </si>
  <si>
    <t>F:\2021\GUMOK\EVC_RE\030\CONG\NVC\030CNVC_P5_5</t>
  </si>
  <si>
    <t>F:\2021\GUMOK\EVC_RE\030\CONG\NVC\030CNVC_P6_1</t>
  </si>
  <si>
    <t>F:\2021\GUMOK\EVC_RE\030\CONG\NVC\030CNVC_P6_2</t>
  </si>
  <si>
    <t>F:\2021\GUMOK\EVC_RE\030\CONG\NVC\030CNVC_P6_3</t>
  </si>
  <si>
    <t>F:\2021\GUMOK\EVC_RE\030\CONG\NVC\030CNVC_P6_4</t>
  </si>
  <si>
    <t>F:\2021\GUMOK\EVC_RE\030\CONG\NVC\030CNVC_P6_5</t>
  </si>
  <si>
    <t>F:\2021\GUMOK\EVC_RE\030\NORM\FV0\030NFV0_P1_1</t>
  </si>
  <si>
    <t>F:\2021\GUMOK\EVC_RE\030\NORM\FV0\030NFV0_P1_2</t>
  </si>
  <si>
    <t>F:\2021\GUMOK\EVC_RE\030\NORM\FV0\030NFV0_P1_3</t>
  </si>
  <si>
    <t>F:\2021\GUMOK\EVC_RE\030\NORM\FV0\030NFV0_P1_4</t>
  </si>
  <si>
    <t>F:\2021\GUMOK\EVC_RE\030\NORM\FV0\030NFV0_P1_5</t>
  </si>
  <si>
    <t>F:\2021\GUMOK\EVC_RE\030\NORM\FV0\030NFV0_P2_1</t>
  </si>
  <si>
    <t>F:\2021\GUMOK\EVC_RE\030\NORM\FV0\030NFV0_P2_2</t>
  </si>
  <si>
    <t>F:\2021\GUMOK\EVC_RE\030\NORM\FV0\030NFV0_P2_3</t>
  </si>
  <si>
    <t>F:\2021\GUMOK\EVC_RE\030\NORM\FV0\030NFV0_P2_4</t>
  </si>
  <si>
    <t>F:\2021\GUMOK\EVC_RE\030\NORM\FV0\030NFV0_P2_5</t>
  </si>
  <si>
    <t>F:\2021\GUMOK\EVC_RE\030\NORM\FV0\030NFV0_P3_1</t>
  </si>
  <si>
    <t>F:\2021\GUMOK\EVC_RE\030\NORM\FV0\030NFV0_P3_2</t>
  </si>
  <si>
    <t>F:\2021\GUMOK\EVC_RE\030\NORM\FV0\030NFV0_P3_3</t>
  </si>
  <si>
    <t>F:\2021\GUMOK\EVC_RE\030\NORM\FV0\030NFV0_P3_4</t>
  </si>
  <si>
    <t>F:\2021\GUMOK\EVC_RE\030\NORM\FV0\030NFV0_P3_5</t>
  </si>
  <si>
    <t>F:\2021\GUMOK\EVC_RE\030\NORM\FV0\030NFV0_P4_1</t>
  </si>
  <si>
    <t>F:\2021\GUMOK\EVC_RE\030\NORM\FV0\030NFV0_P4_2</t>
  </si>
  <si>
    <t>F:\2021\GUMOK\EVC_RE\030\NORM\FV0\030NFV0_P4_3</t>
  </si>
  <si>
    <t>F:\2021\GUMOK\EVC_RE\030\NORM\FV0\030NFV0_P4_4</t>
  </si>
  <si>
    <t>F:\2021\GUMOK\EVC_RE\030\NORM\FV0\030NFV0_P4_5</t>
  </si>
  <si>
    <t>F:\2021\GUMOK\EVC_RE\030\NORM\FV0\030NFV0_P5_1</t>
  </si>
  <si>
    <t>F:\2021\GUMOK\EVC_RE\030\NORM\FV0\030NFV0_P5_2</t>
  </si>
  <si>
    <t>F:\2021\GUMOK\EVC_RE\030\NORM\FV0\030NFV0_P5_3</t>
  </si>
  <si>
    <t>F:\2021\GUMOK\EVC_RE\030\NORM\FV0\030NFV0_P5_4</t>
  </si>
  <si>
    <t>F:\2021\GUMOK\EVC_RE\030\NORM\FV0\030NFV0_P5_5</t>
  </si>
  <si>
    <t>F:\2021\GUMOK\EVC_RE\030\NORM\FV0\030NFV0_P6_1</t>
  </si>
  <si>
    <t>F:\2021\GUMOK\EVC_RE\030\NORM\FV0\030NFV0_P6_2</t>
  </si>
  <si>
    <t>F:\2021\GUMOK\EVC_RE\030\NORM\FV0\030NFV0_P6_3</t>
  </si>
  <si>
    <t>F:\2021\GUMOK\EVC_RE\030\NORM\FV0\030NFV0_P6_4</t>
  </si>
  <si>
    <t>F:\2021\GUMOK\EVC_RE\030\NORM\FV0\030NFV0_P6_5</t>
  </si>
  <si>
    <t>F:\2021\GUMOK\EVC_RE\030\NORM\FVM\030NFVM_P1_1</t>
  </si>
  <si>
    <t>F:\2021\GUMOK\EVC_RE\030\NORM\FVM\030NFVM_P1_2</t>
  </si>
  <si>
    <t>F:\2021\GUMOK\EVC_RE\030\NORM\FVM\030NFVM_P1_3</t>
  </si>
  <si>
    <t>F:\2021\GUMOK\EVC_RE\030\NORM\FVM\030NFVM_P1_4</t>
  </si>
  <si>
    <t>F:\2021\GUMOK\EVC_RE\030\NORM\FVM\030NFVM_P1_5</t>
  </si>
  <si>
    <t>F:\2021\GUMOK\EVC_RE\030\NORM\FVM\030NFVM_P2_1</t>
  </si>
  <si>
    <t>F:\2021\GUMOK\EVC_RE\030\NORM\FVM\030NFVM_P2_2</t>
  </si>
  <si>
    <t>F:\2021\GUMOK\EVC_RE\030\NORM\FVM\030NFVM_P2_3</t>
  </si>
  <si>
    <t>F:\2021\GUMOK\EVC_RE\030\NORM\FVM\030NFVM_P2_4</t>
  </si>
  <si>
    <t>F:\2021\GUMOK\EVC_RE\030\NORM\FVM\030NFVM_P2_5</t>
  </si>
  <si>
    <t>F:\2021\GUMOK\EVC_RE\030\NORM\FVM\030NFVM_P3_1</t>
  </si>
  <si>
    <t>F:\2021\GUMOK\EVC_RE\030\NORM\FVM\030NFVM_P3_2</t>
  </si>
  <si>
    <t>F:\2021\GUMOK\EVC_RE\030\NORM\FVM\030NFVM_P3_3</t>
  </si>
  <si>
    <t>F:\2021\GUMOK\EVC_RE\030\NORM\FVM\030NFVM_P3_4</t>
  </si>
  <si>
    <t>F:\2021\GUMOK\EVC_RE\030\NORM\FVM\030NFVM_P3_5</t>
  </si>
  <si>
    <t>F:\2021\GUMOK\EVC_RE\030\NORM\FVM\030NFVM_P4_1</t>
  </si>
  <si>
    <t>F:\2021\GUMOK\EVC_RE\030\NORM\FVM\030NFVM_P4_2</t>
  </si>
  <si>
    <t>F:\2021\GUMOK\EVC_RE\030\NORM\FVM\030NFVM_P4_3</t>
  </si>
  <si>
    <t>F:\2021\GUMOK\EVC_RE\030\NORM\FVM\030NFVM_P4_4</t>
  </si>
  <si>
    <t>F:\2021\GUMOK\EVC_RE\030\NORM\FVM\030NFVM_P4_5</t>
  </si>
  <si>
    <t>F:\2021\GUMOK\EVC_RE\030\NORM\FVM\030NFVM_P5_1</t>
  </si>
  <si>
    <t>F:\2021\GUMOK\EVC_RE\030\NORM\FVM\030NFVM_P5_2</t>
  </si>
  <si>
    <t>F:\2021\GUMOK\EVC_RE\030\NORM\FVM\030NFVM_P5_3</t>
  </si>
  <si>
    <t>F:\2021\GUMOK\EVC_RE\030\NORM\FVM\030NFVM_P5_4</t>
  </si>
  <si>
    <t>F:\2021\GUMOK\EVC_RE\030\NORM\FVM\030NFVM_P5_5</t>
  </si>
  <si>
    <t>F:\2021\GUMOK\EVC_RE\030\NORM\FVM\030NFVM_P6_1</t>
  </si>
  <si>
    <t>F:\2021\GUMOK\EVC_RE\030\NORM\FVM\030NFVM_P6_2</t>
  </si>
  <si>
    <t>F:\2021\GUMOK\EVC_RE\030\NORM\FVM\030NFVM_P6_3</t>
  </si>
  <si>
    <t>F:\2021\GUMOK\EVC_RE\030\NORM\FVM\030NFVM_P6_4</t>
  </si>
  <si>
    <t>F:\2021\GUMOK\EVC_RE\030\NORM\FVM\030NFVM_P6_5</t>
  </si>
  <si>
    <t>F:\2021\GUMOK\EVC_RE\030\NORM\FVP\030NFVP_P1_1</t>
  </si>
  <si>
    <t>F:\2021\GUMOK\EVC_RE\030\NORM\FVP\030NFVP_P1_2</t>
  </si>
  <si>
    <t>F:\2021\GUMOK\EVC_RE\030\NORM\FVP\030NFVP_P1_3</t>
  </si>
  <si>
    <t>F:\2021\GUMOK\EVC_RE\030\NORM\FVP\030NFVP_P1_4</t>
  </si>
  <si>
    <t>F:\2021\GUMOK\EVC_RE\030\NORM\FVP\030NFVP_P1_5</t>
  </si>
  <si>
    <t>F:\2021\GUMOK\EVC_RE\030\NORM\FVP\030NFVP_P2_1</t>
  </si>
  <si>
    <t>F:\2021\GUMOK\EVC_RE\030\NORM\FVP\030NFVP_P2_2</t>
  </si>
  <si>
    <t>F:\2021\GUMOK\EVC_RE\030\NORM\FVP\030NFVP_P2_3</t>
  </si>
  <si>
    <t>F:\2021\GUMOK\EVC_RE\030\NORM\FVP\030NFVP_P2_4</t>
  </si>
  <si>
    <t>F:\2021\GUMOK\EVC_RE\030\NORM\FVP\030NFVP_P2_5</t>
  </si>
  <si>
    <t>F:\2021\GUMOK\EVC_RE\030\NORM\FVP\030NFVP_P3_1</t>
  </si>
  <si>
    <t>F:\2021\GUMOK\EVC_RE\030\NORM\FVP\030NFVP_P3_2</t>
  </si>
  <si>
    <t>F:\2021\GUMOK\EVC_RE\030\NORM\FVP\030NFVP_P3_3</t>
  </si>
  <si>
    <t>F:\2021\GUMOK\EVC_RE\030\NORM\FVP\030NFVP_P3_4</t>
  </si>
  <si>
    <t>F:\2021\GUMOK\EVC_RE\030\NORM\FVP\030NFVP_P3_5</t>
  </si>
  <si>
    <t>F:\2021\GUMOK\EVC_RE\030\NORM\FVP\030NFVP_P4_1</t>
  </si>
  <si>
    <t>F:\2021\GUMOK\EVC_RE\030\NORM\FVP\030NFVP_P4_2</t>
  </si>
  <si>
    <t>F:\2021\GUMOK\EVC_RE\030\NORM\FVP\030NFVP_P4_3</t>
  </si>
  <si>
    <t>F:\2021\GUMOK\EVC_RE\030\NORM\FVP\030NFVP_P4_4</t>
  </si>
  <si>
    <t>F:\2021\GUMOK\EVC_RE\030\NORM\FVP\030NFVP_P4_5</t>
  </si>
  <si>
    <t>F:\2021\GUMOK\EVC_RE\030\NORM\FVP\030NFVP_P5_1</t>
  </si>
  <si>
    <t>F:\2021\GUMOK\EVC_RE\030\NORM\FVP\030NFVP_P5_2</t>
  </si>
  <si>
    <t>F:\2021\GUMOK\EVC_RE\030\NORM\FVP\030NFVP_P5_3</t>
  </si>
  <si>
    <t>F:\2021\GUMOK\EVC_RE\030\NORM\FVP\030NFVP_P5_4</t>
  </si>
  <si>
    <t>F:\2021\GUMOK\EVC_RE\030\NORM\FVP\030NFVP_P5_5</t>
  </si>
  <si>
    <t>F:\2021\GUMOK\EVC_RE\030\NORM\FVP\030NFVP_P6_1</t>
  </si>
  <si>
    <t>F:\2021\GUMOK\EVC_RE\030\NORM\FVP\030NFVP_P6_2</t>
  </si>
  <si>
    <t>F:\2021\GUMOK\EVC_RE\030\NORM\FVP\030NFVP_P6_3</t>
  </si>
  <si>
    <t>F:\2021\GUMOK\EVC_RE\030\NORM\FVP\030NFVP_P6_4</t>
  </si>
  <si>
    <t>F:\2021\GUMOK\EVC_RE\030\NORM\FVP\030NFVP_P6_5</t>
  </si>
  <si>
    <t>F:\2021\GUMOK\EVC_RE\030\NORM\NV0\030NNV0_P1_1</t>
  </si>
  <si>
    <t>F:\2021\GUMOK\EVC_RE\030\NORM\NV0\030NNV0_P1_2</t>
  </si>
  <si>
    <t>F:\2021\GUMOK\EVC_RE\030\NORM\NV0\030NNV0_P1_3</t>
  </si>
  <si>
    <t>F:\2021\GUMOK\EVC_RE\030\NORM\NV0\030NNV0_P1_4</t>
  </si>
  <si>
    <t>F:\2021\GUMOK\EVC_RE\030\NORM\NV0\030NNV0_P1_5</t>
  </si>
  <si>
    <t>F:\2021\GUMOK\EVC_RE\030\NORM\NV0\030NNV0_P2_1</t>
  </si>
  <si>
    <t>F:\2021\GUMOK\EVC_RE\030\NORM\NV0\030NNV0_P2_2</t>
  </si>
  <si>
    <t>F:\2021\GUMOK\EVC_RE\030\NORM\NV0\030NNV0_P2_3</t>
  </si>
  <si>
    <t>F:\2021\GUMOK\EVC_RE\030\NORM\NV0\030NNV0_P2_4</t>
  </si>
  <si>
    <t>F:\2021\GUMOK\EVC_RE\030\NORM\NV0\030NNV0_P2_5</t>
  </si>
  <si>
    <t>F:\2021\GUMOK\EVC_RE\030\NORM\NV0\030NNV0_P3_1</t>
  </si>
  <si>
    <t>F:\2021\GUMOK\EVC_RE\030\NORM\NV0\030NNV0_P3_2</t>
  </si>
  <si>
    <t>F:\2021\GUMOK\EVC_RE\030\NORM\NV0\030NNV0_P3_3</t>
  </si>
  <si>
    <t>F:\2021\GUMOK\EVC_RE\030\NORM\NV0\030NNV0_P3_4</t>
  </si>
  <si>
    <t>F:\2021\GUMOK\EVC_RE\030\NORM\NV0\030NNV0_P3_5</t>
  </si>
  <si>
    <t>F:\2021\GUMOK\EVC_RE\030\NORM\NV0\030NNV0_P4_1</t>
  </si>
  <si>
    <t>F:\2021\GUMOK\EVC_RE\030\NORM\NV0\030NNV0_P4_2</t>
  </si>
  <si>
    <t>F:\2021\GUMOK\EVC_RE\030\NORM\NV0\030NNV0_P4_3</t>
  </si>
  <si>
    <t>F:\2021\GUMOK\EVC_RE\030\NORM\NV0\030NNV0_P4_4</t>
  </si>
  <si>
    <t>F:\2021\GUMOK\EVC_RE\030\NORM\NV0\030NNV0_P4_5</t>
  </si>
  <si>
    <t>F:\2021\GUMOK\EVC_RE\030\NORM\NV0\030NNV0_P5_1</t>
  </si>
  <si>
    <t>F:\2021\GUMOK\EVC_RE\030\NORM\NV0\030NNV0_P5_2</t>
  </si>
  <si>
    <t>F:\2021\GUMOK\EVC_RE\030\NORM\NV0\030NNV0_P5_3</t>
  </si>
  <si>
    <t>F:\2021\GUMOK\EVC_RE\030\NORM\NV0\030NNV0_P5_4</t>
  </si>
  <si>
    <t>F:\2021\GUMOK\EVC_RE\030\NORM\NV0\030NNV0_P5_5</t>
  </si>
  <si>
    <t>F:\2021\GUMOK\EVC_RE\030\NORM\NV0\030NNV0_P6_1</t>
  </si>
  <si>
    <t>F:\2021\GUMOK\EVC_RE\030\NORM\NV0\030NNV0_P6_2</t>
  </si>
  <si>
    <t>F:\2021\GUMOK\EVC_RE\030\NORM\NV0\030NNV0_P6_3</t>
  </si>
  <si>
    <t>F:\2021\GUMOK\EVC_RE\030\NORM\NV0\030NNV0_P6_4</t>
  </si>
  <si>
    <t>F:\2021\GUMOK\EVC_RE\030\NORM\NV0\030NNV0_P6_5</t>
  </si>
  <si>
    <t>F:\2021\GUMOK\EVC_RE\030\NORM\NVC\030NNVC_P1_1</t>
  </si>
  <si>
    <t>F:\2021\GUMOK\EVC_RE\030\NORM\NVC\030NNVC_P1_2</t>
  </si>
  <si>
    <t>F:\2021\GUMOK\EVC_RE\030\NORM\NVC\030NNVC_P1_3</t>
  </si>
  <si>
    <t>F:\2021\GUMOK\EVC_RE\030\NORM\NVC\030NNVC_P1_4</t>
  </si>
  <si>
    <t>F:\2021\GUMOK\EVC_RE\030\NORM\NVC\030NNVC_P1_5</t>
  </si>
  <si>
    <t>F:\2021\GUMOK\EVC_RE\030\NORM\NVC\030NNVC_P2_1</t>
  </si>
  <si>
    <t>F:\2021\GUMOK\EVC_RE\030\NORM\NVC\030NNVC_P2_2</t>
  </si>
  <si>
    <t>F:\2021\GUMOK\EVC_RE\030\NORM\NVC\030NNVC_P2_3</t>
  </si>
  <si>
    <t>F:\2021\GUMOK\EVC_RE\030\NORM\NVC\030NNVC_P2_4</t>
  </si>
  <si>
    <t>F:\2021\GUMOK\EVC_RE\030\NORM\NVC\030NNVC_P2_5</t>
  </si>
  <si>
    <t>F:\2021\GUMOK\EVC_RE\030\NORM\NVC\030NNVC_P3_1</t>
  </si>
  <si>
    <t>F:\2021\GUMOK\EVC_RE\030\NORM\NVC\030NNVC_P3_2</t>
  </si>
  <si>
    <t>F:\2021\GUMOK\EVC_RE\030\NORM\NVC\030NNVC_P3_3</t>
  </si>
  <si>
    <t>F:\2021\GUMOK\EVC_RE\030\NORM\NVC\030NNVC_P3_4</t>
  </si>
  <si>
    <t>F:\2021\GUMOK\EVC_RE\030\NORM\NVC\030NNVC_P3_5</t>
  </si>
  <si>
    <t>F:\2021\GUMOK\EVC_RE\030\NORM\NVC\030NNVC_P4_1</t>
  </si>
  <si>
    <t>F:\2021\GUMOK\EVC_RE\030\NORM\NVC\030NNVC_P4_2</t>
  </si>
  <si>
    <t>F:\2021\GUMOK\EVC_RE\030\NORM\NVC\030NNVC_P4_3</t>
  </si>
  <si>
    <t>F:\2021\GUMOK\EVC_RE\030\NORM\NVC\030NNVC_P4_4</t>
  </si>
  <si>
    <t>F:\2021\GUMOK\EVC_RE\030\NORM\NVC\030NNVC_P4_5</t>
  </si>
  <si>
    <t>F:\2021\GUMOK\EVC_RE\030\NORM\NVC\030NNVC_P5_1</t>
  </si>
  <si>
    <t>F:\2021\GUMOK\EVC_RE\030\NORM\NVC\030NNVC_P5_2</t>
  </si>
  <si>
    <t>F:\2021\GUMOK\EVC_RE\030\NORM\NVC\030NNVC_P5_3</t>
  </si>
  <si>
    <t>F:\2021\GUMOK\EVC_RE\030\NORM\NVC\030NNVC_P5_4</t>
  </si>
  <si>
    <t>F:\2021\GUMOK\EVC_RE\030\NORM\NVC\030NNVC_P5_5</t>
  </si>
  <si>
    <t>F:\2021\GUMOK\EVC_RE\030\NORM\NVC\030NNVC_P6_1</t>
  </si>
  <si>
    <t>F:\2021\GUMOK\EVC_RE\030\NORM\NVC\030NNVC_P6_2</t>
  </si>
  <si>
    <t>F:\2021\GUMOK\EVC_RE\030\NORM\NVC\030NNVC_P6_3</t>
  </si>
  <si>
    <t>F:\2021\GUMOK\EVC_RE\030\NORM\NVC\030NNVC_P6_4</t>
  </si>
  <si>
    <t>F:\2021\GUMOK\EVC_RE\030\NORM\NVC\030NNVC_P6_5</t>
  </si>
  <si>
    <t>F:\2021\GUMOK\EVC_RE\100\CONG\FV0\100CFV0_P1_1</t>
  </si>
  <si>
    <t>F:\2021\GUMOK\EVC_RE\100\CONG\FV0\100CFV0_P1_2</t>
  </si>
  <si>
    <t>F:\2021\GUMOK\EVC_RE\100\CONG\FV0\100CFV0_P1_3</t>
  </si>
  <si>
    <t>F:\2021\GUMOK\EVC_RE\100\CONG\FV0\100CFV0_P1_4</t>
  </si>
  <si>
    <t>F:\2021\GUMOK\EVC_RE\100\CONG\FV0\100CFV0_P1_5</t>
  </si>
  <si>
    <t>F:\2021\GUMOK\EVC_RE\100\CONG\FV0\100CFV0_P2_1</t>
  </si>
  <si>
    <t>F:\2021\GUMOK\EVC_RE\100\CONG\FV0\100CFV0_P2_2</t>
  </si>
  <si>
    <t>F:\2021\GUMOK\EVC_RE\100\CONG\FV0\100CFV0_P2_3</t>
  </si>
  <si>
    <t>F:\2021\GUMOK\EVC_RE\100\CONG\FV0\100CFV0_P2_4</t>
  </si>
  <si>
    <t>F:\2021\GUMOK\EVC_RE\100\CONG\FV0\100CFV0_P2_5</t>
  </si>
  <si>
    <t>F:\2021\GUMOK\EVC_RE\100\CONG\FV0\100CFV0_P3_1</t>
  </si>
  <si>
    <t>F:\2021\GUMOK\EVC_RE\100\CONG\FV0\100CFV0_P3_2</t>
  </si>
  <si>
    <t>F:\2021\GUMOK\EVC_RE\100\CONG\FV0\100CFV0_P3_3</t>
  </si>
  <si>
    <t>F:\2021\GUMOK\EVC_RE\100\CONG\FV0\100CFV0_P3_4</t>
  </si>
  <si>
    <t>F:\2021\GUMOK\EVC_RE\100\CONG\FV0\100CFV0_P3_5</t>
  </si>
  <si>
    <t>F:\2021\GUMOK\EVC_RE\100\CONG\FV0\100CFV0_P4_1</t>
  </si>
  <si>
    <t>F:\2021\GUMOK\EVC_RE\100\CONG\FV0\100CFV0_P4_2</t>
  </si>
  <si>
    <t>F:\2021\GUMOK\EVC_RE\100\CONG\FV0\100CFV0_P4_3</t>
  </si>
  <si>
    <t>F:\2021\GUMOK\EVC_RE\100\CONG\FV0\100CFV0_P4_4</t>
  </si>
  <si>
    <t>F:\2021\GUMOK\EVC_RE\100\CONG\FV0\100CFV0_P4_5</t>
  </si>
  <si>
    <t>F:\2021\GUMOK\EVC_RE\100\CONG\FV0\100CFV0_P5_1</t>
  </si>
  <si>
    <t>F:\2021\GUMOK\EVC_RE\100\CONG\FV0\100CFV0_P5_2</t>
  </si>
  <si>
    <t>F:\2021\GUMOK\EVC_RE\100\CONG\FV0\100CFV0_P5_3</t>
  </si>
  <si>
    <t>F:\2021\GUMOK\EVC_RE\100\CONG\FV0\100CFV0_P5_4</t>
  </si>
  <si>
    <t>F:\2021\GUMOK\EVC_RE\100\CONG\FV0\100CFV0_P5_5</t>
  </si>
  <si>
    <t>F:\2021\GUMOK\EVC_RE\100\CONG\FV0\100CFV0_P6_1</t>
  </si>
  <si>
    <t>F:\2021\GUMOK\EVC_RE\100\CONG\FV0\100CFV0_P6_2</t>
  </si>
  <si>
    <t>F:\2021\GUMOK\EVC_RE\100\CONG\FV0\100CFV0_P6_3</t>
  </si>
  <si>
    <t>F:\2021\GUMOK\EVC_RE\100\CONG\FV0\100CFV0_P6_4</t>
  </si>
  <si>
    <t>F:\2021\GUMOK\EVC_RE\100\CONG\FV0\100CFV0_P6_5</t>
  </si>
  <si>
    <t>F:\2021\GUMOK\EVC_RE\100\CONG\FVM\100CFVM_P1_1</t>
  </si>
  <si>
    <t>F:\2021\GUMOK\EVC_RE\100\CONG\FVM\100CFVM_P1_2</t>
  </si>
  <si>
    <t>F:\2021\GUMOK\EVC_RE\100\CONG\FVM\100CFVM_P1_3</t>
  </si>
  <si>
    <t>F:\2021\GUMOK\EVC_RE\100\CONG\FVM\100CFVM_P1_4</t>
  </si>
  <si>
    <t>F:\2021\GUMOK\EVC_RE\100\CONG\FVM\100CFVM_P1_5</t>
  </si>
  <si>
    <t>F:\2021\GUMOK\EVC_RE\100\CONG\FVM\100CFVM_P2_1</t>
  </si>
  <si>
    <t>F:\2021\GUMOK\EVC_RE\100\CONG\FVM\100CFVM_P2_2</t>
  </si>
  <si>
    <t>F:\2021\GUMOK\EVC_RE\100\CONG\FVM\100CFVM_P2_3</t>
  </si>
  <si>
    <t>F:\2021\GUMOK\EVC_RE\100\CONG\FVM\100CFVM_P2_4</t>
  </si>
  <si>
    <t>F:\2021\GUMOK\EVC_RE\100\CONG\FVM\100CFVM_P2_5</t>
  </si>
  <si>
    <t>F:\2021\GUMOK\EVC_RE\100\CONG\FVM\100CFVM_P3_1</t>
  </si>
  <si>
    <t>F:\2021\GUMOK\EVC_RE\100\CONG\FVM\100CFVM_P3_2</t>
  </si>
  <si>
    <t>F:\2021\GUMOK\EVC_RE\100\CONG\FVM\100CFVM_P3_3</t>
  </si>
  <si>
    <t>F:\2021\GUMOK\EVC_RE\100\CONG\FVM\100CFVM_P3_4</t>
  </si>
  <si>
    <t>F:\2021\GUMOK\EVC_RE\100\CONG\FVM\100CFVM_P3_5</t>
  </si>
  <si>
    <t>F:\2021\GUMOK\EVC_RE\100\CONG\FVM\100CFVM_P4_1</t>
  </si>
  <si>
    <t>F:\2021\GUMOK\EVC_RE\100\CONG\FVM\100CFVM_P4_2</t>
  </si>
  <si>
    <t>F:\2021\GUMOK\EVC_RE\100\CONG\FVM\100CFVM_P4_3</t>
  </si>
  <si>
    <t>F:\2021\GUMOK\EVC_RE\100\CONG\FVM\100CFVM_P4_4</t>
  </si>
  <si>
    <t>F:\2021\GUMOK\EVC_RE\100\CONG\FVM\100CFVM_P4_5</t>
  </si>
  <si>
    <t>F:\2021\GUMOK\EVC_RE\100\CONG\FVM\100CFVM_P5_1</t>
  </si>
  <si>
    <t>F:\2021\GUMOK\EVC_RE\100\CONG\FVM\100CFVM_P5_2</t>
  </si>
  <si>
    <t>F:\2021\GUMOK\EVC_RE\100\CONG\FVM\100CFVM_P5_3</t>
  </si>
  <si>
    <t>F:\2021\GUMOK\EVC_RE\100\CONG\FVM\100CFVM_P5_4</t>
  </si>
  <si>
    <t>F:\2021\GUMOK\EVC_RE\100\CONG\FVM\100CFVM_P5_5</t>
  </si>
  <si>
    <t>F:\2021\GUMOK\EVC_RE\100\CONG\FVM\100CFVM_P6_1</t>
  </si>
  <si>
    <t>F:\2021\GUMOK\EVC_RE\100\CONG\FVM\100CFVM_P6_2</t>
  </si>
  <si>
    <t>F:\2021\GUMOK\EVC_RE\100\CONG\FVM\100CFVM_P6_3</t>
  </si>
  <si>
    <t>F:\2021\GUMOK\EVC_RE\100\CONG\FVM\100CFVM_P6_4</t>
  </si>
  <si>
    <t>F:\2021\GUMOK\EVC_RE\100\CONG\FVM\100CFVM_P6_5</t>
  </si>
  <si>
    <t>F:\2021\GUMOK\EVC_RE\100\CONG\FVP\100CFVP_P1_1</t>
  </si>
  <si>
    <t>F:\2021\GUMOK\EVC_RE\100\CONG\FVP\100CFVP_P1_2</t>
  </si>
  <si>
    <t>F:\2021\GUMOK\EVC_RE\100\CONG\FVP\100CFVP_P1_3</t>
  </si>
  <si>
    <t>F:\2021\GUMOK\EVC_RE\100\CONG\FVP\100CFVP_P1_4</t>
  </si>
  <si>
    <t>F:\2021\GUMOK\EVC_RE\100\CONG\FVP\100CFVP_P1_5</t>
  </si>
  <si>
    <t>F:\2021\GUMOK\EVC_RE\100\CONG\FVP\100CFVP_P2_1</t>
  </si>
  <si>
    <t>F:\2021\GUMOK\EVC_RE\100\CONG\FVP\100CFVP_P2_2</t>
  </si>
  <si>
    <t>F:\2021\GUMOK\EVC_RE\100\CONG\FVP\100CFVP_P2_3</t>
  </si>
  <si>
    <t>F:\2021\GUMOK\EVC_RE\100\CONG\FVP\100CFVP_P2_4</t>
  </si>
  <si>
    <t>F:\2021\GUMOK\EVC_RE\100\CONG\FVP\100CFVP_P2_5</t>
  </si>
  <si>
    <t>F:\2021\GUMOK\EVC_RE\100\CONG\FVP\100CFVP_P3_1</t>
  </si>
  <si>
    <t>F:\2021\GUMOK\EVC_RE\100\CONG\FVP\100CFVP_P3_2</t>
  </si>
  <si>
    <t>F:\2021\GUMOK\EVC_RE\100\CONG\FVP\100CFVP_P3_3</t>
  </si>
  <si>
    <t>F:\2021\GUMOK\EVC_RE\100\CONG\FVP\100CFVP_P3_4</t>
  </si>
  <si>
    <t>F:\2021\GUMOK\EVC_RE\100\CONG\FVP\100CFVP_P3_5</t>
  </si>
  <si>
    <t>F:\2021\GUMOK\EVC_RE\100\CONG\FVP\100CFVP_P4_1</t>
  </si>
  <si>
    <t>F:\2021\GUMOK\EVC_RE\100\CONG\FVP\100CFVP_P4_2</t>
  </si>
  <si>
    <t>F:\2021\GUMOK\EVC_RE\100\CONG\FVP\100CFVP_P4_3</t>
  </si>
  <si>
    <t>F:\2021\GUMOK\EVC_RE\100\CONG\FVP\100CFVP_P4_4</t>
  </si>
  <si>
    <t>F:\2021\GUMOK\EVC_RE\100\CONG\FVP\100CFVP_P4_5</t>
  </si>
  <si>
    <t>F:\2021\GUMOK\EVC_RE\100\CONG\FVP\100CFVP_P5_1</t>
  </si>
  <si>
    <t>F:\2021\GUMOK\EVC_RE\100\CONG\FVP\100CFVP_P5_2</t>
  </si>
  <si>
    <t>F:\2021\GUMOK\EVC_RE\100\CONG\FVP\100CFVP_P5_3</t>
  </si>
  <si>
    <t>F:\2021\GUMOK\EVC_RE\100\CONG\FVP\100CFVP_P5_4</t>
  </si>
  <si>
    <t>F:\2021\GUMOK\EVC_RE\100\CONG\FVP\100CFVP_P5_5</t>
  </si>
  <si>
    <t>F:\2021\GUMOK\EVC_RE\100\CONG\FVP\100CFVP_P6_1</t>
  </si>
  <si>
    <t>F:\2021\GUMOK\EVC_RE\100\CONG\FVP\100CFVP_P6_2</t>
  </si>
  <si>
    <t>F:\2021\GUMOK\EVC_RE\100\CONG\FVP\100CFVP_P6_3</t>
  </si>
  <si>
    <t>F:\2021\GUMOK\EVC_RE\100\CONG\FVP\100CFVP_P6_4</t>
  </si>
  <si>
    <t>F:\2021\GUMOK\EVC_RE\100\CONG\FVP\100CFVP_P6_5</t>
  </si>
  <si>
    <t>F:\2021\GUMOK\EVC_RE\100\CONG\NV0\100CNV0_P1_1</t>
  </si>
  <si>
    <t>F:\2021\GUMOK\EVC_RE\100\CONG\NV0\100CNV0_P1_2</t>
  </si>
  <si>
    <t>F:\2021\GUMOK\EVC_RE\100\CONG\NV0\100CNV0_P1_3</t>
  </si>
  <si>
    <t>F:\2021\GUMOK\EVC_RE\100\CONG\NV0\100CNV0_P1_4</t>
  </si>
  <si>
    <t>F:\2021\GUMOK\EVC_RE\100\CONG\NV0\100CNV0_P1_5</t>
  </si>
  <si>
    <t>F:\2021\GUMOK\EVC_RE\100\CONG\NV0\100CNV0_P2_1</t>
  </si>
  <si>
    <t>F:\2021\GUMOK\EVC_RE\100\CONG\NV0\100CNV0_P2_2</t>
  </si>
  <si>
    <t>F:\2021\GUMOK\EVC_RE\100\CONG\NV0\100CNV0_P2_3</t>
  </si>
  <si>
    <t>F:\2021\GUMOK\EVC_RE\100\CONG\NV0\100CNV0_P2_4</t>
  </si>
  <si>
    <t>F:\2021\GUMOK\EVC_RE\100\CONG\NV0\100CNV0_P2_5</t>
  </si>
  <si>
    <t>F:\2021\GUMOK\EVC_RE\100\CONG\NV0\100CNV0_P3_1</t>
  </si>
  <si>
    <t>F:\2021\GUMOK\EVC_RE\100\CONG\NV0\100CNV0_P3_2</t>
  </si>
  <si>
    <t>F:\2021\GUMOK\EVC_RE\100\CONG\NV0\100CNV0_P3_3</t>
  </si>
  <si>
    <t>F:\2021\GUMOK\EVC_RE\100\CONG\NV0\100CNV0_P3_4</t>
  </si>
  <si>
    <t>F:\2021\GUMOK\EVC_RE\100\CONG\NV0\100CNV0_P3_5</t>
  </si>
  <si>
    <t>F:\2021\GUMOK\EVC_RE\100\CONG\NV0\100CNV0_P4_1</t>
  </si>
  <si>
    <t>F:\2021\GUMOK\EVC_RE\100\CONG\NV0\100CNV0_P4_2</t>
  </si>
  <si>
    <t>F:\2021\GUMOK\EVC_RE\100\CONG\NV0\100CNV0_P4_3</t>
  </si>
  <si>
    <t>F:\2021\GUMOK\EVC_RE\100\CONG\NV0\100CNV0_P4_4</t>
  </si>
  <si>
    <t>F:\2021\GUMOK\EVC_RE\100\CONG\NV0\100CNV0_P4_5</t>
  </si>
  <si>
    <t>F:\2021\GUMOK\EVC_RE\100\CONG\NV0\100CNV0_P5_1</t>
  </si>
  <si>
    <t>F:\2021\GUMOK\EVC_RE\100\CONG\NV0\100CNV0_P5_2</t>
  </si>
  <si>
    <t>F:\2021\GUMOK\EVC_RE\100\CONG\NV0\100CNV0_P5_3</t>
  </si>
  <si>
    <t>F:\2021\GUMOK\EVC_RE\100\CONG\NV0\100CNV0_P5_4</t>
  </si>
  <si>
    <t>F:\2021\GUMOK\EVC_RE\100\CONG\NV0\100CNV0_P5_5</t>
  </si>
  <si>
    <t>F:\2021\GUMOK\EVC_RE\100\CONG\NV0\100CNV0_P6_1</t>
  </si>
  <si>
    <t>F:\2021\GUMOK\EVC_RE\100\CONG\NV0\100CNV0_P6_2</t>
  </si>
  <si>
    <t>F:\2021\GUMOK\EVC_RE\100\CONG\NV0\100CNV0_P6_3</t>
  </si>
  <si>
    <t>F:\2021\GUMOK\EVC_RE\100\CONG\NV0\100CNV0_P6_4</t>
  </si>
  <si>
    <t>F:\2021\GUMOK\EVC_RE\100\CONG\NV0\100CNV0_P6_5</t>
  </si>
  <si>
    <t>F:\2021\GUMOK\EVC_RE\100\CONG\NVC\100CNVC_P1_1</t>
  </si>
  <si>
    <t>F:\2021\GUMOK\EVC_RE\100\CONG\NVC\100CNVC_P1_2</t>
  </si>
  <si>
    <t>F:\2021\GUMOK\EVC_RE\100\CONG\NVC\100CNVC_P1_3</t>
  </si>
  <si>
    <t>F:\2021\GUMOK\EVC_RE\100\CONG\NVC\100CNVC_P1_4</t>
  </si>
  <si>
    <t>F:\2021\GUMOK\EVC_RE\100\CONG\NVC\100CNVC_P1_5</t>
  </si>
  <si>
    <t>F:\2021\GUMOK\EVC_RE\100\CONG\NVC\100CNVC_P2_1</t>
  </si>
  <si>
    <t>F:\2021\GUMOK\EVC_RE\100\CONG\NVC\100CNVC_P2_2</t>
  </si>
  <si>
    <t>F:\2021\GUMOK\EVC_RE\100\CONG\NVC\100CNVC_P2_3</t>
  </si>
  <si>
    <t>F:\2021\GUMOK\EVC_RE\100\CONG\NVC\100CNVC_P2_4</t>
  </si>
  <si>
    <t>F:\2021\GUMOK\EVC_RE\100\CONG\NVC\100CNVC_P2_5</t>
  </si>
  <si>
    <t>F:\2021\GUMOK\EVC_RE\100\CONG\NVC\100CNVC_P3_1</t>
  </si>
  <si>
    <t>F:\2021\GUMOK\EVC_RE\100\CONG\NVC\100CNVC_P3_2</t>
  </si>
  <si>
    <t>F:\2021\GUMOK\EVC_RE\100\CONG\NVC\100CNVC_P3_3</t>
  </si>
  <si>
    <t>F:\2021\GUMOK\EVC_RE\100\CONG\NVC\100CNVC_P3_4</t>
  </si>
  <si>
    <t>F:\2021\GUMOK\EVC_RE\100\CONG\NVC\100CNVC_P3_5</t>
  </si>
  <si>
    <t>F:\2021\GUMOK\EVC_RE\100\CONG\NVC\100CNVC_P4_1</t>
  </si>
  <si>
    <t>F:\2021\GUMOK\EVC_RE\100\CONG\NVC\100CNVC_P4_2</t>
  </si>
  <si>
    <t>F:\2021\GUMOK\EVC_RE\100\CONG\NVC\100CNVC_P4_3</t>
  </si>
  <si>
    <t>F:\2021\GUMOK\EVC_RE\100\CONG\NVC\100CNVC_P4_4</t>
  </si>
  <si>
    <t>F:\2021\GUMOK\EVC_RE\100\CONG\NVC\100CNVC_P4_5</t>
  </si>
  <si>
    <t>F:\2021\GUMOK\EVC_RE\100\CONG\NVC\100CNVC_P5_1</t>
  </si>
  <si>
    <t>F:\2021\GUMOK\EVC_RE\100\CONG\NVC\100CNVC_P5_2</t>
  </si>
  <si>
    <t>F:\2021\GUMOK\EVC_RE\100\CONG\NVC\100CNVC_P5_3</t>
  </si>
  <si>
    <t>F:\2021\GUMOK\EVC_RE\100\CONG\NVC\100CNVC_P5_4</t>
  </si>
  <si>
    <t>F:\2021\GUMOK\EVC_RE\100\CONG\NVC\100CNVC_P5_5</t>
  </si>
  <si>
    <t>F:\2021\GUMOK\EVC_RE\100\CONG\NVC\100CNVC_P6_1</t>
  </si>
  <si>
    <t>F:\2021\GUMOK\EVC_RE\100\CONG\NVC\100CNVC_P6_2</t>
  </si>
  <si>
    <t>F:\2021\GUMOK\EVC_RE\100\CONG\NVC\100CNVC_P6_3</t>
  </si>
  <si>
    <t>F:\2021\GUMOK\EVC_RE\100\CONG\NVC\100CNVC_P6_4</t>
  </si>
  <si>
    <t>F:\2021\GUMOK\EVC_RE\100\CONG\NVC\100CNVC_P6_5</t>
  </si>
  <si>
    <t>F:\2021\GUMOK\EVC_RE\100\NORM\FV0\100NFV0_P1_1</t>
  </si>
  <si>
    <t>F:\2021\GUMOK\EVC_RE\100\NORM\FV0\100NFV0_P1_2</t>
  </si>
  <si>
    <t>F:\2021\GUMOK\EVC_RE\100\NORM\FV0\100NFV0_P1_3</t>
  </si>
  <si>
    <t>F:\2021\GUMOK\EVC_RE\100\NORM\FV0\100NFV0_P1_4</t>
  </si>
  <si>
    <t>F:\2021\GUMOK\EVC_RE\100\NORM\FV0\100NFV0_P1_5</t>
  </si>
  <si>
    <t>F:\2021\GUMOK\EVC_RE\100\NORM\FV0\100NFV0_P2_1</t>
  </si>
  <si>
    <t>F:\2021\GUMOK\EVC_RE\100\NORM\FV0\100NFV0_P2_2</t>
  </si>
  <si>
    <t>F:\2021\GUMOK\EVC_RE\100\NORM\FV0\100NFV0_P2_3</t>
  </si>
  <si>
    <t>F:\2021\GUMOK\EVC_RE\100\NORM\FV0\100NFV0_P2_4</t>
  </si>
  <si>
    <t>F:\2021\GUMOK\EVC_RE\100\NORM\FV0\100NFV0_P2_5</t>
  </si>
  <si>
    <t>F:\2021\GUMOK\EVC_RE\100\NORM\FV0\100NFV0_P3_1</t>
  </si>
  <si>
    <t>F:\2021\GUMOK\EVC_RE\100\NORM\FV0\100NFV0_P3_2</t>
  </si>
  <si>
    <t>F:\2021\GUMOK\EVC_RE\100\NORM\FV0\100NFV0_P3_3</t>
  </si>
  <si>
    <t>F:\2021\GUMOK\EVC_RE\100\NORM\FV0\100NFV0_P3_4</t>
  </si>
  <si>
    <t>F:\2021\GUMOK\EVC_RE\100\NORM\FV0\100NFV0_P3_5</t>
  </si>
  <si>
    <t>F:\2021\GUMOK\EVC_RE\100\NORM\FV0\100NFV0_P4_1</t>
  </si>
  <si>
    <t>F:\2021\GUMOK\EVC_RE\100\NORM\FV0\100NFV0_P4_2</t>
  </si>
  <si>
    <t>F:\2021\GUMOK\EVC_RE\100\NORM\FV0\100NFV0_P4_3</t>
  </si>
  <si>
    <t>F:\2021\GUMOK\EVC_RE\100\NORM\FV0\100NFV0_P4_4</t>
  </si>
  <si>
    <t>F:\2021\GUMOK\EVC_RE\100\NORM\FV0\100NFV0_P4_5</t>
  </si>
  <si>
    <t>F:\2021\GUMOK\EVC_RE\100\NORM\FV0\100NFV0_P5_1</t>
  </si>
  <si>
    <t>F:\2021\GUMOK\EVC_RE\100\NORM\FV0\100NFV0_P5_2</t>
  </si>
  <si>
    <t>F:\2021\GUMOK\EVC_RE\100\NORM\FV0\100NFV0_P5_3</t>
  </si>
  <si>
    <t>F:\2021\GUMOK\EVC_RE\100\NORM\FV0\100NFV0_P5_4</t>
  </si>
  <si>
    <t>F:\2021\GUMOK\EVC_RE\100\NORM\FV0\100NFV0_P5_5</t>
  </si>
  <si>
    <t>F:\2021\GUMOK\EVC_RE\100\NORM\FV0\100NFV0_P6_1</t>
  </si>
  <si>
    <t>F:\2021\GUMOK\EVC_RE\100\NORM\FV0\100NFV0_P6_2</t>
  </si>
  <si>
    <t>F:\2021\GUMOK\EVC_RE\100\NORM\FV0\100NFV0_P6_3</t>
  </si>
  <si>
    <t>F:\2021\GUMOK\EVC_RE\100\NORM\FV0\100NFV0_P6_4</t>
  </si>
  <si>
    <t>F:\2021\GUMOK\EVC_RE\100\NORM\FV0\100NFV0_P6_5</t>
  </si>
  <si>
    <t>F:\2021\GUMOK\EVC_RE\100\NORM\FVM\100NFVM_P1_1</t>
  </si>
  <si>
    <t>F:\2021\GUMOK\EVC_RE\100\NORM\FVM\100NFVM_P1_2</t>
  </si>
  <si>
    <t>F:\2021\GUMOK\EVC_RE\100\NORM\FVM\100NFVM_P1_3</t>
  </si>
  <si>
    <t>F:\2021\GUMOK\EVC_RE\100\NORM\FVM\100NFVM_P1_4</t>
  </si>
  <si>
    <t>F:\2021\GUMOK\EVC_RE\100\NORM\FVM\100NFVM_P1_5</t>
  </si>
  <si>
    <t>F:\2021\GUMOK\EVC_RE\100\NORM\FVM\100NFVM_P2_1</t>
  </si>
  <si>
    <t>F:\2021\GUMOK\EVC_RE\100\NORM\FVM\100NFVM_P2_2</t>
  </si>
  <si>
    <t>F:\2021\GUMOK\EVC_RE\100\NORM\FVM\100NFVM_P2_3</t>
  </si>
  <si>
    <t>F:\2021\GUMOK\EVC_RE\100\NORM\FVM\100NFVM_P2_4</t>
  </si>
  <si>
    <t>F:\2021\GUMOK\EVC_RE\100\NORM\FVM\100NFVM_P2_5</t>
  </si>
  <si>
    <t>F:\2021\GUMOK\EVC_RE\100\NORM\FVM\100NFVM_P3_1</t>
  </si>
  <si>
    <t>F:\2021\GUMOK\EVC_RE\100\NORM\FVM\100NFVM_P3_2</t>
  </si>
  <si>
    <t>F:\2021\GUMOK\EVC_RE\100\NORM\FVM\100NFVM_P3_3</t>
  </si>
  <si>
    <t>F:\2021\GUMOK\EVC_RE\100\NORM\FVM\100NFVM_P3_4</t>
  </si>
  <si>
    <t>F:\2021\GUMOK\EVC_RE\100\NORM\FVM\100NFVM_P3_5</t>
  </si>
  <si>
    <t>F:\2021\GUMOK\EVC_RE\100\NORM\FVM\100NFVM_P4_1</t>
  </si>
  <si>
    <t>F:\2021\GUMOK\EVC_RE\100\NORM\FVM\100NFVM_P4_2</t>
  </si>
  <si>
    <t>F:\2021\GUMOK\EVC_RE\100\NORM\FVM\100NFVM_P4_3</t>
  </si>
  <si>
    <t>F:\2021\GUMOK\EVC_RE\100\NORM\FVM\100NFVM_P4_4</t>
  </si>
  <si>
    <t>F:\2021\GUMOK\EVC_RE\100\NORM\FVM\100NFVM_P4_5</t>
  </si>
  <si>
    <t>F:\2021\GUMOK\EVC_RE\100\NORM\FVM\100NFVM_P5_1</t>
  </si>
  <si>
    <t>F:\2021\GUMOK\EVC_RE\100\NORM\FVM\100NFVM_P5_2</t>
  </si>
  <si>
    <t>F:\2021\GUMOK\EVC_RE\100\NORM\FVM\100NFVM_P5_3</t>
  </si>
  <si>
    <t>F:\2021\GUMOK\EVC_RE\100\NORM\FVM\100NFVM_P5_4</t>
  </si>
  <si>
    <t>F:\2021\GUMOK\EVC_RE\100\NORM\FVM\100NFVM_P5_5</t>
  </si>
  <si>
    <t>F:\2021\GUMOK\EVC_RE\100\NORM\FVM\100NFVM_P6_1</t>
  </si>
  <si>
    <t>F:\2021\GUMOK\EVC_RE\100\NORM\FVM\100NFVM_P6_2</t>
  </si>
  <si>
    <t>F:\2021\GUMOK\EVC_RE\100\NORM\FVM\100NFVM_P6_3</t>
  </si>
  <si>
    <t>F:\2021\GUMOK\EVC_RE\100\NORM\FVM\100NFVM_P6_4</t>
  </si>
  <si>
    <t>F:\2021\GUMOK\EVC_RE\100\NORM\FVM\100NFVM_P6_5</t>
  </si>
  <si>
    <t>F:\2021\GUMOK\EVC_RE\100\NORM\FVP\100NFVP_P1_1</t>
  </si>
  <si>
    <t>F:\2021\GUMOK\EVC_RE\100\NORM\FVP\100NFVP_P1_2</t>
  </si>
  <si>
    <t>F:\2021\GUMOK\EVC_RE\100\NORM\FVP\100NFVP_P1_3</t>
  </si>
  <si>
    <t>F:\2021\GUMOK\EVC_RE\100\NORM\FVP\100NFVP_P1_4</t>
  </si>
  <si>
    <t>F:\2021\GUMOK\EVC_RE\100\NORM\FVP\100NFVP_P1_5</t>
  </si>
  <si>
    <t>F:\2021\GUMOK\EVC_RE\100\NORM\FVP\100NFVP_P2_1</t>
  </si>
  <si>
    <t>F:\2021\GUMOK\EVC_RE\100\NORM\FVP\100NFVP_P2_2</t>
  </si>
  <si>
    <t>F:\2021\GUMOK\EVC_RE\100\NORM\FVP\100NFVP_P2_3</t>
  </si>
  <si>
    <t>F:\2021\GUMOK\EVC_RE\100\NORM\FVP\100NFVP_P2_4</t>
  </si>
  <si>
    <t>F:\2021\GUMOK\EVC_RE\100\NORM\FVP\100NFVP_P2_5</t>
  </si>
  <si>
    <t>F:\2021\GUMOK\EVC_RE\100\NORM\FVP\100NFVP_P3_1</t>
  </si>
  <si>
    <t>F:\2021\GUMOK\EVC_RE\100\NORM\FVP\100NFVP_P3_2</t>
  </si>
  <si>
    <t>F:\2021\GUMOK\EVC_RE\100\NORM\FVP\100NFVP_P3_3</t>
  </si>
  <si>
    <t>F:\2021\GUMOK\EVC_RE\100\NORM\FVP\100NFVP_P3_4</t>
  </si>
  <si>
    <t>F:\2021\GUMOK\EVC_RE\100\NORM\FVP\100NFVP_P3_5</t>
  </si>
  <si>
    <t>F:\2021\GUMOK\EVC_RE\100\NORM\FVP\100NFVP_P4_1</t>
  </si>
  <si>
    <t>F:\2021\GUMOK\EVC_RE\100\NORM\FVP\100NFVP_P4_2</t>
  </si>
  <si>
    <t>F:\2021\GUMOK\EVC_RE\100\NORM\FVP\100NFVP_P4_3</t>
  </si>
  <si>
    <t>F:\2021\GUMOK\EVC_RE\100\NORM\FVP\100NFVP_P4_4</t>
  </si>
  <si>
    <t>F:\2021\GUMOK\EVC_RE\100\NORM\FVP\100NFVP_P4_5</t>
  </si>
  <si>
    <t>F:\2021\GUMOK\EVC_RE\100\NORM\FVP\100NFVP_P5_1</t>
  </si>
  <si>
    <t>F:\2021\GUMOK\EVC_RE\100\NORM\FVP\100NFVP_P5_2</t>
  </si>
  <si>
    <t>F:\2021\GUMOK\EVC_RE\100\NORM\FVP\100NFVP_P5_3</t>
  </si>
  <si>
    <t>F:\2021\GUMOK\EVC_RE\100\NORM\FVP\100NFVP_P5_4</t>
  </si>
  <si>
    <t>F:\2021\GUMOK\EVC_RE\100\NORM\FVP\100NFVP_P5_5</t>
  </si>
  <si>
    <t>F:\2021\GUMOK\EVC_RE\100\NORM\FVP\100NFVP_P6_1</t>
  </si>
  <si>
    <t>F:\2021\GUMOK\EVC_RE\100\NORM\FVP\100NFVP_P6_2</t>
  </si>
  <si>
    <t>F:\2021\GUMOK\EVC_RE\100\NORM\FVP\100NFVP_P6_3</t>
  </si>
  <si>
    <t>F:\2021\GUMOK\EVC_RE\100\NORM\FVP\100NFVP_P6_4</t>
  </si>
  <si>
    <t>F:\2021\GUMOK\EVC_RE\100\NORM\FVP\100NFVP_P6_5</t>
  </si>
  <si>
    <t>F:\2021\GUMOK\EVC_RE\100\NORM\NV0\100NNV0_P1_1</t>
  </si>
  <si>
    <t>F:\2021\GUMOK\EVC_RE\100\NORM\NV0\100NNV0_P1_2</t>
  </si>
  <si>
    <t>F:\2021\GUMOK\EVC_RE\100\NORM\NV0\100NNV0_P1_3</t>
  </si>
  <si>
    <t>F:\2021\GUMOK\EVC_RE\100\NORM\NV0\100NNV0_P1_4</t>
  </si>
  <si>
    <t>F:\2021\GUMOK\EVC_RE\100\NORM\NV0\100NNV0_P1_5</t>
  </si>
  <si>
    <t>F:\2021\GUMOK\EVC_RE\100\NORM\NV0\100NNV0_P2_1</t>
  </si>
  <si>
    <t>F:\2021\GUMOK\EVC_RE\100\NORM\NV0\100NNV0_P2_2</t>
  </si>
  <si>
    <t>F:\2021\GUMOK\EVC_RE\100\NORM\NV0\100NNV0_P2_3</t>
  </si>
  <si>
    <t>F:\2021\GUMOK\EVC_RE\100\NORM\NV0\100NNV0_P2_4</t>
  </si>
  <si>
    <t>F:\2021\GUMOK\EVC_RE\100\NORM\NV0\100NNV0_P2_5</t>
  </si>
  <si>
    <t>F:\2021\GUMOK\EVC_RE\100\NORM\NV0\100NNV0_P3_1</t>
  </si>
  <si>
    <t>F:\2021\GUMOK\EVC_RE\100\NORM\NV0\100NNV0_P3_2</t>
  </si>
  <si>
    <t>F:\2021\GUMOK\EVC_RE\100\NORM\NV0\100NNV0_P3_3</t>
  </si>
  <si>
    <t>F:\2021\GUMOK\EVC_RE\100\NORM\NV0\100NNV0_P3_4</t>
  </si>
  <si>
    <t>F:\2021\GUMOK\EVC_RE\100\NORM\NV0\100NNV0_P3_5</t>
  </si>
  <si>
    <t>F:\2021\GUMOK\EVC_RE\100\NORM\NV0\100NNV0_P4_1</t>
  </si>
  <si>
    <t>F:\2021\GUMOK\EVC_RE\100\NORM\NV0\100NNV0_P4_2</t>
  </si>
  <si>
    <t>F:\2021\GUMOK\EVC_RE\100\NORM\NV0\100NNV0_P4_3</t>
  </si>
  <si>
    <t>F:\2021\GUMOK\EVC_RE\100\NORM\NV0\100NNV0_P4_4</t>
  </si>
  <si>
    <t>F:\2021\GUMOK\EVC_RE\100\NORM\NV0\100NNV0_P4_5</t>
  </si>
  <si>
    <t>F:\2021\GUMOK\EVC_RE\100\NORM\NV0\100NNV0_P5_1</t>
  </si>
  <si>
    <t>F:\2021\GUMOK\EVC_RE\100\NORM\NV0\100NNV0_P5_2</t>
  </si>
  <si>
    <t>F:\2021\GUMOK\EVC_RE\100\NORM\NV0\100NNV0_P5_3</t>
  </si>
  <si>
    <t>F:\2021\GUMOK\EVC_RE\100\NORM\NV0\100NNV0_P5_4</t>
  </si>
  <si>
    <t>F:\2021\GUMOK\EVC_RE\100\NORM\NV0\100NNV0_P5_5</t>
  </si>
  <si>
    <t>F:\2021\GUMOK\EVC_RE\100\NORM\NV0\100NNV0_P6_1</t>
  </si>
  <si>
    <t>F:\2021\GUMOK\EVC_RE\100\NORM\NV0\100NNV0_P6_2</t>
  </si>
  <si>
    <t>F:\2021\GUMOK\EVC_RE\100\NORM\NV0\100NNV0_P6_3</t>
  </si>
  <si>
    <t>F:\2021\GUMOK\EVC_RE\100\NORM\NV0\100NNV0_P6_4</t>
  </si>
  <si>
    <t>F:\2021\GUMOK\EVC_RE\100\NORM\NV0\100NNV0_P6_5</t>
  </si>
  <si>
    <t>F:\2021\GUMOK\EVC_RE\100\NORM\NVC\100NNVC_P1_1</t>
  </si>
  <si>
    <t>F:\2021\GUMOK\EVC_RE\100\NORM\NVC\100NNVC_P1_2</t>
  </si>
  <si>
    <t>F:\2021\GUMOK\EVC_RE\100\NORM\NVC\100NNVC_P1_3</t>
  </si>
  <si>
    <t>F:\2021\GUMOK\EVC_RE\100\NORM\NVC\100NNVC_P1_4</t>
  </si>
  <si>
    <t>F:\2021\GUMOK\EVC_RE\100\NORM\NVC\100NNVC_P1_5</t>
  </si>
  <si>
    <t>F:\2021\GUMOK\EVC_RE\100\NORM\NVC\100NNVC_P2_1</t>
  </si>
  <si>
    <t>F:\2021\GUMOK\EVC_RE\100\NORM\NVC\100NNVC_P2_2</t>
  </si>
  <si>
    <t>F:\2021\GUMOK\EVC_RE\100\NORM\NVC\100NNVC_P2_3</t>
  </si>
  <si>
    <t>F:\2021\GUMOK\EVC_RE\100\NORM\NVC\100NNVC_P2_4</t>
  </si>
  <si>
    <t>F:\2021\GUMOK\EVC_RE\100\NORM\NVC\100NNVC_P2_5</t>
  </si>
  <si>
    <t>F:\2021\GUMOK\EVC_RE\100\NORM\NVC\100NNVC_P3_1</t>
  </si>
  <si>
    <t>F:\2021\GUMOK\EVC_RE\100\NORM\NVC\100NNVC_P3_2</t>
  </si>
  <si>
    <t>F:\2021\GUMOK\EVC_RE\100\NORM\NVC\100NNVC_P3_3</t>
  </si>
  <si>
    <t>F:\2021\GUMOK\EVC_RE\100\NORM\NVC\100NNVC_P3_4</t>
  </si>
  <si>
    <t>F:\2021\GUMOK\EVC_RE\100\NORM\NVC\100NNVC_P3_5</t>
  </si>
  <si>
    <t>F:\2021\GUMOK\EVC_RE\100\NORM\NVC\100NNVC_P4_1</t>
  </si>
  <si>
    <t>F:\2021\GUMOK\EVC_RE\100\NORM\NVC\100NNVC_P4_2</t>
  </si>
  <si>
    <t>F:\2021\GUMOK\EVC_RE\100\NORM\NVC\100NNVC_P4_3</t>
  </si>
  <si>
    <t>F:\2021\GUMOK\EVC_RE\100\NORM\NVC\100NNVC_P4_4</t>
  </si>
  <si>
    <t>F:\2021\GUMOK\EVC_RE\100\NORM\NVC\100NNVC_P4_5</t>
  </si>
  <si>
    <t>F:\2021\GUMOK\EVC_RE\100\NORM\NVC\100NNVC_P5_1</t>
  </si>
  <si>
    <t>F:\2021\GUMOK\EVC_RE\100\NORM\NVC\100NNVC_P5_2</t>
  </si>
  <si>
    <t>F:\2021\GUMOK\EVC_RE\100\NORM\NVC\100NNVC_P5_3</t>
  </si>
  <si>
    <t>F:\2021\GUMOK\EVC_RE\100\NORM\NVC\100NNVC_P5_4</t>
  </si>
  <si>
    <t>F:\2021\GUMOK\EVC_RE\100\NORM\NVC\100NNVC_P5_5</t>
  </si>
  <si>
    <t>F:\2021\GUMOK\EVC_RE\100\NORM\NVC\100NNVC_P6_1</t>
  </si>
  <si>
    <t>F:\2021\GUMOK\EVC_RE\100\NORM\NVC\100NNVC_P6_2</t>
  </si>
  <si>
    <t>F:\2021\GUMOK\EVC_RE\100\NORM\NVC\100NNVC_P6_3</t>
  </si>
  <si>
    <t>F:\2021\GUMOK\EVC_RE\100\NORM\NVC\100NNVC_P6_4</t>
  </si>
  <si>
    <t>F:\2021\GUMOK\EVC_RE\100\NORM\NVC\100NNVC_P6_5</t>
  </si>
  <si>
    <t>NNV0</t>
    <phoneticPr fontId="3" type="noConversion"/>
  </si>
  <si>
    <t>VK.000MW</t>
    <phoneticPr fontId="3" type="noConversion"/>
  </si>
  <si>
    <t>전차종</t>
    <phoneticPr fontId="3" type="noConversion"/>
  </si>
  <si>
    <t>해당 화재강도의 주행거리계 + 상급화재에서 경미한 화재로 분류된 것을 포함함</t>
    <phoneticPr fontId="3" type="noConversion"/>
  </si>
  <si>
    <t>화재강도별</t>
    <phoneticPr fontId="3" type="noConversion"/>
  </si>
  <si>
    <t>차종별</t>
    <phoneticPr fontId="3" type="noConversion"/>
  </si>
  <si>
    <t>사고발생률(건/1억VK)</t>
    <phoneticPr fontId="3" type="noConversion"/>
  </si>
  <si>
    <t>년간Veh-km</t>
    <phoneticPr fontId="3" type="noConversion"/>
  </si>
  <si>
    <t>년간발생건수</t>
    <phoneticPr fontId="3" type="noConversion"/>
  </si>
  <si>
    <t>회귀기간</t>
    <phoneticPr fontId="3" type="noConversion"/>
  </si>
  <si>
    <t>p1</t>
    <phoneticPr fontId="3" type="noConversion"/>
  </si>
  <si>
    <t>p2</t>
    <phoneticPr fontId="3" type="noConversion"/>
  </si>
  <si>
    <t>p3</t>
    <phoneticPr fontId="3" type="noConversion"/>
  </si>
  <si>
    <t>p4</t>
    <phoneticPr fontId="3" type="noConversion"/>
  </si>
  <si>
    <t>p5</t>
    <phoneticPr fontId="3" type="noConversion"/>
  </si>
  <si>
    <t>p6</t>
    <phoneticPr fontId="3" type="noConversion"/>
  </si>
  <si>
    <t>참조</t>
    <phoneticPr fontId="3" type="noConversion"/>
  </si>
  <si>
    <t>NFVP+NFVM+NFV0</t>
    <phoneticPr fontId="3" type="noConversion"/>
  </si>
  <si>
    <t>CFVP+NFVM+NFV0</t>
    <phoneticPr fontId="3" type="noConversion"/>
  </si>
  <si>
    <t>피난연결통로</t>
    <phoneticPr fontId="3" type="noConversion"/>
  </si>
  <si>
    <t>Project :</t>
    <phoneticPr fontId="3" type="noConversion"/>
  </si>
  <si>
    <t>&lt;- 8자 이내</t>
    <phoneticPr fontId="3" type="noConversion"/>
  </si>
  <si>
    <t>A:\ROADQRA1</t>
    <phoneticPr fontId="3" type="noConversion"/>
  </si>
  <si>
    <t>AAA</t>
    <phoneticPr fontId="3" type="noConversion"/>
  </si>
  <si>
    <t>MD A:\ROADQRA1\FDS\020\Norm\NVC</t>
  </si>
  <si>
    <t>MD A:\ROADQRA1\FDS\020\Norm\NV0</t>
  </si>
  <si>
    <t>MD A:\ROADQRA1\FDS\020\Norm\FVP</t>
  </si>
  <si>
    <t>MD A:\ROADQRA1\FDS\020\Norm\FV0</t>
  </si>
  <si>
    <t>MD A:\ROADQRA1\FDS\020\Norm\FVM</t>
  </si>
  <si>
    <t>MD A:\ROADQRA1\FDS\020\Cong\NVC</t>
  </si>
  <si>
    <t>MD A:\ROADQRA1\FDS\020\Cong\NV0</t>
  </si>
  <si>
    <t>MD A:\ROADQRA1\FDS\020\Cong\FVP</t>
  </si>
  <si>
    <t>MD A:\ROADQRA1\FDS\020\Cong\FV0</t>
  </si>
  <si>
    <t>MD A:\ROADQRA1\FDS\020\Cong\FVM</t>
  </si>
  <si>
    <t>MD A:\ROADQRA1\FDS\030\Norm\NVC</t>
  </si>
  <si>
    <t>MD A:\ROADQRA1\FDS\030\Norm\NV0</t>
  </si>
  <si>
    <t>MD A:\ROADQRA1\FDS\030\Norm\FVP</t>
  </si>
  <si>
    <t>MD A:\ROADQRA1\FDS\030\Norm\FV0</t>
  </si>
  <si>
    <t>MD A:\ROADQRA1\FDS\030\Norm\FVM</t>
  </si>
  <si>
    <t>MD A:\ROADQRA1\FDS\030\Cong\NVC</t>
  </si>
  <si>
    <t>MD A:\ROADQRA1\FDS\030\Cong\NV0</t>
  </si>
  <si>
    <t>MD A:\ROADQRA1\FDS\030\Cong\FVP</t>
  </si>
  <si>
    <t>MD A:\ROADQRA1\FDS\030\Cong\FV0</t>
  </si>
  <si>
    <t>MD A:\ROADQRA1\FDS\030\Cong\FVM</t>
  </si>
  <si>
    <t>MD A:\ROADQRA1\FDS\100\Norm\NVC</t>
  </si>
  <si>
    <t>MD A:\ROADQRA1\FDS\100\Norm\NV0</t>
  </si>
  <si>
    <t>MD A:\ROADQRA1\FDS\100\Norm\FVP</t>
  </si>
  <si>
    <t>MD A:\ROADQRA1\FDS\100\Norm\FV0</t>
  </si>
  <si>
    <t>MD A:\ROADQRA1\FDS\100\Norm\FVM</t>
  </si>
  <si>
    <t>MD A:\ROADQRA1\FDS\100\Cong\NVC</t>
  </si>
  <si>
    <t>MD A:\ROADQRA1\FDS\100\Cong\NV0</t>
  </si>
  <si>
    <t>MD A:\ROADQRA1\FDS\100\Cong\FVP</t>
  </si>
  <si>
    <t>MD A:\ROADQRA1\FDS\100\Cong\FV0</t>
  </si>
  <si>
    <t>MD A:\ROADQRA1\FDS\100\Cong\FVM</t>
  </si>
  <si>
    <t>MD A:\ROADQRA1\EVC\020\Norm\NVC</t>
  </si>
  <si>
    <t>MD A:\ROADQRA1\EVC\020\Norm\NV0</t>
  </si>
  <si>
    <t>MD A:\ROADQRA1\EVC\020\Norm\FVP</t>
  </si>
  <si>
    <t>MD A:\ROADQRA1\EVC\020\Norm\FV0</t>
  </si>
  <si>
    <t>MD A:\ROADQRA1\EVC\020\Norm\FVM</t>
  </si>
  <si>
    <t>MD A:\ROADQRA1\EVC\020\Cong\NVC</t>
  </si>
  <si>
    <t>MD A:\ROADQRA1\EVC\020\Cong\NV0</t>
  </si>
  <si>
    <t>MD A:\ROADQRA1\EVC\020\Cong\FVP</t>
  </si>
  <si>
    <t>MD A:\ROADQRA1\EVC\020\Cong\FV0</t>
  </si>
  <si>
    <t>MD A:\ROADQRA1\EVC\020\Cong\FVM</t>
  </si>
  <si>
    <t>MD A:\ROADQRA1\EVC\030\Norm\NVC</t>
  </si>
  <si>
    <t>MD A:\ROADQRA1\EVC\030\Norm\NV0</t>
  </si>
  <si>
    <t>MD A:\ROADQRA1\EVC\030\Norm\FVP</t>
  </si>
  <si>
    <t>MD A:\ROADQRA1\EVC\030\Norm\FV0</t>
  </si>
  <si>
    <t>MD A:\ROADQRA1\EVC\030\Norm\FVM</t>
  </si>
  <si>
    <t>MD A:\ROADQRA1\EVC\030\Cong\NVC</t>
  </si>
  <si>
    <t>MD A:\ROADQRA1\EVC\030\Cong\NV0</t>
  </si>
  <si>
    <t>MD A:\ROADQRA1\EVC\030\Cong\FVP</t>
  </si>
  <si>
    <t>MD A:\ROADQRA1\EVC\030\Cong\FV0</t>
  </si>
  <si>
    <t>MD A:\ROADQRA1\EVC\030\Cong\FVM</t>
  </si>
  <si>
    <t>MD A:\ROADQRA1\EVC\100\Norm\NVC</t>
  </si>
  <si>
    <t>MD A:\ROADQRA1\EVC\100\Norm\NV0</t>
  </si>
  <si>
    <t>MD A:\ROADQRA1\EVC\100\Norm\FVP</t>
  </si>
  <si>
    <t>MD A:\ROADQRA1\EVC\100\Norm\FV0</t>
  </si>
  <si>
    <t>MD A:\ROADQRA1\EVC\100\Norm\FVM</t>
  </si>
  <si>
    <t>MD A:\ROADQRA1\EVC\100\Cong\NVC</t>
  </si>
  <si>
    <t>MD A:\ROADQRA1\EVC\100\Cong\NV0</t>
  </si>
  <si>
    <t>MD A:\ROADQRA1\EVC\100\Cong\FVP</t>
  </si>
  <si>
    <t>MD A:\ROADQRA1\EVC\100\Cong\FV0</t>
  </si>
  <si>
    <t>MD A:\ROADQRA1\EVC\100\Cong\FVM</t>
  </si>
  <si>
    <t>COPY A:\ROADQRA1\INPT\FDS\020NNVC.FDS A:\ROADQRA1\FDS\020\Norm\NVC</t>
  </si>
  <si>
    <t>CD A:\ROADQRA1\FDS\020\Norm\NVC</t>
  </si>
  <si>
    <t>COPY A:\ROADQRA1\PRE\CONVERT.DES A:\ROADQRA1\FDS\020\Norm\NVC</t>
  </si>
  <si>
    <t>A:\ROADQRA1\PRE\FDSCFDB.EXE A:\ROADQRA1\FDS\020\Norm\NVC\convert.des</t>
  </si>
  <si>
    <t>MD A:\ROADQRA1\FDS\020\Norm\NVC\POST</t>
  </si>
  <si>
    <t>MOVE A:\ROADQRA1\FDS\020\Norm\NVC\*.fdb A:\ROADQRA1\FDS\020\Norm\NVC\POST</t>
  </si>
  <si>
    <t>MOVE A:\ROADQRA1\FDS\020\Norm\NVC\*.plt A:\ROADQRA1\FDS\020\Norm\NVC\POST</t>
  </si>
  <si>
    <t>COPY A:\ROADQRA1\FDS\020\Norm\NVC\Post\020NNVC.FDB A:\ROADQRA1\EVC\020\Norm\NVC</t>
  </si>
  <si>
    <t>COPY A:\ROADQRA1\INPT\EVC\020NNVC*.EVC A:\ROADQRA1\EVC\020\Norm\NVC</t>
  </si>
  <si>
    <t>COPY A:\ROADQRA1\INPT\FDS\020NNV0.FDS A:\ROADQRA1\FDS\020\Norm\NV0</t>
  </si>
  <si>
    <t>CD A:\ROADQRA1\FDS\020\Norm\NV0</t>
  </si>
  <si>
    <t>COPY A:\ROADQRA1\PRE\CONVERT.DES A:\ROADQRA1\FDS\020\Norm\NV0</t>
  </si>
  <si>
    <t>A:\ROADQRA1\PRE\FDSCFDB.EXE A:\ROADQRA1\FDS\020\Norm\NV0\convert.des</t>
  </si>
  <si>
    <t>MD A:\ROADQRA1\FDS\020\Norm\NV0\POST</t>
  </si>
  <si>
    <t>MOVE A:\ROADQRA1\FDS\020\Norm\NV0\*.fdb A:\ROADQRA1\FDS\020\Norm\NV0\POST</t>
  </si>
  <si>
    <t>MOVE A:\ROADQRA1\FDS\020\Norm\NV0\*.plt A:\ROADQRA1\FDS\020\Norm\NV0\POST</t>
  </si>
  <si>
    <t>COPY A:\ROADQRA1\FDS\020\Norm\NV0\Post\020NNV0.FDB A:\ROADQRA1\EVC\020\Norm\NV0</t>
  </si>
  <si>
    <t>COPY A:\ROADQRA1\INPT\EVC\020NNV0*.EVC A:\ROADQRA1\EVC\020\Norm\NV0</t>
  </si>
  <si>
    <t>COPY A:\ROADQRA1\INPT\FDS\020NFVP.FDS A:\ROADQRA1\FDS\020\Norm\FVP</t>
  </si>
  <si>
    <t>CD A:\ROADQRA1\FDS\020\Norm\FVP</t>
  </si>
  <si>
    <t>COPY A:\ROADQRA1\PRE\CONVERT.DES A:\ROADQRA1\FDS\020\Norm\FVP</t>
  </si>
  <si>
    <t>A:\ROADQRA1\PRE\FDSCFDB.EXE A:\ROADQRA1\FDS\020\Norm\FVP\convert.des</t>
  </si>
  <si>
    <t>MD A:\ROADQRA1\FDS\020\Norm\FVP\POST</t>
  </si>
  <si>
    <t>MOVE A:\ROADQRA1\FDS\020\Norm\FVP\*.fdb A:\ROADQRA1\FDS\020\Norm\FVP\POST</t>
  </si>
  <si>
    <t>MOVE A:\ROADQRA1\FDS\020\Norm\FVP\*.plt A:\ROADQRA1\FDS\020\Norm\FVP\POST</t>
  </si>
  <si>
    <t>COPY A:\ROADQRA1\FDS\020\Norm\FVP\Post\020NFVP.FDB A:\ROADQRA1\EVC\020\Norm\FVP</t>
  </si>
  <si>
    <t>COPY A:\ROADQRA1\INPT\EVC\020NFVP*.EVC A:\ROADQRA1\EVC\020\Norm\FVP</t>
  </si>
  <si>
    <t>COPY A:\ROADQRA1\INPT\FDS\020NFV0.FDS A:\ROADQRA1\FDS\020\Norm\FV0</t>
  </si>
  <si>
    <t>CD A:\ROADQRA1\FDS\020\Norm\FV0</t>
  </si>
  <si>
    <t>COPY A:\ROADQRA1\PRE\CONVERT.DES A:\ROADQRA1\FDS\020\Norm\FV0</t>
  </si>
  <si>
    <t>A:\ROADQRA1\PRE\FDSCFDB.EXE A:\ROADQRA1\FDS\020\Norm\FV0\convert.des</t>
  </si>
  <si>
    <t>MD A:\ROADQRA1\FDS\020\Norm\FV0\POST</t>
  </si>
  <si>
    <t>MOVE A:\ROADQRA1\FDS\020\Norm\FV0\*.fdb A:\ROADQRA1\FDS\020\Norm\FV0\POST</t>
  </si>
  <si>
    <t>MOVE A:\ROADQRA1\FDS\020\Norm\FV0\*.plt A:\ROADQRA1\FDS\020\Norm\FV0\POST</t>
  </si>
  <si>
    <t>COPY A:\ROADQRA1\FDS\020\Norm\FV0\Post\020NFV0.FDB A:\ROADQRA1\EVC\020\Norm\FV0</t>
  </si>
  <si>
    <t>COPY A:\ROADQRA1\INPT\EVC\020NFV0*.EVC A:\ROADQRA1\EVC\020\Norm\FV0</t>
  </si>
  <si>
    <t>COPY A:\ROADQRA1\INPT\FDS\020NFVM.FDS A:\ROADQRA1\FDS\020\Norm\FVM</t>
  </si>
  <si>
    <t>CD A:\ROADQRA1\FDS\020\Norm\FVM</t>
  </si>
  <si>
    <t>COPY A:\ROADQRA1\PRE\CONVERT.DES A:\ROADQRA1\FDS\020\Norm\FVM</t>
  </si>
  <si>
    <t>A:\ROADQRA1\PRE\FDSCFDB.EXE A:\ROADQRA1\FDS\020\Norm\FVM\convert.des</t>
  </si>
  <si>
    <t>MD A:\ROADQRA1\FDS\020\Norm\FVM\POST</t>
  </si>
  <si>
    <t>MOVE A:\ROADQRA1\FDS\020\Norm\FVM\*.fdb A:\ROADQRA1\FDS\020\Norm\FVM\POST</t>
  </si>
  <si>
    <t>MOVE A:\ROADQRA1\FDS\020\Norm\FVM\*.plt A:\ROADQRA1\FDS\020\Norm\FVM\POST</t>
  </si>
  <si>
    <t>COPY A:\ROADQRA1\FDS\020\Norm\FVM\Post\020NFVM.FDB A:\ROADQRA1\EVC\020\Norm\FVM</t>
  </si>
  <si>
    <t>COPY A:\ROADQRA1\INPT\EVC\020NFVM*.EVC A:\ROADQRA1\EVC\020\Norm\FVM</t>
  </si>
  <si>
    <t>COPY A:\ROADQRA1\INPT\FDS\020CNVC.FDS A:\ROADQRA1\FDS\020\Cong\NVC</t>
  </si>
  <si>
    <t>CD A:\ROADQRA1\FDS\020\Cong\NVC</t>
  </si>
  <si>
    <t>COPY A:\ROADQRA1\PRE\CONVERT.DES A:\ROADQRA1\FDS\020\Cong\NVC</t>
  </si>
  <si>
    <t>A:\ROADQRA1\PRE\FDSCFDB.EXE A:\ROADQRA1\FDS\020\Cong\NVC\convert.des</t>
  </si>
  <si>
    <t>MD A:\ROADQRA1\FDS\020\Cong\NVC\POST</t>
  </si>
  <si>
    <t>MOVE A:\ROADQRA1\FDS\020\Cong\NVC\*.fdb A:\ROADQRA1\FDS\020\Cong\NVC\POST</t>
  </si>
  <si>
    <t>MOVE A:\ROADQRA1\FDS\020\Cong\NVC\*.plt A:\ROADQRA1\FDS\020\Cong\NVC\POST</t>
  </si>
  <si>
    <t>COPY A:\ROADQRA1\FDS\020\Cong\NVC\Post\020CNVC.FDB A:\ROADQRA1\EVC\020\Cong\NVC</t>
  </si>
  <si>
    <t>COPY A:\ROADQRA1\INPT\EVC\020CNVC*.EVC A:\ROADQRA1\EVC\020\Cong\NVC</t>
  </si>
  <si>
    <t>COPY A:\ROADQRA1\INPT\FDS\020CNV0.FDS A:\ROADQRA1\FDS\020\Cong\NV0</t>
  </si>
  <si>
    <t>CD A:\ROADQRA1\FDS\020\Cong\NV0</t>
  </si>
  <si>
    <t>COPY A:\ROADQRA1\PRE\CONVERT.DES A:\ROADQRA1\FDS\020\Cong\NV0</t>
  </si>
  <si>
    <t>A:\ROADQRA1\PRE\FDSCFDB.EXE A:\ROADQRA1\FDS\020\Cong\NV0\convert.des</t>
  </si>
  <si>
    <t>MD A:\ROADQRA1\FDS\020\Cong\NV0\POST</t>
  </si>
  <si>
    <t>MOVE A:\ROADQRA1\FDS\020\Cong\NV0\*.fdb A:\ROADQRA1\FDS\020\Cong\NV0\POST</t>
  </si>
  <si>
    <t>MOVE A:\ROADQRA1\FDS\020\Cong\NV0\*.plt A:\ROADQRA1\FDS\020\Cong\NV0\POST</t>
  </si>
  <si>
    <t>COPY A:\ROADQRA1\FDS\020\Cong\NV0\Post\020CNV0.FDB A:\ROADQRA1\EVC\020\Cong\NV0</t>
  </si>
  <si>
    <t>COPY A:\ROADQRA1\INPT\EVC\020CNV0*.EVC A:\ROADQRA1\EVC\020\Cong\NV0</t>
  </si>
  <si>
    <t>COPY A:\ROADQRA1\INPT\FDS\020CFVP.FDS A:\ROADQRA1\FDS\020\Cong\FVP</t>
  </si>
  <si>
    <t>CD A:\ROADQRA1\FDS\020\Cong\FVP</t>
  </si>
  <si>
    <t>COPY A:\ROADQRA1\PRE\CONVERT.DES A:\ROADQRA1\FDS\020\Cong\FVP</t>
  </si>
  <si>
    <t>A:\ROADQRA1\PRE\FDSCFDB.EXE A:\ROADQRA1\FDS\020\Cong\FVP\convert.des</t>
  </si>
  <si>
    <t>MD A:\ROADQRA1\FDS\020\Cong\FVP\POST</t>
  </si>
  <si>
    <t>MOVE A:\ROADQRA1\FDS\020\Cong\FVP\*.fdb A:\ROADQRA1\FDS\020\Cong\FVP\POST</t>
  </si>
  <si>
    <t>MOVE A:\ROADQRA1\FDS\020\Cong\FVP\*.plt A:\ROADQRA1\FDS\020\Cong\FVP\POST</t>
  </si>
  <si>
    <t>COPY A:\ROADQRA1\FDS\020\Cong\FVP\Post\020CFVP.FDB A:\ROADQRA1\EVC\020\Cong\FVP</t>
  </si>
  <si>
    <t>COPY A:\ROADQRA1\INPT\EVC\020CFVP*.EVC A:\ROADQRA1\EVC\020\Cong\FVP</t>
  </si>
  <si>
    <t>COPY A:\ROADQRA1\INPT\FDS\020CFV0.FDS A:\ROADQRA1\FDS\020\Cong\FV0</t>
  </si>
  <si>
    <t>CD A:\ROADQRA1\FDS\020\Cong\FV0</t>
  </si>
  <si>
    <t>COPY A:\ROADQRA1\PRE\CONVERT.DES A:\ROADQRA1\FDS\020\Cong\FV0</t>
  </si>
  <si>
    <t>A:\ROADQRA1\PRE\FDSCFDB.EXE A:\ROADQRA1\FDS\020\Cong\FV0\convert.des</t>
  </si>
  <si>
    <t>MD A:\ROADQRA1\FDS\020\Cong\FV0\POST</t>
  </si>
  <si>
    <t>MOVE A:\ROADQRA1\FDS\020\Cong\FV0\*.fdb A:\ROADQRA1\FDS\020\Cong\FV0\POST</t>
  </si>
  <si>
    <t>MOVE A:\ROADQRA1\FDS\020\Cong\FV0\*.plt A:\ROADQRA1\FDS\020\Cong\FV0\POST</t>
  </si>
  <si>
    <t>COPY A:\ROADQRA1\FDS\020\Cong\FV0\Post\020CFV0.FDB A:\ROADQRA1\EVC\020\Cong\FV0</t>
  </si>
  <si>
    <t>COPY A:\ROADQRA1\INPT\EVC\020CFV0*.EVC A:\ROADQRA1\EVC\020\Cong\FV0</t>
  </si>
  <si>
    <t>COPY A:\ROADQRA1\INPT\FDS\020CFVM.FDS A:\ROADQRA1\FDS\020\Cong\FVM</t>
  </si>
  <si>
    <t>CD A:\ROADQRA1\FDS\020\Cong\FVM</t>
  </si>
  <si>
    <t>COPY A:\ROADQRA1\PRE\CONVERT.DES A:\ROADQRA1\FDS\020\Cong\FVM</t>
  </si>
  <si>
    <t>A:\ROADQRA1\PRE\FDSCFDB.EXE A:\ROADQRA1\FDS\020\Cong\FVM\convert.des</t>
  </si>
  <si>
    <t>MD A:\ROADQRA1\FDS\020\Cong\FVM\POST</t>
  </si>
  <si>
    <t>MOVE A:\ROADQRA1\FDS\020\Cong\FVM\*.fdb A:\ROADQRA1\FDS\020\Cong\FVM\POST</t>
  </si>
  <si>
    <t>MOVE A:\ROADQRA1\FDS\020\Cong\FVM\*.plt A:\ROADQRA1\FDS\020\Cong\FVM\POST</t>
  </si>
  <si>
    <t>COPY A:\ROADQRA1\FDS\020\Cong\FVM\Post\020CFVM.FDB A:\ROADQRA1\EVC\020\Cong\FVM</t>
  </si>
  <si>
    <t>COPY A:\ROADQRA1\INPT\EVC\020CFVM*.EVC A:\ROADQRA1\EVC\020\Cong\FVM</t>
  </si>
  <si>
    <t>COPY A:\ROADQRA1\INPT\FDS\030NNVC.FDS A:\ROADQRA1\FDS\030\Norm\NVC</t>
  </si>
  <si>
    <t>CD A:\ROADQRA1\FDS\030\Norm\NVC</t>
  </si>
  <si>
    <t>COPY A:\ROADQRA1\PRE\CONVERT.DES A:\ROADQRA1\FDS\030\Norm\NVC</t>
  </si>
  <si>
    <t>A:\ROADQRA1\PRE\FDSCFDB.EXE A:\ROADQRA1\FDS\030\Norm\NVC\convert.des</t>
  </si>
  <si>
    <t>MD A:\ROADQRA1\FDS\030\Norm\NVC\POST</t>
  </si>
  <si>
    <t>MOVE A:\ROADQRA1\FDS\030\Norm\NVC\*.fdb A:\ROADQRA1\FDS\030\Norm\NVC\POST</t>
  </si>
  <si>
    <t>MOVE A:\ROADQRA1\FDS\030\Norm\NVC\*.plt A:\ROADQRA1\FDS\030\Norm\NVC\POST</t>
  </si>
  <si>
    <t>COPY A:\ROADQRA1\FDS\030\Norm\NVC\Post\030NNVC.FDB A:\ROADQRA1\EVC\030\Norm\NVC</t>
  </si>
  <si>
    <t>COPY A:\ROADQRA1\INPT\EVC\030NNVC*.EVC A:\ROADQRA1\EVC\030\Norm\NVC</t>
  </si>
  <si>
    <t>COPY A:\ROADQRA1\INPT\FDS\030NNV0.FDS A:\ROADQRA1\FDS\030\Norm\NV0</t>
  </si>
  <si>
    <t>CD A:\ROADQRA1\FDS\030\Norm\NV0</t>
  </si>
  <si>
    <t>COPY A:\ROADQRA1\PRE\CONVERT.DES A:\ROADQRA1\FDS\030\Norm\NV0</t>
  </si>
  <si>
    <t>A:\ROADQRA1\PRE\FDSCFDB.EXE A:\ROADQRA1\FDS\030\Norm\NV0\convert.des</t>
  </si>
  <si>
    <t>MD A:\ROADQRA1\FDS\030\Norm\NV0\POST</t>
  </si>
  <si>
    <t>MOVE A:\ROADQRA1\FDS\030\Norm\NV0\*.fdb A:\ROADQRA1\FDS\030\Norm\NV0\POST</t>
  </si>
  <si>
    <t>MOVE A:\ROADQRA1\FDS\030\Norm\NV0\*.plt A:\ROADQRA1\FDS\030\Norm\NV0\POST</t>
  </si>
  <si>
    <t>COPY A:\ROADQRA1\FDS\030\Norm\NV0\Post\030NNV0.FDB A:\ROADQRA1\EVC\030\Norm\NV0</t>
  </si>
  <si>
    <t>COPY A:\ROADQRA1\INPT\EVC\030NNV0*.EVC A:\ROADQRA1\EVC\030\Norm\NV0</t>
  </si>
  <si>
    <t>COPY A:\ROADQRA1\INPT\FDS\030NFVP.FDS A:\ROADQRA1\FDS\030\Norm\FVP</t>
  </si>
  <si>
    <t>CD A:\ROADQRA1\FDS\030\Norm\FVP</t>
  </si>
  <si>
    <t>COPY A:\ROADQRA1\PRE\CONVERT.DES A:\ROADQRA1\FDS\030\Norm\FVP</t>
  </si>
  <si>
    <t>A:\ROADQRA1\PRE\FDSCFDB.EXE A:\ROADQRA1\FDS\030\Norm\FVP\convert.des</t>
  </si>
  <si>
    <t>MD A:\ROADQRA1\FDS\030\Norm\FVP\POST</t>
  </si>
  <si>
    <t>MOVE A:\ROADQRA1\FDS\030\Norm\FVP\*.fdb A:\ROADQRA1\FDS\030\Norm\FVP\POST</t>
  </si>
  <si>
    <t>MOVE A:\ROADQRA1\FDS\030\Norm\FVP\*.plt A:\ROADQRA1\FDS\030\Norm\FVP\POST</t>
  </si>
  <si>
    <t>COPY A:\ROADQRA1\FDS\030\Norm\FVP\Post\030NFVP.FDB A:\ROADQRA1\EVC\030\Norm\FVP</t>
  </si>
  <si>
    <t>COPY A:\ROADQRA1\INPT\EVC\030NFVP*.EVC A:\ROADQRA1\EVC\030\Norm\FVP</t>
  </si>
  <si>
    <t>COPY A:\ROADQRA1\INPT\FDS\030NFV0.FDS A:\ROADQRA1\FDS\030\Norm\FV0</t>
  </si>
  <si>
    <t>CD A:\ROADQRA1\FDS\030\Norm\FV0</t>
  </si>
  <si>
    <t>COPY A:\ROADQRA1\PRE\CONVERT.DES A:\ROADQRA1\FDS\030\Norm\FV0</t>
  </si>
  <si>
    <t>A:\ROADQRA1\PRE\FDSCFDB.EXE A:\ROADQRA1\FDS\030\Norm\FV0\convert.des</t>
  </si>
  <si>
    <t>MD A:\ROADQRA1\FDS\030\Norm\FV0\POST</t>
  </si>
  <si>
    <t>MOVE A:\ROADQRA1\FDS\030\Norm\FV0\*.fdb A:\ROADQRA1\FDS\030\Norm\FV0\POST</t>
  </si>
  <si>
    <t>MOVE A:\ROADQRA1\FDS\030\Norm\FV0\*.plt A:\ROADQRA1\FDS\030\Norm\FV0\POST</t>
  </si>
  <si>
    <t>COPY A:\ROADQRA1\FDS\030\Norm\FV0\Post\030NFV0.FDB A:\ROADQRA1\EVC\030\Norm\FV0</t>
  </si>
  <si>
    <t>COPY A:\ROADQRA1\INPT\EVC\030NFV0*.EVC A:\ROADQRA1\EVC\030\Norm\FV0</t>
  </si>
  <si>
    <t>COPY A:\ROADQRA1\INPT\FDS\030NFVM.FDS A:\ROADQRA1\FDS\030\Norm\FVM</t>
  </si>
  <si>
    <t>CD A:\ROADQRA1\FDS\030\Norm\FVM</t>
  </si>
  <si>
    <t>COPY A:\ROADQRA1\PRE\CONVERT.DES A:\ROADQRA1\FDS\030\Norm\FVM</t>
  </si>
  <si>
    <t>A:\ROADQRA1\PRE\FDSCFDB.EXE A:\ROADQRA1\FDS\030\Norm\FVM\convert.des</t>
  </si>
  <si>
    <t>MD A:\ROADQRA1\FDS\030\Norm\FVM\POST</t>
  </si>
  <si>
    <t>MOVE A:\ROADQRA1\FDS\030\Norm\FVM\*.fdb A:\ROADQRA1\FDS\030\Norm\FVM\POST</t>
  </si>
  <si>
    <t>MOVE A:\ROADQRA1\FDS\030\Norm\FVM\*.plt A:\ROADQRA1\FDS\030\Norm\FVM\POST</t>
  </si>
  <si>
    <t>COPY A:\ROADQRA1\FDS\030\Norm\FVM\Post\030NFVM.FDB A:\ROADQRA1\EVC\030\Norm\FVM</t>
  </si>
  <si>
    <t>COPY A:\ROADQRA1\INPT\EVC\030NFVM*.EVC A:\ROADQRA1\EVC\030\Norm\FVM</t>
  </si>
  <si>
    <t>COPY A:\ROADQRA1\INPT\FDS\030CNVC.FDS A:\ROADQRA1\FDS\030\Cong\NVC</t>
  </si>
  <si>
    <t>CD A:\ROADQRA1\FDS\030\Cong\NVC</t>
  </si>
  <si>
    <t>COPY A:\ROADQRA1\PRE\CONVERT.DES A:\ROADQRA1\FDS\030\Cong\NVC</t>
  </si>
  <si>
    <t>A:\ROADQRA1\PRE\FDSCFDB.EXE A:\ROADQRA1\FDS\030\Cong\NVC\convert.des</t>
  </si>
  <si>
    <t>MD A:\ROADQRA1\FDS\030\Cong\NVC\POST</t>
  </si>
  <si>
    <t>MOVE A:\ROADQRA1\FDS\030\Cong\NVC\*.fdb A:\ROADQRA1\FDS\030\Cong\NVC\POST</t>
  </si>
  <si>
    <t>MOVE A:\ROADQRA1\FDS\030\Cong\NVC\*.plt A:\ROADQRA1\FDS\030\Cong\NVC\POST</t>
  </si>
  <si>
    <t>COPY A:\ROADQRA1\FDS\030\Cong\NVC\Post\030CNVC.FDB A:\ROADQRA1\EVC\030\Cong\NVC</t>
  </si>
  <si>
    <t>COPY A:\ROADQRA1\INPT\EVC\030CNVC*.EVC A:\ROADQRA1\EVC\030\Cong\NVC</t>
  </si>
  <si>
    <t>COPY A:\ROADQRA1\INPT\FDS\030CNV0.FDS A:\ROADQRA1\FDS\030\Cong\NV0</t>
  </si>
  <si>
    <t>CD A:\ROADQRA1\FDS\030\Cong\NV0</t>
  </si>
  <si>
    <t>COPY A:\ROADQRA1\PRE\CONVERT.DES A:\ROADQRA1\FDS\030\Cong\NV0</t>
  </si>
  <si>
    <t>A:\ROADQRA1\PRE\FDSCFDB.EXE A:\ROADQRA1\FDS\030\Cong\NV0\convert.des</t>
  </si>
  <si>
    <t>MD A:\ROADQRA1\FDS\030\Cong\NV0\POST</t>
  </si>
  <si>
    <t>MOVE A:\ROADQRA1\FDS\030\Cong\NV0\*.fdb A:\ROADQRA1\FDS\030\Cong\NV0\POST</t>
  </si>
  <si>
    <t>MOVE A:\ROADQRA1\FDS\030\Cong\NV0\*.plt A:\ROADQRA1\FDS\030\Cong\NV0\POST</t>
  </si>
  <si>
    <t>COPY A:\ROADQRA1\FDS\030\Cong\NV0\Post\030CNV0.FDB A:\ROADQRA1\EVC\030\Cong\NV0</t>
  </si>
  <si>
    <t>COPY A:\ROADQRA1\INPT\EVC\030CNV0*.EVC A:\ROADQRA1\EVC\030\Cong\NV0</t>
  </si>
  <si>
    <t>COPY A:\ROADQRA1\INPT\FDS\030CFVP.FDS A:\ROADQRA1\FDS\030\Cong\FVP</t>
  </si>
  <si>
    <t>CD A:\ROADQRA1\FDS\030\Cong\FVP</t>
  </si>
  <si>
    <t>COPY A:\ROADQRA1\PRE\CONVERT.DES A:\ROADQRA1\FDS\030\Cong\FVP</t>
  </si>
  <si>
    <t>A:\ROADQRA1\PRE\FDSCFDB.EXE A:\ROADQRA1\FDS\030\Cong\FVP\convert.des</t>
  </si>
  <si>
    <t>MD A:\ROADQRA1\FDS\030\Cong\FVP\POST</t>
  </si>
  <si>
    <t>MOVE A:\ROADQRA1\FDS\030\Cong\FVP\*.fdb A:\ROADQRA1\FDS\030\Cong\FVP\POST</t>
  </si>
  <si>
    <t>MOVE A:\ROADQRA1\FDS\030\Cong\FVP\*.plt A:\ROADQRA1\FDS\030\Cong\FVP\POST</t>
  </si>
  <si>
    <t>COPY A:\ROADQRA1\FDS\030\Cong\FVP\Post\030CFVP.FDB A:\ROADQRA1\EVC\030\Cong\FVP</t>
  </si>
  <si>
    <t>COPY A:\ROADQRA1\INPT\EVC\030CFVP*.EVC A:\ROADQRA1\EVC\030\Cong\FVP</t>
  </si>
  <si>
    <t>COPY A:\ROADQRA1\INPT\FDS\030CFV0.FDS A:\ROADQRA1\FDS\030\Cong\FV0</t>
  </si>
  <si>
    <t>CD A:\ROADQRA1\FDS\030\Cong\FV0</t>
  </si>
  <si>
    <t>COPY A:\ROADQRA1\PRE\CONVERT.DES A:\ROADQRA1\FDS\030\Cong\FV0</t>
  </si>
  <si>
    <t>A:\ROADQRA1\PRE\FDSCFDB.EXE A:\ROADQRA1\FDS\030\Cong\FV0\convert.des</t>
  </si>
  <si>
    <t>MD A:\ROADQRA1\FDS\030\Cong\FV0\POST</t>
  </si>
  <si>
    <t>MOVE A:\ROADQRA1\FDS\030\Cong\FV0\*.fdb A:\ROADQRA1\FDS\030\Cong\FV0\POST</t>
  </si>
  <si>
    <t>MOVE A:\ROADQRA1\FDS\030\Cong\FV0\*.plt A:\ROADQRA1\FDS\030\Cong\FV0\POST</t>
  </si>
  <si>
    <t>COPY A:\ROADQRA1\FDS\030\Cong\FV0\Post\030CFV0.FDB A:\ROADQRA1\EVC\030\Cong\FV0</t>
  </si>
  <si>
    <t>COPY A:\ROADQRA1\INPT\EVC\030CFV0*.EVC A:\ROADQRA1\EVC\030\Cong\FV0</t>
  </si>
  <si>
    <t>COPY A:\ROADQRA1\INPT\FDS\030CFVM.FDS A:\ROADQRA1\FDS\030\Cong\FVM</t>
  </si>
  <si>
    <t>CD A:\ROADQRA1\FDS\030\Cong\FVM</t>
  </si>
  <si>
    <t>COPY A:\ROADQRA1\PRE\CONVERT.DES A:\ROADQRA1\FDS\030\Cong\FVM</t>
  </si>
  <si>
    <t>A:\ROADQRA1\PRE\FDSCFDB.EXE A:\ROADQRA1\FDS\030\Cong\FVM\convert.des</t>
  </si>
  <si>
    <t>MD A:\ROADQRA1\FDS\030\Cong\FVM\POST</t>
  </si>
  <si>
    <t>MOVE A:\ROADQRA1\FDS\030\Cong\FVM\*.fdb A:\ROADQRA1\FDS\030\Cong\FVM\POST</t>
  </si>
  <si>
    <t>MOVE A:\ROADQRA1\FDS\030\Cong\FVM\*.plt A:\ROADQRA1\FDS\030\Cong\FVM\POST</t>
  </si>
  <si>
    <t>COPY A:\ROADQRA1\FDS\030\Cong\FVM\Post\030CFVM.FDB A:\ROADQRA1\EVC\030\Cong\FVM</t>
  </si>
  <si>
    <t>COPY A:\ROADQRA1\INPT\EVC\030CFVM*.EVC A:\ROADQRA1\EVC\030\Cong\FVM</t>
  </si>
  <si>
    <t>COPY A:\ROADQRA1\INPT\FDS\100NNVC.FDS A:\ROADQRA1\FDS\100\Norm\NVC</t>
  </si>
  <si>
    <t>CD A:\ROADQRA1\FDS\100\Norm\NVC</t>
  </si>
  <si>
    <t>COPY A:\ROADQRA1\PRE\CONVERT.DES A:\ROADQRA1\FDS\100\Norm\NVC</t>
  </si>
  <si>
    <t>A:\ROADQRA1\PRE\FDSCFDB.EXE A:\ROADQRA1\FDS\100\Norm\NVC\convert.des</t>
  </si>
  <si>
    <t>MD A:\ROADQRA1\FDS\100\Norm\NVC\POST</t>
  </si>
  <si>
    <t>MOVE A:\ROADQRA1\FDS\100\Norm\NVC\*.fdb A:\ROADQRA1\FDS\100\Norm\NVC\POST</t>
  </si>
  <si>
    <t>MOVE A:\ROADQRA1\FDS\100\Norm\NVC\*.plt A:\ROADQRA1\FDS\100\Norm\NVC\POST</t>
  </si>
  <si>
    <t>COPY A:\ROADQRA1\FDS\100\Norm\NVC\Post\100NNVC.FDB A:\ROADQRA1\EVC\100\Norm\NVC</t>
  </si>
  <si>
    <t>COPY A:\ROADQRA1\INPT\EVC\100NNVC*.EVC A:\ROADQRA1\EVC\100\Norm\NVC</t>
  </si>
  <si>
    <t>COPY A:\ROADQRA1\INPT\FDS\100NNV0.FDS A:\ROADQRA1\FDS\100\Norm\NV0</t>
  </si>
  <si>
    <t>CD A:\ROADQRA1\FDS\100\Norm\NV0</t>
  </si>
  <si>
    <t>COPY A:\ROADQRA1\PRE\CONVERT.DES A:\ROADQRA1\FDS\100\Norm\NV0</t>
  </si>
  <si>
    <t>A:\ROADQRA1\PRE\FDSCFDB.EXE A:\ROADQRA1\FDS\100\Norm\NV0\convert.des</t>
  </si>
  <si>
    <t>MD A:\ROADQRA1\FDS\100\Norm\NV0\POST</t>
  </si>
  <si>
    <t>MOVE A:\ROADQRA1\FDS\100\Norm\NV0\*.fdb A:\ROADQRA1\FDS\100\Norm\NV0\POST</t>
  </si>
  <si>
    <t>MOVE A:\ROADQRA1\FDS\100\Norm\NV0\*.plt A:\ROADQRA1\FDS\100\Norm\NV0\POST</t>
  </si>
  <si>
    <t>COPY A:\ROADQRA1\FDS\100\Norm\NV0\Post\100NNV0.FDB A:\ROADQRA1\EVC\100\Norm\NV0</t>
  </si>
  <si>
    <t>COPY A:\ROADQRA1\INPT\EVC\100NNV0*.EVC A:\ROADQRA1\EVC\100\Norm\NV0</t>
  </si>
  <si>
    <t>COPY A:\ROADQRA1\INPT\FDS\100NFVP.FDS A:\ROADQRA1\FDS\100\Norm\FVP</t>
  </si>
  <si>
    <t>CD A:\ROADQRA1\FDS\100\Norm\FVP</t>
  </si>
  <si>
    <t>COPY A:\ROADQRA1\PRE\CONVERT.DES A:\ROADQRA1\FDS\100\Norm\FVP</t>
  </si>
  <si>
    <t>A:\ROADQRA1\PRE\FDSCFDB.EXE A:\ROADQRA1\FDS\100\Norm\FVP\convert.des</t>
  </si>
  <si>
    <t>MD A:\ROADQRA1\FDS\100\Norm\FVP\POST</t>
  </si>
  <si>
    <t>MOVE A:\ROADQRA1\FDS\100\Norm\FVP\*.fdb A:\ROADQRA1\FDS\100\Norm\FVP\POST</t>
  </si>
  <si>
    <t>MOVE A:\ROADQRA1\FDS\100\Norm\FVP\*.plt A:\ROADQRA1\FDS\100\Norm\FVP\POST</t>
  </si>
  <si>
    <t>COPY A:\ROADQRA1\FDS\100\Norm\FVP\Post\100NFVP.FDB A:\ROADQRA1\EVC\100\Norm\FVP</t>
  </si>
  <si>
    <t>COPY A:\ROADQRA1\INPT\EVC\100NFVP*.EVC A:\ROADQRA1\EVC\100\Norm\FVP</t>
  </si>
  <si>
    <t>COPY A:\ROADQRA1\INPT\FDS\100NFV0.FDS A:\ROADQRA1\FDS\100\Norm\FV0</t>
  </si>
  <si>
    <t>CD A:\ROADQRA1\FDS\100\Norm\FV0</t>
  </si>
  <si>
    <t>COPY A:\ROADQRA1\PRE\CONVERT.DES A:\ROADQRA1\FDS\100\Norm\FV0</t>
  </si>
  <si>
    <t>A:\ROADQRA1\PRE\FDSCFDB.EXE A:\ROADQRA1\FDS\100\Norm\FV0\convert.des</t>
  </si>
  <si>
    <t>MD A:\ROADQRA1\FDS\100\Norm\FV0\POST</t>
  </si>
  <si>
    <t>MOVE A:\ROADQRA1\FDS\100\Norm\FV0\*.fdb A:\ROADQRA1\FDS\100\Norm\FV0\POST</t>
  </si>
  <si>
    <t>MOVE A:\ROADQRA1\FDS\100\Norm\FV0\*.plt A:\ROADQRA1\FDS\100\Norm\FV0\POST</t>
  </si>
  <si>
    <t>COPY A:\ROADQRA1\FDS\100\Norm\FV0\Post\100NFV0.FDB A:\ROADQRA1\EVC\100\Norm\FV0</t>
  </si>
  <si>
    <t>COPY A:\ROADQRA1\INPT\EVC\100NFV0*.EVC A:\ROADQRA1\EVC\100\Norm\FV0</t>
  </si>
  <si>
    <t>COPY A:\ROADQRA1\INPT\FDS\100NFVM.FDS A:\ROADQRA1\FDS\100\Norm\FVM</t>
  </si>
  <si>
    <t>CD A:\ROADQRA1\FDS\100\Norm\FVM</t>
  </si>
  <si>
    <t>COPY A:\ROADQRA1\PRE\CONVERT.DES A:\ROADQRA1\FDS\100\Norm\FVM</t>
  </si>
  <si>
    <t>A:\ROADQRA1\PRE\FDSCFDB.EXE A:\ROADQRA1\FDS\100\Norm\FVM\convert.des</t>
  </si>
  <si>
    <t>MD A:\ROADQRA1\FDS\100\Norm\FVM\POST</t>
  </si>
  <si>
    <t>MOVE A:\ROADQRA1\FDS\100\Norm\FVM\*.fdb A:\ROADQRA1\FDS\100\Norm\FVM\POST</t>
  </si>
  <si>
    <t>MOVE A:\ROADQRA1\FDS\100\Norm\FVM\*.plt A:\ROADQRA1\FDS\100\Norm\FVM\POST</t>
  </si>
  <si>
    <t>COPY A:\ROADQRA1\FDS\100\Norm\FVM\Post\100NFVM.FDB A:\ROADQRA1\EVC\100\Norm\FVM</t>
  </si>
  <si>
    <t>COPY A:\ROADQRA1\INPT\EVC\100NFVM*.EVC A:\ROADQRA1\EVC\100\Norm\FVM</t>
  </si>
  <si>
    <t>COPY A:\ROADQRA1\INPT\FDS\100CNVC.FDS A:\ROADQRA1\FDS\100\Cong\NVC</t>
  </si>
  <si>
    <t>CD A:\ROADQRA1\FDS\100\Cong\NVC</t>
  </si>
  <si>
    <t>COPY A:\ROADQRA1\PRE\CONVERT.DES A:\ROADQRA1\FDS\100\Cong\NVC</t>
  </si>
  <si>
    <t>A:\ROADQRA1\PRE\FDSCFDB.EXE A:\ROADQRA1\FDS\100\Cong\NVC\convert.des</t>
  </si>
  <si>
    <t>MD A:\ROADQRA1\FDS\100\Cong\NVC\POST</t>
  </si>
  <si>
    <t>MOVE A:\ROADQRA1\FDS\100\Cong\NVC\*.fdb A:\ROADQRA1\FDS\100\Cong\NVC\POST</t>
  </si>
  <si>
    <t>MOVE A:\ROADQRA1\FDS\100\Cong\NVC\*.plt A:\ROADQRA1\FDS\100\Cong\NVC\POST</t>
  </si>
  <si>
    <t>COPY A:\ROADQRA1\FDS\100\Cong\NVC\Post\100CNVC.FDB A:\ROADQRA1\EVC\100\Cong\NVC</t>
  </si>
  <si>
    <t>COPY A:\ROADQRA1\INPT\EVC\100CNVC*.EVC A:\ROADQRA1\EVC\100\Cong\NVC</t>
  </si>
  <si>
    <t>COPY A:\ROADQRA1\INPT\FDS\100CNV0.FDS A:\ROADQRA1\FDS\100\Cong\NV0</t>
  </si>
  <si>
    <t>CD A:\ROADQRA1\FDS\100\Cong\NV0</t>
  </si>
  <si>
    <t>COPY A:\ROADQRA1\PRE\CONVERT.DES A:\ROADQRA1\FDS\100\Cong\NV0</t>
  </si>
  <si>
    <t>A:\ROADQRA1\PRE\FDSCFDB.EXE A:\ROADQRA1\FDS\100\Cong\NV0\convert.des</t>
  </si>
  <si>
    <t>MD A:\ROADQRA1\FDS\100\Cong\NV0\POST</t>
  </si>
  <si>
    <t>MOVE A:\ROADQRA1\FDS\100\Cong\NV0\*.fdb A:\ROADQRA1\FDS\100\Cong\NV0\POST</t>
  </si>
  <si>
    <t>MOVE A:\ROADQRA1\FDS\100\Cong\NV0\*.plt A:\ROADQRA1\FDS\100\Cong\NV0\POST</t>
  </si>
  <si>
    <t>COPY A:\ROADQRA1\FDS\100\Cong\NV0\Post\100CNV0.FDB A:\ROADQRA1\EVC\100\Cong\NV0</t>
  </si>
  <si>
    <t>COPY A:\ROADQRA1\INPT\EVC\100CNV0*.EVC A:\ROADQRA1\EVC\100\Cong\NV0</t>
  </si>
  <si>
    <t>COPY A:\ROADQRA1\INPT\FDS\100CFVP.FDS A:\ROADQRA1\FDS\100\Cong\FVP</t>
  </si>
  <si>
    <t>CD A:\ROADQRA1\FDS\100\Cong\FVP</t>
  </si>
  <si>
    <t>COPY A:\ROADQRA1\PRE\CONVERT.DES A:\ROADQRA1\FDS\100\Cong\FVP</t>
  </si>
  <si>
    <t>A:\ROADQRA1\PRE\FDSCFDB.EXE A:\ROADQRA1\FDS\100\Cong\FVP\convert.des</t>
  </si>
  <si>
    <t>MD A:\ROADQRA1\FDS\100\Cong\FVP\POST</t>
  </si>
  <si>
    <t>MOVE A:\ROADQRA1\FDS\100\Cong\FVP\*.fdb A:\ROADQRA1\FDS\100\Cong\FVP\POST</t>
  </si>
  <si>
    <t>MOVE A:\ROADQRA1\FDS\100\Cong\FVP\*.plt A:\ROADQRA1\FDS\100\Cong\FVP\POST</t>
  </si>
  <si>
    <t>COPY A:\ROADQRA1\FDS\100\Cong\FVP\Post\100CFVP.FDB A:\ROADQRA1\EVC\100\Cong\FVP</t>
  </si>
  <si>
    <t>COPY A:\ROADQRA1\INPT\EVC\100CFVP*.EVC A:\ROADQRA1\EVC\100\Cong\FVP</t>
  </si>
  <si>
    <t>COPY A:\ROADQRA1\INPT\FDS\100CFV0.FDS A:\ROADQRA1\FDS\100\Cong\FV0</t>
  </si>
  <si>
    <t>CD A:\ROADQRA1\FDS\100\Cong\FV0</t>
  </si>
  <si>
    <t>COPY A:\ROADQRA1\PRE\CONVERT.DES A:\ROADQRA1\FDS\100\Cong\FV0</t>
  </si>
  <si>
    <t>A:\ROADQRA1\PRE\FDSCFDB.EXE A:\ROADQRA1\FDS\100\Cong\FV0\convert.des</t>
  </si>
  <si>
    <t>MD A:\ROADQRA1\FDS\100\Cong\FV0\POST</t>
  </si>
  <si>
    <t>MOVE A:\ROADQRA1\FDS\100\Cong\FV0\*.fdb A:\ROADQRA1\FDS\100\Cong\FV0\POST</t>
  </si>
  <si>
    <t>MOVE A:\ROADQRA1\FDS\100\Cong\FV0\*.plt A:\ROADQRA1\FDS\100\Cong\FV0\POST</t>
  </si>
  <si>
    <t>COPY A:\ROADQRA1\FDS\100\Cong\FV0\Post\100CFV0.FDB A:\ROADQRA1\EVC\100\Cong\FV0</t>
  </si>
  <si>
    <t>COPY A:\ROADQRA1\INPT\EVC\100CFV0*.EVC A:\ROADQRA1\EVC\100\Cong\FV0</t>
  </si>
  <si>
    <t>COPY A:\ROADQRA1\INPT\FDS\100CFVM.FDS A:\ROADQRA1\FDS\100\Cong\FVM</t>
  </si>
  <si>
    <t>CD A:\ROADQRA1\FDS\100\Cong\FVM</t>
  </si>
  <si>
    <t>COPY A:\ROADQRA1\PRE\CONVERT.DES A:\ROADQRA1\FDS\100\Cong\FVM</t>
  </si>
  <si>
    <t>A:\ROADQRA1\PRE\FDSCFDB.EXE A:\ROADQRA1\FDS\100\Cong\FVM\convert.des</t>
  </si>
  <si>
    <t>MD A:\ROADQRA1\FDS\100\Cong\FVM\POST</t>
  </si>
  <si>
    <t>MOVE A:\ROADQRA1\FDS\100\Cong\FVM\*.fdb A:\ROADQRA1\FDS\100\Cong\FVM\POST</t>
  </si>
  <si>
    <t>MOVE A:\ROADQRA1\FDS\100\Cong\FVM\*.plt A:\ROADQRA1\FDS\100\Cong\FVM\POST</t>
  </si>
  <si>
    <t>COPY A:\ROADQRA1\FDS\100\Cong\FVM\Post\100CFVM.FDB A:\ROADQRA1\EVC\100\Cong\FVM</t>
  </si>
  <si>
    <t>COPY A:\ROADQRA1\INPT\EVC\100CFVM*.EVC A:\ROADQRA1\EVC\100\Cong\FVM</t>
  </si>
  <si>
    <t>0</t>
  </si>
  <si>
    <t>1</t>
  </si>
  <si>
    <t>2</t>
  </si>
  <si>
    <t>3</t>
  </si>
  <si>
    <t>4</t>
  </si>
  <si>
    <t>5</t>
  </si>
  <si>
    <t>미설치</t>
    <phoneticPr fontId="3" type="noConversion"/>
  </si>
  <si>
    <t>676.</t>
  </si>
  <si>
    <t>0.</t>
  </si>
  <si>
    <t>130</t>
  </si>
  <si>
    <t>3.</t>
  </si>
  <si>
    <t>122</t>
  </si>
  <si>
    <t>124</t>
  </si>
  <si>
    <t>0.6</t>
  </si>
  <si>
    <t>128</t>
  </si>
  <si>
    <t>362</t>
  </si>
  <si>
    <t>170.603</t>
  </si>
  <si>
    <t>988.</t>
  </si>
  <si>
    <t>118</t>
  </si>
  <si>
    <t>136</t>
  </si>
  <si>
    <t>1002.</t>
  </si>
  <si>
    <t>15.</t>
  </si>
  <si>
    <t>0.2</t>
  </si>
  <si>
    <t>126</t>
  </si>
  <si>
    <t>356</t>
  </si>
  <si>
    <t>283.201</t>
  </si>
  <si>
    <t>61.41708</t>
  </si>
  <si>
    <t>132</t>
  </si>
  <si>
    <t>16.</t>
  </si>
  <si>
    <t>848.</t>
  </si>
  <si>
    <t>31.</t>
  </si>
  <si>
    <t>8.</t>
  </si>
  <si>
    <t>1.</t>
  </si>
  <si>
    <t>786</t>
  </si>
  <si>
    <t>2.</t>
  </si>
  <si>
    <t>0.3</t>
  </si>
  <si>
    <t>18.6</t>
  </si>
  <si>
    <t>0.4</t>
  </si>
  <si>
    <t>356.</t>
  </si>
  <si>
    <t>99.</t>
  </si>
  <si>
    <t>46.</t>
  </si>
  <si>
    <t>17.</t>
  </si>
  <si>
    <t>102</t>
  </si>
  <si>
    <t>870</t>
  </si>
  <si>
    <t>704</t>
  </si>
  <si>
    <t>862</t>
  </si>
  <si>
    <t>399.2111</t>
  </si>
  <si>
    <t>174.0151</t>
  </si>
  <si>
    <t>97.</t>
  </si>
  <si>
    <t>45.</t>
  </si>
  <si>
    <t>1008</t>
  </si>
  <si>
    <t>758</t>
  </si>
  <si>
    <t>102.</t>
  </si>
  <si>
    <t>50.</t>
  </si>
  <si>
    <t>19.</t>
  </si>
  <si>
    <t>22.6</t>
  </si>
  <si>
    <t>1010</t>
  </si>
  <si>
    <t>700</t>
  </si>
  <si>
    <t>924</t>
  </si>
  <si>
    <t>124.</t>
  </si>
  <si>
    <t>75.</t>
  </si>
  <si>
    <t>34.</t>
  </si>
  <si>
    <t>4.</t>
  </si>
  <si>
    <t>106</t>
  </si>
  <si>
    <t>890</t>
  </si>
  <si>
    <t>698</t>
  </si>
  <si>
    <t>882</t>
  </si>
  <si>
    <t>98.</t>
  </si>
  <si>
    <t>22.</t>
  </si>
  <si>
    <t>988</t>
  </si>
  <si>
    <t>772</t>
  </si>
  <si>
    <t>952</t>
  </si>
  <si>
    <t>104.</t>
  </si>
  <si>
    <t>1.6</t>
  </si>
  <si>
    <t>118.</t>
  </si>
  <si>
    <t>174.</t>
  </si>
  <si>
    <t>59.</t>
  </si>
  <si>
    <t>28.</t>
  </si>
  <si>
    <t>5.</t>
  </si>
  <si>
    <t>910</t>
  </si>
  <si>
    <t>894</t>
  </si>
  <si>
    <t>511.8091</t>
  </si>
  <si>
    <t>286.6131</t>
  </si>
  <si>
    <t>114.</t>
  </si>
  <si>
    <t>79.</t>
  </si>
  <si>
    <t>33.</t>
  </si>
  <si>
    <t>6.</t>
  </si>
  <si>
    <t>83.</t>
  </si>
  <si>
    <t>934</t>
  </si>
  <si>
    <t>858</t>
  </si>
  <si>
    <t>1148</t>
  </si>
  <si>
    <t>62.</t>
  </si>
  <si>
    <t>21.</t>
  </si>
  <si>
    <t>880</t>
  </si>
  <si>
    <t>878</t>
  </si>
  <si>
    <t>64.</t>
  </si>
  <si>
    <t>922</t>
  </si>
  <si>
    <t>918</t>
  </si>
  <si>
    <t>1162</t>
  </si>
  <si>
    <t>100.</t>
  </si>
  <si>
    <t>9.</t>
  </si>
  <si>
    <t>902</t>
  </si>
  <si>
    <t>866</t>
  </si>
  <si>
    <t>1164</t>
  </si>
  <si>
    <t>5.2</t>
  </si>
  <si>
    <t>145.</t>
  </si>
  <si>
    <t>91.</t>
  </si>
  <si>
    <t>47.</t>
  </si>
  <si>
    <t>27.</t>
  </si>
  <si>
    <t>846</t>
  </si>
  <si>
    <t>696</t>
  </si>
  <si>
    <t>836</t>
  </si>
  <si>
    <t>624.407</t>
  </si>
  <si>
    <t>1150</t>
  </si>
  <si>
    <t>164.</t>
  </si>
  <si>
    <t>42.</t>
  </si>
  <si>
    <t>942</t>
  </si>
  <si>
    <t>694</t>
  </si>
  <si>
    <t>930</t>
  </si>
  <si>
    <t>94.</t>
  </si>
  <si>
    <t>49.</t>
  </si>
  <si>
    <t>29.</t>
  </si>
  <si>
    <t>112</t>
  </si>
  <si>
    <t>926</t>
  </si>
  <si>
    <t>1154</t>
  </si>
  <si>
    <t>140.</t>
  </si>
  <si>
    <t>96.</t>
  </si>
  <si>
    <t>18.</t>
  </si>
  <si>
    <t>932</t>
  </si>
  <si>
    <t>148.</t>
  </si>
  <si>
    <t>106.</t>
  </si>
  <si>
    <t>30.</t>
  </si>
  <si>
    <t>134</t>
  </si>
  <si>
    <t>904</t>
  </si>
  <si>
    <t>1142</t>
  </si>
  <si>
    <t>2.8</t>
  </si>
  <si>
    <t>103.</t>
  </si>
  <si>
    <t>126.</t>
  </si>
  <si>
    <t>914.</t>
  </si>
  <si>
    <t>94</t>
  </si>
  <si>
    <t>114</t>
  </si>
  <si>
    <t>344</t>
  </si>
  <si>
    <t>34.1206</t>
  </si>
  <si>
    <t>992.</t>
  </si>
  <si>
    <t>1008.</t>
  </si>
  <si>
    <t>7.</t>
  </si>
  <si>
    <t>1.8</t>
  </si>
  <si>
    <t>0.1</t>
  </si>
  <si>
    <t>344.</t>
  </si>
  <si>
    <t>1.9</t>
  </si>
  <si>
    <t>110</t>
  </si>
  <si>
    <t>774</t>
  </si>
  <si>
    <t>146.7186</t>
  </si>
  <si>
    <t>852.</t>
  </si>
  <si>
    <t>0.7</t>
  </si>
  <si>
    <t>58.</t>
  </si>
  <si>
    <t>908</t>
  </si>
  <si>
    <t>740</t>
  </si>
  <si>
    <t>778</t>
  </si>
  <si>
    <t>342</t>
  </si>
  <si>
    <t>187.6633</t>
  </si>
  <si>
    <t>11.</t>
  </si>
  <si>
    <t>95.</t>
  </si>
  <si>
    <t>44.</t>
  </si>
  <si>
    <t>898</t>
  </si>
  <si>
    <t>692</t>
  </si>
  <si>
    <t>842</t>
  </si>
  <si>
    <t>395.799</t>
  </si>
  <si>
    <t>262.7286</t>
  </si>
  <si>
    <t>86.</t>
  </si>
  <si>
    <t>630</t>
  </si>
  <si>
    <t>602</t>
  </si>
  <si>
    <t>89.</t>
  </si>
  <si>
    <t>55.</t>
  </si>
  <si>
    <t>834</t>
  </si>
  <si>
    <t>644</t>
  </si>
  <si>
    <t>840</t>
  </si>
  <si>
    <t>650</t>
  </si>
  <si>
    <t>85.</t>
  </si>
  <si>
    <t>14.</t>
  </si>
  <si>
    <t>17.4</t>
  </si>
  <si>
    <t>832</t>
  </si>
  <si>
    <t>706</t>
  </si>
  <si>
    <t>346</t>
  </si>
  <si>
    <t>221.7839</t>
  </si>
  <si>
    <t>16.4</t>
  </si>
  <si>
    <t>2.2</t>
  </si>
  <si>
    <t>119.</t>
  </si>
  <si>
    <t>69.</t>
  </si>
  <si>
    <t>32.</t>
  </si>
  <si>
    <t>96</t>
  </si>
  <si>
    <t>844</t>
  </si>
  <si>
    <t>656</t>
  </si>
  <si>
    <t>810</t>
  </si>
  <si>
    <t>508.397</t>
  </si>
  <si>
    <t>375.3266</t>
  </si>
  <si>
    <t>127.</t>
  </si>
  <si>
    <t>72.</t>
  </si>
  <si>
    <t>120</t>
  </si>
  <si>
    <t>826</t>
  </si>
  <si>
    <t>672</t>
  </si>
  <si>
    <t>798</t>
  </si>
  <si>
    <t>92.</t>
  </si>
  <si>
    <t>24.</t>
  </si>
  <si>
    <t>53.8</t>
  </si>
  <si>
    <t>620</t>
  </si>
  <si>
    <t>504</t>
  </si>
  <si>
    <t>594</t>
  </si>
  <si>
    <t>332</t>
  </si>
  <si>
    <t>429.9196</t>
  </si>
  <si>
    <t>638</t>
  </si>
  <si>
    <t>830</t>
  </si>
  <si>
    <t>125.</t>
  </si>
  <si>
    <t>66.</t>
  </si>
  <si>
    <t>90</t>
  </si>
  <si>
    <t>888</t>
  </si>
  <si>
    <t>806</t>
  </si>
  <si>
    <t>134.</t>
  </si>
  <si>
    <t>10.4</t>
  </si>
  <si>
    <t>4.4</t>
  </si>
  <si>
    <t>1.2</t>
  </si>
  <si>
    <t>804.</t>
  </si>
  <si>
    <t>133.</t>
  </si>
  <si>
    <t>70.</t>
  </si>
  <si>
    <t>12.</t>
  </si>
  <si>
    <t>948</t>
  </si>
  <si>
    <t>856</t>
  </si>
  <si>
    <t>620.995</t>
  </si>
  <si>
    <t>487.9246</t>
  </si>
  <si>
    <t>43.</t>
  </si>
  <si>
    <t>666</t>
  </si>
  <si>
    <t>76.</t>
  </si>
  <si>
    <t>686</t>
  </si>
  <si>
    <t>137.</t>
  </si>
  <si>
    <t>684</t>
  </si>
  <si>
    <t>680</t>
  </si>
  <si>
    <t>528.8693</t>
  </si>
  <si>
    <t>116.</t>
  </si>
  <si>
    <t>788.</t>
  </si>
  <si>
    <t>98</t>
  </si>
  <si>
    <t>306</t>
  </si>
  <si>
    <t>160.3668</t>
  </si>
  <si>
    <t>58.00502</t>
  </si>
  <si>
    <t>310</t>
  </si>
  <si>
    <t>163.7789</t>
  </si>
  <si>
    <t>314</t>
  </si>
  <si>
    <t>304</t>
  </si>
  <si>
    <t>156.9548</t>
  </si>
  <si>
    <t>110.</t>
  </si>
  <si>
    <t>272.9648</t>
  </si>
  <si>
    <t>10.</t>
  </si>
  <si>
    <t>312</t>
  </si>
  <si>
    <t>392.3869</t>
  </si>
  <si>
    <t>13.</t>
  </si>
  <si>
    <t>385.5628</t>
  </si>
  <si>
    <t>108</t>
  </si>
  <si>
    <t>9.2</t>
  </si>
  <si>
    <t>40.</t>
  </si>
  <si>
    <t>914</t>
  </si>
  <si>
    <t>302</t>
  </si>
  <si>
    <t>498.1608</t>
  </si>
  <si>
    <t>35.</t>
  </si>
  <si>
    <t>54.</t>
  </si>
  <si>
    <t>7.4</t>
  </si>
  <si>
    <t>792</t>
  </si>
  <si>
    <t>40.4</t>
  </si>
  <si>
    <t>5.6</t>
  </si>
  <si>
    <t>122.</t>
  </si>
  <si>
    <t>896.</t>
  </si>
  <si>
    <t>93.</t>
  </si>
  <si>
    <t>65.</t>
  </si>
  <si>
    <t>37.</t>
  </si>
  <si>
    <t>766</t>
  </si>
  <si>
    <t>746</t>
  </si>
  <si>
    <t>610.7588</t>
  </si>
  <si>
    <t>36.</t>
  </si>
  <si>
    <t>868</t>
  </si>
  <si>
    <t>812</t>
  </si>
  <si>
    <t>864</t>
  </si>
  <si>
    <t>308</t>
  </si>
  <si>
    <t>614.1708</t>
  </si>
  <si>
    <t>63.</t>
  </si>
  <si>
    <t>26.</t>
  </si>
  <si>
    <t>920</t>
  </si>
  <si>
    <t>818</t>
  </si>
  <si>
    <t>850</t>
  </si>
  <si>
    <t>68.</t>
  </si>
  <si>
    <t>3.6</t>
  </si>
  <si>
    <t>0.8</t>
  </si>
  <si>
    <t>73.</t>
  </si>
  <si>
    <t>916</t>
  </si>
  <si>
    <t>822</t>
  </si>
  <si>
    <t>538</t>
  </si>
  <si>
    <t>679</t>
  </si>
  <si>
    <t>382.1508</t>
  </si>
  <si>
    <t>790</t>
  </si>
  <si>
    <t>536</t>
  </si>
  <si>
    <t>105.</t>
  </si>
  <si>
    <t>828</t>
  </si>
  <si>
    <t>548</t>
  </si>
  <si>
    <t>365.0905</t>
  </si>
  <si>
    <t>81.</t>
  </si>
  <si>
    <t>39.</t>
  </si>
  <si>
    <t>886</t>
  </si>
  <si>
    <t>544</t>
  </si>
  <si>
    <t>371.9146</t>
  </si>
  <si>
    <t>33.6</t>
  </si>
  <si>
    <t>2.6</t>
  </si>
  <si>
    <t>53.</t>
  </si>
  <si>
    <t>1160</t>
  </si>
  <si>
    <t>986</t>
  </si>
  <si>
    <t>1124</t>
  </si>
  <si>
    <t>566</t>
  </si>
  <si>
    <t>88.</t>
  </si>
  <si>
    <t>1092</t>
  </si>
  <si>
    <t>984</t>
  </si>
  <si>
    <t>112.</t>
  </si>
  <si>
    <t>1134</t>
  </si>
  <si>
    <t>978</t>
  </si>
  <si>
    <t>1132</t>
  </si>
  <si>
    <t>61.</t>
  </si>
  <si>
    <t>1224</t>
  </si>
  <si>
    <t>1080</t>
  </si>
  <si>
    <t>1144</t>
  </si>
  <si>
    <t>20.</t>
  </si>
  <si>
    <t>1136</t>
  </si>
  <si>
    <t>1094</t>
  </si>
  <si>
    <t>1118</t>
  </si>
  <si>
    <t>364</t>
  </si>
  <si>
    <t>27.29648</t>
  </si>
  <si>
    <t>1120</t>
  </si>
  <si>
    <t>1076</t>
  </si>
  <si>
    <t>51.</t>
  </si>
  <si>
    <t>2.1</t>
  </si>
  <si>
    <t>1074</t>
  </si>
  <si>
    <t>366</t>
  </si>
  <si>
    <t>20.47236</t>
  </si>
  <si>
    <t>17.6</t>
  </si>
  <si>
    <t>364.</t>
  </si>
  <si>
    <t>0.5</t>
  </si>
  <si>
    <t>910.</t>
  </si>
  <si>
    <t>1000</t>
  </si>
  <si>
    <t>940</t>
  </si>
  <si>
    <t>259.3166</t>
  </si>
  <si>
    <t>252.4925</t>
  </si>
  <si>
    <t>1.3</t>
  </si>
  <si>
    <t>956</t>
  </si>
  <si>
    <t>9.8</t>
  </si>
  <si>
    <t>25.</t>
  </si>
  <si>
    <t>1.7</t>
  </si>
  <si>
    <t>958</t>
  </si>
  <si>
    <t>2.9</t>
  </si>
  <si>
    <t>762</t>
  </si>
  <si>
    <t>642</t>
  </si>
  <si>
    <t>728</t>
  </si>
  <si>
    <t>360</t>
  </si>
  <si>
    <t>388.9749</t>
  </si>
  <si>
    <t>994</t>
  </si>
  <si>
    <t>4.2</t>
  </si>
  <si>
    <t>477.6884</t>
  </si>
  <si>
    <t>968</t>
  </si>
  <si>
    <t>23.</t>
  </si>
  <si>
    <t>1.4</t>
  </si>
  <si>
    <t>162.</t>
  </si>
  <si>
    <t>142.</t>
  </si>
  <si>
    <t>109.</t>
  </si>
  <si>
    <t>574</t>
  </si>
  <si>
    <t>664</t>
  </si>
  <si>
    <t>320</t>
  </si>
  <si>
    <t>1158</t>
  </si>
  <si>
    <t>212.</t>
  </si>
  <si>
    <t>130.</t>
  </si>
  <si>
    <t>120.</t>
  </si>
  <si>
    <t>604</t>
  </si>
  <si>
    <t>1216</t>
  </si>
  <si>
    <t>156.</t>
  </si>
  <si>
    <t>690</t>
  </si>
  <si>
    <t>572</t>
  </si>
  <si>
    <t>322</t>
  </si>
  <si>
    <t>225.196</t>
  </si>
  <si>
    <t>820</t>
  </si>
  <si>
    <t>1014</t>
  </si>
  <si>
    <t>155.</t>
  </si>
  <si>
    <t>90.</t>
  </si>
  <si>
    <t>582</t>
  </si>
  <si>
    <t>150.1306</t>
  </si>
  <si>
    <t>130.4</t>
  </si>
  <si>
    <t>78.</t>
  </si>
  <si>
    <t>656.</t>
  </si>
  <si>
    <t>144.</t>
  </si>
  <si>
    <t>41.</t>
  </si>
  <si>
    <t>123.</t>
  </si>
  <si>
    <t>622</t>
  </si>
  <si>
    <t>558</t>
  </si>
  <si>
    <t>266.1407</t>
  </si>
  <si>
    <t>860</t>
  </si>
  <si>
    <t>176.</t>
  </si>
  <si>
    <t>135.</t>
  </si>
  <si>
    <t>84.</t>
  </si>
  <si>
    <t>71.</t>
  </si>
  <si>
    <t>52.</t>
  </si>
  <si>
    <t>38.</t>
  </si>
  <si>
    <t>568</t>
  </si>
  <si>
    <t>181.</t>
  </si>
  <si>
    <t>129.</t>
  </si>
  <si>
    <t>60.</t>
  </si>
  <si>
    <t>658</t>
  </si>
  <si>
    <t>580</t>
  </si>
  <si>
    <t>640</t>
  </si>
  <si>
    <t>131.</t>
  </si>
  <si>
    <t>337.794</t>
  </si>
  <si>
    <t>838</t>
  </si>
  <si>
    <t>6.6</t>
  </si>
  <si>
    <t>602.</t>
  </si>
  <si>
    <t>318.</t>
  </si>
  <si>
    <t>115.</t>
  </si>
  <si>
    <t>726</t>
  </si>
  <si>
    <t>598</t>
  </si>
  <si>
    <t>670</t>
  </si>
  <si>
    <t>450.392</t>
  </si>
  <si>
    <t>718</t>
  </si>
  <si>
    <t>592</t>
  </si>
  <si>
    <t>378.7387</t>
  </si>
  <si>
    <t>590</t>
  </si>
  <si>
    <t>688</t>
  </si>
  <si>
    <t>147.</t>
  </si>
  <si>
    <t>108.</t>
  </si>
  <si>
    <t>648</t>
  </si>
  <si>
    <t>884.</t>
  </si>
  <si>
    <t>600</t>
  </si>
  <si>
    <t>318</t>
  </si>
  <si>
    <t>674</t>
  </si>
  <si>
    <t>616</t>
  </si>
  <si>
    <t>491.3367</t>
  </si>
  <si>
    <t>628</t>
  </si>
  <si>
    <t>566.402</t>
  </si>
  <si>
    <t>603.9347</t>
  </si>
  <si>
    <t>2.4</t>
  </si>
  <si>
    <t>232.</t>
  </si>
  <si>
    <t>216.</t>
  </si>
  <si>
    <t>390</t>
  </si>
  <si>
    <t>13.64824</t>
  </si>
  <si>
    <t>152.</t>
  </si>
  <si>
    <t>408.</t>
  </si>
  <si>
    <t>392</t>
  </si>
  <si>
    <t>3.41206</t>
  </si>
  <si>
    <t>472.</t>
  </si>
  <si>
    <t>462.</t>
  </si>
  <si>
    <t>128.</t>
  </si>
  <si>
    <t>11.6</t>
  </si>
  <si>
    <t>262.</t>
  </si>
  <si>
    <t>116.01</t>
  </si>
  <si>
    <t>129.6583</t>
  </si>
  <si>
    <t>950</t>
  </si>
  <si>
    <t>944</t>
  </si>
  <si>
    <t>228.608</t>
  </si>
  <si>
    <t>854</t>
  </si>
  <si>
    <t>954</t>
  </si>
  <si>
    <t>1002</t>
  </si>
  <si>
    <t>852</t>
  </si>
  <si>
    <t>966</t>
  </si>
  <si>
    <t>242.2563</t>
  </si>
  <si>
    <t>1006</t>
  </si>
  <si>
    <t>140</t>
  </si>
  <si>
    <t>982</t>
  </si>
  <si>
    <t>732</t>
  </si>
  <si>
    <t>972</t>
  </si>
  <si>
    <t>354.8543</t>
  </si>
  <si>
    <t>750</t>
  </si>
  <si>
    <t>990</t>
  </si>
  <si>
    <t>341.206</t>
  </si>
  <si>
    <t>720</t>
  </si>
  <si>
    <t>970</t>
  </si>
  <si>
    <t>48.</t>
  </si>
  <si>
    <t>710</t>
  </si>
  <si>
    <t>1112</t>
  </si>
  <si>
    <t>960.</t>
  </si>
  <si>
    <t>57.</t>
  </si>
  <si>
    <t>148</t>
  </si>
  <si>
    <t>748</t>
  </si>
  <si>
    <t>974</t>
  </si>
  <si>
    <t>457.2161</t>
  </si>
  <si>
    <t>1364</t>
  </si>
  <si>
    <t>215.</t>
  </si>
  <si>
    <t>724</t>
  </si>
  <si>
    <t>467.4523</t>
  </si>
  <si>
    <t>150</t>
  </si>
  <si>
    <t>1344</t>
  </si>
  <si>
    <t>928</t>
  </si>
  <si>
    <t>702</t>
  </si>
  <si>
    <t>1304</t>
  </si>
  <si>
    <t>152</t>
  </si>
  <si>
    <t>892</t>
  </si>
  <si>
    <t>1338</t>
  </si>
  <si>
    <t>412</t>
  </si>
  <si>
    <t>442.</t>
  </si>
  <si>
    <t>146</t>
  </si>
  <si>
    <t>404</t>
  </si>
  <si>
    <t>17.0603</t>
  </si>
  <si>
    <t>3.4</t>
  </si>
  <si>
    <t>784.</t>
  </si>
  <si>
    <t>374</t>
  </si>
  <si>
    <t>802.</t>
  </si>
  <si>
    <t>754.</t>
  </si>
  <si>
    <t>748.</t>
  </si>
  <si>
    <t>964</t>
  </si>
  <si>
    <t>662</t>
  </si>
  <si>
    <t>962</t>
  </si>
  <si>
    <t>896</t>
  </si>
  <si>
    <t>960</t>
  </si>
  <si>
    <t>912</t>
  </si>
  <si>
    <t>332.</t>
  </si>
  <si>
    <t>776</t>
  </si>
  <si>
    <t>170.</t>
  </si>
  <si>
    <t>107.</t>
  </si>
  <si>
    <t>1170</t>
  </si>
  <si>
    <t>159.</t>
  </si>
  <si>
    <t>101.</t>
  </si>
  <si>
    <t>168.</t>
  </si>
  <si>
    <t>980</t>
  </si>
  <si>
    <t>884</t>
  </si>
  <si>
    <t>16.2</t>
  </si>
  <si>
    <t>136.</t>
  </si>
  <si>
    <t>900.</t>
  </si>
  <si>
    <t>230.</t>
  </si>
  <si>
    <t>80.</t>
  </si>
  <si>
    <t>660</t>
  </si>
  <si>
    <t>336</t>
  </si>
  <si>
    <t>1284</t>
  </si>
  <si>
    <t>1258</t>
  </si>
  <si>
    <t>946</t>
  </si>
  <si>
    <t>1346</t>
  </si>
  <si>
    <t>138.</t>
  </si>
  <si>
    <t>872</t>
  </si>
  <si>
    <t>1308</t>
  </si>
  <si>
    <t>816</t>
  </si>
  <si>
    <t>1030</t>
  </si>
  <si>
    <t>7.8</t>
  </si>
  <si>
    <t>336.</t>
  </si>
  <si>
    <t>150.</t>
  </si>
  <si>
    <t>142</t>
  </si>
  <si>
    <t>116</t>
  </si>
  <si>
    <t>560</t>
  </si>
  <si>
    <t>556.1658</t>
  </si>
  <si>
    <t>590.</t>
  </si>
  <si>
    <t>564</t>
  </si>
  <si>
    <t>630.</t>
  </si>
  <si>
    <t>684.</t>
  </si>
  <si>
    <t>138</t>
  </si>
  <si>
    <t>559.5779</t>
  </si>
  <si>
    <t>556</t>
  </si>
  <si>
    <t>30.70854</t>
  </si>
  <si>
    <t>672.1758</t>
  </si>
  <si>
    <t>133.0703</t>
  </si>
  <si>
    <t>876</t>
  </si>
  <si>
    <t>554</t>
  </si>
  <si>
    <t>562</t>
  </si>
  <si>
    <t>668.7638</t>
  </si>
  <si>
    <t>898.</t>
  </si>
  <si>
    <t>552</t>
  </si>
  <si>
    <t>938</t>
  </si>
  <si>
    <t>542</t>
  </si>
  <si>
    <t>67.</t>
  </si>
  <si>
    <t>30.6</t>
  </si>
  <si>
    <t>255.9045</t>
  </si>
  <si>
    <t>912.</t>
  </si>
  <si>
    <t>361.6784</t>
  </si>
  <si>
    <t>406.0352</t>
  </si>
  <si>
    <t>3.8</t>
  </si>
  <si>
    <t>890.</t>
  </si>
  <si>
    <t>444.</t>
  </si>
  <si>
    <t>606.</t>
  </si>
  <si>
    <t>990.</t>
  </si>
  <si>
    <t>144</t>
  </si>
  <si>
    <t>154</t>
  </si>
  <si>
    <t>236.</t>
  </si>
  <si>
    <t>406.</t>
  </si>
  <si>
    <t>780.</t>
  </si>
  <si>
    <t>148.8</t>
  </si>
  <si>
    <t>190</t>
  </si>
  <si>
    <t>730</t>
  </si>
  <si>
    <t>92.12563</t>
  </si>
  <si>
    <t>5.4</t>
  </si>
  <si>
    <t>646</t>
  </si>
  <si>
    <t>2.3</t>
  </si>
  <si>
    <t>632</t>
  </si>
  <si>
    <t>694.</t>
  </si>
  <si>
    <t>117.</t>
  </si>
  <si>
    <t>742</t>
  </si>
  <si>
    <t>204.7236</t>
  </si>
  <si>
    <t>636</t>
  </si>
  <si>
    <t>74.</t>
  </si>
  <si>
    <t>576</t>
  </si>
  <si>
    <t>714</t>
  </si>
  <si>
    <t>848</t>
  </si>
  <si>
    <t>736</t>
  </si>
  <si>
    <t>584</t>
  </si>
  <si>
    <t>26.6</t>
  </si>
  <si>
    <t>708.</t>
  </si>
  <si>
    <t>734</t>
  </si>
  <si>
    <t>317.3216</t>
  </si>
  <si>
    <t>180.</t>
  </si>
  <si>
    <t>111.</t>
  </si>
  <si>
    <t>82.</t>
  </si>
  <si>
    <t>682</t>
  </si>
  <si>
    <t>188</t>
  </si>
  <si>
    <t>800</t>
  </si>
  <si>
    <t>132.</t>
  </si>
  <si>
    <t>146.</t>
  </si>
  <si>
    <t>30.8</t>
  </si>
  <si>
    <t>864.</t>
  </si>
  <si>
    <t>141.</t>
  </si>
  <si>
    <t>77.</t>
  </si>
  <si>
    <t>722</t>
  </si>
  <si>
    <t>433.3317</t>
  </si>
  <si>
    <t>796</t>
  </si>
  <si>
    <t>182.</t>
  </si>
  <si>
    <t>212</t>
  </si>
  <si>
    <t>708</t>
  </si>
  <si>
    <t>634</t>
  </si>
  <si>
    <t>1108</t>
  </si>
  <si>
    <t>326.</t>
  </si>
  <si>
    <t>88</t>
  </si>
  <si>
    <t>186</t>
  </si>
  <si>
    <t>168</t>
  </si>
  <si>
    <t>208</t>
  </si>
  <si>
    <t>44.35678</t>
  </si>
  <si>
    <t>86</t>
  </si>
  <si>
    <t>292</t>
  </si>
  <si>
    <t>40.94473</t>
  </si>
  <si>
    <t>482</t>
  </si>
  <si>
    <t>470</t>
  </si>
  <si>
    <t>1.5</t>
  </si>
  <si>
    <t>408</t>
  </si>
  <si>
    <t>9.6</t>
  </si>
  <si>
    <t>922.</t>
  </si>
  <si>
    <t>526</t>
  </si>
  <si>
    <t>153.5427</t>
  </si>
  <si>
    <t>944.</t>
  </si>
  <si>
    <t>512</t>
  </si>
  <si>
    <t>626</t>
  </si>
  <si>
    <t>532</t>
  </si>
  <si>
    <t>606</t>
  </si>
  <si>
    <t>856.</t>
  </si>
  <si>
    <t>570</t>
  </si>
  <si>
    <t>528</t>
  </si>
  <si>
    <t>14.6</t>
  </si>
  <si>
    <t>296</t>
  </si>
  <si>
    <t>256</t>
  </si>
  <si>
    <t>174</t>
  </si>
  <si>
    <t>278</t>
  </si>
  <si>
    <t>320.7337</t>
  </si>
  <si>
    <t>490</t>
  </si>
  <si>
    <t>466</t>
  </si>
  <si>
    <t>87.</t>
  </si>
  <si>
    <t>530</t>
  </si>
  <si>
    <t>165.</t>
  </si>
  <si>
    <t>294</t>
  </si>
  <si>
    <t>802</t>
  </si>
  <si>
    <t>157.</t>
  </si>
  <si>
    <t>113.</t>
  </si>
  <si>
    <t>518</t>
  </si>
  <si>
    <t>608</t>
  </si>
  <si>
    <t>276</t>
  </si>
  <si>
    <t>436.7437</t>
  </si>
  <si>
    <t>516</t>
  </si>
  <si>
    <t>534</t>
  </si>
  <si>
    <t>824</t>
  </si>
  <si>
    <t>520</t>
  </si>
  <si>
    <t>272</t>
  </si>
  <si>
    <t>573.2261</t>
  </si>
  <si>
    <t>194.</t>
  </si>
  <si>
    <t>494.7487</t>
  </si>
  <si>
    <t>196.</t>
  </si>
  <si>
    <t>540</t>
  </si>
  <si>
    <t>121.</t>
  </si>
  <si>
    <t>612.</t>
  </si>
  <si>
    <t>326</t>
  </si>
  <si>
    <t>254</t>
  </si>
  <si>
    <t>119.4221</t>
  </si>
  <si>
    <t>260</t>
  </si>
  <si>
    <t>614</t>
  </si>
  <si>
    <t>250</t>
  </si>
  <si>
    <t>232.0201</t>
  </si>
  <si>
    <t>258</t>
  </si>
  <si>
    <t>245.6683</t>
  </si>
  <si>
    <t>454</t>
  </si>
  <si>
    <t>184</t>
  </si>
  <si>
    <t>200</t>
  </si>
  <si>
    <t>358.2663</t>
  </si>
  <si>
    <t>624</t>
  </si>
  <si>
    <t>348.0302</t>
  </si>
  <si>
    <t>588</t>
  </si>
  <si>
    <t>104</t>
  </si>
  <si>
    <t>716</t>
  </si>
  <si>
    <t>470.8643</t>
  </si>
  <si>
    <t>378</t>
  </si>
  <si>
    <t>370</t>
  </si>
  <si>
    <t>460.6281</t>
  </si>
  <si>
    <t>668</t>
  </si>
  <si>
    <t>506</t>
  </si>
  <si>
    <t>202</t>
  </si>
  <si>
    <t>412.8593</t>
  </si>
  <si>
    <t>502</t>
  </si>
  <si>
    <t>597.1105</t>
  </si>
  <si>
    <t>525.4573</t>
  </si>
  <si>
    <t>804</t>
  </si>
  <si>
    <t>170</t>
  </si>
  <si>
    <t>179.</t>
  </si>
  <si>
    <t>652</t>
  </si>
  <si>
    <t>462</t>
  </si>
  <si>
    <t>423.0955</t>
  </si>
  <si>
    <t>936</t>
  </si>
  <si>
    <t>1098</t>
  </si>
  <si>
    <t>1082</t>
  </si>
  <si>
    <t>1102</t>
  </si>
  <si>
    <t>468</t>
  </si>
  <si>
    <t>722.</t>
  </si>
  <si>
    <t>464.</t>
  </si>
  <si>
    <t>900</t>
  </si>
  <si>
    <t>510</t>
  </si>
  <si>
    <t>1066</t>
  </si>
  <si>
    <t>992</t>
  </si>
  <si>
    <t>1058</t>
  </si>
  <si>
    <t>1042</t>
  </si>
  <si>
    <t>56.</t>
  </si>
  <si>
    <t>1056</t>
  </si>
  <si>
    <t>716.</t>
  </si>
  <si>
    <t>764</t>
  </si>
  <si>
    <t>316</t>
  </si>
  <si>
    <t>1034</t>
  </si>
  <si>
    <t>1032</t>
  </si>
  <si>
    <t>754</t>
  </si>
  <si>
    <t>1036</t>
  </si>
  <si>
    <t>8.4</t>
  </si>
  <si>
    <t>736.</t>
  </si>
  <si>
    <t>316.</t>
  </si>
  <si>
    <t>139.8945</t>
  </si>
  <si>
    <t>23.6</t>
  </si>
  <si>
    <t>612</t>
  </si>
  <si>
    <t>678</t>
  </si>
  <si>
    <t>654</t>
  </si>
  <si>
    <t>14.4</t>
  </si>
  <si>
    <t>4.8</t>
  </si>
  <si>
    <t>368.5025</t>
  </si>
  <si>
    <t>19.8</t>
  </si>
  <si>
    <t>492</t>
  </si>
  <si>
    <t>752</t>
  </si>
  <si>
    <t>3.2</t>
  </si>
  <si>
    <t>481.1005</t>
  </si>
  <si>
    <t>19.4</t>
  </si>
  <si>
    <t>586</t>
  </si>
  <si>
    <t>498</t>
  </si>
  <si>
    <t>266</t>
  </si>
  <si>
    <t>744</t>
  </si>
  <si>
    <t>354</t>
  </si>
  <si>
    <t>252</t>
  </si>
  <si>
    <t>436</t>
  </si>
  <si>
    <t>432</t>
  </si>
  <si>
    <t>158.</t>
  </si>
  <si>
    <t>338</t>
  </si>
  <si>
    <t>112.598</t>
  </si>
  <si>
    <t>324.</t>
  </si>
  <si>
    <t>251.</t>
  </si>
  <si>
    <t>480</t>
  </si>
  <si>
    <t>524</t>
  </si>
  <si>
    <t>488</t>
  </si>
  <si>
    <t>514</t>
  </si>
  <si>
    <t>269.5528</t>
  </si>
  <si>
    <t>756</t>
  </si>
  <si>
    <t>186.</t>
  </si>
  <si>
    <t>478</t>
  </si>
  <si>
    <t>464</t>
  </si>
  <si>
    <t>264</t>
  </si>
  <si>
    <t>249.0804</t>
  </si>
  <si>
    <t>172.</t>
  </si>
  <si>
    <t>92</t>
  </si>
  <si>
    <t>400</t>
  </si>
  <si>
    <t>160.</t>
  </si>
  <si>
    <t>166.</t>
  </si>
  <si>
    <t>508</t>
  </si>
  <si>
    <t>176</t>
  </si>
  <si>
    <t>290.0251</t>
  </si>
  <si>
    <t>358</t>
  </si>
  <si>
    <t>522</t>
  </si>
  <si>
    <t>460</t>
  </si>
  <si>
    <t>456</t>
  </si>
  <si>
    <t>248</t>
  </si>
  <si>
    <t>453.804</t>
  </si>
  <si>
    <t>402.6231</t>
  </si>
  <si>
    <t>394</t>
  </si>
  <si>
    <t>388</t>
  </si>
  <si>
    <t>120.4</t>
  </si>
  <si>
    <t>268</t>
  </si>
  <si>
    <t>340</t>
  </si>
  <si>
    <t>166</t>
  </si>
  <si>
    <t>515.2211</t>
  </si>
  <si>
    <t>164</t>
  </si>
  <si>
    <t>180</t>
  </si>
  <si>
    <t>627.8191</t>
  </si>
  <si>
    <t>600.5226</t>
  </si>
  <si>
    <t>242.</t>
  </si>
  <si>
    <t>494.</t>
  </si>
  <si>
    <t>23.88442</t>
  </si>
  <si>
    <t>450.</t>
  </si>
  <si>
    <t>454.</t>
  </si>
  <si>
    <t>126.2462</t>
  </si>
  <si>
    <t>136.4824</t>
  </si>
  <si>
    <t>782</t>
  </si>
  <si>
    <t>784</t>
  </si>
  <si>
    <t>712</t>
  </si>
  <si>
    <t>10.8</t>
  </si>
  <si>
    <t>738</t>
  </si>
  <si>
    <t>808</t>
  </si>
  <si>
    <t>794</t>
  </si>
  <si>
    <t>178.</t>
  </si>
  <si>
    <t>780</t>
  </si>
  <si>
    <t>706.</t>
  </si>
  <si>
    <t>850.</t>
  </si>
  <si>
    <t>143.</t>
  </si>
  <si>
    <t>760</t>
  </si>
  <si>
    <t>448.</t>
  </si>
  <si>
    <t>320.</t>
  </si>
  <si>
    <t>578</t>
  </si>
  <si>
    <t>688.</t>
  </si>
  <si>
    <t>213.</t>
  </si>
  <si>
    <t>1068</t>
  </si>
  <si>
    <t>240.</t>
  </si>
  <si>
    <t>8.2</t>
  </si>
  <si>
    <t>724.</t>
  </si>
  <si>
    <t>580.0502</t>
  </si>
  <si>
    <t>54.59296</t>
  </si>
  <si>
    <t>744.</t>
  </si>
  <si>
    <t>484</t>
  </si>
  <si>
    <t>583.4623</t>
  </si>
  <si>
    <t>64.82915</t>
  </si>
  <si>
    <t>718.</t>
  </si>
  <si>
    <t>712.</t>
  </si>
  <si>
    <t>486</t>
  </si>
  <si>
    <t>740.</t>
  </si>
  <si>
    <t>590.2864</t>
  </si>
  <si>
    <t>75.06532</t>
  </si>
  <si>
    <t>476</t>
  </si>
  <si>
    <t>191.0754</t>
  </si>
  <si>
    <t>184.2513</t>
  </si>
  <si>
    <t>770</t>
  </si>
  <si>
    <t>293.4372</t>
  </si>
  <si>
    <t>296.8492</t>
  </si>
  <si>
    <t>768</t>
  </si>
  <si>
    <t>860.</t>
  </si>
  <si>
    <t>676</t>
  </si>
  <si>
    <t>1016</t>
  </si>
  <si>
    <t>419.6834</t>
  </si>
  <si>
    <t>814</t>
  </si>
  <si>
    <t>250.</t>
  </si>
  <si>
    <t>84</t>
  </si>
  <si>
    <t>608.</t>
  </si>
  <si>
    <t>156</t>
  </si>
  <si>
    <t>51.1809</t>
  </si>
  <si>
    <t>226</t>
  </si>
  <si>
    <t>177.4271</t>
  </si>
  <si>
    <t>47.76884</t>
  </si>
  <si>
    <t>167.1909</t>
  </si>
  <si>
    <t>732.</t>
  </si>
  <si>
    <t>500</t>
  </si>
  <si>
    <t>290.</t>
  </si>
  <si>
    <t>214.</t>
  </si>
  <si>
    <t>149.</t>
  </si>
  <si>
    <t>726.</t>
  </si>
  <si>
    <t>276.3769</t>
  </si>
  <si>
    <t>872.</t>
  </si>
  <si>
    <t>494</t>
  </si>
  <si>
    <t>876.</t>
  </si>
  <si>
    <t>248.</t>
  </si>
  <si>
    <t>350.</t>
  </si>
  <si>
    <t>314.</t>
  </si>
  <si>
    <t>246.</t>
  </si>
  <si>
    <t>617.5829</t>
  </si>
  <si>
    <t>550</t>
  </si>
  <si>
    <t>37.53266</t>
  </si>
  <si>
    <t>13.4</t>
  </si>
  <si>
    <t>37.5</t>
  </si>
  <si>
    <t>426</t>
  </si>
  <si>
    <t>160.4</t>
  </si>
  <si>
    <t>458</t>
  </si>
  <si>
    <t>444</t>
  </si>
  <si>
    <t>750.</t>
  </si>
  <si>
    <t>386</t>
  </si>
  <si>
    <t>376</t>
  </si>
  <si>
    <t>442</t>
  </si>
  <si>
    <t>119.4</t>
  </si>
  <si>
    <t>402</t>
  </si>
  <si>
    <t>398</t>
  </si>
  <si>
    <t>183.</t>
  </si>
  <si>
    <t>252.</t>
  </si>
  <si>
    <t>456.</t>
  </si>
  <si>
    <t>501.5728</t>
  </si>
  <si>
    <t>450</t>
  </si>
  <si>
    <t>406</t>
  </si>
  <si>
    <t>136.8</t>
  </si>
  <si>
    <t>452</t>
  </si>
  <si>
    <t>81.88945</t>
  </si>
  <si>
    <t>71.65327</t>
  </si>
  <si>
    <t>438</t>
  </si>
  <si>
    <t>440</t>
  </si>
  <si>
    <t>422</t>
  </si>
  <si>
    <t>6.2</t>
  </si>
  <si>
    <t>194.4874</t>
  </si>
  <si>
    <t>430</t>
  </si>
  <si>
    <t>5.8</t>
  </si>
  <si>
    <t>303.6734</t>
  </si>
  <si>
    <t>448</t>
  </si>
  <si>
    <t>424</t>
  </si>
  <si>
    <t>535.6935</t>
  </si>
  <si>
    <t>522.0452</t>
  </si>
  <si>
    <t>340.</t>
  </si>
  <si>
    <t>596</t>
  </si>
  <si>
    <t>434</t>
  </si>
  <si>
    <t>644.8794</t>
  </si>
  <si>
    <t>638.0553</t>
  </si>
  <si>
    <t>158</t>
  </si>
  <si>
    <t>230</t>
  </si>
  <si>
    <t>218</t>
  </si>
  <si>
    <t>68.2412</t>
  </si>
  <si>
    <t>172</t>
  </si>
  <si>
    <t>279.7889</t>
  </si>
  <si>
    <t>180.8392</t>
  </si>
  <si>
    <t>906.</t>
  </si>
  <si>
    <t>496</t>
  </si>
  <si>
    <t>904.</t>
  </si>
  <si>
    <t>518.6332</t>
  </si>
  <si>
    <t>409.4472</t>
  </si>
  <si>
    <t>504.9849</t>
  </si>
  <si>
    <t>631.2311</t>
  </si>
  <si>
    <t>330.</t>
  </si>
  <si>
    <t>85.30151</t>
  </si>
  <si>
    <t>334</t>
  </si>
  <si>
    <t>338.</t>
  </si>
  <si>
    <t>428</t>
  </si>
  <si>
    <t>474.</t>
  </si>
  <si>
    <t>197.8995</t>
  </si>
  <si>
    <t>546</t>
  </si>
  <si>
    <t>704.</t>
  </si>
  <si>
    <t>414</t>
  </si>
  <si>
    <t>714.</t>
  </si>
  <si>
    <t>836.</t>
  </si>
  <si>
    <t>539.1055</t>
  </si>
  <si>
    <t>368</t>
  </si>
  <si>
    <t>651.7035</t>
  </si>
  <si>
    <t>634.6432</t>
  </si>
  <si>
    <t>1.1</t>
  </si>
  <si>
    <t>668.</t>
  </si>
  <si>
    <t>380</t>
  </si>
  <si>
    <t>300.2613</t>
  </si>
  <si>
    <t>700.</t>
  </si>
  <si>
    <t>198</t>
  </si>
  <si>
    <t>185.2</t>
  </si>
  <si>
    <t>334.</t>
  </si>
  <si>
    <t>30.4</t>
  </si>
  <si>
    <t>240</t>
  </si>
  <si>
    <t>214.9598</t>
  </si>
  <si>
    <t>730.</t>
  </si>
  <si>
    <t>327.5578</t>
  </si>
  <si>
    <t>443.5678</t>
  </si>
  <si>
    <t>384</t>
  </si>
  <si>
    <t>586.</t>
  </si>
  <si>
    <t>82</t>
  </si>
  <si>
    <t>470.</t>
  </si>
  <si>
    <t>218.3719</t>
  </si>
  <si>
    <t>686.</t>
  </si>
  <si>
    <t>22.8</t>
  </si>
  <si>
    <t>920.</t>
  </si>
  <si>
    <t>604.</t>
  </si>
  <si>
    <t>792.</t>
  </si>
  <si>
    <t>586.8744</t>
  </si>
  <si>
    <t>576.6382</t>
  </si>
  <si>
    <t>160</t>
  </si>
  <si>
    <t>598.</t>
  </si>
  <si>
    <t>594.</t>
  </si>
  <si>
    <t>840.</t>
  </si>
  <si>
    <t>854.</t>
  </si>
  <si>
    <t>858.</t>
  </si>
  <si>
    <t>6.8</t>
  </si>
  <si>
    <t>580.</t>
  </si>
  <si>
    <t>576.</t>
  </si>
  <si>
    <t>762.</t>
  </si>
  <si>
    <t>742.</t>
  </si>
  <si>
    <t>638.</t>
  </si>
  <si>
    <t>662.</t>
  </si>
  <si>
    <t>862.</t>
  </si>
  <si>
    <t>480.</t>
  </si>
  <si>
    <t>950.</t>
  </si>
  <si>
    <t>692.</t>
  </si>
  <si>
    <t>478.</t>
  </si>
  <si>
    <t>588.</t>
  </si>
  <si>
    <t>666.</t>
  </si>
  <si>
    <t>664.</t>
  </si>
  <si>
    <t>334.4</t>
  </si>
  <si>
    <t>16.8</t>
  </si>
  <si>
    <t>358.</t>
  </si>
  <si>
    <t>328.</t>
  </si>
  <si>
    <t>460.</t>
  </si>
  <si>
    <t>592.</t>
  </si>
  <si>
    <t>11.4</t>
  </si>
  <si>
    <t>758.</t>
  </si>
  <si>
    <t>844.</t>
  </si>
  <si>
    <t>11.8</t>
  </si>
  <si>
    <t>596.</t>
  </si>
  <si>
    <t>938.</t>
  </si>
  <si>
    <t>582.</t>
  </si>
  <si>
    <t>650.</t>
  </si>
  <si>
    <t>25.2</t>
  </si>
  <si>
    <t>956.</t>
  </si>
  <si>
    <t>766.</t>
  </si>
  <si>
    <t>23.2</t>
  </si>
  <si>
    <t>4.5</t>
  </si>
  <si>
    <t>468.</t>
  </si>
  <si>
    <t>756.</t>
  </si>
  <si>
    <t>674.</t>
  </si>
  <si>
    <t>768.</t>
  </si>
  <si>
    <t>7.2</t>
  </si>
  <si>
    <t>23.8</t>
  </si>
  <si>
    <t>652.</t>
  </si>
  <si>
    <t>348.</t>
  </si>
  <si>
    <t>384.</t>
  </si>
  <si>
    <t>342.</t>
  </si>
  <si>
    <t>29.6</t>
  </si>
  <si>
    <t>682.</t>
  </si>
  <si>
    <t>25.8</t>
  </si>
  <si>
    <t>14.8</t>
  </si>
  <si>
    <t>458.</t>
  </si>
  <si>
    <t>119.8</t>
  </si>
  <si>
    <t>48.4</t>
  </si>
  <si>
    <t>31.8</t>
  </si>
  <si>
    <t>21.6</t>
  </si>
  <si>
    <t>27.4</t>
  </si>
  <si>
    <t>81.6</t>
  </si>
  <si>
    <t>망양2</t>
    <phoneticPr fontId="3" type="noConversion"/>
  </si>
  <si>
    <t>입구</t>
    <phoneticPr fontId="3" type="noConversion"/>
  </si>
  <si>
    <t>출구</t>
    <phoneticPr fontId="3" type="noConversion"/>
  </si>
  <si>
    <t>463.</t>
  </si>
  <si>
    <t>20.8</t>
  </si>
  <si>
    <t>734.</t>
  </si>
  <si>
    <t>886.</t>
  </si>
  <si>
    <t>1318.</t>
  </si>
  <si>
    <t>1220.</t>
  </si>
  <si>
    <t>970.</t>
  </si>
  <si>
    <t>978.</t>
  </si>
  <si>
    <t>1000.</t>
  </si>
  <si>
    <t>772.</t>
  </si>
  <si>
    <t>846.</t>
  </si>
  <si>
    <t>986.</t>
  </si>
  <si>
    <t>1004.</t>
  </si>
  <si>
    <t>996.</t>
  </si>
  <si>
    <t>14.9</t>
  </si>
  <si>
    <t>1176.</t>
  </si>
  <si>
    <t>1216.</t>
  </si>
  <si>
    <t>728.</t>
  </si>
  <si>
    <t>868.</t>
  </si>
  <si>
    <t>1238.</t>
  </si>
  <si>
    <t>7.1</t>
  </si>
  <si>
    <t>13.2</t>
  </si>
  <si>
    <t>720.</t>
  </si>
  <si>
    <t>870.</t>
  </si>
  <si>
    <t>465.</t>
  </si>
  <si>
    <t>857.6</t>
  </si>
  <si>
    <t>1032.</t>
  </si>
  <si>
    <t>1018.</t>
  </si>
  <si>
    <t>982.</t>
  </si>
  <si>
    <t>8.1</t>
  </si>
  <si>
    <t>34.4</t>
  </si>
  <si>
    <t>1016.</t>
  </si>
  <si>
    <t>980.</t>
  </si>
  <si>
    <t>746.</t>
  </si>
  <si>
    <t>760.</t>
  </si>
  <si>
    <t>764.</t>
  </si>
  <si>
    <t>439.</t>
  </si>
  <si>
    <t>984.</t>
  </si>
  <si>
    <t>1044.</t>
  </si>
  <si>
    <t>188.</t>
  </si>
  <si>
    <t>190.</t>
  </si>
  <si>
    <t>218.</t>
  </si>
  <si>
    <t>184.</t>
  </si>
  <si>
    <t>249.</t>
  </si>
  <si>
    <t>600.</t>
  </si>
  <si>
    <t>247.</t>
  </si>
  <si>
    <t>341.</t>
  </si>
  <si>
    <t>888.</t>
  </si>
  <si>
    <t>407.</t>
  </si>
  <si>
    <t>866.</t>
  </si>
  <si>
    <t>878.</t>
  </si>
  <si>
    <t>198.</t>
  </si>
  <si>
    <t>204.</t>
  </si>
  <si>
    <t>185.</t>
  </si>
  <si>
    <t>245.</t>
  </si>
  <si>
    <t>834.</t>
  </si>
  <si>
    <t>800.</t>
  </si>
  <si>
    <t>806.</t>
  </si>
  <si>
    <t>934.</t>
  </si>
  <si>
    <t>192.</t>
  </si>
  <si>
    <t>182.4</t>
  </si>
  <si>
    <t>654.</t>
  </si>
  <si>
    <t>782.</t>
  </si>
  <si>
    <t>810.</t>
  </si>
  <si>
    <t>812.</t>
  </si>
  <si>
    <t>798.</t>
  </si>
  <si>
    <t>139.</t>
  </si>
  <si>
    <t>151.</t>
  </si>
  <si>
    <t>622.</t>
  </si>
  <si>
    <t>29.8</t>
  </si>
  <si>
    <t>1038.</t>
  </si>
  <si>
    <t>1116.</t>
  </si>
  <si>
    <t>818.</t>
  </si>
  <si>
    <t>786.</t>
  </si>
  <si>
    <t>15.4</t>
  </si>
  <si>
    <t>882.</t>
  </si>
  <si>
    <t>1014.</t>
  </si>
  <si>
    <t>167.</t>
  </si>
  <si>
    <t>222.</t>
  </si>
  <si>
    <t>191.</t>
  </si>
  <si>
    <t>229.</t>
  </si>
  <si>
    <t>202.</t>
  </si>
  <si>
    <t>173.</t>
  </si>
  <si>
    <t>154.</t>
  </si>
  <si>
    <t>211.</t>
  </si>
  <si>
    <t>117.8</t>
  </si>
  <si>
    <t>42.4</t>
  </si>
  <si>
    <t>34.2</t>
  </si>
  <si>
    <t>770.</t>
  </si>
  <si>
    <t>52.6</t>
  </si>
  <si>
    <t>33.4</t>
  </si>
  <si>
    <t>12.6</t>
  </si>
  <si>
    <t>808.</t>
  </si>
  <si>
    <t>1028.</t>
  </si>
  <si>
    <t>27.2</t>
  </si>
  <si>
    <t>892.</t>
  </si>
  <si>
    <t>12.2</t>
  </si>
  <si>
    <t>200.</t>
  </si>
  <si>
    <t>224.</t>
  </si>
  <si>
    <t>842.</t>
  </si>
  <si>
    <t>752.</t>
  </si>
  <si>
    <t>932.</t>
  </si>
  <si>
    <t>339.</t>
  </si>
  <si>
    <t>409.</t>
  </si>
  <si>
    <t>1040.</t>
  </si>
  <si>
    <t>383.</t>
  </si>
  <si>
    <t>206.</t>
  </si>
  <si>
    <t>796.</t>
  </si>
  <si>
    <t>1042.</t>
  </si>
  <si>
    <t>171.</t>
  </si>
  <si>
    <t>203.</t>
  </si>
  <si>
    <t>195.</t>
  </si>
  <si>
    <t>169.</t>
  </si>
  <si>
    <t>205.</t>
  </si>
  <si>
    <t>187.</t>
  </si>
  <si>
    <t>175.</t>
  </si>
  <si>
    <t>153.</t>
  </si>
  <si>
    <t>226.</t>
  </si>
  <si>
    <t>207.</t>
  </si>
  <si>
    <t>177.</t>
  </si>
  <si>
    <t>193.</t>
  </si>
  <si>
    <t>161.</t>
  </si>
  <si>
    <t>28.2</t>
  </si>
  <si>
    <t>12.3</t>
  </si>
  <si>
    <t>814.</t>
  </si>
  <si>
    <t>104.6</t>
  </si>
  <si>
    <t>40.2</t>
  </si>
  <si>
    <t>64.2</t>
  </si>
  <si>
    <t>1076.</t>
  </si>
  <si>
    <t>443.</t>
  </si>
  <si>
    <t>241.</t>
  </si>
  <si>
    <t>223.</t>
  </si>
  <si>
    <t>219.</t>
  </si>
  <si>
    <t>210.</t>
  </si>
  <si>
    <t>272.</t>
  </si>
  <si>
    <t>227.</t>
  </si>
  <si>
    <t>238.</t>
  </si>
  <si>
    <t>208.</t>
  </si>
  <si>
    <t>201.</t>
  </si>
  <si>
    <t>225.</t>
  </si>
  <si>
    <t>197.</t>
  </si>
  <si>
    <t>231.</t>
  </si>
  <si>
    <t>141.6</t>
  </si>
  <si>
    <t>127.4</t>
  </si>
  <si>
    <t>94.8</t>
  </si>
  <si>
    <t>114.6</t>
  </si>
  <si>
    <t>28.4</t>
  </si>
  <si>
    <t>69.8</t>
  </si>
  <si>
    <t>151.8</t>
  </si>
  <si>
    <t>998.</t>
  </si>
  <si>
    <t>35.1</t>
  </si>
  <si>
    <t>61.6</t>
  </si>
  <si>
    <t>926.</t>
  </si>
  <si>
    <t>1056.</t>
  </si>
  <si>
    <t>1066.</t>
  </si>
  <si>
    <t>111.6</t>
  </si>
  <si>
    <t>93.6</t>
  </si>
  <si>
    <t>45.6</t>
  </si>
  <si>
    <t>84.2</t>
  </si>
  <si>
    <t>54.6</t>
  </si>
  <si>
    <t>49.6</t>
  </si>
  <si>
    <t>26.2</t>
  </si>
  <si>
    <t>339.2</t>
  </si>
  <si>
    <t>597.2</t>
  </si>
  <si>
    <t>220.</t>
  </si>
  <si>
    <t>466.</t>
  </si>
  <si>
    <t>85.7</t>
  </si>
  <si>
    <t>118.6</t>
  </si>
  <si>
    <t>1332.</t>
  </si>
  <si>
    <t>20.6</t>
  </si>
  <si>
    <t>464.4</t>
  </si>
  <si>
    <t>46.2</t>
  </si>
  <si>
    <t>440.</t>
  </si>
  <si>
    <t>952.</t>
  </si>
  <si>
    <t>441.</t>
  </si>
  <si>
    <t>454.8</t>
  </si>
  <si>
    <t>680.</t>
  </si>
  <si>
    <t>626.</t>
  </si>
  <si>
    <t>614.</t>
  </si>
  <si>
    <t>776.</t>
  </si>
  <si>
    <t>874.4</t>
  </si>
  <si>
    <t>464.6</t>
  </si>
  <si>
    <t>1202.</t>
  </si>
  <si>
    <t>465.2</t>
  </si>
  <si>
    <t>44.8</t>
  </si>
  <si>
    <t>464.2</t>
  </si>
  <si>
    <t>467.</t>
  </si>
  <si>
    <t>447.</t>
  </si>
  <si>
    <t>464.8</t>
  </si>
  <si>
    <t>38.7</t>
  </si>
  <si>
    <t>1416.</t>
  </si>
  <si>
    <t>39.4</t>
  </si>
  <si>
    <t>1382.</t>
  </si>
  <si>
    <t>78.4</t>
  </si>
  <si>
    <t>21.1</t>
  </si>
  <si>
    <t>1180.</t>
  </si>
  <si>
    <t>58.4</t>
  </si>
  <si>
    <t>643.2</t>
  </si>
  <si>
    <t>924.</t>
  </si>
  <si>
    <t>879.6</t>
  </si>
  <si>
    <t>1206.</t>
  </si>
  <si>
    <t>12.8</t>
  </si>
  <si>
    <t>13.9</t>
  </si>
  <si>
    <t>972.</t>
  </si>
  <si>
    <t>974.</t>
  </si>
  <si>
    <t>459.8</t>
  </si>
  <si>
    <t>1244.</t>
  </si>
  <si>
    <t>882.8</t>
  </si>
  <si>
    <t>460.2</t>
  </si>
  <si>
    <t>360.</t>
  </si>
  <si>
    <t>312.</t>
  </si>
  <si>
    <t>249.4</t>
  </si>
  <si>
    <t>228.</t>
  </si>
  <si>
    <t>310.</t>
  </si>
  <si>
    <t>118.4</t>
  </si>
  <si>
    <t>181.4</t>
  </si>
  <si>
    <t>642.</t>
  </si>
  <si>
    <t>315.</t>
  </si>
  <si>
    <t>826.</t>
  </si>
  <si>
    <t>308.</t>
  </si>
  <si>
    <t>117.6</t>
  </si>
  <si>
    <t>249.2</t>
  </si>
  <si>
    <t>339.6</t>
  </si>
  <si>
    <t>410.</t>
  </si>
  <si>
    <t>408.4</t>
  </si>
  <si>
    <t>338.8</t>
  </si>
  <si>
    <t>570.</t>
  </si>
  <si>
    <t>500.</t>
  </si>
  <si>
    <t>182.2</t>
  </si>
  <si>
    <t>338.6</t>
  </si>
  <si>
    <t>434.</t>
  </si>
  <si>
    <t>681.6</t>
  </si>
  <si>
    <t>249.6</t>
  </si>
  <si>
    <t>822.</t>
  </si>
  <si>
    <t>778.</t>
  </si>
  <si>
    <t>942.</t>
  </si>
  <si>
    <t>403.4</t>
  </si>
  <si>
    <t>189.</t>
  </si>
  <si>
    <t>1444.</t>
  </si>
  <si>
    <t>165.2</t>
  </si>
  <si>
    <t>69.6</t>
  </si>
  <si>
    <t>142.6</t>
  </si>
  <si>
    <t>65.4</t>
  </si>
  <si>
    <t>458.8</t>
  </si>
  <si>
    <t>77.9</t>
  </si>
  <si>
    <t>30.7</t>
  </si>
  <si>
    <t>465.4</t>
  </si>
  <si>
    <t>66.8</t>
  </si>
  <si>
    <t>13.8</t>
  </si>
  <si>
    <t>12.4</t>
  </si>
  <si>
    <t>868.4</t>
  </si>
  <si>
    <t>33.9</t>
  </si>
  <si>
    <t>48.8</t>
  </si>
  <si>
    <t>34.6</t>
  </si>
  <si>
    <t>1034.</t>
  </si>
  <si>
    <t>34.5</t>
  </si>
  <si>
    <t>41.8</t>
  </si>
  <si>
    <t>958.</t>
  </si>
  <si>
    <t>12.7</t>
  </si>
  <si>
    <t>1006.</t>
  </si>
  <si>
    <t>209.</t>
  </si>
  <si>
    <t>158.9</t>
  </si>
  <si>
    <t>106.1</t>
  </si>
  <si>
    <t>81.1</t>
  </si>
  <si>
    <t>129.4</t>
  </si>
  <si>
    <t>95.4</t>
  </si>
  <si>
    <t>18.4</t>
  </si>
  <si>
    <t>973.2</t>
  </si>
  <si>
    <t>696.</t>
  </si>
  <si>
    <t>1310.</t>
  </si>
  <si>
    <t>29.5</t>
  </si>
  <si>
    <t>455.</t>
  </si>
  <si>
    <t>13.3</t>
  </si>
  <si>
    <t>901.2</t>
  </si>
  <si>
    <t>57.6</t>
  </si>
  <si>
    <t>55.8</t>
  </si>
  <si>
    <t>1362.</t>
  </si>
  <si>
    <t>460.8</t>
  </si>
  <si>
    <t>38.8</t>
  </si>
  <si>
    <t>35.9</t>
  </si>
  <si>
    <t>14.3</t>
  </si>
  <si>
    <t>463.6</t>
  </si>
  <si>
    <t>584.</t>
  </si>
  <si>
    <t>867.6</t>
  </si>
  <si>
    <t>407.8</t>
  </si>
  <si>
    <t>566.</t>
  </si>
  <si>
    <t>403.</t>
  </si>
  <si>
    <t>488.</t>
  </si>
  <si>
    <t>578.</t>
  </si>
  <si>
    <t>526.</t>
  </si>
  <si>
    <t>180.4</t>
  </si>
  <si>
    <t>1005.6</t>
  </si>
  <si>
    <t>408.2</t>
  </si>
  <si>
    <t>398.</t>
  </si>
  <si>
    <t>270.</t>
  </si>
  <si>
    <t>258.</t>
  </si>
  <si>
    <t>233.</t>
  </si>
  <si>
    <t>300.</t>
  </si>
  <si>
    <t>243.</t>
  </si>
  <si>
    <t>215.4</t>
  </si>
  <si>
    <t>199.</t>
  </si>
  <si>
    <t>465.8</t>
  </si>
  <si>
    <t>227.8</t>
  </si>
  <si>
    <t>181.6</t>
  </si>
  <si>
    <t>672.</t>
  </si>
  <si>
    <t>143.8</t>
  </si>
  <si>
    <t>145.1</t>
  </si>
  <si>
    <t>71.2</t>
  </si>
  <si>
    <t>17.8</t>
  </si>
  <si>
    <t>6.5</t>
  </si>
  <si>
    <t>10.5</t>
  </si>
  <si>
    <t>131.6</t>
  </si>
  <si>
    <t>155.4</t>
  </si>
  <si>
    <t>60.2</t>
  </si>
  <si>
    <t>91.6</t>
  </si>
  <si>
    <t>140.4</t>
  </si>
  <si>
    <t>49.4</t>
  </si>
  <si>
    <t>42.8</t>
  </si>
  <si>
    <t>7.6</t>
  </si>
  <si>
    <t>45.4</t>
  </si>
  <si>
    <t>24.2</t>
  </si>
  <si>
    <t>465.6</t>
  </si>
  <si>
    <t>44.4</t>
  </si>
  <si>
    <t>301.</t>
  </si>
  <si>
    <t>276.</t>
  </si>
  <si>
    <t>264.</t>
  </si>
  <si>
    <t>217.</t>
  </si>
  <si>
    <t>758.4</t>
  </si>
  <si>
    <t>217.6</t>
  </si>
  <si>
    <t>155.8</t>
  </si>
  <si>
    <t>221.</t>
  </si>
  <si>
    <t>195.8</t>
  </si>
  <si>
    <t>150.6</t>
  </si>
  <si>
    <t>110.2</t>
  </si>
  <si>
    <t>74.8</t>
  </si>
  <si>
    <t>67.6</t>
  </si>
  <si>
    <t>67.2</t>
  </si>
  <si>
    <t>42.2</t>
  </si>
  <si>
    <t>8.8</t>
  </si>
  <si>
    <t>9.4</t>
  </si>
  <si>
    <t>168.6</t>
  </si>
  <si>
    <t>128.4</t>
  </si>
  <si>
    <t>84.6</t>
  </si>
  <si>
    <t>41.2</t>
  </si>
  <si>
    <t>460.6</t>
  </si>
  <si>
    <t>65.6</t>
  </si>
  <si>
    <t>29.2</t>
  </si>
  <si>
    <t>23.7</t>
  </si>
  <si>
    <t>50.4</t>
  </si>
  <si>
    <t>130.2</t>
  </si>
  <si>
    <t>1296.</t>
  </si>
  <si>
    <t>106.4</t>
  </si>
  <si>
    <t>103.4</t>
  </si>
  <si>
    <t>96.2</t>
  </si>
  <si>
    <t>67.8</t>
  </si>
  <si>
    <t>58.6</t>
  </si>
  <si>
    <t>39.2</t>
  </si>
  <si>
    <t>51.3</t>
  </si>
  <si>
    <t>335.2</t>
  </si>
  <si>
    <t>249.8</t>
  </si>
  <si>
    <t>368.</t>
  </si>
  <si>
    <t>470.4</t>
  </si>
  <si>
    <t>180.6</t>
  </si>
  <si>
    <t>337.</t>
  </si>
  <si>
    <t>710.</t>
  </si>
  <si>
    <t>722.8</t>
  </si>
  <si>
    <t>334.8</t>
  </si>
  <si>
    <t>864.8</t>
  </si>
  <si>
    <t>372.</t>
  </si>
  <si>
    <t>407.6</t>
  </si>
  <si>
    <t>1364.</t>
  </si>
  <si>
    <t>7</t>
  </si>
  <si>
    <t>1352.</t>
  </si>
  <si>
    <t>10</t>
  </si>
  <si>
    <t>1358.</t>
  </si>
  <si>
    <t>8</t>
  </si>
  <si>
    <t>1388.</t>
  </si>
  <si>
    <t>39.9</t>
  </si>
  <si>
    <t>74.1</t>
  </si>
  <si>
    <t>1381.2</t>
  </si>
  <si>
    <t>115.6</t>
  </si>
  <si>
    <t>80.4</t>
  </si>
  <si>
    <t>1078.</t>
  </si>
  <si>
    <t>21.4</t>
  </si>
  <si>
    <t>1136.</t>
  </si>
  <si>
    <t>1110.</t>
  </si>
  <si>
    <t>1132.</t>
  </si>
  <si>
    <t>22.9</t>
  </si>
  <si>
    <t>1114.4</t>
  </si>
  <si>
    <t>68.2</t>
  </si>
  <si>
    <t>15.2</t>
  </si>
  <si>
    <t>17.5</t>
  </si>
  <si>
    <t>11</t>
  </si>
  <si>
    <t>3.9</t>
  </si>
  <si>
    <t>9</t>
  </si>
  <si>
    <t>901.6</t>
  </si>
  <si>
    <t>31.2</t>
  </si>
  <si>
    <t>6</t>
  </si>
  <si>
    <t>646.</t>
  </si>
  <si>
    <t>33</t>
  </si>
  <si>
    <t>620.8</t>
  </si>
  <si>
    <t>12</t>
  </si>
  <si>
    <t>19</t>
  </si>
  <si>
    <t>8.6</t>
  </si>
  <si>
    <t>1268.</t>
  </si>
  <si>
    <t>11.1</t>
  </si>
  <si>
    <t>1222.8</t>
  </si>
  <si>
    <t>13</t>
  </si>
  <si>
    <t>727.6</t>
  </si>
  <si>
    <t>880.8</t>
  </si>
  <si>
    <t>986.8</t>
  </si>
  <si>
    <t>1394.</t>
  </si>
  <si>
    <t>38.1</t>
  </si>
  <si>
    <t>1396.</t>
  </si>
  <si>
    <t>1486.</t>
  </si>
  <si>
    <t>22.3</t>
  </si>
  <si>
    <t>1405.2</t>
  </si>
  <si>
    <t>34.7</t>
  </si>
  <si>
    <t>36.5</t>
  </si>
  <si>
    <t>1178.</t>
  </si>
  <si>
    <t>1274.</t>
  </si>
  <si>
    <t>29</t>
  </si>
  <si>
    <t>1114.</t>
  </si>
  <si>
    <t>11.3</t>
  </si>
  <si>
    <t>1204.</t>
  </si>
  <si>
    <t>22.1</t>
  </si>
  <si>
    <t>838.</t>
  </si>
  <si>
    <t>860.8</t>
  </si>
  <si>
    <t>714.8</t>
  </si>
  <si>
    <t>851.2</t>
  </si>
  <si>
    <t>4.9</t>
  </si>
  <si>
    <t>1344.</t>
  </si>
  <si>
    <t>17.3</t>
  </si>
  <si>
    <t>25</t>
  </si>
  <si>
    <t>1186.</t>
  </si>
  <si>
    <t>1224.</t>
  </si>
  <si>
    <t>1026.</t>
  </si>
  <si>
    <t>966.</t>
  </si>
  <si>
    <t>954.</t>
  </si>
  <si>
    <t>0.9</t>
  </si>
  <si>
    <t>15</t>
  </si>
  <si>
    <t>751.2</t>
  </si>
  <si>
    <t>460.4</t>
  </si>
  <si>
    <t>14</t>
  </si>
  <si>
    <t>761.2</t>
  </si>
  <si>
    <t>10.2</t>
  </si>
  <si>
    <t>16</t>
  </si>
  <si>
    <t>994.</t>
  </si>
  <si>
    <t>454.6</t>
  </si>
  <si>
    <t>1252.</t>
  </si>
  <si>
    <t>20.1</t>
  </si>
  <si>
    <t>1230.</t>
  </si>
  <si>
    <t>22.5</t>
  </si>
  <si>
    <t>21</t>
  </si>
  <si>
    <t>1270.8</t>
  </si>
  <si>
    <t>11.2</t>
  </si>
  <si>
    <t>1036.</t>
  </si>
  <si>
    <t>20</t>
  </si>
  <si>
    <t>451.</t>
  </si>
  <si>
    <t>456.8</t>
  </si>
  <si>
    <t>14.2</t>
  </si>
  <si>
    <t>28</t>
  </si>
  <si>
    <t>736.8</t>
  </si>
  <si>
    <t>862.4</t>
  </si>
  <si>
    <t>988.8</t>
  </si>
  <si>
    <t>193.2</t>
  </si>
  <si>
    <t>396.</t>
  </si>
  <si>
    <t>556.</t>
  </si>
  <si>
    <t>478.8</t>
  </si>
  <si>
    <t>610.</t>
  </si>
  <si>
    <t>728.4</t>
  </si>
  <si>
    <t>346.</t>
  </si>
  <si>
    <t>118.8</t>
  </si>
  <si>
    <t>490.</t>
  </si>
  <si>
    <t>538.</t>
  </si>
  <si>
    <t>498.</t>
  </si>
  <si>
    <t>496.8</t>
  </si>
  <si>
    <t>628.</t>
  </si>
  <si>
    <t>632.</t>
  </si>
  <si>
    <t>666.8</t>
  </si>
  <si>
    <t>795.2</t>
  </si>
  <si>
    <t>334.6</t>
  </si>
  <si>
    <t>411.</t>
  </si>
  <si>
    <t>939.2</t>
  </si>
  <si>
    <t>403.8</t>
  </si>
  <si>
    <t>186.8</t>
  </si>
  <si>
    <t>341.6</t>
  </si>
  <si>
    <t>572.</t>
  </si>
  <si>
    <t>587.2</t>
  </si>
  <si>
    <t>729.6</t>
  </si>
  <si>
    <t>340.2</t>
  </si>
  <si>
    <t>400.</t>
  </si>
  <si>
    <t>370.</t>
  </si>
  <si>
    <t>336.4</t>
  </si>
  <si>
    <t>518.</t>
  </si>
  <si>
    <t>523.2</t>
  </si>
  <si>
    <t>644.</t>
  </si>
  <si>
    <t>698.</t>
  </si>
  <si>
    <t>661.2</t>
  </si>
  <si>
    <t>334.2</t>
  </si>
  <si>
    <t>916.</t>
  </si>
  <si>
    <t>926.8</t>
  </si>
  <si>
    <t>402.8</t>
  </si>
  <si>
    <t>186.4</t>
  </si>
  <si>
    <t>376.</t>
  </si>
  <si>
    <t>344.4</t>
  </si>
  <si>
    <t>514.</t>
  </si>
  <si>
    <t>481.2</t>
  </si>
  <si>
    <t>181.8</t>
  </si>
  <si>
    <t>658.4</t>
  </si>
  <si>
    <t>774.</t>
  </si>
  <si>
    <t>918.4</t>
  </si>
  <si>
    <t>1448.</t>
  </si>
  <si>
    <t>1478.</t>
  </si>
  <si>
    <t>146.4</t>
  </si>
  <si>
    <t>114.1</t>
  </si>
  <si>
    <t>1418.</t>
  </si>
  <si>
    <t>137.6</t>
  </si>
  <si>
    <t>1462.</t>
  </si>
  <si>
    <t>126.4</t>
  </si>
  <si>
    <t>1444.4</t>
  </si>
  <si>
    <t>179.8</t>
  </si>
  <si>
    <t>154.8</t>
  </si>
  <si>
    <t>132.4</t>
  </si>
  <si>
    <t>109.2</t>
  </si>
  <si>
    <t>55.2</t>
  </si>
  <si>
    <t>134.9</t>
  </si>
  <si>
    <t>49</t>
  </si>
  <si>
    <t>1156.</t>
  </si>
  <si>
    <t>98.2</t>
  </si>
  <si>
    <t>1168.</t>
  </si>
  <si>
    <t>79.5</t>
  </si>
  <si>
    <t>1162.</t>
  </si>
  <si>
    <t>64.3</t>
  </si>
  <si>
    <t>1246.</t>
  </si>
  <si>
    <t>1201.2</t>
  </si>
  <si>
    <t>18.2</t>
  </si>
  <si>
    <t>22.7</t>
  </si>
  <si>
    <t>30.2</t>
  </si>
  <si>
    <t>37.8</t>
  </si>
  <si>
    <t>81.2</t>
  </si>
  <si>
    <t>28.6</t>
  </si>
  <si>
    <t>659.2</t>
  </si>
  <si>
    <t>461.</t>
  </si>
  <si>
    <t>27</t>
  </si>
  <si>
    <t>38</t>
  </si>
  <si>
    <t>744.4</t>
  </si>
  <si>
    <t>37</t>
  </si>
  <si>
    <t>857.2</t>
  </si>
  <si>
    <t>1360.</t>
  </si>
  <si>
    <t>47.3</t>
  </si>
  <si>
    <t>58.5</t>
  </si>
  <si>
    <t>52.7</t>
  </si>
  <si>
    <t>1334.</t>
  </si>
  <si>
    <t>66.5</t>
  </si>
  <si>
    <t>48.3</t>
  </si>
  <si>
    <t>1335.6</t>
  </si>
  <si>
    <t>459.2</t>
  </si>
  <si>
    <t>61.4</t>
  </si>
  <si>
    <t>35.8</t>
  </si>
  <si>
    <t>54.7</t>
  </si>
  <si>
    <t>1092.</t>
  </si>
  <si>
    <t>27.6</t>
  </si>
  <si>
    <t>39</t>
  </si>
  <si>
    <t>21.7</t>
  </si>
  <si>
    <t>23.3</t>
  </si>
  <si>
    <t>15.5</t>
  </si>
  <si>
    <t>1047.6</t>
  </si>
  <si>
    <t>32.6</t>
  </si>
  <si>
    <t>4.3</t>
  </si>
  <si>
    <t>8.5</t>
  </si>
  <si>
    <t>35</t>
  </si>
  <si>
    <t>15.8</t>
  </si>
  <si>
    <t>769.2</t>
  </si>
  <si>
    <t>36</t>
  </si>
  <si>
    <t>880.4</t>
  </si>
  <si>
    <t>1054.</t>
  </si>
  <si>
    <t>1026.8</t>
  </si>
  <si>
    <t>1508.</t>
  </si>
  <si>
    <t>158.3</t>
  </si>
  <si>
    <t>1528.</t>
  </si>
  <si>
    <t>152.4</t>
  </si>
  <si>
    <t>1540.</t>
  </si>
  <si>
    <t>186.1</t>
  </si>
  <si>
    <t>1542.</t>
  </si>
  <si>
    <t>170.7</t>
  </si>
  <si>
    <t>1476.</t>
  </si>
  <si>
    <t>134.7</t>
  </si>
  <si>
    <t>1518.8</t>
  </si>
  <si>
    <t>179.6</t>
  </si>
  <si>
    <t>77.6</t>
  </si>
  <si>
    <t>53.4</t>
  </si>
  <si>
    <t>96.6</t>
  </si>
  <si>
    <t>109.6</t>
  </si>
  <si>
    <t>92.7</t>
  </si>
  <si>
    <t>78.6</t>
  </si>
  <si>
    <t>1285.6</t>
  </si>
  <si>
    <t>458.6</t>
  </si>
  <si>
    <t>134.4</t>
  </si>
  <si>
    <t>17.2</t>
  </si>
  <si>
    <t>90.5</t>
  </si>
  <si>
    <t>25.1</t>
  </si>
  <si>
    <t>36.6</t>
  </si>
  <si>
    <t>54.2</t>
  </si>
  <si>
    <t>951.6</t>
  </si>
  <si>
    <t>71.8</t>
  </si>
  <si>
    <t>37.6</t>
  </si>
  <si>
    <t>41.3</t>
  </si>
  <si>
    <t>699.2</t>
  </si>
  <si>
    <t>23.4</t>
  </si>
  <si>
    <t>902.</t>
  </si>
  <si>
    <t>462.4</t>
  </si>
  <si>
    <t>32.2</t>
  </si>
  <si>
    <t>1324.</t>
  </si>
  <si>
    <t>50.3</t>
  </si>
  <si>
    <t>53.1</t>
  </si>
  <si>
    <t>43.1</t>
  </si>
  <si>
    <t>1359.2</t>
  </si>
  <si>
    <t>36.2</t>
  </si>
  <si>
    <t>1082.</t>
  </si>
  <si>
    <t>24.9</t>
  </si>
  <si>
    <t>1098.</t>
  </si>
  <si>
    <t>34</t>
  </si>
  <si>
    <t>1059.2</t>
  </si>
  <si>
    <t>35.2</t>
  </si>
  <si>
    <t>31</t>
  </si>
  <si>
    <t>821.6</t>
  </si>
  <si>
    <t>2.5</t>
  </si>
  <si>
    <t>742.8</t>
  </si>
  <si>
    <t>32</t>
  </si>
  <si>
    <t>1009.6</t>
  </si>
  <si>
    <t>31.6</t>
  </si>
  <si>
    <t>1350.</t>
  </si>
  <si>
    <t>40.3</t>
  </si>
  <si>
    <t>59.3</t>
  </si>
  <si>
    <t>1314.</t>
  </si>
  <si>
    <t>37.4</t>
  </si>
  <si>
    <t>1331.6</t>
  </si>
  <si>
    <t>53.6</t>
  </si>
  <si>
    <t>43.6</t>
  </si>
  <si>
    <t>1210.</t>
  </si>
  <si>
    <t>16.6</t>
  </si>
  <si>
    <t>1064.</t>
  </si>
  <si>
    <t>47.5</t>
  </si>
  <si>
    <t>1128.</t>
  </si>
  <si>
    <t>19.7</t>
  </si>
  <si>
    <t>1108.8</t>
  </si>
  <si>
    <t>24.8</t>
  </si>
  <si>
    <t>801.2</t>
  </si>
  <si>
    <t>459.6</t>
  </si>
  <si>
    <t>754.8</t>
  </si>
  <si>
    <t>463.4</t>
  </si>
  <si>
    <t>192.8</t>
  </si>
  <si>
    <t>302.</t>
  </si>
  <si>
    <t>304.</t>
  </si>
  <si>
    <t>702.</t>
  </si>
  <si>
    <t>712.4</t>
  </si>
  <si>
    <t>329.4</t>
  </si>
  <si>
    <t>392.</t>
  </si>
  <si>
    <t>119.2</t>
  </si>
  <si>
    <t>568.</t>
  </si>
  <si>
    <t>540.</t>
  </si>
  <si>
    <t>544.</t>
  </si>
  <si>
    <t>486.</t>
  </si>
  <si>
    <t>535.6</t>
  </si>
  <si>
    <t>748.8</t>
  </si>
  <si>
    <t>865.2</t>
  </si>
  <si>
    <t>1030.</t>
  </si>
  <si>
    <t>1020.8</t>
  </si>
  <si>
    <t>319.6</t>
  </si>
  <si>
    <t>438.</t>
  </si>
  <si>
    <t>452.</t>
  </si>
  <si>
    <t>450.8</t>
  </si>
  <si>
    <t>616.</t>
  </si>
  <si>
    <t>574.</t>
  </si>
  <si>
    <t>593.2</t>
  </si>
  <si>
    <t>721.6</t>
  </si>
  <si>
    <t>388.</t>
  </si>
  <si>
    <t>198.8</t>
  </si>
  <si>
    <t>340.4</t>
  </si>
  <si>
    <t>548.</t>
  </si>
  <si>
    <t>516.</t>
  </si>
  <si>
    <t>519.2</t>
  </si>
  <si>
    <t>736.4</t>
  </si>
  <si>
    <t>877.2</t>
  </si>
  <si>
    <t>1011.6</t>
  </si>
  <si>
    <t>524.</t>
  </si>
  <si>
    <t>534.</t>
  </si>
  <si>
    <t>510.</t>
  </si>
  <si>
    <t>524.8</t>
  </si>
  <si>
    <t>1048.</t>
  </si>
  <si>
    <t>1028.4</t>
  </si>
  <si>
    <t>408.6</t>
  </si>
  <si>
    <t>214.1</t>
  </si>
  <si>
    <t>54</t>
  </si>
  <si>
    <t>256.</t>
  </si>
  <si>
    <t>244.</t>
  </si>
  <si>
    <t>245.3</t>
  </si>
  <si>
    <t>265.</t>
  </si>
  <si>
    <t>257.</t>
  </si>
  <si>
    <t>265.7</t>
  </si>
  <si>
    <t>23</t>
  </si>
  <si>
    <t>242.7</t>
  </si>
  <si>
    <t>237.</t>
  </si>
  <si>
    <t>237.8</t>
  </si>
  <si>
    <t>51</t>
  </si>
  <si>
    <t>821.2</t>
  </si>
  <si>
    <t>263.4</t>
  </si>
  <si>
    <t>247.8</t>
  </si>
  <si>
    <t>240.2</t>
  </si>
  <si>
    <t>205.6</t>
  </si>
  <si>
    <t>199.6</t>
  </si>
  <si>
    <t>189.4</t>
  </si>
  <si>
    <t>241.1</t>
  </si>
  <si>
    <t>206.5</t>
  </si>
  <si>
    <t>26</t>
  </si>
  <si>
    <t>163.</t>
  </si>
  <si>
    <t>198.2</t>
  </si>
  <si>
    <t>220.9</t>
  </si>
  <si>
    <t>45</t>
  </si>
  <si>
    <t>163.7</t>
  </si>
  <si>
    <t>193.6</t>
  </si>
  <si>
    <t>184.2</t>
  </si>
  <si>
    <t>176.6</t>
  </si>
  <si>
    <t>169.4</t>
  </si>
  <si>
    <t>162.6</t>
  </si>
  <si>
    <t>155.2</t>
  </si>
  <si>
    <t>147.2</t>
  </si>
  <si>
    <t>201.4</t>
  </si>
  <si>
    <t>46</t>
  </si>
  <si>
    <t>41</t>
  </si>
  <si>
    <t>150.8</t>
  </si>
  <si>
    <t>40</t>
  </si>
  <si>
    <t>136.2</t>
  </si>
  <si>
    <t>120.8</t>
  </si>
  <si>
    <t>110.8</t>
  </si>
  <si>
    <t>90.8</t>
  </si>
  <si>
    <t>37.2</t>
  </si>
  <si>
    <t>68.3</t>
  </si>
  <si>
    <t>59.5</t>
  </si>
  <si>
    <t>24</t>
  </si>
  <si>
    <t>85.1</t>
  </si>
  <si>
    <t>65.1</t>
  </si>
  <si>
    <t>22</t>
  </si>
  <si>
    <t>607.2</t>
  </si>
  <si>
    <t>91.2</t>
  </si>
  <si>
    <t>79.4</t>
  </si>
  <si>
    <t>66.2</t>
  </si>
  <si>
    <t>50.6</t>
  </si>
  <si>
    <t>17.7</t>
  </si>
  <si>
    <t>564.</t>
  </si>
  <si>
    <t>47</t>
  </si>
  <si>
    <t>677.2</t>
  </si>
  <si>
    <t>20.2</t>
  </si>
  <si>
    <t>32.4</t>
  </si>
  <si>
    <t>30</t>
  </si>
  <si>
    <t>845.2</t>
  </si>
  <si>
    <t>154.7</t>
  </si>
  <si>
    <t>165.6</t>
  </si>
  <si>
    <t>159.8</t>
  </si>
  <si>
    <t>132.3</t>
  </si>
  <si>
    <t>809.2</t>
  </si>
  <si>
    <t>157.6</t>
  </si>
  <si>
    <t>141.8</t>
  </si>
  <si>
    <t>137.4</t>
  </si>
  <si>
    <t>131.8</t>
  </si>
  <si>
    <t>126.2</t>
  </si>
  <si>
    <t>115.2</t>
  </si>
  <si>
    <t>152.5</t>
  </si>
  <si>
    <t>101.2</t>
  </si>
  <si>
    <t>110.3</t>
  </si>
  <si>
    <t>80.5</t>
  </si>
  <si>
    <t>122.2</t>
  </si>
  <si>
    <t>72.4</t>
  </si>
  <si>
    <t>63.6</t>
  </si>
  <si>
    <t>97.1</t>
  </si>
  <si>
    <t>68</t>
  </si>
  <si>
    <t>63</t>
  </si>
  <si>
    <t>67.7</t>
  </si>
  <si>
    <t>42</t>
  </si>
  <si>
    <t>57.4</t>
  </si>
  <si>
    <t>723.6</t>
  </si>
  <si>
    <t>125.8</t>
  </si>
  <si>
    <t>62.6</t>
  </si>
  <si>
    <t>42.6</t>
  </si>
  <si>
    <t>26.4</t>
  </si>
  <si>
    <t>59.9</t>
  </si>
  <si>
    <t>757.6</t>
  </si>
  <si>
    <t>15.1</t>
  </si>
  <si>
    <t>61</t>
  </si>
  <si>
    <t>48</t>
  </si>
  <si>
    <t>900.8</t>
  </si>
  <si>
    <t>11.7</t>
  </si>
  <si>
    <t>60</t>
  </si>
  <si>
    <t>13.5</t>
  </si>
  <si>
    <t>43</t>
  </si>
  <si>
    <t>1036.8</t>
  </si>
  <si>
    <t>89.2</t>
  </si>
  <si>
    <t>261.</t>
  </si>
  <si>
    <t>246.7</t>
  </si>
  <si>
    <t>279.</t>
  </si>
  <si>
    <t>288.</t>
  </si>
  <si>
    <t>263.</t>
  </si>
  <si>
    <t>277.3</t>
  </si>
  <si>
    <t>252.3</t>
  </si>
  <si>
    <t>832.</t>
  </si>
  <si>
    <t>291.</t>
  </si>
  <si>
    <t>278.</t>
  </si>
  <si>
    <t>234.</t>
  </si>
  <si>
    <t>265.5</t>
  </si>
  <si>
    <t>834.8</t>
  </si>
  <si>
    <t>282.6</t>
  </si>
  <si>
    <t>270.2</t>
  </si>
  <si>
    <t>255.8</t>
  </si>
  <si>
    <t>239.8</t>
  </si>
  <si>
    <t>219.6</t>
  </si>
  <si>
    <t>212.6</t>
  </si>
  <si>
    <t>257.4</t>
  </si>
  <si>
    <t>211.2</t>
  </si>
  <si>
    <t>44</t>
  </si>
  <si>
    <t>233.2</t>
  </si>
  <si>
    <t>243.1</t>
  </si>
  <si>
    <t>211.9</t>
  </si>
  <si>
    <t>229.5</t>
  </si>
  <si>
    <t>64</t>
  </si>
  <si>
    <t>760.8</t>
  </si>
  <si>
    <t>248.2</t>
  </si>
  <si>
    <t>235.2</t>
  </si>
  <si>
    <t>224.6</t>
  </si>
  <si>
    <t>215.2</t>
  </si>
  <si>
    <t>208.6</t>
  </si>
  <si>
    <t>199.8</t>
  </si>
  <si>
    <t>185.6</t>
  </si>
  <si>
    <t>178.8</t>
  </si>
  <si>
    <t>225.8</t>
  </si>
  <si>
    <t>133.3</t>
  </si>
  <si>
    <t>163.6</t>
  </si>
  <si>
    <t>56</t>
  </si>
  <si>
    <t>144.9</t>
  </si>
  <si>
    <t>684.8</t>
  </si>
  <si>
    <t>171.2</t>
  </si>
  <si>
    <t>158.4</t>
  </si>
  <si>
    <t>142.2</t>
  </si>
  <si>
    <t>121.4</t>
  </si>
  <si>
    <t>149.9</t>
  </si>
  <si>
    <t>41.4</t>
  </si>
  <si>
    <t>53</t>
  </si>
  <si>
    <t>93.7</t>
  </si>
  <si>
    <t>91.7</t>
  </si>
  <si>
    <t>655.6</t>
  </si>
  <si>
    <t>114.4</t>
  </si>
  <si>
    <t>99.2</t>
  </si>
  <si>
    <t>93.2</t>
  </si>
  <si>
    <t>86.4</t>
  </si>
  <si>
    <t>73.6</t>
  </si>
  <si>
    <t>56.6</t>
  </si>
  <si>
    <t>670.</t>
  </si>
  <si>
    <t>35.7</t>
  </si>
  <si>
    <t>63.7</t>
  </si>
  <si>
    <t>52</t>
  </si>
  <si>
    <t>634.8</t>
  </si>
  <si>
    <t>52.2</t>
  </si>
  <si>
    <t>17</t>
  </si>
  <si>
    <t>843.2</t>
  </si>
  <si>
    <t>57</t>
  </si>
  <si>
    <t>137.8</t>
  </si>
  <si>
    <t>168.9</t>
  </si>
  <si>
    <t>148.2</t>
  </si>
  <si>
    <t>151.3</t>
  </si>
  <si>
    <t>811.2</t>
  </si>
  <si>
    <t>164.6</t>
  </si>
  <si>
    <t>145.6</t>
  </si>
  <si>
    <t>136.6</t>
  </si>
  <si>
    <t>121.6</t>
  </si>
  <si>
    <t>151.4</t>
  </si>
  <si>
    <t>1226.</t>
  </si>
  <si>
    <t>108.7</t>
  </si>
  <si>
    <t>58</t>
  </si>
  <si>
    <t>125.5</t>
  </si>
  <si>
    <t>121.7</t>
  </si>
  <si>
    <t>88.4</t>
  </si>
  <si>
    <t>77.4</t>
  </si>
  <si>
    <t>74.4</t>
  </si>
  <si>
    <t>113.7</t>
  </si>
  <si>
    <t>72.3</t>
  </si>
  <si>
    <t>71</t>
  </si>
  <si>
    <t>45.7</t>
  </si>
  <si>
    <t>56.3</t>
  </si>
  <si>
    <t>69.7</t>
  </si>
  <si>
    <t>69</t>
  </si>
  <si>
    <t>58.7</t>
  </si>
  <si>
    <t>763.6</t>
  </si>
  <si>
    <t>120.6</t>
  </si>
  <si>
    <t>83.2</t>
  </si>
  <si>
    <t>35.4</t>
  </si>
  <si>
    <t>60.5</t>
  </si>
  <si>
    <t>23.1</t>
  </si>
  <si>
    <t>776.4</t>
  </si>
  <si>
    <t>123.2</t>
  </si>
  <si>
    <t>16.9</t>
  </si>
  <si>
    <t>906.4</t>
  </si>
  <si>
    <t>92.8</t>
  </si>
  <si>
    <t>18.7</t>
  </si>
  <si>
    <t>13.6</t>
  </si>
  <si>
    <t>90.2</t>
  </si>
  <si>
    <t>15.6</t>
  </si>
  <si>
    <t>43.8</t>
  </si>
  <si>
    <t>171.7</t>
  </si>
  <si>
    <t>181.3</t>
  </si>
  <si>
    <t>140.5</t>
  </si>
  <si>
    <t>135.6</t>
  </si>
  <si>
    <t>811.6</t>
  </si>
  <si>
    <t>163.8</t>
  </si>
  <si>
    <t>153.8</t>
  </si>
  <si>
    <t>149.8</t>
  </si>
  <si>
    <t>134.2</t>
  </si>
  <si>
    <t>129.8</t>
  </si>
  <si>
    <t>125.2</t>
  </si>
  <si>
    <t>154.3</t>
  </si>
  <si>
    <t>36.8</t>
  </si>
  <si>
    <t>100.9</t>
  </si>
  <si>
    <t>88.5</t>
  </si>
  <si>
    <t>114.9</t>
  </si>
  <si>
    <t>852.8</t>
  </si>
  <si>
    <t>98.8</t>
  </si>
  <si>
    <t>91.4</t>
  </si>
  <si>
    <t>73.2</t>
  </si>
  <si>
    <t>100.6</t>
  </si>
  <si>
    <t>84.8</t>
  </si>
  <si>
    <t>67</t>
  </si>
  <si>
    <t>55.5</t>
  </si>
  <si>
    <t>49.7</t>
  </si>
  <si>
    <t>713.2</t>
  </si>
  <si>
    <t>64.6</t>
  </si>
  <si>
    <t>59</t>
  </si>
  <si>
    <t>85</t>
  </si>
  <si>
    <t>15.9</t>
  </si>
  <si>
    <t>909.6</t>
  </si>
  <si>
    <t>91.8</t>
  </si>
  <si>
    <t>47.8</t>
  </si>
  <si>
    <t>1034.4</t>
  </si>
  <si>
    <t>306.</t>
  </si>
  <si>
    <t>330.4</t>
  </si>
  <si>
    <t>432.</t>
  </si>
  <si>
    <t>584.4</t>
  </si>
  <si>
    <t>690.</t>
  </si>
  <si>
    <t>716.8</t>
  </si>
  <si>
    <t>402.2</t>
  </si>
  <si>
    <t>450.4</t>
  </si>
  <si>
    <t>582.4</t>
  </si>
  <si>
    <t>579.6</t>
  </si>
  <si>
    <t>317.6</t>
  </si>
  <si>
    <t>590.4</t>
  </si>
  <si>
    <t>730.8</t>
  </si>
  <si>
    <t>848.8</t>
  </si>
  <si>
    <t>452.4</t>
  </si>
  <si>
    <t>618.</t>
  </si>
  <si>
    <t>560.</t>
  </si>
  <si>
    <t>585.6</t>
  </si>
  <si>
    <t>709.6</t>
  </si>
  <si>
    <t>859.2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</si>
</sst>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0">
    <numFmt numFmtId="41" formatCode="_(* #,##0_);_(* \(#,##0\);_(* &quot;-&quot;_);_(@_)"/>
    <numFmt numFmtId="43" formatCode="_(* #,##0.00_);_(* \(#,##0.00\);_(* &quot;-&quot;??_);_(@_)"/>
    <numFmt numFmtId="164" formatCode="0.000000_ "/>
    <numFmt numFmtId="165" formatCode="0.00_ "/>
    <numFmt numFmtId="166" formatCode="0.0_ "/>
    <numFmt numFmtId="167" formatCode="0.0_);[Red]\(0.0\)"/>
    <numFmt numFmtId="168" formatCode="#,##0_ "/>
    <numFmt numFmtId="169" formatCode="#,##0.0_);[Red]\(#,##0.0\)"/>
    <numFmt numFmtId="170" formatCode="0.0000_ "/>
    <numFmt numFmtId="171" formatCode="0.0000_);[Red]\(0.0000\)"/>
    <numFmt numFmtId="172" formatCode="0.000E+00"/>
    <numFmt numFmtId="173" formatCode="0.00_);[Red]\(0.00\)"/>
    <numFmt numFmtId="174" formatCode="0.000_ "/>
    <numFmt numFmtId="175" formatCode="0.0000E+00"/>
    <numFmt numFmtId="176" formatCode="0_ "/>
    <numFmt numFmtId="177" formatCode="0_);[Red]\(0\)"/>
    <numFmt numFmtId="178" formatCode="0.0%"/>
    <numFmt numFmtId="179" formatCode="0.00000_ "/>
    <numFmt numFmtId="180" formatCode="_-* #,##0.0_-;\-* #,##0.0_-;_-* &quot;-&quot;_-;_-@_-"/>
    <numFmt numFmtId="181" formatCode="##0.0"/>
    <numFmt numFmtId="182" formatCode="###0.0"/>
    <numFmt numFmtId="183" formatCode="###0"/>
    <numFmt numFmtId="184" formatCode="#,##0.0"/>
    <numFmt numFmtId="185" formatCode="0.0"/>
    <numFmt numFmtId="186" formatCode="0.0000E-00"/>
    <numFmt numFmtId="187" formatCode="0.000_);[Red]\(0.000\)"/>
    <numFmt numFmtId="188" formatCode="###,##0.0"/>
    <numFmt numFmtId="189" formatCode="0.0000%"/>
    <numFmt numFmtId="190" formatCode="mm&quot;월&quot;\ dd&quot;일&quot;"/>
    <numFmt numFmtId="191" formatCode="_(* #,##0.0_);_(* \(#,##0.0\);_(* &quot;-&quot;_);_(@_)"/>
  </numFmts>
  <fonts count="40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vertAlign val="superscript"/>
      <sz val="10"/>
      <name val="돋움"/>
      <family val="3"/>
      <charset val="129"/>
    </font>
    <font>
      <sz val="9"/>
      <color indexed="81"/>
      <name val="굴림"/>
      <family val="3"/>
      <charset val="129"/>
    </font>
    <font>
      <b/>
      <sz val="9"/>
      <color indexed="81"/>
      <name val="굴림"/>
      <family val="3"/>
      <charset val="129"/>
    </font>
    <font>
      <sz val="10"/>
      <color indexed="8"/>
      <name val="한양신명조,한컴돋움"/>
      <family val="3"/>
      <charset val="129"/>
    </font>
    <font>
      <b/>
      <sz val="12"/>
      <name val="돋움"/>
      <family val="3"/>
      <charset val="129"/>
    </font>
    <font>
      <sz val="10"/>
      <name val="Wingdings"/>
      <charset val="2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8.25"/>
      <color indexed="72"/>
      <name val="MS Sans Serif"/>
      <family val="2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theme="1"/>
      <name val="Calibri"/>
      <family val="3"/>
      <charset val="129"/>
      <scheme val="minor"/>
    </font>
    <font>
      <sz val="11"/>
      <color theme="1"/>
      <name val="Calibri"/>
      <family val="3"/>
      <charset val="129"/>
      <scheme val="minor"/>
    </font>
    <font>
      <sz val="10"/>
      <color theme="0"/>
      <name val="돋움"/>
      <family val="3"/>
      <charset val="129"/>
    </font>
    <font>
      <sz val="11"/>
      <name val="굴림"/>
      <family val="3"/>
      <charset val="129"/>
    </font>
    <font>
      <sz val="10"/>
      <color indexed="0"/>
      <name val="Cambria"/>
      <family val="3"/>
      <charset val="129"/>
      <scheme val="major"/>
    </font>
    <font>
      <sz val="10"/>
      <name val="Cambria"/>
      <family val="3"/>
      <charset val="129"/>
      <scheme val="major"/>
    </font>
    <font>
      <sz val="10"/>
      <color rgb="FFFF0000"/>
      <name val="돋움"/>
      <family val="3"/>
      <charset val="129"/>
    </font>
    <font>
      <sz val="8.25"/>
      <color indexed="0"/>
      <name val="MS Sans Serif"/>
      <family val="2"/>
    </font>
    <font>
      <sz val="10"/>
      <color indexed="0"/>
      <name val="MS Sans Serif"/>
      <family val="2"/>
    </font>
    <font>
      <sz val="8.25"/>
      <color indexed="72"/>
      <name val="MS Sans Serif"/>
      <charset val="1"/>
    </font>
    <font>
      <sz val="8.25"/>
      <color indexed="0"/>
      <name val="MS Sans Serif"/>
      <charset val="1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6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61">
    <xf numFmtId="0" fontId="0" fillId="0" borderId="0">
      <alignment vertical="center"/>
    </xf>
    <xf numFmtId="0" fontId="11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20" borderId="1" applyNumberFormat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6" fillId="21" borderId="2" applyNumberFormat="0" applyFont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23" borderId="3" applyNumberFormat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21" fillId="0" borderId="5" applyNumberFormat="0" applyFill="0" applyAlignment="0" applyProtection="0">
      <alignment vertical="center"/>
    </xf>
    <xf numFmtId="0" fontId="22" fillId="7" borderId="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6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6" fillId="0" borderId="8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8" fillId="20" borderId="9" applyNumberFormat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16" fillId="0" borderId="0" applyAlignment="0">
      <alignment vertical="top" wrapText="1"/>
      <protection locked="0"/>
    </xf>
    <xf numFmtId="0" fontId="38" fillId="0" borderId="0" applyAlignment="0">
      <alignment vertical="top" wrapText="1"/>
      <protection locked="0"/>
    </xf>
    <xf numFmtId="0" fontId="1" fillId="0" borderId="0">
      <alignment vertical="center"/>
    </xf>
  </cellStyleXfs>
  <cellXfs count="53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4" fillId="0" borderId="0" xfId="0" applyFont="1" applyAlignment="1">
      <alignment horizontal="right" vertical="center"/>
    </xf>
    <xf numFmtId="168" fontId="4" fillId="0" borderId="0" xfId="0" applyNumberFormat="1" applyFont="1">
      <alignment vertical="center"/>
    </xf>
    <xf numFmtId="169" fontId="4" fillId="0" borderId="0" xfId="0" applyNumberFormat="1" applyFont="1">
      <alignment vertical="center"/>
    </xf>
    <xf numFmtId="169" fontId="4" fillId="0" borderId="0" xfId="0" applyNumberFormat="1" applyFont="1" applyAlignment="1">
      <alignment horizontal="center" vertical="center"/>
    </xf>
    <xf numFmtId="172" fontId="4" fillId="0" borderId="0" xfId="0" applyNumberFormat="1" applyFo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Fill="1" applyAlignment="1">
      <alignment horizontal="center" vertical="center"/>
    </xf>
    <xf numFmtId="11" fontId="4" fillId="0" borderId="0" xfId="0" applyNumberFormat="1" applyFont="1">
      <alignment vertical="center"/>
    </xf>
    <xf numFmtId="169" fontId="4" fillId="0" borderId="0" xfId="0" quotePrefix="1" applyNumberFormat="1" applyFont="1" applyAlignment="1">
      <alignment horizontal="center" vertical="center"/>
    </xf>
    <xf numFmtId="11" fontId="4" fillId="0" borderId="0" xfId="0" applyNumberFormat="1" applyFont="1" applyFill="1" applyBorder="1">
      <alignment vertical="center"/>
    </xf>
    <xf numFmtId="0" fontId="4" fillId="0" borderId="14" xfId="0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0" fontId="4" fillId="0" borderId="14" xfId="0" applyFont="1" applyBorder="1" applyAlignment="1">
      <alignment horizontal="center" vertical="center" wrapText="1"/>
    </xf>
    <xf numFmtId="165" fontId="4" fillId="25" borderId="14" xfId="0" applyNumberFormat="1" applyFont="1" applyFill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167" fontId="4" fillId="0" borderId="0" xfId="0" applyNumberFormat="1" applyFont="1">
      <alignment vertical="center"/>
    </xf>
    <xf numFmtId="167" fontId="4" fillId="0" borderId="14" xfId="0" applyNumberFormat="1" applyFont="1" applyBorder="1" applyAlignment="1">
      <alignment horizontal="center" vertical="center" wrapText="1"/>
    </xf>
    <xf numFmtId="0" fontId="4" fillId="0" borderId="0" xfId="0" applyFont="1" applyFill="1">
      <alignment vertical="center"/>
    </xf>
    <xf numFmtId="177" fontId="4" fillId="0" borderId="0" xfId="0" applyNumberFormat="1" applyFont="1" applyBorder="1" applyAlignment="1">
      <alignment horizontal="center" vertical="center" wrapText="1"/>
    </xf>
    <xf numFmtId="177" fontId="4" fillId="0" borderId="0" xfId="0" applyNumberFormat="1" applyFont="1" applyBorder="1" applyAlignment="1">
      <alignment vertical="center"/>
    </xf>
    <xf numFmtId="178" fontId="4" fillId="0" borderId="0" xfId="0" quotePrefix="1" applyNumberFormat="1" applyFont="1" applyAlignment="1">
      <alignment horizontal="center" vertical="center"/>
    </xf>
    <xf numFmtId="10" fontId="4" fillId="26" borderId="14" xfId="0" applyNumberFormat="1" applyFont="1" applyFill="1" applyBorder="1" applyAlignment="1">
      <alignment horizontal="center" vertical="center" wrapText="1"/>
    </xf>
    <xf numFmtId="165" fontId="4" fillId="25" borderId="15" xfId="0" applyNumberFormat="1" applyFont="1" applyFill="1" applyBorder="1" applyAlignment="1">
      <alignment vertical="center"/>
    </xf>
    <xf numFmtId="0" fontId="4" fillId="0" borderId="16" xfId="0" applyFont="1" applyBorder="1" applyAlignment="1">
      <alignment vertical="center" wrapText="1"/>
    </xf>
    <xf numFmtId="165" fontId="4" fillId="25" borderId="17" xfId="0" applyNumberFormat="1" applyFont="1" applyFill="1" applyBorder="1" applyAlignment="1">
      <alignment vertical="center"/>
    </xf>
    <xf numFmtId="165" fontId="4" fillId="26" borderId="17" xfId="0" applyNumberFormat="1" applyFont="1" applyFill="1" applyBorder="1" applyAlignment="1">
      <alignment vertical="center"/>
    </xf>
    <xf numFmtId="10" fontId="4" fillId="0" borderId="14" xfId="0" applyNumberFormat="1" applyFont="1" applyBorder="1" applyAlignment="1">
      <alignment horizontal="center" vertical="center" wrapText="1"/>
    </xf>
    <xf numFmtId="10" fontId="4" fillId="26" borderId="15" xfId="0" applyNumberFormat="1" applyFont="1" applyFill="1" applyBorder="1" applyAlignment="1">
      <alignment vertical="center" wrapText="1"/>
    </xf>
    <xf numFmtId="10" fontId="4" fillId="26" borderId="14" xfId="0" applyNumberFormat="1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8" fillId="27" borderId="18" xfId="0" applyFont="1" applyFill="1" applyBorder="1" applyAlignment="1">
      <alignment horizontal="center" vertical="center" wrapText="1"/>
    </xf>
    <xf numFmtId="0" fontId="8" fillId="24" borderId="18" xfId="0" applyFont="1" applyFill="1" applyBorder="1" applyAlignment="1">
      <alignment horizontal="center" vertical="center" wrapText="1"/>
    </xf>
    <xf numFmtId="0" fontId="8" fillId="25" borderId="18" xfId="0" applyFont="1" applyFill="1" applyBorder="1" applyAlignment="1">
      <alignment horizontal="center" vertical="center" wrapText="1"/>
    </xf>
    <xf numFmtId="0" fontId="8" fillId="28" borderId="18" xfId="0" applyFont="1" applyFill="1" applyBorder="1" applyAlignment="1">
      <alignment horizontal="center" vertical="center" wrapText="1"/>
    </xf>
    <xf numFmtId="0" fontId="4" fillId="29" borderId="18" xfId="0" applyFont="1" applyFill="1" applyBorder="1" applyAlignment="1">
      <alignment horizontal="center" vertical="center"/>
    </xf>
    <xf numFmtId="165" fontId="4" fillId="0" borderId="14" xfId="0" applyNumberFormat="1" applyFont="1" applyBorder="1">
      <alignment vertical="center"/>
    </xf>
    <xf numFmtId="0" fontId="10" fillId="0" borderId="0" xfId="0" applyFont="1">
      <alignment vertical="center"/>
    </xf>
    <xf numFmtId="165" fontId="4" fillId="0" borderId="0" xfId="0" applyNumberFormat="1" applyFont="1">
      <alignment vertical="center"/>
    </xf>
    <xf numFmtId="9" fontId="4" fillId="0" borderId="18" xfId="0" applyNumberFormat="1" applyFont="1" applyBorder="1" applyAlignment="1">
      <alignment horizontal="center" vertical="center"/>
    </xf>
    <xf numFmtId="0" fontId="4" fillId="30" borderId="18" xfId="0" applyFont="1" applyFill="1" applyBorder="1" applyAlignment="1">
      <alignment horizontal="right" vertical="center"/>
    </xf>
    <xf numFmtId="41" fontId="4" fillId="27" borderId="18" xfId="33" applyFont="1" applyFill="1" applyBorder="1" applyAlignment="1">
      <alignment horizontal="right" vertical="center"/>
    </xf>
    <xf numFmtId="41" fontId="4" fillId="24" borderId="18" xfId="33" applyFont="1" applyFill="1" applyBorder="1" applyAlignment="1">
      <alignment horizontal="right" vertical="center"/>
    </xf>
    <xf numFmtId="165" fontId="4" fillId="24" borderId="18" xfId="0" applyNumberFormat="1" applyFont="1" applyFill="1" applyBorder="1" applyAlignment="1">
      <alignment horizontal="right" vertical="center"/>
    </xf>
    <xf numFmtId="0" fontId="4" fillId="27" borderId="18" xfId="0" applyFont="1" applyFill="1" applyBorder="1" applyAlignment="1">
      <alignment horizontal="right" vertical="center"/>
    </xf>
    <xf numFmtId="165" fontId="4" fillId="28" borderId="18" xfId="0" applyNumberFormat="1" applyFont="1" applyFill="1" applyBorder="1" applyAlignment="1">
      <alignment horizontal="right" vertical="center"/>
    </xf>
    <xf numFmtId="166" fontId="4" fillId="25" borderId="18" xfId="0" applyNumberFormat="1" applyFont="1" applyFill="1" applyBorder="1" applyAlignment="1">
      <alignment horizontal="right" vertical="center"/>
    </xf>
    <xf numFmtId="165" fontId="4" fillId="25" borderId="18" xfId="0" applyNumberFormat="1" applyFont="1" applyFill="1" applyBorder="1" applyAlignment="1">
      <alignment horizontal="right" vertical="center"/>
    </xf>
    <xf numFmtId="41" fontId="4" fillId="25" borderId="18" xfId="33" applyFont="1" applyFill="1" applyBorder="1" applyAlignment="1">
      <alignment horizontal="right" vertical="center"/>
    </xf>
    <xf numFmtId="165" fontId="4" fillId="0" borderId="18" xfId="0" applyNumberFormat="1" applyFont="1" applyBorder="1" applyAlignment="1">
      <alignment horizontal="right" vertical="center"/>
    </xf>
    <xf numFmtId="0" fontId="4" fillId="30" borderId="18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165" fontId="4" fillId="29" borderId="18" xfId="0" applyNumberFormat="1" applyFont="1" applyFill="1" applyBorder="1" applyAlignment="1">
      <alignment horizontal="right" vertical="center"/>
    </xf>
    <xf numFmtId="0" fontId="4" fillId="0" borderId="0" xfId="0" applyFont="1" applyBorder="1">
      <alignment vertical="center"/>
    </xf>
    <xf numFmtId="173" fontId="4" fillId="0" borderId="0" xfId="0" applyNumberFormat="1" applyFont="1" applyFill="1" applyBorder="1" applyAlignment="1">
      <alignment horizontal="center" vertical="center" wrapText="1"/>
    </xf>
    <xf numFmtId="0" fontId="4" fillId="0" borderId="19" xfId="0" applyFont="1" applyBorder="1">
      <alignment vertical="center"/>
    </xf>
    <xf numFmtId="0" fontId="4" fillId="0" borderId="20" xfId="0" applyFont="1" applyBorder="1">
      <alignment vertical="center"/>
    </xf>
    <xf numFmtId="0" fontId="4" fillId="0" borderId="21" xfId="0" applyFont="1" applyBorder="1">
      <alignment vertical="center"/>
    </xf>
    <xf numFmtId="49" fontId="4" fillId="0" borderId="14" xfId="0" applyNumberFormat="1" applyFont="1" applyFill="1" applyBorder="1" applyAlignment="1">
      <alignment horizontal="center" vertical="center"/>
    </xf>
    <xf numFmtId="166" fontId="4" fillId="0" borderId="14" xfId="0" applyNumberFormat="1" applyFont="1" applyBorder="1">
      <alignment vertical="center"/>
    </xf>
    <xf numFmtId="166" fontId="4" fillId="0" borderId="22" xfId="0" applyNumberFormat="1" applyFont="1" applyBorder="1">
      <alignment vertical="center"/>
    </xf>
    <xf numFmtId="0" fontId="4" fillId="0" borderId="14" xfId="0" applyFont="1" applyBorder="1" applyAlignment="1">
      <alignment horizontal="right" vertical="center"/>
    </xf>
    <xf numFmtId="179" fontId="4" fillId="0" borderId="14" xfId="0" applyNumberFormat="1" applyFont="1" applyBorder="1">
      <alignment vertical="center"/>
    </xf>
    <xf numFmtId="166" fontId="4" fillId="0" borderId="0" xfId="0" applyNumberFormat="1" applyFont="1">
      <alignment vertical="center"/>
    </xf>
    <xf numFmtId="175" fontId="4" fillId="0" borderId="0" xfId="0" applyNumberFormat="1" applyFont="1">
      <alignment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 wrapText="1"/>
    </xf>
    <xf numFmtId="11" fontId="4" fillId="0" borderId="0" xfId="0" applyNumberFormat="1" applyFont="1" applyBorder="1">
      <alignment vertical="center"/>
    </xf>
    <xf numFmtId="0" fontId="4" fillId="0" borderId="0" xfId="0" applyFont="1" applyAlignment="1">
      <alignment vertical="justify" wrapText="1"/>
    </xf>
    <xf numFmtId="0" fontId="4" fillId="29" borderId="23" xfId="0" applyNumberFormat="1" applyFont="1" applyFill="1" applyBorder="1" applyAlignment="1">
      <alignment horizontal="center" vertical="justify" wrapText="1"/>
    </xf>
    <xf numFmtId="166" fontId="4" fillId="29" borderId="24" xfId="0" applyNumberFormat="1" applyFont="1" applyFill="1" applyBorder="1" applyAlignment="1">
      <alignment horizontal="center" vertical="justify" wrapText="1"/>
    </xf>
    <xf numFmtId="0" fontId="4" fillId="29" borderId="25" xfId="0" applyFont="1" applyFill="1" applyBorder="1" applyAlignment="1">
      <alignment horizontal="center" vertical="justify" wrapText="1"/>
    </xf>
    <xf numFmtId="166" fontId="4" fillId="0" borderId="0" xfId="0" applyNumberFormat="1" applyFont="1" applyAlignment="1">
      <alignment horizontal="center" vertical="center" wrapText="1"/>
    </xf>
    <xf numFmtId="173" fontId="4" fillId="0" borderId="10" xfId="0" applyNumberFormat="1" applyFont="1" applyFill="1" applyBorder="1" applyAlignment="1">
      <alignment horizontal="center" vertical="center" wrapText="1"/>
    </xf>
    <xf numFmtId="166" fontId="4" fillId="0" borderId="26" xfId="0" applyNumberFormat="1" applyFont="1" applyBorder="1">
      <alignment vertical="center"/>
    </xf>
    <xf numFmtId="166" fontId="4" fillId="0" borderId="27" xfId="0" applyNumberFormat="1" applyFont="1" applyBorder="1">
      <alignment vertical="center"/>
    </xf>
    <xf numFmtId="173" fontId="4" fillId="0" borderId="0" xfId="0" applyNumberFormat="1" applyFont="1" applyFill="1" applyBorder="1" applyAlignment="1">
      <alignment vertical="center" wrapText="1"/>
    </xf>
    <xf numFmtId="166" fontId="4" fillId="0" borderId="28" xfId="0" applyNumberFormat="1" applyFont="1" applyBorder="1">
      <alignment vertical="center"/>
    </xf>
    <xf numFmtId="166" fontId="4" fillId="0" borderId="24" xfId="0" applyNumberFormat="1" applyFont="1" applyBorder="1">
      <alignment vertical="center"/>
    </xf>
    <xf numFmtId="166" fontId="4" fillId="0" borderId="25" xfId="0" applyNumberFormat="1" applyFont="1" applyBorder="1">
      <alignment vertical="center"/>
    </xf>
    <xf numFmtId="166" fontId="4" fillId="0" borderId="0" xfId="0" applyNumberFormat="1" applyFont="1" applyAlignment="1">
      <alignment horizontal="center" vertical="center"/>
    </xf>
    <xf numFmtId="0" fontId="4" fillId="0" borderId="24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166" fontId="4" fillId="0" borderId="29" xfId="0" applyNumberFormat="1" applyFont="1" applyBorder="1">
      <alignment vertical="center"/>
    </xf>
    <xf numFmtId="166" fontId="4" fillId="0" borderId="30" xfId="0" applyNumberFormat="1" applyFont="1" applyBorder="1">
      <alignment vertical="center"/>
    </xf>
    <xf numFmtId="166" fontId="4" fillId="0" borderId="23" xfId="0" applyNumberFormat="1" applyFont="1" applyBorder="1">
      <alignment vertical="center"/>
    </xf>
    <xf numFmtId="166" fontId="4" fillId="0" borderId="31" xfId="0" applyNumberFormat="1" applyFont="1" applyBorder="1">
      <alignment vertical="center"/>
    </xf>
    <xf numFmtId="166" fontId="4" fillId="0" borderId="32" xfId="0" applyNumberFormat="1" applyFont="1" applyBorder="1">
      <alignment vertical="center"/>
    </xf>
    <xf numFmtId="164" fontId="4" fillId="0" borderId="14" xfId="0" applyNumberFormat="1" applyFont="1" applyBorder="1">
      <alignment vertical="center"/>
    </xf>
    <xf numFmtId="177" fontId="4" fillId="0" borderId="14" xfId="0" applyNumberFormat="1" applyFont="1" applyBorder="1" applyAlignment="1">
      <alignment horizontal="center" vertical="center"/>
    </xf>
    <xf numFmtId="169" fontId="4" fillId="0" borderId="14" xfId="0" applyNumberFormat="1" applyFont="1" applyBorder="1" applyAlignment="1">
      <alignment horizontal="center" vertical="center"/>
    </xf>
    <xf numFmtId="169" fontId="4" fillId="0" borderId="14" xfId="0" applyNumberFormat="1" applyFont="1" applyBorder="1" applyAlignment="1">
      <alignment horizontal="center" vertical="center" wrapText="1"/>
    </xf>
    <xf numFmtId="178" fontId="4" fillId="0" borderId="0" xfId="0" applyNumberFormat="1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38" fontId="4" fillId="0" borderId="0" xfId="0" applyNumberFormat="1" applyFont="1" applyFill="1" applyBorder="1">
      <alignment vertical="center"/>
    </xf>
    <xf numFmtId="164" fontId="4" fillId="0" borderId="14" xfId="0" applyNumberFormat="1" applyFont="1" applyBorder="1" applyAlignment="1">
      <alignment horizontal="center" vertical="center"/>
    </xf>
    <xf numFmtId="177" fontId="4" fillId="32" borderId="14" xfId="0" applyNumberFormat="1" applyFont="1" applyFill="1" applyBorder="1" applyAlignment="1">
      <alignment vertical="center"/>
    </xf>
    <xf numFmtId="170" fontId="4" fillId="32" borderId="14" xfId="0" applyNumberFormat="1" applyFont="1" applyFill="1" applyBorder="1" applyAlignment="1">
      <alignment vertical="center"/>
    </xf>
    <xf numFmtId="41" fontId="4" fillId="32" borderId="14" xfId="0" applyNumberFormat="1" applyFont="1" applyFill="1" applyBorder="1">
      <alignment vertical="center"/>
    </xf>
    <xf numFmtId="41" fontId="4" fillId="32" borderId="14" xfId="33" applyFont="1" applyFill="1" applyBorder="1" applyAlignment="1">
      <alignment vertical="center"/>
    </xf>
    <xf numFmtId="169" fontId="4" fillId="32" borderId="14" xfId="0" applyNumberFormat="1" applyFont="1" applyFill="1" applyBorder="1">
      <alignment vertical="center"/>
    </xf>
    <xf numFmtId="167" fontId="4" fillId="32" borderId="14" xfId="0" applyNumberFormat="1" applyFont="1" applyFill="1" applyBorder="1" applyAlignment="1">
      <alignment vertical="center"/>
    </xf>
    <xf numFmtId="38" fontId="4" fillId="32" borderId="14" xfId="0" applyNumberFormat="1" applyFont="1" applyFill="1" applyBorder="1">
      <alignment vertical="center"/>
    </xf>
    <xf numFmtId="175" fontId="4" fillId="0" borderId="0" xfId="0" applyNumberFormat="1" applyFont="1" applyFill="1" applyBorder="1">
      <alignment vertical="center"/>
    </xf>
    <xf numFmtId="0" fontId="4" fillId="33" borderId="14" xfId="0" applyFont="1" applyFill="1" applyBorder="1" applyAlignment="1">
      <alignment horizontal="center" vertical="center"/>
    </xf>
    <xf numFmtId="170" fontId="4" fillId="33" borderId="14" xfId="0" applyNumberFormat="1" applyFont="1" applyFill="1" applyBorder="1" applyAlignment="1">
      <alignment horizontal="center" vertical="center"/>
    </xf>
    <xf numFmtId="11" fontId="4" fillId="33" borderId="14" xfId="0" applyNumberFormat="1" applyFont="1" applyFill="1" applyBorder="1">
      <alignment vertical="center"/>
    </xf>
    <xf numFmtId="166" fontId="4" fillId="33" borderId="14" xfId="0" quotePrefix="1" applyNumberFormat="1" applyFont="1" applyFill="1" applyBorder="1" applyAlignment="1">
      <alignment horizontal="center" vertical="center"/>
    </xf>
    <xf numFmtId="0" fontId="4" fillId="33" borderId="29" xfId="0" applyFont="1" applyFill="1" applyBorder="1" applyAlignment="1">
      <alignment horizontal="center" vertical="center"/>
    </xf>
    <xf numFmtId="170" fontId="4" fillId="33" borderId="26" xfId="0" applyNumberFormat="1" applyFont="1" applyFill="1" applyBorder="1" applyAlignment="1">
      <alignment horizontal="center" vertical="center"/>
    </xf>
    <xf numFmtId="11" fontId="4" fillId="33" borderId="26" xfId="0" applyNumberFormat="1" applyFont="1" applyFill="1" applyBorder="1">
      <alignment vertical="center"/>
    </xf>
    <xf numFmtId="166" fontId="4" fillId="33" borderId="26" xfId="0" quotePrefix="1" applyNumberFormat="1" applyFont="1" applyFill="1" applyBorder="1" applyAlignment="1">
      <alignment horizontal="center" vertical="center"/>
    </xf>
    <xf numFmtId="166" fontId="4" fillId="33" borderId="27" xfId="0" quotePrefix="1" applyNumberFormat="1" applyFont="1" applyFill="1" applyBorder="1" applyAlignment="1">
      <alignment horizontal="center" vertical="center"/>
    </xf>
    <xf numFmtId="0" fontId="4" fillId="33" borderId="30" xfId="0" applyFont="1" applyFill="1" applyBorder="1" applyAlignment="1">
      <alignment horizontal="center" vertical="center"/>
    </xf>
    <xf numFmtId="166" fontId="4" fillId="33" borderId="28" xfId="0" quotePrefix="1" applyNumberFormat="1" applyFont="1" applyFill="1" applyBorder="1" applyAlignment="1">
      <alignment horizontal="center" vertical="center"/>
    </xf>
    <xf numFmtId="0" fontId="4" fillId="33" borderId="23" xfId="0" applyFont="1" applyFill="1" applyBorder="1" applyAlignment="1">
      <alignment horizontal="center" vertical="center"/>
    </xf>
    <xf numFmtId="0" fontId="4" fillId="33" borderId="24" xfId="0" applyFont="1" applyFill="1" applyBorder="1" applyAlignment="1">
      <alignment horizontal="center" vertical="center"/>
    </xf>
    <xf numFmtId="170" fontId="4" fillId="33" borderId="24" xfId="0" applyNumberFormat="1" applyFont="1" applyFill="1" applyBorder="1" applyAlignment="1">
      <alignment horizontal="center" vertical="center"/>
    </xf>
    <xf numFmtId="11" fontId="4" fillId="33" borderId="24" xfId="0" applyNumberFormat="1" applyFont="1" applyFill="1" applyBorder="1">
      <alignment vertical="center"/>
    </xf>
    <xf numFmtId="166" fontId="4" fillId="33" borderId="24" xfId="0" quotePrefix="1" applyNumberFormat="1" applyFont="1" applyFill="1" applyBorder="1" applyAlignment="1">
      <alignment horizontal="center" vertical="center"/>
    </xf>
    <xf numFmtId="166" fontId="4" fillId="33" borderId="25" xfId="0" quotePrefix="1" applyNumberFormat="1" applyFont="1" applyFill="1" applyBorder="1" applyAlignment="1">
      <alignment horizontal="center" vertical="center"/>
    </xf>
    <xf numFmtId="0" fontId="4" fillId="33" borderId="22" xfId="0" applyFont="1" applyFill="1" applyBorder="1" applyAlignment="1">
      <alignment horizontal="center" vertical="center"/>
    </xf>
    <xf numFmtId="170" fontId="4" fillId="33" borderId="22" xfId="0" applyNumberFormat="1" applyFont="1" applyFill="1" applyBorder="1" applyAlignment="1">
      <alignment horizontal="center" vertical="center"/>
    </xf>
    <xf numFmtId="11" fontId="4" fillId="33" borderId="22" xfId="0" applyNumberFormat="1" applyFont="1" applyFill="1" applyBorder="1">
      <alignment vertical="center"/>
    </xf>
    <xf numFmtId="166" fontId="4" fillId="33" borderId="22" xfId="0" quotePrefix="1" applyNumberFormat="1" applyFont="1" applyFill="1" applyBorder="1" applyAlignment="1">
      <alignment horizontal="center" vertical="center"/>
    </xf>
    <xf numFmtId="175" fontId="4" fillId="29" borderId="34" xfId="0" applyNumberFormat="1" applyFont="1" applyFill="1" applyBorder="1" applyAlignment="1">
      <alignment horizontal="center" vertical="justify" wrapText="1"/>
    </xf>
    <xf numFmtId="175" fontId="4" fillId="31" borderId="25" xfId="0" applyNumberFormat="1" applyFont="1" applyFill="1" applyBorder="1" applyAlignment="1">
      <alignment vertical="justify" wrapText="1"/>
    </xf>
    <xf numFmtId="183" fontId="4" fillId="0" borderId="29" xfId="0" quotePrefix="1" applyNumberFormat="1" applyFont="1" applyBorder="1" applyAlignment="1">
      <alignment horizontal="center" vertical="center"/>
    </xf>
    <xf numFmtId="183" fontId="4" fillId="0" borderId="31" xfId="0" quotePrefix="1" applyNumberFormat="1" applyFont="1" applyBorder="1" applyAlignment="1">
      <alignment horizontal="center" vertical="center"/>
    </xf>
    <xf numFmtId="183" fontId="4" fillId="0" borderId="30" xfId="0" quotePrefix="1" applyNumberFormat="1" applyFont="1" applyBorder="1" applyAlignment="1">
      <alignment horizontal="center" vertical="center"/>
    </xf>
    <xf numFmtId="183" fontId="4" fillId="0" borderId="23" xfId="0" quotePrefix="1" applyNumberFormat="1" applyFont="1" applyBorder="1" applyAlignment="1">
      <alignment horizontal="center" vertical="center"/>
    </xf>
    <xf numFmtId="183" fontId="4" fillId="0" borderId="35" xfId="0" quotePrefix="1" applyNumberFormat="1" applyFont="1" applyBorder="1" applyAlignment="1">
      <alignment horizontal="center" vertical="center"/>
    </xf>
    <xf numFmtId="183" fontId="4" fillId="0" borderId="36" xfId="0" quotePrefix="1" applyNumberFormat="1" applyFont="1" applyBorder="1" applyAlignment="1">
      <alignment horizontal="center" vertical="center"/>
    </xf>
    <xf numFmtId="183" fontId="4" fillId="0" borderId="37" xfId="0" quotePrefix="1" applyNumberFormat="1" applyFont="1" applyBorder="1" applyAlignment="1">
      <alignment horizontal="center" vertical="center"/>
    </xf>
    <xf numFmtId="166" fontId="4" fillId="33" borderId="24" xfId="33" applyNumberFormat="1" applyFont="1" applyFill="1" applyBorder="1">
      <alignment vertical="center"/>
    </xf>
    <xf numFmtId="166" fontId="4" fillId="33" borderId="14" xfId="33" applyNumberFormat="1" applyFont="1" applyFill="1" applyBorder="1">
      <alignment vertical="center"/>
    </xf>
    <xf numFmtId="166" fontId="4" fillId="33" borderId="26" xfId="33" applyNumberFormat="1" applyFont="1" applyFill="1" applyBorder="1">
      <alignment vertical="center"/>
    </xf>
    <xf numFmtId="166" fontId="4" fillId="33" borderId="38" xfId="0" quotePrefix="1" applyNumberFormat="1" applyFont="1" applyFill="1" applyBorder="1" applyAlignment="1">
      <alignment horizontal="center" vertical="center"/>
    </xf>
    <xf numFmtId="166" fontId="4" fillId="33" borderId="17" xfId="0" quotePrefix="1" applyNumberFormat="1" applyFont="1" applyFill="1" applyBorder="1" applyAlignment="1">
      <alignment horizontal="center" vertical="center"/>
    </xf>
    <xf numFmtId="166" fontId="4" fillId="33" borderId="39" xfId="33" applyNumberFormat="1" applyFont="1" applyFill="1" applyBorder="1">
      <alignment vertical="center"/>
    </xf>
    <xf numFmtId="11" fontId="4" fillId="33" borderId="17" xfId="0" applyNumberFormat="1" applyFont="1" applyFill="1" applyBorder="1">
      <alignment vertical="center"/>
    </xf>
    <xf numFmtId="170" fontId="4" fillId="33" borderId="17" xfId="0" applyNumberFormat="1" applyFont="1" applyFill="1" applyBorder="1" applyAlignment="1">
      <alignment horizontal="center" vertical="center"/>
    </xf>
    <xf numFmtId="0" fontId="4" fillId="33" borderId="40" xfId="0" applyFont="1" applyFill="1" applyBorder="1" applyAlignment="1">
      <alignment horizontal="center" vertical="center"/>
    </xf>
    <xf numFmtId="166" fontId="4" fillId="33" borderId="22" xfId="33" applyNumberFormat="1" applyFont="1" applyFill="1" applyBorder="1">
      <alignment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30" xfId="0" applyFont="1" applyFill="1" applyBorder="1" applyAlignment="1">
      <alignment horizontal="center" vertical="center"/>
    </xf>
    <xf numFmtId="0" fontId="4" fillId="33" borderId="31" xfId="0" applyFont="1" applyFill="1" applyBorder="1" applyAlignment="1">
      <alignment horizontal="center" vertical="center"/>
    </xf>
    <xf numFmtId="166" fontId="4" fillId="0" borderId="15" xfId="0" applyNumberFormat="1" applyFont="1" applyBorder="1">
      <alignment vertical="center"/>
    </xf>
    <xf numFmtId="166" fontId="4" fillId="0" borderId="41" xfId="0" applyNumberFormat="1" applyFont="1" applyBorder="1">
      <alignment vertical="center"/>
    </xf>
    <xf numFmtId="0" fontId="4" fillId="0" borderId="42" xfId="0" applyFont="1" applyBorder="1">
      <alignment vertical="center"/>
    </xf>
    <xf numFmtId="166" fontId="4" fillId="33" borderId="32" xfId="0" quotePrefix="1" applyNumberFormat="1" applyFont="1" applyFill="1" applyBorder="1" applyAlignment="1">
      <alignment horizontal="center" vertical="center"/>
    </xf>
    <xf numFmtId="183" fontId="4" fillId="0" borderId="0" xfId="0" quotePrefix="1" applyNumberFormat="1" applyFont="1">
      <alignment vertical="center"/>
    </xf>
    <xf numFmtId="49" fontId="4" fillId="0" borderId="15" xfId="0" applyNumberFormat="1" applyFont="1" applyFill="1" applyBorder="1" applyAlignment="1">
      <alignment horizontal="center" vertical="center"/>
    </xf>
    <xf numFmtId="0" fontId="4" fillId="0" borderId="29" xfId="0" applyFont="1" applyFill="1" applyBorder="1" applyAlignment="1">
      <alignment horizontal="center" vertical="center"/>
    </xf>
    <xf numFmtId="182" fontId="4" fillId="0" borderId="0" xfId="0" applyNumberFormat="1" applyFont="1">
      <alignment vertical="center"/>
    </xf>
    <xf numFmtId="11" fontId="4" fillId="0" borderId="14" xfId="0" applyNumberFormat="1" applyFont="1" applyFill="1" applyBorder="1">
      <alignment vertical="center"/>
    </xf>
    <xf numFmtId="184" fontId="4" fillId="0" borderId="14" xfId="33" applyNumberFormat="1" applyFont="1" applyFill="1" applyBorder="1" applyAlignment="1">
      <alignment horizontal="center" vertical="center"/>
    </xf>
    <xf numFmtId="184" fontId="4" fillId="0" borderId="24" xfId="33" applyNumberFormat="1" applyFont="1" applyFill="1" applyBorder="1" applyAlignment="1">
      <alignment horizontal="center" vertical="center"/>
    </xf>
    <xf numFmtId="11" fontId="4" fillId="0" borderId="26" xfId="0" applyNumberFormat="1" applyFont="1" applyFill="1" applyBorder="1">
      <alignment vertical="center"/>
    </xf>
    <xf numFmtId="184" fontId="4" fillId="0" borderId="26" xfId="33" applyNumberFormat="1" applyFont="1" applyFill="1" applyBorder="1" applyAlignment="1">
      <alignment horizontal="center" vertical="center"/>
    </xf>
    <xf numFmtId="166" fontId="4" fillId="0" borderId="26" xfId="0" applyNumberFormat="1" applyFont="1" applyFill="1" applyBorder="1">
      <alignment vertical="center"/>
    </xf>
    <xf numFmtId="166" fontId="4" fillId="0" borderId="27" xfId="0" applyNumberFormat="1" applyFont="1" applyFill="1" applyBorder="1">
      <alignment vertical="center"/>
    </xf>
    <xf numFmtId="166" fontId="4" fillId="0" borderId="14" xfId="0" applyNumberFormat="1" applyFont="1" applyFill="1" applyBorder="1">
      <alignment vertical="center"/>
    </xf>
    <xf numFmtId="166" fontId="4" fillId="0" borderId="28" xfId="0" applyNumberFormat="1" applyFont="1" applyFill="1" applyBorder="1">
      <alignment vertical="center"/>
    </xf>
    <xf numFmtId="166" fontId="4" fillId="0" borderId="24" xfId="0" applyNumberFormat="1" applyFont="1" applyFill="1" applyBorder="1">
      <alignment vertical="center"/>
    </xf>
    <xf numFmtId="166" fontId="4" fillId="0" borderId="25" xfId="0" applyNumberFormat="1" applyFont="1" applyFill="1" applyBorder="1">
      <alignment vertical="center"/>
    </xf>
    <xf numFmtId="166" fontId="4" fillId="0" borderId="43" xfId="0" applyNumberFormat="1" applyFont="1" applyBorder="1">
      <alignment vertical="center"/>
    </xf>
    <xf numFmtId="166" fontId="4" fillId="0" borderId="33" xfId="0" applyNumberFormat="1" applyFont="1" applyBorder="1">
      <alignment vertical="center"/>
    </xf>
    <xf numFmtId="166" fontId="4" fillId="0" borderId="44" xfId="0" applyNumberFormat="1" applyFont="1" applyBorder="1">
      <alignment vertical="center"/>
    </xf>
    <xf numFmtId="166" fontId="4" fillId="0" borderId="15" xfId="0" applyNumberFormat="1" applyFont="1" applyFill="1" applyBorder="1" applyAlignment="1">
      <alignment horizontal="center" vertical="center"/>
    </xf>
    <xf numFmtId="166" fontId="4" fillId="34" borderId="15" xfId="0" applyNumberFormat="1" applyFont="1" applyFill="1" applyBorder="1" applyAlignment="1">
      <alignment horizontal="center" vertical="center"/>
    </xf>
    <xf numFmtId="10" fontId="4" fillId="0" borderId="14" xfId="0" applyNumberFormat="1" applyFont="1" applyFill="1" applyBorder="1" applyAlignment="1">
      <alignment horizontal="center" vertical="center"/>
    </xf>
    <xf numFmtId="10" fontId="4" fillId="0" borderId="15" xfId="0" applyNumberFormat="1" applyFont="1" applyFill="1" applyBorder="1" applyAlignment="1">
      <alignment horizontal="center" vertical="center"/>
    </xf>
    <xf numFmtId="170" fontId="4" fillId="33" borderId="14" xfId="0" applyNumberFormat="1" applyFont="1" applyFill="1" applyBorder="1" applyAlignment="1">
      <alignment horizontal="center" vertical="center"/>
    </xf>
    <xf numFmtId="11" fontId="4" fillId="33" borderId="14" xfId="0" applyNumberFormat="1" applyFont="1" applyFill="1" applyBorder="1">
      <alignment vertical="center"/>
    </xf>
    <xf numFmtId="166" fontId="4" fillId="33" borderId="14" xfId="0" quotePrefix="1" applyNumberFormat="1" applyFont="1" applyFill="1" applyBorder="1" applyAlignment="1">
      <alignment horizontal="center" vertical="center"/>
    </xf>
    <xf numFmtId="0" fontId="4" fillId="33" borderId="29" xfId="0" applyFont="1" applyFill="1" applyBorder="1" applyAlignment="1">
      <alignment horizontal="center" vertical="center"/>
    </xf>
    <xf numFmtId="170" fontId="4" fillId="33" borderId="26" xfId="0" applyNumberFormat="1" applyFont="1" applyFill="1" applyBorder="1" applyAlignment="1">
      <alignment horizontal="center" vertical="center"/>
    </xf>
    <xf numFmtId="11" fontId="4" fillId="33" borderId="26" xfId="0" applyNumberFormat="1" applyFont="1" applyFill="1" applyBorder="1">
      <alignment vertical="center"/>
    </xf>
    <xf numFmtId="166" fontId="4" fillId="33" borderId="26" xfId="0" quotePrefix="1" applyNumberFormat="1" applyFont="1" applyFill="1" applyBorder="1" applyAlignment="1">
      <alignment horizontal="center" vertical="center"/>
    </xf>
    <xf numFmtId="166" fontId="4" fillId="33" borderId="27" xfId="0" quotePrefix="1" applyNumberFormat="1" applyFont="1" applyFill="1" applyBorder="1" applyAlignment="1">
      <alignment horizontal="center" vertical="center"/>
    </xf>
    <xf numFmtId="0" fontId="4" fillId="33" borderId="30" xfId="0" applyFont="1" applyFill="1" applyBorder="1" applyAlignment="1">
      <alignment horizontal="center" vertical="center"/>
    </xf>
    <xf numFmtId="166" fontId="4" fillId="33" borderId="28" xfId="0" quotePrefix="1" applyNumberFormat="1" applyFont="1" applyFill="1" applyBorder="1" applyAlignment="1">
      <alignment horizontal="center" vertical="center"/>
    </xf>
    <xf numFmtId="0" fontId="4" fillId="33" borderId="23" xfId="0" applyFont="1" applyFill="1" applyBorder="1" applyAlignment="1">
      <alignment horizontal="center" vertical="center"/>
    </xf>
    <xf numFmtId="170" fontId="4" fillId="33" borderId="24" xfId="0" applyNumberFormat="1" applyFont="1" applyFill="1" applyBorder="1" applyAlignment="1">
      <alignment horizontal="center" vertical="center"/>
    </xf>
    <xf numFmtId="11" fontId="4" fillId="33" borderId="24" xfId="0" applyNumberFormat="1" applyFont="1" applyFill="1" applyBorder="1">
      <alignment vertical="center"/>
    </xf>
    <xf numFmtId="166" fontId="4" fillId="33" borderId="24" xfId="0" quotePrefix="1" applyNumberFormat="1" applyFont="1" applyFill="1" applyBorder="1" applyAlignment="1">
      <alignment horizontal="center" vertical="center"/>
    </xf>
    <xf numFmtId="166" fontId="4" fillId="33" borderId="25" xfId="0" quotePrefix="1" applyNumberFormat="1" applyFont="1" applyFill="1" applyBorder="1" applyAlignment="1">
      <alignment horizontal="center" vertical="center"/>
    </xf>
    <xf numFmtId="170" fontId="4" fillId="33" borderId="22" xfId="0" applyNumberFormat="1" applyFont="1" applyFill="1" applyBorder="1" applyAlignment="1">
      <alignment horizontal="center" vertical="center"/>
    </xf>
    <xf numFmtId="11" fontId="4" fillId="33" borderId="22" xfId="0" applyNumberFormat="1" applyFont="1" applyFill="1" applyBorder="1">
      <alignment vertical="center"/>
    </xf>
    <xf numFmtId="166" fontId="4" fillId="33" borderId="22" xfId="0" quotePrefix="1" applyNumberFormat="1" applyFont="1" applyFill="1" applyBorder="1" applyAlignment="1">
      <alignment horizontal="center" vertical="center"/>
    </xf>
    <xf numFmtId="0" fontId="4" fillId="0" borderId="0" xfId="0" quotePrefix="1" applyFont="1">
      <alignment vertical="center"/>
    </xf>
    <xf numFmtId="0" fontId="4" fillId="33" borderId="22" xfId="0" applyNumberFormat="1" applyFont="1" applyFill="1" applyBorder="1" applyAlignment="1">
      <alignment horizontal="left" vertical="center"/>
    </xf>
    <xf numFmtId="0" fontId="4" fillId="33" borderId="22" xfId="0" applyFont="1" applyFill="1" applyBorder="1" applyAlignment="1">
      <alignment horizontal="left" vertical="center"/>
    </xf>
    <xf numFmtId="0" fontId="4" fillId="33" borderId="14" xfId="0" applyNumberFormat="1" applyFont="1" applyFill="1" applyBorder="1" applyAlignment="1">
      <alignment horizontal="left" vertical="center"/>
    </xf>
    <xf numFmtId="0" fontId="4" fillId="33" borderId="14" xfId="0" applyFont="1" applyFill="1" applyBorder="1" applyAlignment="1">
      <alignment horizontal="left" vertical="center"/>
    </xf>
    <xf numFmtId="49" fontId="4" fillId="33" borderId="24" xfId="0" applyNumberFormat="1" applyFont="1" applyFill="1" applyBorder="1" applyAlignment="1">
      <alignment horizontal="left" vertical="center"/>
    </xf>
    <xf numFmtId="0" fontId="4" fillId="33" borderId="24" xfId="0" applyFont="1" applyFill="1" applyBorder="1" applyAlignment="1">
      <alignment horizontal="left" vertical="center"/>
    </xf>
    <xf numFmtId="49" fontId="4" fillId="33" borderId="26" xfId="0" applyNumberFormat="1" applyFont="1" applyFill="1" applyBorder="1" applyAlignment="1">
      <alignment horizontal="left" vertical="center"/>
    </xf>
    <xf numFmtId="0" fontId="4" fillId="33" borderId="26" xfId="0" applyFont="1" applyFill="1" applyBorder="1" applyAlignment="1">
      <alignment horizontal="left" vertical="center"/>
    </xf>
    <xf numFmtId="49" fontId="4" fillId="33" borderId="14" xfId="0" applyNumberFormat="1" applyFont="1" applyFill="1" applyBorder="1" applyAlignment="1">
      <alignment horizontal="left" vertical="center"/>
    </xf>
    <xf numFmtId="49" fontId="4" fillId="33" borderId="17" xfId="0" applyNumberFormat="1" applyFont="1" applyFill="1" applyBorder="1" applyAlignment="1">
      <alignment horizontal="left" vertical="center"/>
    </xf>
    <xf numFmtId="0" fontId="4" fillId="33" borderId="17" xfId="0" applyFont="1" applyFill="1" applyBorder="1" applyAlignment="1">
      <alignment horizontal="left" vertical="center"/>
    </xf>
    <xf numFmtId="49" fontId="4" fillId="33" borderId="22" xfId="0" applyNumberFormat="1" applyFont="1" applyFill="1" applyBorder="1" applyAlignment="1">
      <alignment horizontal="left" vertical="center"/>
    </xf>
    <xf numFmtId="0" fontId="4" fillId="0" borderId="0" xfId="0" applyNumberFormat="1" applyFont="1" applyAlignment="1">
      <alignment horizontal="left" vertical="center"/>
    </xf>
    <xf numFmtId="186" fontId="4" fillId="0" borderId="0" xfId="0" applyNumberFormat="1" applyFont="1" applyFill="1" applyBorder="1" applyAlignment="1">
      <alignment horizontal="left" vertical="center"/>
    </xf>
    <xf numFmtId="166" fontId="4" fillId="0" borderId="24" xfId="0" applyNumberFormat="1" applyFont="1" applyBorder="1" applyAlignment="1">
      <alignment vertical="center" wrapText="1"/>
    </xf>
    <xf numFmtId="166" fontId="4" fillId="0" borderId="23" xfId="0" applyNumberFormat="1" applyFont="1" applyBorder="1" applyAlignment="1">
      <alignment vertical="center" wrapText="1"/>
    </xf>
    <xf numFmtId="175" fontId="4" fillId="0" borderId="0" xfId="0" applyNumberFormat="1" applyFont="1" applyFill="1" applyBorder="1" applyAlignment="1">
      <alignment horizontal="center" vertical="justify" wrapText="1"/>
    </xf>
    <xf numFmtId="175" fontId="4" fillId="0" borderId="21" xfId="0" applyNumberFormat="1" applyFont="1" applyFill="1" applyBorder="1" applyAlignment="1">
      <alignment horizontal="center" vertical="justify" wrapText="1"/>
    </xf>
    <xf numFmtId="0" fontId="31" fillId="0" borderId="0" xfId="0" applyFont="1" applyFill="1" applyBorder="1" applyAlignment="1">
      <alignment horizontal="center" vertical="center"/>
    </xf>
    <xf numFmtId="166" fontId="4" fillId="0" borderId="0" xfId="0" quotePrefix="1" applyNumberFormat="1" applyFont="1" applyFill="1" applyBorder="1" applyAlignment="1">
      <alignment horizontal="center" vertical="center"/>
    </xf>
    <xf numFmtId="166" fontId="4" fillId="0" borderId="42" xfId="0" applyNumberFormat="1" applyFont="1" applyBorder="1">
      <alignment vertical="center"/>
    </xf>
    <xf numFmtId="183" fontId="4" fillId="0" borderId="0" xfId="0" applyNumberFormat="1" applyFont="1">
      <alignment vertical="center"/>
    </xf>
    <xf numFmtId="41" fontId="4" fillId="0" borderId="0" xfId="33" applyFont="1">
      <alignment vertical="center"/>
    </xf>
    <xf numFmtId="187" fontId="4" fillId="0" borderId="0" xfId="0" applyNumberFormat="1" applyFont="1" applyBorder="1" applyAlignment="1">
      <alignment vertical="center"/>
    </xf>
    <xf numFmtId="43" fontId="4" fillId="0" borderId="0" xfId="0" applyNumberFormat="1" applyFont="1">
      <alignment vertical="center"/>
    </xf>
    <xf numFmtId="183" fontId="0" fillId="0" borderId="0" xfId="0" applyNumberFormat="1">
      <alignment vertical="center"/>
    </xf>
    <xf numFmtId="166" fontId="4" fillId="33" borderId="24" xfId="0" applyNumberFormat="1" applyFont="1" applyFill="1" applyBorder="1" applyAlignment="1">
      <alignment horizontal="center" vertical="justify" wrapText="1"/>
    </xf>
    <xf numFmtId="0" fontId="4" fillId="33" borderId="25" xfId="0" applyFont="1" applyFill="1" applyBorder="1" applyAlignment="1">
      <alignment horizontal="center" vertical="justify" wrapText="1"/>
    </xf>
    <xf numFmtId="188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66" fontId="4" fillId="0" borderId="0" xfId="0" quotePrefix="1" applyNumberFormat="1" applyFont="1">
      <alignment vertical="center"/>
    </xf>
    <xf numFmtId="175" fontId="4" fillId="33" borderId="26" xfId="0" applyNumberFormat="1" applyFont="1" applyFill="1" applyBorder="1" applyAlignment="1">
      <alignment horizontal="center" vertical="justify" wrapText="1"/>
    </xf>
    <xf numFmtId="175" fontId="4" fillId="33" borderId="24" xfId="0" applyNumberFormat="1" applyFont="1" applyFill="1" applyBorder="1" applyAlignment="1">
      <alignment horizontal="center" vertical="justify" wrapText="1"/>
    </xf>
    <xf numFmtId="11" fontId="4" fillId="33" borderId="26" xfId="0" applyNumberFormat="1" applyFont="1" applyFill="1" applyBorder="1" applyAlignment="1">
      <alignment horizontal="center" vertical="justify" wrapText="1"/>
    </xf>
    <xf numFmtId="11" fontId="4" fillId="33" borderId="24" xfId="0" applyNumberFormat="1" applyFont="1" applyFill="1" applyBorder="1" applyAlignment="1">
      <alignment horizontal="center" vertical="justify" wrapText="1"/>
    </xf>
    <xf numFmtId="41" fontId="4" fillId="33" borderId="26" xfId="33" applyFont="1" applyFill="1" applyBorder="1" applyAlignment="1">
      <alignment horizontal="center" vertical="justify" wrapText="1"/>
    </xf>
    <xf numFmtId="41" fontId="4" fillId="33" borderId="24" xfId="33" applyFont="1" applyFill="1" applyBorder="1" applyAlignment="1">
      <alignment horizontal="center" vertical="justify" wrapText="1"/>
    </xf>
    <xf numFmtId="0" fontId="4" fillId="33" borderId="24" xfId="0" applyFont="1" applyFill="1" applyBorder="1" applyAlignment="1">
      <alignment horizontal="center" vertical="justify" wrapText="1"/>
    </xf>
    <xf numFmtId="0" fontId="4" fillId="33" borderId="26" xfId="0" applyFont="1" applyFill="1" applyBorder="1" applyAlignment="1">
      <alignment horizontal="center" vertical="justify" wrapText="1"/>
    </xf>
    <xf numFmtId="0" fontId="4" fillId="33" borderId="26" xfId="0" applyFont="1" applyFill="1" applyBorder="1" applyAlignment="1">
      <alignment horizontal="center" vertical="center"/>
    </xf>
    <xf numFmtId="175" fontId="4" fillId="36" borderId="42" xfId="0" applyNumberFormat="1" applyFont="1" applyFill="1" applyBorder="1" applyAlignment="1">
      <alignment horizontal="center" vertical="justify" wrapText="1"/>
    </xf>
    <xf numFmtId="175" fontId="4" fillId="36" borderId="24" xfId="0" applyNumberFormat="1" applyFont="1" applyFill="1" applyBorder="1" applyAlignment="1">
      <alignment horizontal="center" vertical="justify" wrapText="1"/>
    </xf>
    <xf numFmtId="175" fontId="4" fillId="36" borderId="0" xfId="0" applyNumberFormat="1" applyFont="1" applyFill="1">
      <alignment vertical="center"/>
    </xf>
    <xf numFmtId="0" fontId="4" fillId="36" borderId="0" xfId="0" applyFont="1" applyFill="1">
      <alignment vertical="center"/>
    </xf>
    <xf numFmtId="166" fontId="4" fillId="36" borderId="0" xfId="0" applyNumberFormat="1" applyFont="1" applyFill="1">
      <alignment vertical="center"/>
    </xf>
    <xf numFmtId="188" fontId="4" fillId="36" borderId="0" xfId="0" applyNumberFormat="1" applyFont="1" applyFill="1">
      <alignment vertical="center"/>
    </xf>
    <xf numFmtId="183" fontId="4" fillId="0" borderId="0" xfId="0" applyNumberFormat="1" applyFont="1" applyFill="1">
      <alignment vertical="center"/>
    </xf>
    <xf numFmtId="181" fontId="4" fillId="0" borderId="0" xfId="0" applyNumberFormat="1" applyFont="1">
      <alignment vertical="center"/>
    </xf>
    <xf numFmtId="175" fontId="4" fillId="0" borderId="0" xfId="33" applyNumberFormat="1" applyFont="1">
      <alignment vertical="center"/>
    </xf>
    <xf numFmtId="0" fontId="4" fillId="32" borderId="14" xfId="0" applyFont="1" applyFill="1" applyBorder="1" applyAlignment="1" applyProtection="1">
      <alignment horizontal="center" vertical="center"/>
      <protection locked="0"/>
    </xf>
    <xf numFmtId="0" fontId="4" fillId="32" borderId="14" xfId="0" applyFont="1" applyFill="1" applyBorder="1" applyProtection="1">
      <alignment vertical="center"/>
      <protection locked="0"/>
    </xf>
    <xf numFmtId="176" fontId="4" fillId="32" borderId="14" xfId="0" applyNumberFormat="1" applyFont="1" applyFill="1" applyBorder="1" applyAlignment="1" applyProtection="1">
      <alignment horizontal="center" vertical="center"/>
      <protection locked="0"/>
    </xf>
    <xf numFmtId="177" fontId="4" fillId="32" borderId="14" xfId="0" applyNumberFormat="1" applyFont="1" applyFill="1" applyBorder="1" applyAlignment="1">
      <alignment horizontal="center" vertical="center"/>
    </xf>
    <xf numFmtId="169" fontId="4" fillId="32" borderId="14" xfId="0" applyNumberFormat="1" applyFont="1" applyFill="1" applyBorder="1" applyAlignment="1" applyProtection="1">
      <alignment horizontal="center" vertical="center"/>
      <protection locked="0"/>
    </xf>
    <xf numFmtId="169" fontId="4" fillId="32" borderId="14" xfId="0" applyNumberFormat="1" applyFont="1" applyFill="1" applyBorder="1" applyAlignment="1">
      <alignment horizontal="center" vertical="center"/>
    </xf>
    <xf numFmtId="174" fontId="4" fillId="37" borderId="14" xfId="0" applyNumberFormat="1" applyFont="1" applyFill="1" applyBorder="1" applyAlignment="1" applyProtection="1">
      <alignment horizontal="center" vertical="center"/>
      <protection locked="0"/>
    </xf>
    <xf numFmtId="177" fontId="4" fillId="37" borderId="14" xfId="0" applyNumberFormat="1" applyFont="1" applyFill="1" applyBorder="1" applyAlignment="1">
      <alignment vertical="center"/>
    </xf>
    <xf numFmtId="10" fontId="4" fillId="37" borderId="14" xfId="0" applyNumberFormat="1" applyFont="1" applyFill="1" applyBorder="1" applyAlignment="1">
      <alignment horizontal="center" vertical="center"/>
    </xf>
    <xf numFmtId="178" fontId="4" fillId="37" borderId="17" xfId="0" applyNumberFormat="1" applyFont="1" applyFill="1" applyBorder="1" applyAlignment="1" applyProtection="1">
      <alignment horizontal="center" vertical="center"/>
      <protection locked="0"/>
    </xf>
    <xf numFmtId="178" fontId="4" fillId="37" borderId="14" xfId="0" applyNumberFormat="1" applyFont="1" applyFill="1" applyBorder="1">
      <alignment vertical="center"/>
    </xf>
    <xf numFmtId="166" fontId="4" fillId="37" borderId="14" xfId="0" applyNumberFormat="1" applyFont="1" applyFill="1" applyBorder="1" applyAlignment="1" applyProtection="1">
      <alignment horizontal="center" vertical="center"/>
      <protection locked="0"/>
    </xf>
    <xf numFmtId="0" fontId="4" fillId="37" borderId="14" xfId="0" applyFont="1" applyFill="1" applyBorder="1" applyAlignment="1">
      <alignment horizontal="center" vertical="center"/>
    </xf>
    <xf numFmtId="175" fontId="4" fillId="33" borderId="24" xfId="0" applyNumberFormat="1" applyFont="1" applyFill="1" applyBorder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9" fontId="4" fillId="0" borderId="14" xfId="0" applyNumberFormat="1" applyFont="1" applyBorder="1" applyAlignment="1">
      <alignment horizontal="center" vertical="center"/>
    </xf>
    <xf numFmtId="0" fontId="4" fillId="38" borderId="14" xfId="0" applyFont="1" applyFill="1" applyBorder="1" applyAlignment="1">
      <alignment horizontal="center" vertical="center"/>
    </xf>
    <xf numFmtId="178" fontId="4" fillId="38" borderId="14" xfId="0" applyNumberFormat="1" applyFont="1" applyFill="1" applyBorder="1" applyAlignment="1" applyProtection="1">
      <alignment horizontal="center" vertical="center"/>
      <protection locked="0"/>
    </xf>
    <xf numFmtId="0" fontId="4" fillId="29" borderId="24" xfId="0" applyNumberFormat="1" applyFont="1" applyFill="1" applyBorder="1" applyAlignment="1">
      <alignment horizontal="left" vertical="justify" wrapText="1"/>
    </xf>
    <xf numFmtId="0" fontId="4" fillId="29" borderId="24" xfId="0" applyFont="1" applyFill="1" applyBorder="1" applyAlignment="1">
      <alignment horizontal="left" vertical="justify" wrapText="1"/>
    </xf>
    <xf numFmtId="183" fontId="4" fillId="0" borderId="0" xfId="0" quotePrefix="1" applyNumberFormat="1" applyFont="1" applyAlignment="1">
      <alignment horizontal="center" vertical="center"/>
    </xf>
    <xf numFmtId="183" fontId="4" fillId="0" borderId="0" xfId="0" applyNumberFormat="1" applyFont="1" applyAlignment="1">
      <alignment horizontal="center" vertical="center"/>
    </xf>
    <xf numFmtId="41" fontId="4" fillId="0" borderId="0" xfId="0" applyNumberFormat="1" applyFont="1">
      <alignment vertical="center"/>
    </xf>
    <xf numFmtId="11" fontId="4" fillId="0" borderId="46" xfId="0" applyNumberFormat="1" applyFont="1" applyFill="1" applyBorder="1">
      <alignment vertical="center"/>
    </xf>
    <xf numFmtId="11" fontId="4" fillId="0" borderId="39" xfId="0" applyNumberFormat="1" applyFont="1" applyFill="1" applyBorder="1">
      <alignment vertical="center"/>
    </xf>
    <xf numFmtId="11" fontId="4" fillId="0" borderId="47" xfId="0" applyNumberFormat="1" applyFont="1" applyFill="1" applyBorder="1">
      <alignment vertical="center"/>
    </xf>
    <xf numFmtId="38" fontId="4" fillId="35" borderId="14" xfId="0" applyNumberFormat="1" applyFont="1" applyFill="1" applyBorder="1">
      <alignment vertical="center"/>
    </xf>
    <xf numFmtId="41" fontId="4" fillId="35" borderId="14" xfId="0" applyNumberFormat="1" applyFont="1" applyFill="1" applyBorder="1">
      <alignment vertical="center"/>
    </xf>
    <xf numFmtId="11" fontId="4" fillId="35" borderId="14" xfId="0" applyNumberFormat="1" applyFont="1" applyFill="1" applyBorder="1">
      <alignment vertical="center"/>
    </xf>
    <xf numFmtId="9" fontId="4" fillId="0" borderId="0" xfId="29" applyFont="1">
      <alignment vertical="center"/>
    </xf>
    <xf numFmtId="9" fontId="4" fillId="0" borderId="0" xfId="29" applyFont="1" applyFill="1">
      <alignment vertical="center"/>
    </xf>
    <xf numFmtId="0" fontId="4" fillId="0" borderId="17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 wrapText="1"/>
    </xf>
    <xf numFmtId="166" fontId="4" fillId="0" borderId="40" xfId="0" applyNumberFormat="1" applyFont="1" applyBorder="1">
      <alignment vertical="center"/>
    </xf>
    <xf numFmtId="166" fontId="4" fillId="0" borderId="17" xfId="0" applyNumberFormat="1" applyFont="1" applyBorder="1">
      <alignment vertical="center"/>
    </xf>
    <xf numFmtId="166" fontId="4" fillId="0" borderId="38" xfId="0" applyNumberFormat="1" applyFont="1" applyBorder="1">
      <alignment vertical="center"/>
    </xf>
    <xf numFmtId="166" fontId="4" fillId="0" borderId="19" xfId="0" applyNumberFormat="1" applyFont="1" applyBorder="1">
      <alignment vertical="center"/>
    </xf>
    <xf numFmtId="166" fontId="4" fillId="0" borderId="48" xfId="0" applyNumberFormat="1" applyFont="1" applyBorder="1">
      <alignment vertical="center"/>
    </xf>
    <xf numFmtId="10" fontId="4" fillId="32" borderId="14" xfId="0" quotePrefix="1" applyNumberFormat="1" applyFont="1" applyFill="1" applyBorder="1" applyAlignment="1" applyProtection="1">
      <alignment horizontal="center" vertical="center"/>
      <protection locked="0"/>
    </xf>
    <xf numFmtId="0" fontId="4" fillId="0" borderId="15" xfId="0" applyFont="1" applyBorder="1" applyAlignment="1">
      <alignment horizontal="center" vertical="center"/>
    </xf>
    <xf numFmtId="186" fontId="4" fillId="0" borderId="15" xfId="0" applyNumberFormat="1" applyFont="1" applyBorder="1" applyAlignment="1">
      <alignment horizontal="right" vertical="center"/>
    </xf>
    <xf numFmtId="184" fontId="4" fillId="0" borderId="15" xfId="33" applyNumberFormat="1" applyFont="1" applyBorder="1" applyAlignment="1">
      <alignment horizontal="right" vertical="center"/>
    </xf>
    <xf numFmtId="184" fontId="4" fillId="0" borderId="15" xfId="0" applyNumberFormat="1" applyFont="1" applyBorder="1" applyAlignment="1">
      <alignment horizontal="right" vertical="center"/>
    </xf>
    <xf numFmtId="186" fontId="4" fillId="0" borderId="14" xfId="0" applyNumberFormat="1" applyFont="1" applyBorder="1" applyAlignment="1">
      <alignment horizontal="right" vertical="center"/>
    </xf>
    <xf numFmtId="0" fontId="4" fillId="0" borderId="15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0" fillId="0" borderId="0" xfId="0" applyAlignment="1"/>
    <xf numFmtId="0" fontId="4" fillId="0" borderId="59" xfId="0" applyFont="1" applyBorder="1" applyAlignment="1">
      <alignment horizontal="center" vertical="center"/>
    </xf>
    <xf numFmtId="0" fontId="4" fillId="0" borderId="15" xfId="0" applyNumberFormat="1" applyFont="1" applyFill="1" applyBorder="1" applyAlignment="1">
      <alignment horizontal="center" vertical="center"/>
    </xf>
    <xf numFmtId="186" fontId="4" fillId="0" borderId="59" xfId="0" applyNumberFormat="1" applyFont="1" applyBorder="1" applyAlignment="1">
      <alignment horizontal="right" vertical="center"/>
    </xf>
    <xf numFmtId="186" fontId="4" fillId="0" borderId="14" xfId="0" applyNumberFormat="1" applyFont="1" applyFill="1" applyBorder="1" applyAlignment="1">
      <alignment horizontal="right" vertical="center"/>
    </xf>
    <xf numFmtId="186" fontId="4" fillId="0" borderId="15" xfId="0" applyNumberFormat="1" applyFont="1" applyFill="1" applyBorder="1" applyAlignment="1">
      <alignment horizontal="right" vertical="center"/>
    </xf>
    <xf numFmtId="184" fontId="4" fillId="0" borderId="59" xfId="33" applyNumberFormat="1" applyFont="1" applyBorder="1" applyAlignment="1">
      <alignment horizontal="right" vertical="center"/>
    </xf>
    <xf numFmtId="184" fontId="4" fillId="0" borderId="15" xfId="33" applyNumberFormat="1" applyFont="1" applyFill="1" applyBorder="1" applyAlignment="1">
      <alignment horizontal="right" vertical="center"/>
    </xf>
    <xf numFmtId="184" fontId="4" fillId="0" borderId="15" xfId="0" applyNumberFormat="1" applyFont="1" applyFill="1" applyBorder="1" applyAlignment="1">
      <alignment horizontal="right" vertical="center"/>
    </xf>
    <xf numFmtId="184" fontId="4" fillId="0" borderId="59" xfId="0" applyNumberFormat="1" applyFont="1" applyBorder="1" applyAlignment="1">
      <alignment horizontal="right" vertical="center"/>
    </xf>
    <xf numFmtId="186" fontId="4" fillId="0" borderId="22" xfId="0" applyNumberFormat="1" applyFont="1" applyBorder="1" applyAlignment="1">
      <alignment horizontal="right" vertical="center"/>
    </xf>
    <xf numFmtId="0" fontId="4" fillId="29" borderId="24" xfId="0" applyFont="1" applyFill="1" applyBorder="1" applyAlignment="1">
      <alignment horizontal="center" vertical="justify" wrapText="1"/>
    </xf>
    <xf numFmtId="172" fontId="4" fillId="0" borderId="0" xfId="0" applyNumberFormat="1" applyFont="1" applyAlignment="1">
      <alignment horizontal="center" vertical="center"/>
    </xf>
    <xf numFmtId="10" fontId="4" fillId="32" borderId="3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32" fillId="0" borderId="14" xfId="0" applyFont="1" applyBorder="1" applyAlignment="1">
      <alignment horizontal="center" vertical="center" wrapText="1"/>
    </xf>
    <xf numFmtId="0" fontId="32" fillId="0" borderId="14" xfId="0" applyFont="1" applyFill="1" applyBorder="1" applyAlignment="1">
      <alignment horizontal="center" vertical="center" wrapText="1"/>
    </xf>
    <xf numFmtId="11" fontId="32" fillId="0" borderId="14" xfId="0" applyNumberFormat="1" applyFont="1" applyFill="1" applyBorder="1" applyAlignment="1">
      <alignment vertical="center" wrapText="1"/>
    </xf>
    <xf numFmtId="41" fontId="32" fillId="0" borderId="14" xfId="33" applyFont="1" applyFill="1" applyBorder="1" applyAlignment="1">
      <alignment vertical="center" wrapText="1"/>
    </xf>
    <xf numFmtId="0" fontId="32" fillId="0" borderId="0" xfId="0" applyFont="1" applyAlignment="1">
      <alignment vertical="center" wrapText="1"/>
    </xf>
    <xf numFmtId="0" fontId="32" fillId="0" borderId="14" xfId="0" applyFont="1" applyFill="1" applyBorder="1" applyAlignment="1">
      <alignment vertical="center" wrapText="1"/>
    </xf>
    <xf numFmtId="0" fontId="32" fillId="0" borderId="14" xfId="0" applyFont="1" applyFill="1" applyBorder="1" applyAlignment="1">
      <alignment horizontal="center" vertical="center"/>
    </xf>
    <xf numFmtId="0" fontId="32" fillId="0" borderId="14" xfId="0" applyFont="1" applyFill="1" applyBorder="1">
      <alignment vertical="center"/>
    </xf>
    <xf numFmtId="11" fontId="32" fillId="0" borderId="14" xfId="0" applyNumberFormat="1" applyFont="1" applyFill="1" applyBorder="1">
      <alignment vertical="center"/>
    </xf>
    <xf numFmtId="41" fontId="32" fillId="0" borderId="14" xfId="33" applyFont="1" applyFill="1" applyBorder="1">
      <alignment vertical="center"/>
    </xf>
    <xf numFmtId="0" fontId="33" fillId="0" borderId="0" xfId="58" applyFont="1" applyAlignment="1">
      <alignment horizontal="left" vertical="top" wrapText="1"/>
      <protection locked="0"/>
    </xf>
    <xf numFmtId="185" fontId="33" fillId="0" borderId="0" xfId="58" applyNumberFormat="1" applyFont="1" applyAlignment="1">
      <alignment horizontal="left" vertical="top" wrapText="1"/>
      <protection locked="0"/>
    </xf>
    <xf numFmtId="0" fontId="34" fillId="0" borderId="0" xfId="0" applyFont="1" applyAlignment="1">
      <alignment horizontal="left"/>
    </xf>
    <xf numFmtId="185" fontId="34" fillId="0" borderId="0" xfId="0" applyNumberFormat="1" applyFont="1" applyAlignment="1">
      <alignment horizontal="left"/>
    </xf>
    <xf numFmtId="166" fontId="34" fillId="0" borderId="0" xfId="0" applyNumberFormat="1" applyFont="1" applyAlignment="1">
      <alignment horizontal="left" vertical="center"/>
    </xf>
    <xf numFmtId="185" fontId="34" fillId="0" borderId="0" xfId="0" applyNumberFormat="1" applyFont="1" applyAlignment="1">
      <alignment horizontal="left" vertical="center"/>
    </xf>
    <xf numFmtId="183" fontId="33" fillId="0" borderId="0" xfId="58" applyNumberFormat="1" applyFont="1" applyAlignment="1">
      <alignment horizontal="left" vertical="top" wrapText="1"/>
      <protection locked="0"/>
    </xf>
    <xf numFmtId="183" fontId="34" fillId="0" borderId="0" xfId="0" applyNumberFormat="1" applyFont="1" applyAlignment="1">
      <alignment horizontal="left"/>
    </xf>
    <xf numFmtId="183" fontId="34" fillId="0" borderId="0" xfId="0" applyNumberFormat="1" applyFont="1" applyAlignment="1">
      <alignment horizontal="left" vertical="center"/>
    </xf>
    <xf numFmtId="177" fontId="34" fillId="0" borderId="0" xfId="0" applyNumberFormat="1" applyFont="1" applyAlignment="1">
      <alignment horizontal="left" vertical="center"/>
    </xf>
    <xf numFmtId="190" fontId="4" fillId="0" borderId="0" xfId="0" applyNumberFormat="1" applyFont="1">
      <alignment vertical="center"/>
    </xf>
    <xf numFmtId="0" fontId="4" fillId="0" borderId="0" xfId="0" applyFont="1" applyFill="1" applyAlignment="1">
      <alignment vertical="center" wrapText="1"/>
    </xf>
    <xf numFmtId="0" fontId="4" fillId="0" borderId="10" xfId="0" applyFont="1" applyFill="1" applyBorder="1" applyAlignment="1">
      <alignment horizontal="center" vertical="center" wrapText="1"/>
    </xf>
    <xf numFmtId="9" fontId="4" fillId="0" borderId="0" xfId="0" applyNumberFormat="1" applyFont="1" applyFill="1" applyAlignment="1">
      <alignment horizontal="left" vertical="center"/>
    </xf>
    <xf numFmtId="11" fontId="4" fillId="0" borderId="0" xfId="0" applyNumberFormat="1" applyFont="1" applyFill="1" applyAlignment="1">
      <alignment horizontal="center" vertical="center"/>
    </xf>
    <xf numFmtId="180" fontId="4" fillId="0" borderId="0" xfId="33" applyNumberFormat="1" applyFont="1" applyFill="1">
      <alignment vertical="center"/>
    </xf>
    <xf numFmtId="172" fontId="4" fillId="0" borderId="0" xfId="0" applyNumberFormat="1" applyFont="1" applyFill="1">
      <alignment vertical="center"/>
    </xf>
    <xf numFmtId="49" fontId="4" fillId="0" borderId="0" xfId="0" applyNumberFormat="1" applyFont="1" applyFill="1" applyAlignment="1">
      <alignment horizontal="center" vertical="center"/>
    </xf>
    <xf numFmtId="184" fontId="4" fillId="0" borderId="0" xfId="33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/>
    </xf>
    <xf numFmtId="171" fontId="4" fillId="0" borderId="10" xfId="0" applyNumberFormat="1" applyFont="1" applyFill="1" applyBorder="1" applyAlignment="1">
      <alignment horizontal="center" vertical="center"/>
    </xf>
    <xf numFmtId="11" fontId="4" fillId="0" borderId="10" xfId="0" applyNumberFormat="1" applyFont="1" applyFill="1" applyBorder="1">
      <alignment vertical="center"/>
    </xf>
    <xf numFmtId="180" fontId="4" fillId="0" borderId="10" xfId="33" applyNumberFormat="1" applyFont="1" applyFill="1" applyBorder="1">
      <alignment vertical="center"/>
    </xf>
    <xf numFmtId="172" fontId="4" fillId="0" borderId="10" xfId="0" applyNumberFormat="1" applyFont="1" applyFill="1" applyBorder="1">
      <alignment vertical="center"/>
    </xf>
    <xf numFmtId="11" fontId="4" fillId="0" borderId="15" xfId="0" applyNumberFormat="1" applyFont="1" applyFill="1" applyBorder="1">
      <alignment vertical="center"/>
    </xf>
    <xf numFmtId="0" fontId="4" fillId="0" borderId="14" xfId="0" applyFont="1" applyFill="1" applyBorder="1">
      <alignment vertical="center"/>
    </xf>
    <xf numFmtId="174" fontId="4" fillId="0" borderId="0" xfId="0" applyNumberFormat="1" applyFont="1" applyFill="1" applyAlignment="1">
      <alignment horizontal="left" vertical="center"/>
    </xf>
    <xf numFmtId="11" fontId="4" fillId="0" borderId="0" xfId="0" applyNumberFormat="1" applyFont="1" applyFill="1">
      <alignment vertical="center"/>
    </xf>
    <xf numFmtId="49" fontId="4" fillId="0" borderId="0" xfId="0" applyNumberFormat="1" applyFont="1" applyFill="1">
      <alignment vertical="center"/>
    </xf>
    <xf numFmtId="9" fontId="4" fillId="0" borderId="0" xfId="0" applyNumberFormat="1" applyFont="1" applyFill="1">
      <alignment vertical="center"/>
    </xf>
    <xf numFmtId="165" fontId="4" fillId="0" borderId="10" xfId="33" applyNumberFormat="1" applyFont="1" applyFill="1" applyBorder="1">
      <alignment vertical="center"/>
    </xf>
    <xf numFmtId="185" fontId="4" fillId="0" borderId="0" xfId="0" applyNumberFormat="1" applyFont="1" applyFill="1" applyAlignment="1">
      <alignment horizontal="center" vertical="center"/>
    </xf>
    <xf numFmtId="165" fontId="4" fillId="0" borderId="11" xfId="0" applyNumberFormat="1" applyFont="1" applyFill="1" applyBorder="1">
      <alignment vertical="center"/>
    </xf>
    <xf numFmtId="174" fontId="4" fillId="0" borderId="11" xfId="0" applyNumberFormat="1" applyFont="1" applyFill="1" applyBorder="1">
      <alignment vertical="center"/>
    </xf>
    <xf numFmtId="185" fontId="4" fillId="0" borderId="10" xfId="0" applyNumberFormat="1" applyFont="1" applyFill="1" applyBorder="1">
      <alignment vertical="center"/>
    </xf>
    <xf numFmtId="9" fontId="4" fillId="0" borderId="0" xfId="29" applyFont="1" applyFill="1" applyAlignment="1">
      <alignment horizontal="left" vertical="center"/>
    </xf>
    <xf numFmtId="11" fontId="4" fillId="0" borderId="24" xfId="0" applyNumberFormat="1" applyFont="1" applyFill="1" applyBorder="1">
      <alignment vertical="center"/>
    </xf>
    <xf numFmtId="0" fontId="4" fillId="0" borderId="60" xfId="0" applyFont="1" applyFill="1" applyBorder="1">
      <alignment vertical="center"/>
    </xf>
    <xf numFmtId="0" fontId="4" fillId="0" borderId="61" xfId="0" applyFont="1" applyFill="1" applyBorder="1">
      <alignment vertical="center"/>
    </xf>
    <xf numFmtId="0" fontId="4" fillId="0" borderId="64" xfId="0" applyFont="1" applyFill="1" applyBorder="1">
      <alignment vertical="center"/>
    </xf>
    <xf numFmtId="0" fontId="4" fillId="0" borderId="65" xfId="0" applyFont="1" applyFill="1" applyBorder="1">
      <alignment vertical="center"/>
    </xf>
    <xf numFmtId="0" fontId="4" fillId="0" borderId="62" xfId="0" applyFont="1" applyFill="1" applyBorder="1">
      <alignment vertical="center"/>
    </xf>
    <xf numFmtId="0" fontId="4" fillId="0" borderId="63" xfId="0" applyFont="1" applyFill="1" applyBorder="1">
      <alignment vertical="center"/>
    </xf>
    <xf numFmtId="0" fontId="4" fillId="0" borderId="66" xfId="0" applyFont="1" applyFill="1" applyBorder="1">
      <alignment vertical="center"/>
    </xf>
    <xf numFmtId="0" fontId="4" fillId="0" borderId="67" xfId="0" applyFont="1" applyFill="1" applyBorder="1">
      <alignment vertical="center"/>
    </xf>
    <xf numFmtId="170" fontId="4" fillId="0" borderId="11" xfId="0" applyNumberFormat="1" applyFont="1" applyFill="1" applyBorder="1">
      <alignment vertical="center"/>
    </xf>
    <xf numFmtId="0" fontId="4" fillId="0" borderId="0" xfId="0" applyFont="1" applyFill="1" applyAlignment="1">
      <alignment horizontal="right" vertical="center"/>
    </xf>
    <xf numFmtId="185" fontId="4" fillId="0" borderId="0" xfId="0" applyNumberFormat="1" applyFont="1" applyFill="1">
      <alignment vertical="center"/>
    </xf>
    <xf numFmtId="189" fontId="4" fillId="0" borderId="0" xfId="29" applyNumberFormat="1" applyFont="1" applyFill="1">
      <alignment vertical="center"/>
    </xf>
    <xf numFmtId="9" fontId="4" fillId="0" borderId="0" xfId="0" applyNumberFormat="1" applyFont="1" applyFill="1" applyAlignment="1">
      <alignment vertical="center" wrapText="1"/>
    </xf>
    <xf numFmtId="185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180" fontId="4" fillId="0" borderId="0" xfId="33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180" fontId="4" fillId="0" borderId="0" xfId="33" applyNumberFormat="1" applyFont="1" applyFill="1" applyAlignment="1">
      <alignment horizontal="center" vertical="center"/>
    </xf>
    <xf numFmtId="165" fontId="4" fillId="0" borderId="0" xfId="0" applyNumberFormat="1" applyFont="1" applyFill="1" applyAlignment="1">
      <alignment horizontal="center" vertical="center"/>
    </xf>
    <xf numFmtId="170" fontId="4" fillId="0" borderId="0" xfId="0" applyNumberFormat="1" applyFont="1" applyFill="1">
      <alignment vertical="center"/>
    </xf>
    <xf numFmtId="0" fontId="4" fillId="0" borderId="0" xfId="0" quotePrefix="1" applyFont="1" applyFill="1">
      <alignment vertical="center"/>
    </xf>
    <xf numFmtId="0" fontId="35" fillId="0" borderId="0" xfId="0" applyFont="1" applyFill="1" applyAlignment="1">
      <alignment horizontal="center" vertical="center"/>
    </xf>
    <xf numFmtId="0" fontId="35" fillId="0" borderId="0" xfId="0" applyFont="1">
      <alignment vertical="center"/>
    </xf>
    <xf numFmtId="172" fontId="35" fillId="0" borderId="0" xfId="0" applyNumberFormat="1" applyFont="1" applyAlignment="1">
      <alignment horizontal="center" vertical="center"/>
    </xf>
    <xf numFmtId="175" fontId="35" fillId="0" borderId="0" xfId="0" applyNumberFormat="1" applyFont="1">
      <alignment vertical="center"/>
    </xf>
    <xf numFmtId="175" fontId="35" fillId="0" borderId="0" xfId="33" applyNumberFormat="1" applyFont="1">
      <alignment vertical="center"/>
    </xf>
    <xf numFmtId="181" fontId="35" fillId="0" borderId="0" xfId="0" applyNumberFormat="1" applyFont="1">
      <alignment vertical="center"/>
    </xf>
    <xf numFmtId="0" fontId="4" fillId="32" borderId="0" xfId="0" applyFont="1" applyFill="1" applyAlignment="1">
      <alignment horizontal="center" vertical="center"/>
    </xf>
    <xf numFmtId="0" fontId="4" fillId="32" borderId="0" xfId="0" applyFont="1" applyFill="1">
      <alignment vertical="center"/>
    </xf>
    <xf numFmtId="172" fontId="4" fillId="32" borderId="0" xfId="0" applyNumberFormat="1" applyFont="1" applyFill="1" applyAlignment="1">
      <alignment horizontal="center" vertical="center"/>
    </xf>
    <xf numFmtId="175" fontId="4" fillId="32" borderId="0" xfId="0" applyNumberFormat="1" applyFont="1" applyFill="1">
      <alignment vertical="center"/>
    </xf>
    <xf numFmtId="175" fontId="4" fillId="32" borderId="0" xfId="33" applyNumberFormat="1" applyFont="1" applyFill="1">
      <alignment vertical="center"/>
    </xf>
    <xf numFmtId="181" fontId="4" fillId="32" borderId="0" xfId="0" applyNumberFormat="1" applyFont="1" applyFill="1">
      <alignment vertical="center"/>
    </xf>
    <xf numFmtId="0" fontId="36" fillId="0" borderId="0" xfId="58" applyFont="1" applyAlignment="1">
      <alignment horizontal="right" vertical="top" wrapText="1"/>
      <protection locked="0"/>
    </xf>
    <xf numFmtId="0" fontId="36" fillId="0" borderId="0" xfId="58" applyFont="1" applyAlignment="1">
      <alignment horizontal="left" vertical="top" wrapText="1"/>
      <protection locked="0"/>
    </xf>
    <xf numFmtId="0" fontId="37" fillId="0" borderId="0" xfId="58" applyFont="1" applyAlignment="1">
      <alignment horizontal="right" vertical="top" wrapText="1"/>
      <protection locked="0"/>
    </xf>
    <xf numFmtId="0" fontId="4" fillId="0" borderId="0" xfId="0" applyFont="1" applyAlignment="1"/>
    <xf numFmtId="0" fontId="4" fillId="0" borderId="17" xfId="0" applyFont="1" applyBorder="1" applyAlignment="1">
      <alignment horizontal="center" vertical="center" wrapText="1"/>
    </xf>
    <xf numFmtId="169" fontId="4" fillId="0" borderId="14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1" fontId="0" fillId="0" borderId="0" xfId="0" applyNumberFormat="1" applyAlignment="1">
      <alignment vertical="center" wrapText="1"/>
    </xf>
    <xf numFmtId="164" fontId="4" fillId="0" borderId="0" xfId="0" applyNumberFormat="1" applyFont="1" applyFill="1" applyBorder="1" applyAlignment="1">
      <alignment horizontal="center" vertical="center" wrapText="1"/>
    </xf>
    <xf numFmtId="180" fontId="4" fillId="0" borderId="0" xfId="33" applyNumberFormat="1" applyFont="1" applyFill="1" applyBorder="1" applyAlignment="1">
      <alignment horizontal="center" vertical="center" wrapText="1"/>
    </xf>
    <xf numFmtId="172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right" vertical="center" wrapText="1"/>
    </xf>
    <xf numFmtId="49" fontId="4" fillId="0" borderId="0" xfId="0" applyNumberFormat="1" applyFont="1" applyFill="1" applyBorder="1" applyAlignment="1">
      <alignment horizontal="center" vertical="center" wrapText="1"/>
    </xf>
    <xf numFmtId="0" fontId="4" fillId="0" borderId="14" xfId="0" applyFont="1" applyBorder="1" applyAlignment="1">
      <alignment vertical="center"/>
    </xf>
    <xf numFmtId="174" fontId="4" fillId="0" borderId="14" xfId="0" applyNumberFormat="1" applyFont="1" applyBorder="1" applyAlignment="1">
      <alignment horizontal="center" vertical="center"/>
    </xf>
    <xf numFmtId="172" fontId="4" fillId="0" borderId="14" xfId="0" applyNumberFormat="1" applyFont="1" applyBorder="1" applyAlignment="1">
      <alignment horizontal="center" vertical="center"/>
    </xf>
    <xf numFmtId="191" fontId="4" fillId="0" borderId="14" xfId="33" applyNumberFormat="1" applyFont="1" applyBorder="1">
      <alignment vertical="center"/>
    </xf>
    <xf numFmtId="0" fontId="4" fillId="37" borderId="14" xfId="0" applyFont="1" applyFill="1" applyBorder="1">
      <alignment vertical="center"/>
    </xf>
    <xf numFmtId="9" fontId="4" fillId="37" borderId="14" xfId="0" applyNumberFormat="1" applyFont="1" applyFill="1" applyBorder="1" applyAlignment="1">
      <alignment horizontal="center" vertical="center"/>
    </xf>
    <xf numFmtId="41" fontId="4" fillId="0" borderId="14" xfId="33" applyFont="1" applyFill="1" applyBorder="1">
      <alignment vertical="center"/>
    </xf>
    <xf numFmtId="41" fontId="4" fillId="0" borderId="14" xfId="0" applyNumberFormat="1" applyFont="1" applyFill="1" applyBorder="1">
      <alignment vertical="center"/>
    </xf>
    <xf numFmtId="0" fontId="0" fillId="0" borderId="0" xfId="0" applyFont="1" applyAlignme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horizontal="right" vertical="center"/>
    </xf>
    <xf numFmtId="0" fontId="0" fillId="35" borderId="0" xfId="0" applyFont="1" applyFill="1" applyAlignment="1">
      <alignment vertical="center"/>
    </xf>
    <xf numFmtId="0" fontId="0" fillId="0" borderId="0" xfId="0" applyFont="1" applyAlignment="1">
      <alignment vertical="center" shrinkToFit="1"/>
    </xf>
    <xf numFmtId="0" fontId="0" fillId="0" borderId="0" xfId="0" quotePrefix="1" applyFont="1" applyAlignment="1">
      <alignment vertical="center"/>
    </xf>
    <xf numFmtId="0" fontId="0" fillId="0" borderId="15" xfId="0" applyFont="1" applyBorder="1" applyAlignment="1">
      <alignment horizontal="left" vertical="center"/>
    </xf>
    <xf numFmtId="0" fontId="0" fillId="0" borderId="45" xfId="0" applyFont="1" applyBorder="1" applyAlignment="1">
      <alignment horizontal="center" vertical="center"/>
    </xf>
    <xf numFmtId="0" fontId="0" fillId="0" borderId="33" xfId="0" applyFont="1" applyBorder="1">
      <alignment vertical="center"/>
    </xf>
    <xf numFmtId="0" fontId="0" fillId="0" borderId="15" xfId="0" applyFont="1" applyBorder="1" applyAlignment="1">
      <alignment horizontal="center" vertical="center"/>
    </xf>
    <xf numFmtId="0" fontId="0" fillId="0" borderId="45" xfId="0" applyFont="1" applyBorder="1">
      <alignment vertical="center"/>
    </xf>
    <xf numFmtId="0" fontId="0" fillId="0" borderId="0" xfId="0" quotePrefix="1" applyFont="1">
      <alignment vertical="center"/>
    </xf>
    <xf numFmtId="0" fontId="39" fillId="0" borderId="0" xfId="59" applyFont="1" applyAlignment="1">
      <alignment horizontal="left" vertical="top" wrapText="1"/>
      <protection locked="0"/>
    </xf>
    <xf numFmtId="0" fontId="39" fillId="0" borderId="0" xfId="59" applyFont="1" applyAlignment="1">
      <alignment horizontal="left" vertical="top" wrapText="1"/>
      <protection locked="0"/>
    </xf>
    <xf numFmtId="0" fontId="37" fillId="0" borderId="0" xfId="58" applyFont="1" applyAlignment="1">
      <alignment horizontal="left" vertical="top" wrapText="1"/>
      <protection locked="0"/>
    </xf>
    <xf numFmtId="183" fontId="36" fillId="0" borderId="0" xfId="58" applyNumberFormat="1" applyFont="1" applyAlignment="1">
      <alignment horizontal="left" vertical="top" wrapText="1"/>
      <protection locked="0"/>
    </xf>
    <xf numFmtId="183" fontId="37" fillId="0" borderId="0" xfId="58" applyNumberFormat="1" applyFont="1" applyAlignment="1">
      <alignment horizontal="left" vertical="top" wrapText="1"/>
      <protection locked="0"/>
    </xf>
    <xf numFmtId="0" fontId="16" fillId="0" borderId="0" xfId="58" applyAlignment="1" applyProtection="1">
      <alignment vertical="center"/>
    </xf>
    <xf numFmtId="0" fontId="36" fillId="0" borderId="0" xfId="58" applyFont="1" applyAlignment="1">
      <alignment horizontal="right" vertical="top" wrapText="1"/>
      <protection locked="0"/>
    </xf>
    <xf numFmtId="0" fontId="36" fillId="0" borderId="0" xfId="58" applyFont="1" applyAlignment="1">
      <alignment horizontal="left" vertical="top" wrapText="1"/>
      <protection locked="0"/>
    </xf>
    <xf numFmtId="0" fontId="4" fillId="0" borderId="17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9" fillId="0" borderId="49" xfId="0" applyFont="1" applyBorder="1" applyAlignment="1">
      <alignment horizontal="left" vertical="center"/>
    </xf>
    <xf numFmtId="0" fontId="4" fillId="0" borderId="14" xfId="0" applyFont="1" applyBorder="1" applyAlignment="1">
      <alignment horizontal="center" vertical="center" wrapText="1"/>
    </xf>
    <xf numFmtId="0" fontId="8" fillId="28" borderId="18" xfId="0" applyFont="1" applyFill="1" applyBorder="1" applyAlignment="1">
      <alignment horizontal="center" vertical="center" wrapText="1"/>
    </xf>
    <xf numFmtId="0" fontId="8" fillId="25" borderId="18" xfId="0" applyFont="1" applyFill="1" applyBorder="1" applyAlignment="1">
      <alignment horizontal="center" vertical="center" wrapText="1"/>
    </xf>
    <xf numFmtId="0" fontId="8" fillId="30" borderId="18" xfId="0" applyFont="1" applyFill="1" applyBorder="1" applyAlignment="1">
      <alignment horizontal="center" vertical="center" wrapText="1"/>
    </xf>
    <xf numFmtId="0" fontId="8" fillId="24" borderId="18" xfId="0" applyFont="1" applyFill="1" applyBorder="1" applyAlignment="1">
      <alignment horizontal="center" vertical="center" wrapText="1"/>
    </xf>
    <xf numFmtId="0" fontId="8" fillId="27" borderId="18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177" fontId="4" fillId="0" borderId="0" xfId="0" applyNumberFormat="1" applyFont="1" applyBorder="1" applyAlignment="1">
      <alignment horizontal="left" vertical="center" wrapText="1"/>
    </xf>
    <xf numFmtId="0" fontId="4" fillId="0" borderId="14" xfId="0" applyFont="1" applyBorder="1" applyAlignment="1">
      <alignment horizontal="center" vertical="center"/>
    </xf>
    <xf numFmtId="177" fontId="4" fillId="0" borderId="14" xfId="0" applyNumberFormat="1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4" fillId="0" borderId="1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 wrapText="1"/>
    </xf>
    <xf numFmtId="169" fontId="4" fillId="0" borderId="14" xfId="0" applyNumberFormat="1" applyFont="1" applyBorder="1" applyAlignment="1">
      <alignment horizontal="center" vertical="center"/>
    </xf>
    <xf numFmtId="0" fontId="4" fillId="38" borderId="15" xfId="0" applyFont="1" applyFill="1" applyBorder="1" applyAlignment="1">
      <alignment horizontal="left" vertical="center"/>
    </xf>
    <xf numFmtId="0" fontId="4" fillId="38" borderId="33" xfId="0" applyFont="1" applyFill="1" applyBorder="1" applyAlignment="1">
      <alignment horizontal="left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 vertical="center"/>
    </xf>
    <xf numFmtId="177" fontId="4" fillId="0" borderId="14" xfId="0" applyNumberFormat="1" applyFont="1" applyBorder="1" applyAlignment="1">
      <alignment horizontal="center" vertical="center" wrapText="1"/>
    </xf>
    <xf numFmtId="0" fontId="4" fillId="0" borderId="15" xfId="0" applyFont="1" applyBorder="1" applyAlignment="1">
      <alignment horizontal="left" vertical="center"/>
    </xf>
    <xf numFmtId="0" fontId="4" fillId="0" borderId="33" xfId="0" applyFont="1" applyBorder="1" applyAlignment="1">
      <alignment horizontal="left" vertical="center"/>
    </xf>
    <xf numFmtId="0" fontId="4" fillId="38" borderId="17" xfId="0" applyFont="1" applyFill="1" applyBorder="1" applyAlignment="1">
      <alignment horizontal="center" vertical="center" wrapText="1"/>
    </xf>
    <xf numFmtId="0" fontId="4" fillId="38" borderId="39" xfId="0" applyFont="1" applyFill="1" applyBorder="1" applyAlignment="1">
      <alignment horizontal="center" vertical="center" wrapText="1"/>
    </xf>
    <xf numFmtId="0" fontId="4" fillId="38" borderId="22" xfId="0" applyFont="1" applyFill="1" applyBorder="1" applyAlignment="1">
      <alignment horizontal="center" vertical="center" wrapText="1"/>
    </xf>
    <xf numFmtId="183" fontId="4" fillId="0" borderId="29" xfId="0" applyNumberFormat="1" applyFont="1" applyBorder="1" applyAlignment="1">
      <alignment horizontal="center" vertical="center" wrapText="1"/>
    </xf>
    <xf numFmtId="183" fontId="4" fillId="0" borderId="30" xfId="0" applyNumberFormat="1" applyFont="1" applyBorder="1" applyAlignment="1">
      <alignment horizontal="center" vertical="center" wrapText="1"/>
    </xf>
    <xf numFmtId="183" fontId="4" fillId="0" borderId="23" xfId="0" applyNumberFormat="1" applyFont="1" applyBorder="1" applyAlignment="1">
      <alignment horizontal="center" vertical="center" wrapText="1"/>
    </xf>
    <xf numFmtId="166" fontId="4" fillId="0" borderId="26" xfId="0" applyNumberFormat="1" applyFont="1" applyBorder="1" applyAlignment="1">
      <alignment horizontal="center" vertical="center" wrapText="1"/>
    </xf>
    <xf numFmtId="166" fontId="4" fillId="0" borderId="14" xfId="0" applyNumberFormat="1" applyFont="1" applyBorder="1" applyAlignment="1">
      <alignment horizontal="center" vertical="center" wrapText="1"/>
    </xf>
    <xf numFmtId="166" fontId="4" fillId="0" borderId="24" xfId="0" applyNumberFormat="1" applyFont="1" applyBorder="1" applyAlignment="1">
      <alignment horizontal="center" vertical="center" wrapText="1"/>
    </xf>
    <xf numFmtId="166" fontId="4" fillId="0" borderId="15" xfId="0" applyNumberFormat="1" applyFont="1" applyBorder="1" applyAlignment="1">
      <alignment horizontal="center" vertical="center" wrapText="1"/>
    </xf>
    <xf numFmtId="166" fontId="4" fillId="0" borderId="41" xfId="0" applyNumberFormat="1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166" fontId="4" fillId="0" borderId="29" xfId="0" applyNumberFormat="1" applyFont="1" applyBorder="1" applyAlignment="1">
      <alignment horizontal="center" vertical="center" wrapText="1"/>
    </xf>
    <xf numFmtId="166" fontId="4" fillId="0" borderId="27" xfId="0" applyNumberFormat="1" applyFont="1" applyBorder="1" applyAlignment="1">
      <alignment horizontal="center" vertical="center" wrapText="1"/>
    </xf>
    <xf numFmtId="166" fontId="4" fillId="0" borderId="30" xfId="0" applyNumberFormat="1" applyFont="1" applyBorder="1" applyAlignment="1">
      <alignment horizontal="center" vertical="center" wrapText="1"/>
    </xf>
    <xf numFmtId="166" fontId="4" fillId="0" borderId="28" xfId="0" applyNumberFormat="1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 wrapText="1"/>
    </xf>
    <xf numFmtId="0" fontId="4" fillId="0" borderId="30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164" fontId="4" fillId="0" borderId="50" xfId="0" applyNumberFormat="1" applyFont="1" applyFill="1" applyBorder="1" applyAlignment="1">
      <alignment horizontal="center" vertical="center" wrapText="1"/>
    </xf>
    <xf numFmtId="164" fontId="4" fillId="0" borderId="11" xfId="0" applyNumberFormat="1" applyFont="1" applyFill="1" applyBorder="1" applyAlignment="1">
      <alignment horizontal="center" vertical="center" wrapText="1"/>
    </xf>
    <xf numFmtId="173" fontId="4" fillId="0" borderId="50" xfId="0" applyNumberFormat="1" applyFont="1" applyFill="1" applyBorder="1" applyAlignment="1">
      <alignment horizontal="center" vertical="center" wrapText="1"/>
    </xf>
    <xf numFmtId="173" fontId="4" fillId="0" borderId="11" xfId="0" applyNumberFormat="1" applyFont="1" applyFill="1" applyBorder="1" applyAlignment="1">
      <alignment horizontal="center" vertical="center" wrapText="1"/>
    </xf>
    <xf numFmtId="173" fontId="4" fillId="0" borderId="12" xfId="0" applyNumberFormat="1" applyFont="1" applyFill="1" applyBorder="1" applyAlignment="1">
      <alignment horizontal="center" vertical="center" wrapText="1"/>
    </xf>
    <xf numFmtId="173" fontId="4" fillId="0" borderId="51" xfId="0" applyNumberFormat="1" applyFont="1" applyFill="1" applyBorder="1" applyAlignment="1">
      <alignment horizontal="center" vertical="center" wrapText="1"/>
    </xf>
    <xf numFmtId="173" fontId="4" fillId="0" borderId="13" xfId="0" applyNumberFormat="1" applyFont="1" applyFill="1" applyBorder="1" applyAlignment="1">
      <alignment horizontal="center" vertical="center" wrapText="1"/>
    </xf>
    <xf numFmtId="0" fontId="4" fillId="0" borderId="52" xfId="0" applyFont="1" applyFill="1" applyBorder="1" applyAlignment="1">
      <alignment horizontal="right" vertical="center" wrapText="1"/>
    </xf>
    <xf numFmtId="0" fontId="4" fillId="0" borderId="50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 wrapText="1"/>
    </xf>
    <xf numFmtId="180" fontId="4" fillId="0" borderId="50" xfId="33" applyNumberFormat="1" applyFont="1" applyFill="1" applyBorder="1" applyAlignment="1">
      <alignment horizontal="center" vertical="center" wrapText="1"/>
    </xf>
    <xf numFmtId="180" fontId="4" fillId="0" borderId="11" xfId="33" applyNumberFormat="1" applyFont="1" applyFill="1" applyBorder="1" applyAlignment="1">
      <alignment horizontal="center" vertical="center" wrapText="1"/>
    </xf>
    <xf numFmtId="49" fontId="4" fillId="0" borderId="50" xfId="0" applyNumberFormat="1" applyFont="1" applyFill="1" applyBorder="1" applyAlignment="1">
      <alignment horizontal="center" vertical="center" wrapText="1"/>
    </xf>
    <xf numFmtId="49" fontId="4" fillId="0" borderId="11" xfId="0" applyNumberFormat="1" applyFont="1" applyFill="1" applyBorder="1" applyAlignment="1">
      <alignment horizontal="center" vertical="center" wrapText="1"/>
    </xf>
    <xf numFmtId="0" fontId="4" fillId="0" borderId="53" xfId="0" applyFont="1" applyFill="1" applyBorder="1" applyAlignment="1">
      <alignment horizontal="center" vertical="center" wrapText="1"/>
    </xf>
    <xf numFmtId="172" fontId="4" fillId="0" borderId="50" xfId="0" applyNumberFormat="1" applyFont="1" applyFill="1" applyBorder="1" applyAlignment="1">
      <alignment horizontal="center" vertical="center" wrapText="1"/>
    </xf>
    <xf numFmtId="172" fontId="4" fillId="0" borderId="11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center" vertical="center"/>
    </xf>
    <xf numFmtId="0" fontId="31" fillId="36" borderId="54" xfId="0" applyFont="1" applyFill="1" applyBorder="1" applyAlignment="1">
      <alignment horizontal="center" vertical="center"/>
    </xf>
    <xf numFmtId="0" fontId="31" fillId="36" borderId="55" xfId="0" applyFont="1" applyFill="1" applyBorder="1" applyAlignment="1">
      <alignment horizontal="center" vertical="center"/>
    </xf>
    <xf numFmtId="0" fontId="31" fillId="36" borderId="56" xfId="0" applyFont="1" applyFill="1" applyBorder="1" applyAlignment="1">
      <alignment horizontal="center" vertical="center"/>
    </xf>
    <xf numFmtId="0" fontId="4" fillId="29" borderId="29" xfId="0" applyFont="1" applyFill="1" applyBorder="1" applyAlignment="1">
      <alignment horizontal="center" vertical="justify" wrapText="1"/>
    </xf>
    <xf numFmtId="0" fontId="4" fillId="29" borderId="23" xfId="0" applyFont="1" applyFill="1" applyBorder="1" applyAlignment="1">
      <alignment horizontal="center" vertical="justify" wrapText="1"/>
    </xf>
    <xf numFmtId="0" fontId="4" fillId="29" borderId="14" xfId="0" applyFont="1" applyFill="1" applyBorder="1" applyAlignment="1">
      <alignment horizontal="center" vertical="justify" wrapText="1"/>
    </xf>
    <xf numFmtId="166" fontId="4" fillId="29" borderId="26" xfId="0" applyNumberFormat="1" applyFont="1" applyFill="1" applyBorder="1" applyAlignment="1">
      <alignment horizontal="center" vertical="justify" wrapText="1"/>
    </xf>
    <xf numFmtId="166" fontId="4" fillId="29" borderId="24" xfId="0" applyNumberFormat="1" applyFont="1" applyFill="1" applyBorder="1" applyAlignment="1">
      <alignment horizontal="center" vertical="justify" wrapText="1"/>
    </xf>
    <xf numFmtId="0" fontId="4" fillId="29" borderId="42" xfId="0" applyFont="1" applyFill="1" applyBorder="1" applyAlignment="1">
      <alignment horizontal="left" vertical="justify" wrapText="1"/>
    </xf>
    <xf numFmtId="0" fontId="4" fillId="29" borderId="43" xfId="0" applyFont="1" applyFill="1" applyBorder="1" applyAlignment="1">
      <alignment horizontal="left" vertical="justify" wrapText="1"/>
    </xf>
    <xf numFmtId="11" fontId="4" fillId="29" borderId="26" xfId="0" applyNumberFormat="1" applyFont="1" applyFill="1" applyBorder="1" applyAlignment="1">
      <alignment horizontal="center" vertical="justify" wrapText="1"/>
    </xf>
    <xf numFmtId="11" fontId="4" fillId="29" borderId="24" xfId="0" applyNumberFormat="1" applyFont="1" applyFill="1" applyBorder="1" applyAlignment="1">
      <alignment horizontal="center" vertical="justify" wrapText="1"/>
    </xf>
    <xf numFmtId="0" fontId="4" fillId="29" borderId="26" xfId="0" applyFont="1" applyFill="1" applyBorder="1" applyAlignment="1">
      <alignment horizontal="center" vertical="justify" wrapText="1"/>
    </xf>
    <xf numFmtId="0" fontId="4" fillId="29" borderId="24" xfId="0" applyFont="1" applyFill="1" applyBorder="1" applyAlignment="1">
      <alignment horizontal="center" vertical="justify" wrapText="1"/>
    </xf>
    <xf numFmtId="175" fontId="4" fillId="29" borderId="26" xfId="0" applyNumberFormat="1" applyFont="1" applyFill="1" applyBorder="1" applyAlignment="1">
      <alignment horizontal="center" vertical="justify" wrapText="1"/>
    </xf>
    <xf numFmtId="175" fontId="4" fillId="29" borderId="24" xfId="0" applyNumberFormat="1" applyFont="1" applyFill="1" applyBorder="1" applyAlignment="1">
      <alignment horizontal="center" vertical="justify" wrapText="1"/>
    </xf>
    <xf numFmtId="0" fontId="4" fillId="29" borderId="46" xfId="0" applyFont="1" applyFill="1" applyBorder="1" applyAlignment="1">
      <alignment horizontal="center" vertical="justify" wrapText="1"/>
    </xf>
    <xf numFmtId="0" fontId="4" fillId="29" borderId="47" xfId="0" applyFont="1" applyFill="1" applyBorder="1" applyAlignment="1">
      <alignment horizontal="center" vertical="justify" wrapText="1"/>
    </xf>
    <xf numFmtId="0" fontId="4" fillId="29" borderId="58" xfId="0" applyFont="1" applyFill="1" applyBorder="1" applyAlignment="1">
      <alignment horizontal="center" vertical="justify" wrapText="1"/>
    </xf>
    <xf numFmtId="0" fontId="4" fillId="29" borderId="43" xfId="0" applyFont="1" applyFill="1" applyBorder="1" applyAlignment="1">
      <alignment horizontal="center" vertical="justify" wrapText="1"/>
    </xf>
    <xf numFmtId="11" fontId="4" fillId="29" borderId="46" xfId="0" applyNumberFormat="1" applyFont="1" applyFill="1" applyBorder="1" applyAlignment="1">
      <alignment horizontal="center" vertical="justify" wrapText="1"/>
    </xf>
    <xf numFmtId="11" fontId="4" fillId="29" borderId="47" xfId="0" applyNumberFormat="1" applyFont="1" applyFill="1" applyBorder="1" applyAlignment="1">
      <alignment horizontal="center" vertical="justify" wrapText="1"/>
    </xf>
    <xf numFmtId="0" fontId="4" fillId="29" borderId="42" xfId="0" applyFont="1" applyFill="1" applyBorder="1" applyAlignment="1">
      <alignment horizontal="center" vertical="justify" wrapText="1"/>
    </xf>
    <xf numFmtId="0" fontId="4" fillId="29" borderId="57" xfId="0" applyFont="1" applyFill="1" applyBorder="1" applyAlignment="1">
      <alignment horizontal="center" vertical="justify" wrapText="1"/>
    </xf>
    <xf numFmtId="41" fontId="4" fillId="29" borderId="46" xfId="33" applyFont="1" applyFill="1" applyBorder="1" applyAlignment="1">
      <alignment horizontal="center" vertical="justify" wrapText="1"/>
    </xf>
    <xf numFmtId="41" fontId="4" fillId="29" borderId="47" xfId="33" applyFont="1" applyFill="1" applyBorder="1" applyAlignment="1">
      <alignment horizontal="center" vertical="justify" wrapText="1"/>
    </xf>
    <xf numFmtId="175" fontId="4" fillId="29" borderId="46" xfId="0" applyNumberFormat="1" applyFont="1" applyFill="1" applyBorder="1" applyAlignment="1">
      <alignment horizontal="center" vertical="justify" wrapText="1"/>
    </xf>
    <xf numFmtId="175" fontId="4" fillId="29" borderId="47" xfId="0" applyNumberFormat="1" applyFont="1" applyFill="1" applyBorder="1" applyAlignment="1">
      <alignment horizontal="center" vertical="justify" wrapText="1"/>
    </xf>
    <xf numFmtId="0" fontId="4" fillId="33" borderId="42" xfId="0" applyFont="1" applyFill="1" applyBorder="1" applyAlignment="1">
      <alignment horizontal="center" vertical="justify" wrapText="1"/>
    </xf>
    <xf numFmtId="0" fontId="4" fillId="33" borderId="57" xfId="0" applyFont="1" applyFill="1" applyBorder="1" applyAlignment="1">
      <alignment horizontal="center" vertical="justify" wrapText="1"/>
    </xf>
  </cellXfs>
  <cellStyles count="61">
    <cellStyle name="20% - 강조색1" xfId="1" builtinId="30" customBuiltin="1"/>
    <cellStyle name="20% - 강조색2" xfId="2" builtinId="34" customBuiltin="1"/>
    <cellStyle name="20% - 강조색3" xfId="3" builtinId="38" customBuiltin="1"/>
    <cellStyle name="20% - 강조색4" xfId="4" builtinId="42" customBuiltin="1"/>
    <cellStyle name="20% - 강조색5" xfId="5" builtinId="46" customBuiltin="1"/>
    <cellStyle name="20% - 강조색6" xfId="6" builtinId="50" customBuiltin="1"/>
    <cellStyle name="40% - 강조색1" xfId="7" builtinId="31" customBuiltin="1"/>
    <cellStyle name="40% - 강조색2" xfId="8" builtinId="35" customBuiltin="1"/>
    <cellStyle name="40% - 강조색3" xfId="9" builtinId="39" customBuiltin="1"/>
    <cellStyle name="40% - 강조색4" xfId="10" builtinId="43" customBuiltin="1"/>
    <cellStyle name="40% - 강조색5" xfId="11" builtinId="47" customBuiltin="1"/>
    <cellStyle name="40% - 강조색6" xfId="12" builtinId="51" customBuiltin="1"/>
    <cellStyle name="60% - 강조색1" xfId="13" builtinId="32" customBuiltin="1"/>
    <cellStyle name="60% - 강조색2" xfId="14" builtinId="36" customBuiltin="1"/>
    <cellStyle name="60% - 강조색3" xfId="15" builtinId="40" customBuiltin="1"/>
    <cellStyle name="60% - 강조색4" xfId="16" builtinId="44" customBuiltin="1"/>
    <cellStyle name="60% - 강조색5" xfId="17" builtinId="48" customBuiltin="1"/>
    <cellStyle name="60% - 강조색6" xfId="18" builtinId="52" customBuiltin="1"/>
    <cellStyle name="강조색1" xfId="19" builtinId="29" customBuiltin="1"/>
    <cellStyle name="강조색2" xfId="20" builtinId="33" customBuiltin="1"/>
    <cellStyle name="강조색3" xfId="21" builtinId="37" customBuiltin="1"/>
    <cellStyle name="강조색4" xfId="22" builtinId="41" customBuiltin="1"/>
    <cellStyle name="강조색5" xfId="23" builtinId="45" customBuiltin="1"/>
    <cellStyle name="강조색6" xfId="24" builtinId="49" customBuiltin="1"/>
    <cellStyle name="경고문" xfId="25" builtinId="11" customBuiltin="1"/>
    <cellStyle name="계산" xfId="26" builtinId="22" customBuiltin="1"/>
    <cellStyle name="나쁨" xfId="27" builtinId="27" customBuiltin="1"/>
    <cellStyle name="메모" xfId="28" builtinId="10" customBuiltin="1"/>
    <cellStyle name="백분율" xfId="29" builtinId="5"/>
    <cellStyle name="보통" xfId="30" builtinId="28" customBuiltin="1"/>
    <cellStyle name="설명 텍스트" xfId="31" builtinId="53" customBuiltin="1"/>
    <cellStyle name="셀 확인" xfId="32" builtinId="23" customBuiltin="1"/>
    <cellStyle name="쉼표 [0]" xfId="33" builtinId="6"/>
    <cellStyle name="연결된 셀" xfId="34" builtinId="24" customBuiltin="1"/>
    <cellStyle name="요약" xfId="35" builtinId="25" customBuiltin="1"/>
    <cellStyle name="입력" xfId="36" builtinId="20" customBuiltin="1"/>
    <cellStyle name="제목" xfId="37" builtinId="15" customBuiltin="1"/>
    <cellStyle name="제목 1" xfId="38" builtinId="16" customBuiltin="1"/>
    <cellStyle name="제목 2" xfId="39" builtinId="17" customBuiltin="1"/>
    <cellStyle name="제목 3" xfId="40" builtinId="18" customBuiltin="1"/>
    <cellStyle name="제목 4" xfId="41" builtinId="19" customBuiltin="1"/>
    <cellStyle name="좋음" xfId="42" builtinId="26" customBuiltin="1"/>
    <cellStyle name="출력" xfId="43" builtinId="21" customBuiltin="1"/>
    <cellStyle name="표준" xfId="0" builtinId="0"/>
    <cellStyle name="표준 2" xfId="59"/>
    <cellStyle name="표준 2 10" xfId="44"/>
    <cellStyle name="표준 2 11" xfId="45"/>
    <cellStyle name="표준 2 2" xfId="46"/>
    <cellStyle name="표준 2 3" xfId="47"/>
    <cellStyle name="표준 2 4" xfId="48"/>
    <cellStyle name="표준 2 5" xfId="49"/>
    <cellStyle name="표준 2 6" xfId="50"/>
    <cellStyle name="표준 2 7" xfId="51"/>
    <cellStyle name="표준 2 8" xfId="52"/>
    <cellStyle name="표준 2 9" xfId="53"/>
    <cellStyle name="표준 3" xfId="60"/>
    <cellStyle name="표준 6 2" xfId="54"/>
    <cellStyle name="표준 6 3" xfId="55"/>
    <cellStyle name="표준 7 2" xfId="56"/>
    <cellStyle name="표준 7 3" xfId="57"/>
    <cellStyle name="표준 8" xfId="58"/>
  </cellStyles>
  <dxfs count="8"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border diagonalUp="0" diagonalDown="0">
        <left/>
        <right/>
        <top/>
        <bottom/>
        <vertical/>
        <horizontal/>
      </border>
    </dxf>
  </dxfs>
  <tableStyles count="1" defaultTableStyle="TableStyleMedium9" defaultPivotStyle="PivotStyleLight16">
    <tableStyle name="표 스타일 1" pivot="0" count="1">
      <tableStyleElement type="wholeTable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EVC_Result_BF2!$V$4:$V$8</c:f>
              <c:numCache>
                <c:formatCode>0.0_ </c:formatCode>
                <c:ptCount val="5"/>
                <c:pt idx="0">
                  <c:v>221.5333333333333</c:v>
                </c:pt>
                <c:pt idx="1">
                  <c:v>219.46666666666667</c:v>
                </c:pt>
                <c:pt idx="2">
                  <c:v>220.26666666666665</c:v>
                </c:pt>
                <c:pt idx="3">
                  <c:v>219.66666666666666</c:v>
                </c:pt>
                <c:pt idx="4">
                  <c:v>221.23333333333335</c:v>
                </c:pt>
              </c:numCache>
            </c:numRef>
          </c:cat>
          <c:val>
            <c:numRef>
              <c:f>EVC_Result_BF2!#REF!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9DA-4872-A0C2-EBBB8C3F8996}"/>
            </c:ext>
          </c:extLst>
        </c:ser>
        <c:ser>
          <c:idx val="1"/>
          <c:order val="1"/>
          <c:tx>
            <c:v>30MW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EVC_Result_BF2!$V$4:$V$8</c:f>
              <c:numCache>
                <c:formatCode>0.0_ </c:formatCode>
                <c:ptCount val="5"/>
                <c:pt idx="0">
                  <c:v>221.5333333333333</c:v>
                </c:pt>
                <c:pt idx="1">
                  <c:v>219.46666666666667</c:v>
                </c:pt>
                <c:pt idx="2">
                  <c:v>220.26666666666665</c:v>
                </c:pt>
                <c:pt idx="3">
                  <c:v>219.66666666666666</c:v>
                </c:pt>
                <c:pt idx="4">
                  <c:v>221.23333333333335</c:v>
                </c:pt>
              </c:numCache>
            </c:numRef>
          </c:cat>
          <c:val>
            <c:numRef>
              <c:f>EVC_Result_BF2!#REF!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9DA-4872-A0C2-EBBB8C3F8996}"/>
            </c:ext>
          </c:extLst>
        </c:ser>
        <c:ser>
          <c:idx val="2"/>
          <c:order val="2"/>
          <c:tx>
            <c:v>100MW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EVC_Result_BF2!#REF!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9DA-4872-A0C2-EBBB8C3F8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513088"/>
        <c:axId val="253519360"/>
      </c:barChart>
      <c:catAx>
        <c:axId val="253513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Scenario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5351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19360"/>
        <c:scaling>
          <c:orientation val="minMax"/>
          <c:max val="800"/>
          <c:min val="3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Time [sec]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53513088"/>
        <c:crosses val="autoZero"/>
        <c:crossBetween val="between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ko-KR"/>
              <a:t>Evacuation Time (P1)</a:t>
            </a:r>
          </a:p>
        </c:rich>
      </c:tx>
      <c:layout>
        <c:manualLayout>
          <c:xMode val="edge"/>
          <c:yMode val="edge"/>
          <c:x val="0.24509803921568626"/>
          <c:y val="4.97688830562846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16"/>
          <c:y val="3.7037401574803147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EVC_Result_BF2!$C$4:$C$8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EVC_Result_BF2!$E$4:$E$8</c:f>
              <c:numCache>
                <c:formatCode>0.0_ </c:formatCode>
                <c:ptCount val="5"/>
                <c:pt idx="0">
                  <c:v>186.4</c:v>
                </c:pt>
                <c:pt idx="1">
                  <c:v>193.2</c:v>
                </c:pt>
                <c:pt idx="2">
                  <c:v>193.2</c:v>
                </c:pt>
                <c:pt idx="3">
                  <c:v>193.2</c:v>
                </c:pt>
                <c:pt idx="4">
                  <c:v>186.8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8CB-4B0E-AA77-9E9B42053330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EVC_Result_BF2!$C$4:$C$8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EVC_Result_BF2!$E$14:$E$18</c:f>
              <c:numCache>
                <c:formatCode>0.0_ </c:formatCode>
                <c:ptCount val="5"/>
                <c:pt idx="0">
                  <c:v>196</c:v>
                </c:pt>
                <c:pt idx="1">
                  <c:v>198.8</c:v>
                </c:pt>
                <c:pt idx="2">
                  <c:v>192.8</c:v>
                </c:pt>
                <c:pt idx="3">
                  <c:v>190</c:v>
                </c:pt>
                <c:pt idx="4">
                  <c:v>185.2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8CB-4B0E-AA77-9E9B42053330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EVC_Result_BF2!$C$4:$C$8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EVC_Result_BF2!$E$24:$E$28</c:f>
              <c:numCache>
                <c:formatCode>0.0_ </c:formatCode>
                <c:ptCount val="5"/>
                <c:pt idx="0">
                  <c:v>182.4</c:v>
                </c:pt>
                <c:pt idx="1">
                  <c:v>178.8</c:v>
                </c:pt>
                <c:pt idx="2">
                  <c:v>178.8</c:v>
                </c:pt>
                <c:pt idx="3">
                  <c:v>182</c:v>
                </c:pt>
                <c:pt idx="4">
                  <c:v>186.8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8CB-4B0E-AA77-9E9B42053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829888"/>
        <c:axId val="253831808"/>
      </c:barChart>
      <c:catAx>
        <c:axId val="253829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Scenario</a:t>
                </a:r>
              </a:p>
            </c:rich>
          </c:tx>
          <c:layout>
            <c:manualLayout>
              <c:xMode val="edge"/>
              <c:yMode val="edge"/>
              <c:x val="0.48484848484848486"/>
              <c:y val="0.922456255468066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53831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831808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Time [sec]</a:t>
                </a:r>
              </a:p>
            </c:rich>
          </c:tx>
          <c:layout>
            <c:manualLayout>
              <c:xMode val="edge"/>
              <c:yMode val="edge"/>
              <c:x val="8.0213903743315516E-3"/>
              <c:y val="0.2777788713910761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5382988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540107611548556"/>
          <c:y val="0.12030455936028511"/>
          <c:w val="0.16844919786096257"/>
          <c:h val="0.190972951297754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(P2)</a:t>
            </a:r>
          </a:p>
        </c:rich>
      </c:tx>
      <c:layout>
        <c:manualLayout>
          <c:xMode val="edge"/>
          <c:yMode val="edge"/>
          <c:x val="0.53594854845673867"/>
          <c:y val="4.97690479633223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709233874"/>
          <c:y val="4.6186973671811196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EVC_Result_BF2!$C$14:$C$18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EVC_Result_BF2!$H$4:$H$8</c:f>
              <c:numCache>
                <c:formatCode>0.0_ </c:formatCode>
                <c:ptCount val="5"/>
                <c:pt idx="0">
                  <c:v>344.4</c:v>
                </c:pt>
                <c:pt idx="1">
                  <c:v>336.4</c:v>
                </c:pt>
                <c:pt idx="2">
                  <c:v>334.4</c:v>
                </c:pt>
                <c:pt idx="3">
                  <c:v>339.2</c:v>
                </c:pt>
                <c:pt idx="4">
                  <c:v>341.6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641-438A-864D-D59A07A8CE03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EVC_Result_BF2!$C$14:$C$18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EVC_Result_BF2!$H$14:$H$18</c:f>
              <c:numCache>
                <c:formatCode>0.0_ </c:formatCode>
                <c:ptCount val="5"/>
                <c:pt idx="0">
                  <c:v>334.8</c:v>
                </c:pt>
                <c:pt idx="1">
                  <c:v>340.4</c:v>
                </c:pt>
                <c:pt idx="2">
                  <c:v>326</c:v>
                </c:pt>
                <c:pt idx="3">
                  <c:v>348</c:v>
                </c:pt>
                <c:pt idx="4">
                  <c:v>319.60000000000002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641-438A-864D-D59A07A8CE03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EVC_Result_BF2!$C$14:$C$18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EVC_Result_BF2!$H$24:$H$28</c:f>
              <c:numCache>
                <c:formatCode>0.0_ </c:formatCode>
                <c:ptCount val="5"/>
                <c:pt idx="0">
                  <c:v>335.2</c:v>
                </c:pt>
                <c:pt idx="1">
                  <c:v>317.60000000000002</c:v>
                </c:pt>
                <c:pt idx="2">
                  <c:v>330.4</c:v>
                </c:pt>
                <c:pt idx="3">
                  <c:v>334</c:v>
                </c:pt>
                <c:pt idx="4">
                  <c:v>324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641-438A-864D-D59A07A8C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718784"/>
        <c:axId val="263729152"/>
      </c:barChart>
      <c:catAx>
        <c:axId val="263718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Scenario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0.48484848484848486"/>
              <c:y val="0.922456111671162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3729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3729152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Time [sec]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8.0213903743315516E-3"/>
              <c:y val="0.27777892815301203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371878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6195952894177238"/>
          <c:y val="9.1026806612625882E-2"/>
          <c:w val="0.16844919786096257"/>
          <c:h val="0.190972944990872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(P3)</a:t>
            </a:r>
          </a:p>
        </c:rich>
      </c:tx>
      <c:layout>
        <c:manualLayout>
          <c:xMode val="edge"/>
          <c:yMode val="edge"/>
          <c:x val="0.24509800636622547"/>
          <c:y val="4.97688478595348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21"/>
          <c:y val="3.7037401574803161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EVC_Result_BF2!$C$14:$C$18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EVC_Result_BF2!$K$4:$K$8</c:f>
              <c:numCache>
                <c:formatCode>0.0_ </c:formatCode>
                <c:ptCount val="5"/>
                <c:pt idx="0">
                  <c:v>481.2</c:v>
                </c:pt>
                <c:pt idx="1">
                  <c:v>523.20000000000005</c:v>
                </c:pt>
                <c:pt idx="2">
                  <c:v>478.8</c:v>
                </c:pt>
                <c:pt idx="3">
                  <c:v>496.8</c:v>
                </c:pt>
                <c:pt idx="4">
                  <c:v>456.8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399-4A6C-96DD-E67CF0AB052A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EVC_Result_BF2!$C$14:$C$18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EVC_Result_BF2!$K$14:$K$18</c:f>
              <c:numCache>
                <c:formatCode>0.0_ </c:formatCode>
                <c:ptCount val="5"/>
                <c:pt idx="0">
                  <c:v>524.79999999999995</c:v>
                </c:pt>
                <c:pt idx="1">
                  <c:v>519.20000000000005</c:v>
                </c:pt>
                <c:pt idx="2">
                  <c:v>470.4</c:v>
                </c:pt>
                <c:pt idx="3">
                  <c:v>535.6</c:v>
                </c:pt>
                <c:pt idx="4">
                  <c:v>450.8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399-4A6C-96DD-E67CF0AB052A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EVC_Result_BF2!$C$14:$C$18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EVC_Result_BF2!$K$24:$K$28</c:f>
              <c:numCache>
                <c:formatCode>0.0_ </c:formatCode>
                <c:ptCount val="5"/>
                <c:pt idx="0">
                  <c:v>452.4</c:v>
                </c:pt>
                <c:pt idx="1">
                  <c:v>464.8</c:v>
                </c:pt>
                <c:pt idx="2">
                  <c:v>454.8</c:v>
                </c:pt>
                <c:pt idx="3">
                  <c:v>450.4</c:v>
                </c:pt>
                <c:pt idx="4">
                  <c:v>454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399-4A6C-96DD-E67CF0AB0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748608"/>
        <c:axId val="263763072"/>
      </c:barChart>
      <c:catAx>
        <c:axId val="263748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Scenario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0.48484838331378788"/>
              <c:y val="0.922456330889673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3763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3763072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Time [Sec]</a:t>
                </a:r>
              </a:p>
            </c:rich>
          </c:tx>
          <c:layout>
            <c:manualLayout>
              <c:xMode val="edge"/>
              <c:yMode val="edge"/>
              <c:x val="8.0214441279946383E-3"/>
              <c:y val="0.27777898452348632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374860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401072206399733"/>
          <c:y val="5.9027966331794732E-2"/>
          <c:w val="0.16844920980622102"/>
          <c:h val="0.190972938727486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(P4)</a:t>
            </a:r>
          </a:p>
        </c:rich>
      </c:tx>
      <c:layout>
        <c:manualLayout>
          <c:xMode val="edge"/>
          <c:yMode val="edge"/>
          <c:x val="0.24509812931208533"/>
          <c:y val="4.97688304425864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21"/>
          <c:y val="3.7037401574803161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EVC_Result_BF2!$N$4:$N$8</c:f>
              <c:numCache>
                <c:formatCode>0.0_ </c:formatCode>
                <c:ptCount val="5"/>
                <c:pt idx="0">
                  <c:v>658.4</c:v>
                </c:pt>
                <c:pt idx="1">
                  <c:v>661.2</c:v>
                </c:pt>
                <c:pt idx="2">
                  <c:v>597.20000000000005</c:v>
                </c:pt>
                <c:pt idx="3">
                  <c:v>666.8</c:v>
                </c:pt>
                <c:pt idx="4">
                  <c:v>587.20000000000005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4A9-47B7-990E-B7411D7978CE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EVC_Result_BF2!$N$14:$N$18</c:f>
              <c:numCache>
                <c:formatCode>0.0_ </c:formatCode>
                <c:ptCount val="5"/>
                <c:pt idx="0">
                  <c:v>734</c:v>
                </c:pt>
                <c:pt idx="1">
                  <c:v>736.4</c:v>
                </c:pt>
                <c:pt idx="2">
                  <c:v>596</c:v>
                </c:pt>
                <c:pt idx="3">
                  <c:v>748.8</c:v>
                </c:pt>
                <c:pt idx="4">
                  <c:v>593.20000000000005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4A9-47B7-990E-B7411D7978CE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EVC_Result_BF2!$N$24:$N$28</c:f>
              <c:numCache>
                <c:formatCode>0.0_ </c:formatCode>
                <c:ptCount val="5"/>
                <c:pt idx="0">
                  <c:v>585.6</c:v>
                </c:pt>
                <c:pt idx="1">
                  <c:v>590.4</c:v>
                </c:pt>
                <c:pt idx="2">
                  <c:v>584.4</c:v>
                </c:pt>
                <c:pt idx="3">
                  <c:v>582.4</c:v>
                </c:pt>
                <c:pt idx="4">
                  <c:v>579.6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4A9-47B7-990E-B7411D797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805184"/>
        <c:axId val="263815552"/>
      </c:barChart>
      <c:catAx>
        <c:axId val="263805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Scenario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0.48484861143020247"/>
              <c:y val="0.92245618782188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3815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3815552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Time [Sec]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8.0213315510627489E-3"/>
              <c:y val="0.27777904050653462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380518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4814808952900991"/>
          <c:y val="0.12775676236346745"/>
          <c:w val="0.16844907649143326"/>
          <c:h val="0.1909729325071479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(P5)</a:t>
            </a:r>
          </a:p>
        </c:rich>
      </c:tx>
      <c:layout>
        <c:manualLayout>
          <c:xMode val="edge"/>
          <c:yMode val="edge"/>
          <c:x val="0.24509797386437807"/>
          <c:y val="4.97688131449322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21"/>
          <c:y val="3.7037401574803161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EVC_Result_BF2!$Q$4:$Q$8</c:f>
              <c:numCache>
                <c:formatCode>0.0_ </c:formatCode>
                <c:ptCount val="5"/>
                <c:pt idx="0">
                  <c:v>776</c:v>
                </c:pt>
                <c:pt idx="1">
                  <c:v>802</c:v>
                </c:pt>
                <c:pt idx="2">
                  <c:v>728.4</c:v>
                </c:pt>
                <c:pt idx="3">
                  <c:v>795.2</c:v>
                </c:pt>
                <c:pt idx="4">
                  <c:v>729.6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E16-4C97-BD9B-20F29EC01205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EVC_Result_BF2!$Q$14:$Q$18</c:f>
              <c:numCache>
                <c:formatCode>0.0_ </c:formatCode>
                <c:ptCount val="5"/>
                <c:pt idx="0">
                  <c:v>876</c:v>
                </c:pt>
                <c:pt idx="1">
                  <c:v>877.2</c:v>
                </c:pt>
                <c:pt idx="2">
                  <c:v>712.4</c:v>
                </c:pt>
                <c:pt idx="3">
                  <c:v>865.2</c:v>
                </c:pt>
                <c:pt idx="4">
                  <c:v>721.6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E16-4C97-BD9B-20F29EC01205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EVC_Result_BF2!$Q$24:$Q$28</c:f>
              <c:numCache>
                <c:formatCode>0.0_ </c:formatCode>
                <c:ptCount val="5"/>
                <c:pt idx="0">
                  <c:v>709.6</c:v>
                </c:pt>
                <c:pt idx="1">
                  <c:v>730.8</c:v>
                </c:pt>
                <c:pt idx="2">
                  <c:v>716.8</c:v>
                </c:pt>
                <c:pt idx="3">
                  <c:v>712</c:v>
                </c:pt>
                <c:pt idx="4">
                  <c:v>712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9E16-4C97-BD9B-20F29EC01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859584"/>
        <c:axId val="263861760"/>
      </c:barChart>
      <c:catAx>
        <c:axId val="263859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Scenario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0.48484856059659204"/>
              <c:y val="0.922456405278107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3861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3861760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Time [Sec]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8.021497312835895E-3"/>
              <c:y val="0.27777873656203933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385958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5375173408215906"/>
          <c:y val="0.121153060657593"/>
          <c:w val="0.1684492216250747"/>
          <c:h val="0.190972926329414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(P6)</a:t>
            </a:r>
          </a:p>
        </c:rich>
      </c:tx>
      <c:layout>
        <c:manualLayout>
          <c:xMode val="edge"/>
          <c:yMode val="edge"/>
          <c:x val="0.24509809624720391"/>
          <c:y val="4.97687959653507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21"/>
          <c:y val="3.7037401574803161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EVC_Result_BF2!$T$4:$T$8</c:f>
              <c:numCache>
                <c:formatCode>0.0_ </c:formatCode>
                <c:ptCount val="5"/>
                <c:pt idx="0">
                  <c:v>918.4</c:v>
                </c:pt>
                <c:pt idx="1">
                  <c:v>926.8</c:v>
                </c:pt>
                <c:pt idx="2">
                  <c:v>850</c:v>
                </c:pt>
                <c:pt idx="3">
                  <c:v>939.2</c:v>
                </c:pt>
                <c:pt idx="4">
                  <c:v>867.6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DC8-430B-812A-1AB58903438B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EVC_Result_BF2!$T$14:$T$18</c:f>
              <c:numCache>
                <c:formatCode>0.0_ </c:formatCode>
                <c:ptCount val="5"/>
                <c:pt idx="0">
                  <c:v>1028.4000000000001</c:v>
                </c:pt>
                <c:pt idx="1">
                  <c:v>1011.6</c:v>
                </c:pt>
                <c:pt idx="2">
                  <c:v>864.8</c:v>
                </c:pt>
                <c:pt idx="3">
                  <c:v>1020.8</c:v>
                </c:pt>
                <c:pt idx="4">
                  <c:v>868.4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DC8-430B-812A-1AB58903438B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EVC_Result_BF2!$T$24:$T$28</c:f>
              <c:numCache>
                <c:formatCode>0.0_ </c:formatCode>
                <c:ptCount val="5"/>
                <c:pt idx="0">
                  <c:v>859.2</c:v>
                </c:pt>
                <c:pt idx="1">
                  <c:v>848.8</c:v>
                </c:pt>
                <c:pt idx="2">
                  <c:v>844</c:v>
                </c:pt>
                <c:pt idx="3">
                  <c:v>843.2</c:v>
                </c:pt>
                <c:pt idx="4">
                  <c:v>842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DC8-430B-812A-1AB589034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904256"/>
        <c:axId val="263910528"/>
      </c:barChart>
      <c:catAx>
        <c:axId val="263904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Scenario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0.48484851003123286"/>
              <c:y val="0.922456262933003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3910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3910528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Time [sec]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8.0213851896481277E-3"/>
              <c:y val="0.27777879300923564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390425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3750151129201424"/>
          <c:y val="0.13421519285337183"/>
          <c:w val="0.16844908898261068"/>
          <c:h val="0.1909729201938494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(P4)</a:t>
            </a:r>
          </a:p>
        </c:rich>
      </c:tx>
      <c:layout>
        <c:manualLayout>
          <c:xMode val="edge"/>
          <c:yMode val="edge"/>
          <c:x val="0.24509812931208533"/>
          <c:y val="4.97688304425864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21"/>
          <c:y val="3.7037401574803161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EVC_Result_BF2!$N$9:$N$13</c:f>
              <c:numCache>
                <c:formatCode>0.0_ </c:formatCode>
                <c:ptCount val="5"/>
                <c:pt idx="0">
                  <c:v>736.8</c:v>
                </c:pt>
                <c:pt idx="1">
                  <c:v>761.2</c:v>
                </c:pt>
                <c:pt idx="2">
                  <c:v>620.79999999999995</c:v>
                </c:pt>
                <c:pt idx="3">
                  <c:v>727.6</c:v>
                </c:pt>
                <c:pt idx="4">
                  <c:v>643.20000000000005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3B4-4EA3-86B8-FFB79477069F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EVC_Result_BF2!$N$19:$N$23</c:f>
              <c:numCache>
                <c:formatCode>0.0_ </c:formatCode>
                <c:ptCount val="5"/>
                <c:pt idx="0">
                  <c:v>754.8</c:v>
                </c:pt>
                <c:pt idx="1">
                  <c:v>742.8</c:v>
                </c:pt>
                <c:pt idx="2">
                  <c:v>659.2</c:v>
                </c:pt>
                <c:pt idx="3">
                  <c:v>769.2</c:v>
                </c:pt>
                <c:pt idx="4">
                  <c:v>699.2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3B4-4EA3-86B8-FFB79477069F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EVC_Result_BF2!$N$29:$N$33</c:f>
              <c:numCache>
                <c:formatCode>0.0_ </c:formatCode>
                <c:ptCount val="5"/>
                <c:pt idx="0">
                  <c:v>770</c:v>
                </c:pt>
                <c:pt idx="1">
                  <c:v>776.4</c:v>
                </c:pt>
                <c:pt idx="2">
                  <c:v>607.20000000000005</c:v>
                </c:pt>
                <c:pt idx="3">
                  <c:v>757.6</c:v>
                </c:pt>
                <c:pt idx="4">
                  <c:v>655.6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93B4-4EA3-86B8-FFB794770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970816"/>
        <c:axId val="263972736"/>
      </c:barChart>
      <c:catAx>
        <c:axId val="26397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Scenario</a:t>
                </a:r>
              </a:p>
            </c:rich>
          </c:tx>
          <c:layout>
            <c:manualLayout>
              <c:xMode val="edge"/>
              <c:yMode val="edge"/>
              <c:x val="0.48484861143020247"/>
              <c:y val="0.92245618782188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3972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3972736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Time [Sec]</a:t>
                </a:r>
              </a:p>
            </c:rich>
          </c:tx>
          <c:layout>
            <c:manualLayout>
              <c:xMode val="edge"/>
              <c:yMode val="edge"/>
              <c:x val="8.0213315510627489E-3"/>
              <c:y val="0.27777904050653462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397081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401073539547614"/>
          <c:y val="5.9028240026697695E-2"/>
          <c:w val="0.16844907649143326"/>
          <c:h val="0.1909729325071479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(P5)</a:t>
            </a:r>
          </a:p>
        </c:rich>
      </c:tx>
      <c:layout>
        <c:manualLayout>
          <c:xMode val="edge"/>
          <c:yMode val="edge"/>
          <c:x val="0.24509797386437807"/>
          <c:y val="4.97688131449322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21"/>
          <c:y val="3.7037401574803161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EVC_Result_BF2!$Q$9:$Q$13</c:f>
              <c:numCache>
                <c:formatCode>0.0_ </c:formatCode>
                <c:ptCount val="5"/>
                <c:pt idx="0">
                  <c:v>862.4</c:v>
                </c:pt>
                <c:pt idx="1">
                  <c:v>866</c:v>
                </c:pt>
                <c:pt idx="2">
                  <c:v>722</c:v>
                </c:pt>
                <c:pt idx="3">
                  <c:v>880.8</c:v>
                </c:pt>
                <c:pt idx="4">
                  <c:v>714.8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871-4355-B420-8F4EC723EFBD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EVC_Result_BF2!$Q$19:$Q$23</c:f>
              <c:numCache>
                <c:formatCode>0.0_ </c:formatCode>
                <c:ptCount val="5"/>
                <c:pt idx="0">
                  <c:v>879.6</c:v>
                </c:pt>
                <c:pt idx="1">
                  <c:v>874.4</c:v>
                </c:pt>
                <c:pt idx="2">
                  <c:v>744.4</c:v>
                </c:pt>
                <c:pt idx="3">
                  <c:v>880.4</c:v>
                </c:pt>
                <c:pt idx="4">
                  <c:v>728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871-4355-B420-8F4EC723EFBD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EVC_Result_BF2!$Q$29:$Q$33</c:f>
              <c:numCache>
                <c:formatCode>0.0_ </c:formatCode>
                <c:ptCount val="5"/>
                <c:pt idx="0">
                  <c:v>909.6</c:v>
                </c:pt>
                <c:pt idx="1">
                  <c:v>906.4</c:v>
                </c:pt>
                <c:pt idx="2">
                  <c:v>677.2</c:v>
                </c:pt>
                <c:pt idx="3">
                  <c:v>900.8</c:v>
                </c:pt>
                <c:pt idx="4">
                  <c:v>634.79999999999995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871-4355-B420-8F4EC723E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4012928"/>
        <c:axId val="264014848"/>
      </c:barChart>
      <c:catAx>
        <c:axId val="264012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Scenario</a:t>
                </a:r>
              </a:p>
            </c:rich>
          </c:tx>
          <c:layout>
            <c:manualLayout>
              <c:xMode val="edge"/>
              <c:yMode val="edge"/>
              <c:x val="0.48484856059659204"/>
              <c:y val="0.922456405278107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4014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4014848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Time [Sec]</a:t>
                </a:r>
              </a:p>
            </c:rich>
          </c:tx>
          <c:layout>
            <c:manualLayout>
              <c:xMode val="edge"/>
              <c:yMode val="edge"/>
              <c:x val="8.021497312835895E-3"/>
              <c:y val="0.27777873656203933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401292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401074865641793"/>
          <c:y val="5.9028152302879951E-2"/>
          <c:w val="0.1684492216250747"/>
          <c:h val="0.190972926329414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(P6)</a:t>
            </a:r>
          </a:p>
        </c:rich>
      </c:tx>
      <c:layout>
        <c:manualLayout>
          <c:xMode val="edge"/>
          <c:yMode val="edge"/>
          <c:x val="0.24509809624720391"/>
          <c:y val="4.97687959653507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21"/>
          <c:y val="3.7037401574803161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EVC_Result_BF2!$T$9:$T$13</c:f>
              <c:numCache>
                <c:formatCode>0.0_ </c:formatCode>
                <c:ptCount val="5"/>
                <c:pt idx="0">
                  <c:v>988.8</c:v>
                </c:pt>
                <c:pt idx="1">
                  <c:v>994</c:v>
                </c:pt>
                <c:pt idx="2">
                  <c:v>854</c:v>
                </c:pt>
                <c:pt idx="3">
                  <c:v>986.8</c:v>
                </c:pt>
                <c:pt idx="4">
                  <c:v>851.2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BB3-4206-B526-EEC91030959A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EVC_Result_BF2!$T$19:$T$23</c:f>
              <c:numCache>
                <c:formatCode>0.0_ </c:formatCode>
                <c:ptCount val="5"/>
                <c:pt idx="0">
                  <c:v>1005.6</c:v>
                </c:pt>
                <c:pt idx="1">
                  <c:v>1009.6</c:v>
                </c:pt>
                <c:pt idx="2">
                  <c:v>857.2</c:v>
                </c:pt>
                <c:pt idx="3">
                  <c:v>1026.8</c:v>
                </c:pt>
                <c:pt idx="4">
                  <c:v>882.8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BB3-4206-B526-EEC91030959A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EVC_Result_BF2!$T$29:$T$33</c:f>
              <c:numCache>
                <c:formatCode>0.0_ </c:formatCode>
                <c:ptCount val="5"/>
                <c:pt idx="0">
                  <c:v>1034.4000000000001</c:v>
                </c:pt>
                <c:pt idx="1">
                  <c:v>1036.8</c:v>
                </c:pt>
                <c:pt idx="2">
                  <c:v>845.2</c:v>
                </c:pt>
                <c:pt idx="3">
                  <c:v>1036.8</c:v>
                </c:pt>
                <c:pt idx="4">
                  <c:v>843.2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BB3-4206-B526-EEC910309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4194688"/>
        <c:axId val="264205056"/>
      </c:barChart>
      <c:catAx>
        <c:axId val="264194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Scenario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0.48484851003123286"/>
              <c:y val="0.922456262933003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4205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4205056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Time [Sec]</a:t>
                </a:r>
              </a:p>
            </c:rich>
          </c:tx>
          <c:layout>
            <c:manualLayout>
              <c:xMode val="edge"/>
              <c:yMode val="edge"/>
              <c:x val="8.0213851896481277E-3"/>
              <c:y val="0.27777879300923564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419468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486058417018821"/>
          <c:y val="0.14731647509578544"/>
          <c:w val="0.16844908898261068"/>
          <c:h val="0.1909729201938494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(P1)</a:t>
            </a:r>
          </a:p>
        </c:rich>
      </c:tx>
      <c:layout>
        <c:manualLayout>
          <c:xMode val="edge"/>
          <c:yMode val="edge"/>
          <c:x val="0.24509813659920338"/>
          <c:y val="2.0573563218390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21"/>
          <c:y val="3.7037401574803161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elete val="1"/>
          </c:dLbls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EVC_Result_BF2!$E$9:$E$13</c:f>
              <c:numCache>
                <c:formatCode>0.0_ </c:formatCode>
                <c:ptCount val="5"/>
                <c:pt idx="0">
                  <c:v>1270.8</c:v>
                </c:pt>
                <c:pt idx="1">
                  <c:v>1224</c:v>
                </c:pt>
                <c:pt idx="2">
                  <c:v>1381.2</c:v>
                </c:pt>
                <c:pt idx="3">
                  <c:v>1222.8</c:v>
                </c:pt>
                <c:pt idx="4">
                  <c:v>1405.2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CA9-4D48-BCD7-CF8D619DEF48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elete val="1"/>
          </c:dLbls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EVC_Result_BF2!$E$19:$E$23</c:f>
              <c:numCache>
                <c:formatCode>0.0_ </c:formatCode>
                <c:ptCount val="5"/>
                <c:pt idx="0">
                  <c:v>1331.6</c:v>
                </c:pt>
                <c:pt idx="1">
                  <c:v>1359.2</c:v>
                </c:pt>
                <c:pt idx="2">
                  <c:v>1444.4</c:v>
                </c:pt>
                <c:pt idx="3">
                  <c:v>1335.6</c:v>
                </c:pt>
                <c:pt idx="4">
                  <c:v>1518.8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CA9-4D48-BCD7-CF8D619DEF48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elete val="1"/>
          </c:dLbls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EVC_Result_BF2!$E$29:$E$33</c:f>
              <c:numCache>
                <c:formatCode>0.0_ </c:formatCode>
                <c:ptCount val="5"/>
                <c:pt idx="0">
                  <c:v>811.6</c:v>
                </c:pt>
                <c:pt idx="1">
                  <c:v>811.2</c:v>
                </c:pt>
                <c:pt idx="2">
                  <c:v>821.2</c:v>
                </c:pt>
                <c:pt idx="3">
                  <c:v>809.2</c:v>
                </c:pt>
                <c:pt idx="4">
                  <c:v>834.8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CA9-4D48-BCD7-CF8D619DEF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64507776"/>
        <c:axId val="264509696"/>
      </c:barChart>
      <c:catAx>
        <c:axId val="264507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Scenario</a:t>
                </a:r>
              </a:p>
            </c:rich>
          </c:tx>
          <c:layout>
            <c:manualLayout>
              <c:xMode val="edge"/>
              <c:yMode val="edge"/>
              <c:x val="0.48484848484848486"/>
              <c:y val="0.922456255468066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4509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4509696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Time [sec]</a:t>
                </a:r>
              </a:p>
            </c:rich>
          </c:tx>
          <c:layout>
            <c:manualLayout>
              <c:xMode val="edge"/>
              <c:yMode val="edge"/>
              <c:x val="8.0213903743315516E-3"/>
              <c:y val="0.2777788713910761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450777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401069518716579"/>
          <c:y val="5.9028142315543888E-2"/>
          <c:w val="0.16844919786096257"/>
          <c:h val="0.190972951297754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(P2)</a:t>
            </a:r>
          </a:p>
        </c:rich>
      </c:tx>
      <c:layout>
        <c:manualLayout>
          <c:xMode val="edge"/>
          <c:yMode val="edge"/>
          <c:x val="0.24509803921568626"/>
          <c:y val="4.976886539701568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21"/>
          <c:y val="3.7037401574803161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EVC_Result_BF2!$H$9:$H$13</c:f>
              <c:numCache>
                <c:formatCode>0.0_ </c:formatCode>
                <c:ptCount val="5"/>
                <c:pt idx="0">
                  <c:v>980</c:v>
                </c:pt>
                <c:pt idx="1">
                  <c:v>1004</c:v>
                </c:pt>
                <c:pt idx="2">
                  <c:v>1114.4000000000001</c:v>
                </c:pt>
                <c:pt idx="3">
                  <c:v>973.2</c:v>
                </c:pt>
                <c:pt idx="4">
                  <c:v>1204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A29-47D3-B911-E041EB1AFC05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EVC_Result_BF2!$H$19:$H$23</c:f>
              <c:numCache>
                <c:formatCode>0.0_ </c:formatCode>
                <c:ptCount val="5"/>
                <c:pt idx="0">
                  <c:v>1108.8</c:v>
                </c:pt>
                <c:pt idx="1">
                  <c:v>1059.2</c:v>
                </c:pt>
                <c:pt idx="2">
                  <c:v>1201.2</c:v>
                </c:pt>
                <c:pt idx="3">
                  <c:v>1047.5999999999999</c:v>
                </c:pt>
                <c:pt idx="4">
                  <c:v>1285.5999999999999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A29-47D3-B911-E041EB1AFC05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EVC_Result_BF2!$H$29:$H$33</c:f>
              <c:numCache>
                <c:formatCode>0.0_ </c:formatCode>
                <c:ptCount val="5"/>
                <c:pt idx="0">
                  <c:v>852.8</c:v>
                </c:pt>
                <c:pt idx="1">
                  <c:v>852</c:v>
                </c:pt>
                <c:pt idx="2">
                  <c:v>756</c:v>
                </c:pt>
                <c:pt idx="3">
                  <c:v>758.4</c:v>
                </c:pt>
                <c:pt idx="4">
                  <c:v>760.8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A29-47D3-B911-E041EB1AF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4565888"/>
        <c:axId val="264567808"/>
      </c:barChart>
      <c:catAx>
        <c:axId val="264565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Scenario</a:t>
                </a:r>
              </a:p>
            </c:rich>
          </c:tx>
          <c:layout>
            <c:manualLayout>
              <c:xMode val="edge"/>
              <c:yMode val="edge"/>
              <c:x val="0.48484848484848486"/>
              <c:y val="0.922456111671162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4567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4567808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Time [Sec]</a:t>
                </a:r>
              </a:p>
            </c:rich>
          </c:tx>
          <c:layout>
            <c:manualLayout>
              <c:xMode val="edge"/>
              <c:yMode val="edge"/>
              <c:x val="8.0213903743315516E-3"/>
              <c:y val="0.27777892815301203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456588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401069518716579"/>
          <c:y val="5.902805401919916E-2"/>
          <c:w val="0.16844919786096257"/>
          <c:h val="0.190972944990872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(P3)</a:t>
            </a:r>
          </a:p>
        </c:rich>
      </c:tx>
      <c:layout>
        <c:manualLayout>
          <c:xMode val="edge"/>
          <c:yMode val="edge"/>
          <c:x val="0.24509800636622547"/>
          <c:y val="4.97688478595348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21"/>
          <c:y val="3.7037401574803161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EVC_Result_BF2!$K$9:$K$13</c:f>
              <c:numCache>
                <c:formatCode>0.0_ </c:formatCode>
                <c:ptCount val="5"/>
                <c:pt idx="0">
                  <c:v>722.8</c:v>
                </c:pt>
                <c:pt idx="1">
                  <c:v>751.2</c:v>
                </c:pt>
                <c:pt idx="2">
                  <c:v>901.6</c:v>
                </c:pt>
                <c:pt idx="3">
                  <c:v>696</c:v>
                </c:pt>
                <c:pt idx="4">
                  <c:v>860.8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7DA-4CB8-9985-0E07688C7961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EVC_Result_BF2!$K$19:$K$23</c:f>
              <c:numCache>
                <c:formatCode>0.0_ </c:formatCode>
                <c:ptCount val="5"/>
                <c:pt idx="0">
                  <c:v>801.2</c:v>
                </c:pt>
                <c:pt idx="1">
                  <c:v>821.6</c:v>
                </c:pt>
                <c:pt idx="2">
                  <c:v>901.2</c:v>
                </c:pt>
                <c:pt idx="3">
                  <c:v>857.6</c:v>
                </c:pt>
                <c:pt idx="4">
                  <c:v>951.6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7DA-4CB8-9985-0E07688C7961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EVC_Result_BF2!$K$29:$K$33</c:f>
              <c:numCache>
                <c:formatCode>0.0_ </c:formatCode>
                <c:ptCount val="5"/>
                <c:pt idx="0">
                  <c:v>713.2</c:v>
                </c:pt>
                <c:pt idx="1">
                  <c:v>763.6</c:v>
                </c:pt>
                <c:pt idx="2">
                  <c:v>681.6</c:v>
                </c:pt>
                <c:pt idx="3">
                  <c:v>723.6</c:v>
                </c:pt>
                <c:pt idx="4">
                  <c:v>684.8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7DA-4CB8-9985-0E07688C7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4288512"/>
        <c:axId val="264298880"/>
      </c:barChart>
      <c:catAx>
        <c:axId val="264288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Scenario</a:t>
                </a:r>
              </a:p>
            </c:rich>
          </c:tx>
          <c:layout>
            <c:manualLayout>
              <c:xMode val="edge"/>
              <c:yMode val="edge"/>
              <c:x val="0.48484838331378788"/>
              <c:y val="0.922456330889673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4298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4298880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Time [Sec]</a:t>
                </a:r>
              </a:p>
            </c:rich>
          </c:tx>
          <c:layout>
            <c:manualLayout>
              <c:xMode val="edge"/>
              <c:yMode val="edge"/>
              <c:x val="8.0214441279946383E-3"/>
              <c:y val="0.27777898452348632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428851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401072206399733"/>
          <c:y val="5.9027966331794732E-2"/>
          <c:w val="0.16844920980622102"/>
          <c:h val="0.190972938727486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5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표준시나리오!$AF$103:$AF$140</c:f>
              <c:numCache>
                <c:formatCode>General</c:formatCode>
                <c:ptCount val="38"/>
              </c:numCache>
            </c:numRef>
          </c:xVal>
          <c:yVal>
            <c:numRef>
              <c:f>표준시나리오!$AG$103:$AG$140</c:f>
              <c:numCache>
                <c:formatCode>General</c:formatCode>
                <c:ptCount val="38"/>
              </c:numCache>
            </c:numRef>
          </c:y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표준시나리오!#REF!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DE3-4375-BD22-9BE62602A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59296"/>
        <c:axId val="253035648"/>
      </c:scatterChart>
      <c:valAx>
        <c:axId val="264359296"/>
        <c:scaling>
          <c:logBase val="10"/>
          <c:orientation val="minMax"/>
          <c:max val="1000"/>
        </c:scaling>
        <c:delete val="0"/>
        <c:axPos val="b"/>
        <c:majorGridlines>
          <c:spPr>
            <a:ln w="3175">
              <a:solidFill>
                <a:srgbClr val="00FF00"/>
              </a:solidFill>
              <a:prstDash val="solid"/>
            </a:ln>
          </c:spPr>
        </c:majorGridlines>
        <c:minorGridlines>
          <c:spPr>
            <a:ln w="3175">
              <a:solidFill>
                <a:srgbClr val="00CCFF"/>
              </a:solidFill>
              <a:prstDash val="sysDash"/>
            </a:ln>
          </c:spPr>
        </c:min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53035648"/>
        <c:crossesAt val="1E-8"/>
        <c:crossBetween val="midCat"/>
      </c:valAx>
      <c:valAx>
        <c:axId val="253035648"/>
        <c:scaling>
          <c:logBase val="10"/>
          <c:orientation val="minMax"/>
          <c:max val="1"/>
          <c:min val="1E-8"/>
        </c:scaling>
        <c:delete val="0"/>
        <c:axPos val="l"/>
        <c:majorGridlines>
          <c:spPr>
            <a:ln w="3175">
              <a:solidFill>
                <a:srgbClr val="00FF00"/>
              </a:solidFill>
              <a:prstDash val="solid"/>
            </a:ln>
          </c:spPr>
        </c:majorGridlines>
        <c:minorGridlines>
          <c:spPr>
            <a:ln w="3175">
              <a:solidFill>
                <a:srgbClr val="00FFFF"/>
              </a:solidFill>
              <a:prstDash val="sysDash"/>
            </a:ln>
          </c:spPr>
        </c:minorGridlines>
        <c:numFmt formatCode="0.0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4359296"/>
        <c:crossesAt val="0.1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216239994252057"/>
          <c:y val="6.25E-2"/>
          <c:w val="0.77477591083648711"/>
          <c:h val="0.76682692307692313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FNCurve2!$T$3:$T$370</c:f>
              <c:numCache>
                <c:formatCode>###0.0</c:formatCode>
                <c:ptCount val="368"/>
                <c:pt idx="0">
                  <c:v>0.10000000149011612</c:v>
                </c:pt>
                <c:pt idx="1">
                  <c:v>0.30000001192092896</c:v>
                </c:pt>
                <c:pt idx="2">
                  <c:v>0.30000001192092896</c:v>
                </c:pt>
                <c:pt idx="3">
                  <c:v>0.40000000596046448</c:v>
                </c:pt>
                <c:pt idx="4">
                  <c:v>0.40000000596046448</c:v>
                </c:pt>
                <c:pt idx="5">
                  <c:v>1</c:v>
                </c:pt>
                <c:pt idx="6">
                  <c:v>1</c:v>
                </c:pt>
                <c:pt idx="7">
                  <c:v>1.7999999523162842</c:v>
                </c:pt>
                <c:pt idx="8">
                  <c:v>1.7999999523162842</c:v>
                </c:pt>
                <c:pt idx="9">
                  <c:v>1.8999999761581421</c:v>
                </c:pt>
                <c:pt idx="10">
                  <c:v>1.8999999761581421</c:v>
                </c:pt>
                <c:pt idx="11">
                  <c:v>2.4000000953674316</c:v>
                </c:pt>
                <c:pt idx="12">
                  <c:v>2.4000000953674316</c:v>
                </c:pt>
                <c:pt idx="13">
                  <c:v>3</c:v>
                </c:pt>
                <c:pt idx="14">
                  <c:v>3</c:v>
                </c:pt>
                <c:pt idx="15">
                  <c:v>13</c:v>
                </c:pt>
                <c:pt idx="16">
                  <c:v>13</c:v>
                </c:pt>
                <c:pt idx="17">
                  <c:v>13.300000190734863</c:v>
                </c:pt>
                <c:pt idx="18">
                  <c:v>13.300000190734863</c:v>
                </c:pt>
                <c:pt idx="19">
                  <c:v>16</c:v>
                </c:pt>
                <c:pt idx="20">
                  <c:v>16</c:v>
                </c:pt>
                <c:pt idx="21">
                  <c:v>17.5</c:v>
                </c:pt>
                <c:pt idx="22">
                  <c:v>17.5</c:v>
                </c:pt>
                <c:pt idx="23">
                  <c:v>20.600000381469727</c:v>
                </c:pt>
                <c:pt idx="24">
                  <c:v>20.600000381469727</c:v>
                </c:pt>
                <c:pt idx="25">
                  <c:v>21.600000381469727</c:v>
                </c:pt>
                <c:pt idx="26">
                  <c:v>21.600000381469727</c:v>
                </c:pt>
                <c:pt idx="27">
                  <c:v>22.100000381469727</c:v>
                </c:pt>
                <c:pt idx="28">
                  <c:v>22.100000381469727</c:v>
                </c:pt>
                <c:pt idx="29">
                  <c:v>28.600000381469727</c:v>
                </c:pt>
                <c:pt idx="30">
                  <c:v>28.600000381469727</c:v>
                </c:pt>
                <c:pt idx="31">
                  <c:v>34.700000762939453</c:v>
                </c:pt>
                <c:pt idx="32">
                  <c:v>34.700000762939453</c:v>
                </c:pt>
                <c:pt idx="33">
                  <c:v>37.5</c:v>
                </c:pt>
                <c:pt idx="34">
                  <c:v>37.5</c:v>
                </c:pt>
                <c:pt idx="35">
                  <c:v>41.299999237060547</c:v>
                </c:pt>
                <c:pt idx="36">
                  <c:v>41.299999237060547</c:v>
                </c:pt>
                <c:pt idx="37">
                  <c:v>46</c:v>
                </c:pt>
                <c:pt idx="38">
                  <c:v>46</c:v>
                </c:pt>
                <c:pt idx="39">
                  <c:v>46.200000762939453</c:v>
                </c:pt>
                <c:pt idx="40">
                  <c:v>46.200000762939453</c:v>
                </c:pt>
                <c:pt idx="41">
                  <c:v>54.700000762939453</c:v>
                </c:pt>
                <c:pt idx="42">
                  <c:v>54.700000762939453</c:v>
                </c:pt>
                <c:pt idx="43">
                  <c:v>65.599998474121094</c:v>
                </c:pt>
                <c:pt idx="44">
                  <c:v>65.599998474121094</c:v>
                </c:pt>
                <c:pt idx="45">
                  <c:v>67.599998474121094</c:v>
                </c:pt>
                <c:pt idx="46">
                  <c:v>67.599998474121094</c:v>
                </c:pt>
                <c:pt idx="47">
                  <c:v>81.099998474121094</c:v>
                </c:pt>
                <c:pt idx="48">
                  <c:v>81.099998474121094</c:v>
                </c:pt>
                <c:pt idx="49">
                  <c:v>90.5</c:v>
                </c:pt>
                <c:pt idx="50">
                  <c:v>90.5</c:v>
                </c:pt>
                <c:pt idx="51">
                  <c:v>94</c:v>
                </c:pt>
                <c:pt idx="52">
                  <c:v>94</c:v>
                </c:pt>
                <c:pt idx="53">
                  <c:v>97.099998474121094</c:v>
                </c:pt>
                <c:pt idx="54">
                  <c:v>97.099998474121094</c:v>
                </c:pt>
                <c:pt idx="55">
                  <c:v>134.89999389648438</c:v>
                </c:pt>
                <c:pt idx="56">
                  <c:v>134.89999389648438</c:v>
                </c:pt>
                <c:pt idx="57">
                  <c:v>145.10000610351562</c:v>
                </c:pt>
                <c:pt idx="58">
                  <c:v>145.10000610351562</c:v>
                </c:pt>
                <c:pt idx="59">
                  <c:v>149.89999389648437</c:v>
                </c:pt>
                <c:pt idx="60">
                  <c:v>149.89999389648437</c:v>
                </c:pt>
                <c:pt idx="61">
                  <c:v>152.5</c:v>
                </c:pt>
                <c:pt idx="62">
                  <c:v>152.5</c:v>
                </c:pt>
                <c:pt idx="63">
                  <c:v>160.39999389648437</c:v>
                </c:pt>
                <c:pt idx="64">
                  <c:v>160.39999389648437</c:v>
                </c:pt>
                <c:pt idx="65">
                  <c:v>201.39999389648437</c:v>
                </c:pt>
                <c:pt idx="66">
                  <c:v>201.39999389648437</c:v>
                </c:pt>
                <c:pt idx="67">
                  <c:v>225.80000305175781</c:v>
                </c:pt>
                <c:pt idx="68">
                  <c:v>225.80000305175781</c:v>
                </c:pt>
                <c:pt idx="69">
                  <c:v>241.10000610351562</c:v>
                </c:pt>
                <c:pt idx="70">
                  <c:v>241.10000610351562</c:v>
                </c:pt>
                <c:pt idx="71">
                  <c:v>257.39999389648437</c:v>
                </c:pt>
                <c:pt idx="72">
                  <c:v>257.39999389648437</c:v>
                </c:pt>
                <c:pt idx="73">
                  <c:v>257.39999389648437</c:v>
                </c:pt>
              </c:numCache>
            </c:numRef>
          </c:xVal>
          <c:yVal>
            <c:numRef>
              <c:f>FNCurve2!$U$3:$U$370</c:f>
              <c:numCache>
                <c:formatCode>0.0000E+00</c:formatCode>
                <c:ptCount val="368"/>
                <c:pt idx="0">
                  <c:v>3.8778729503974319E-5</c:v>
                </c:pt>
                <c:pt idx="1">
                  <c:v>3.8778729503974319E-5</c:v>
                </c:pt>
                <c:pt idx="2">
                  <c:v>3.7397534470073879E-5</c:v>
                </c:pt>
                <c:pt idx="3">
                  <c:v>3.7397534470073879E-5</c:v>
                </c:pt>
                <c:pt idx="4">
                  <c:v>3.6806639400310814E-5</c:v>
                </c:pt>
                <c:pt idx="5">
                  <c:v>3.6806639400310814E-5</c:v>
                </c:pt>
                <c:pt idx="6">
                  <c:v>3.3036660170182586E-5</c:v>
                </c:pt>
                <c:pt idx="7">
                  <c:v>3.3036660170182586E-5</c:v>
                </c:pt>
                <c:pt idx="8">
                  <c:v>2.926667730207555E-5</c:v>
                </c:pt>
                <c:pt idx="9">
                  <c:v>2.926667730207555E-5</c:v>
                </c:pt>
                <c:pt idx="10">
                  <c:v>2.8675784051301889E-5</c:v>
                </c:pt>
                <c:pt idx="11">
                  <c:v>2.8675784051301889E-5</c:v>
                </c:pt>
                <c:pt idx="12">
                  <c:v>2.4905803002184257E-5</c:v>
                </c:pt>
                <c:pt idx="13">
                  <c:v>2.4905803002184257E-5</c:v>
                </c:pt>
                <c:pt idx="14">
                  <c:v>2.4314909751410596E-5</c:v>
                </c:pt>
                <c:pt idx="15">
                  <c:v>2.4314909751410596E-5</c:v>
                </c:pt>
                <c:pt idx="16">
                  <c:v>2.3724018319626339E-5</c:v>
                </c:pt>
                <c:pt idx="17">
                  <c:v>2.3724018319626339E-5</c:v>
                </c:pt>
                <c:pt idx="18">
                  <c:v>1.9954035451519303E-5</c:v>
                </c:pt>
                <c:pt idx="19">
                  <c:v>1.9954035451519303E-5</c:v>
                </c:pt>
                <c:pt idx="20">
                  <c:v>1.9942170183639973E-5</c:v>
                </c:pt>
                <c:pt idx="21">
                  <c:v>1.9942170183639973E-5</c:v>
                </c:pt>
                <c:pt idx="22">
                  <c:v>1.9933162548113614E-5</c:v>
                </c:pt>
                <c:pt idx="23">
                  <c:v>1.9933162548113614E-5</c:v>
                </c:pt>
                <c:pt idx="24">
                  <c:v>1.6163181498995982E-5</c:v>
                </c:pt>
                <c:pt idx="25">
                  <c:v>1.6163181498995982E-5</c:v>
                </c:pt>
                <c:pt idx="26">
                  <c:v>1.6154173863469623E-5</c:v>
                </c:pt>
                <c:pt idx="27">
                  <c:v>1.6154173863469623E-5</c:v>
                </c:pt>
                <c:pt idx="28">
                  <c:v>1.5563282431685366E-5</c:v>
                </c:pt>
                <c:pt idx="29">
                  <c:v>1.5563282431685366E-5</c:v>
                </c:pt>
                <c:pt idx="30">
                  <c:v>1.1793300473073032E-5</c:v>
                </c:pt>
                <c:pt idx="31">
                  <c:v>1.1793300473073032E-5</c:v>
                </c:pt>
                <c:pt idx="32">
                  <c:v>1.1202408131794073E-5</c:v>
                </c:pt>
                <c:pt idx="33">
                  <c:v>1.1202408131794073E-5</c:v>
                </c:pt>
                <c:pt idx="34">
                  <c:v>7.4324257184343878E-6</c:v>
                </c:pt>
                <c:pt idx="35">
                  <c:v>7.4324257184343878E-6</c:v>
                </c:pt>
                <c:pt idx="36">
                  <c:v>7.4234189924027305E-6</c:v>
                </c:pt>
                <c:pt idx="37">
                  <c:v>7.4234189924027305E-6</c:v>
                </c:pt>
                <c:pt idx="38">
                  <c:v>6.8325266511237714E-6</c:v>
                </c:pt>
                <c:pt idx="39">
                  <c:v>6.8325266511237714E-6</c:v>
                </c:pt>
                <c:pt idx="40">
                  <c:v>3.062544465137762E-6</c:v>
                </c:pt>
                <c:pt idx="41">
                  <c:v>3.062544465137762E-6</c:v>
                </c:pt>
                <c:pt idx="42">
                  <c:v>3.0535375117324293E-6</c:v>
                </c:pt>
                <c:pt idx="43">
                  <c:v>3.0535375117324293E-6</c:v>
                </c:pt>
                <c:pt idx="44">
                  <c:v>2.4626451704534702E-6</c:v>
                </c:pt>
                <c:pt idx="45">
                  <c:v>2.4626451704534702E-6</c:v>
                </c:pt>
                <c:pt idx="46">
                  <c:v>2.4536384444218129E-6</c:v>
                </c:pt>
                <c:pt idx="47">
                  <c:v>2.4536384444218129E-6</c:v>
                </c:pt>
                <c:pt idx="48">
                  <c:v>2.4446314910164801E-6</c:v>
                </c:pt>
                <c:pt idx="49">
                  <c:v>2.4446314910164801E-6</c:v>
                </c:pt>
                <c:pt idx="50">
                  <c:v>1.8537391497375211E-6</c:v>
                </c:pt>
                <c:pt idx="51">
                  <c:v>1.8537391497375211E-6</c:v>
                </c:pt>
                <c:pt idx="52">
                  <c:v>1.2628469221453997E-6</c:v>
                </c:pt>
                <c:pt idx="53">
                  <c:v>1.2628469221453997E-6</c:v>
                </c:pt>
                <c:pt idx="54">
                  <c:v>1.253839968740067E-6</c:v>
                </c:pt>
                <c:pt idx="55">
                  <c:v>1.253839968740067E-6</c:v>
                </c:pt>
                <c:pt idx="56">
                  <c:v>1.2448330153347342E-6</c:v>
                </c:pt>
                <c:pt idx="57">
                  <c:v>1.2448330153347342E-6</c:v>
                </c:pt>
                <c:pt idx="58">
                  <c:v>6.5394078774261288E-7</c:v>
                </c:pt>
                <c:pt idx="59">
                  <c:v>6.5394078774261288E-7</c:v>
                </c:pt>
                <c:pt idx="60">
                  <c:v>6.4493383433728013E-7</c:v>
                </c:pt>
                <c:pt idx="61">
                  <c:v>6.4493383433728013E-7</c:v>
                </c:pt>
                <c:pt idx="62">
                  <c:v>6.3592693777536624E-7</c:v>
                </c:pt>
                <c:pt idx="63">
                  <c:v>6.3592693777536624E-7</c:v>
                </c:pt>
                <c:pt idx="64">
                  <c:v>6.2691998437003349E-7</c:v>
                </c:pt>
                <c:pt idx="65">
                  <c:v>6.2691998437003349E-7</c:v>
                </c:pt>
                <c:pt idx="66">
                  <c:v>3.6027728356202715E-8</c:v>
                </c:pt>
                <c:pt idx="67">
                  <c:v>3.6027728356202715E-8</c:v>
                </c:pt>
                <c:pt idx="68">
                  <c:v>2.7020794490795197E-8</c:v>
                </c:pt>
                <c:pt idx="69">
                  <c:v>2.7020794490795197E-8</c:v>
                </c:pt>
                <c:pt idx="70">
                  <c:v>1.8013864178101358E-8</c:v>
                </c:pt>
                <c:pt idx="71">
                  <c:v>1.8013864178101358E-8</c:v>
                </c:pt>
                <c:pt idx="72">
                  <c:v>9.0069320890506788E-9</c:v>
                </c:pt>
                <c:pt idx="73">
                  <c:v>1.0000000000000001E-9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12-407F-82BC-92A1B6547F3F}"/>
            </c:ext>
          </c:extLst>
        </c:ser>
        <c:ser>
          <c:idx val="1"/>
          <c:order val="1"/>
          <c:spPr>
            <a:ln w="3175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FNCurve2!$X$33:$X$34</c:f>
              <c:numCache>
                <c:formatCode>General</c:formatCode>
                <c:ptCount val="2"/>
                <c:pt idx="0">
                  <c:v>0.1</c:v>
                </c:pt>
                <c:pt idx="1">
                  <c:v>10000</c:v>
                </c:pt>
              </c:numCache>
            </c:numRef>
          </c:xVal>
          <c:yVal>
            <c:numRef>
              <c:f>FNCurve2!$Y$33:$Y$34</c:f>
              <c:numCache>
                <c:formatCode>0.00E+00</c:formatCode>
                <c:ptCount val="2"/>
                <c:pt idx="0" formatCode="General">
                  <c:v>1</c:v>
                </c:pt>
                <c:pt idx="1">
                  <c:v>1.0000000000000001E-5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E12-407F-82BC-92A1B6547F3F}"/>
            </c:ext>
          </c:extLst>
        </c:ser>
        <c:ser>
          <c:idx val="2"/>
          <c:order val="2"/>
          <c:spPr>
            <a:ln w="3175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FNCurve2!$Z$33:$Z$34</c:f>
              <c:numCache>
                <c:formatCode>General</c:formatCode>
                <c:ptCount val="2"/>
                <c:pt idx="0">
                  <c:v>0.1</c:v>
                </c:pt>
                <c:pt idx="1">
                  <c:v>10000</c:v>
                </c:pt>
              </c:numCache>
            </c:numRef>
          </c:xVal>
          <c:yVal>
            <c:numRef>
              <c:f>FNCurve2!$AA$33:$AA$34</c:f>
              <c:numCache>
                <c:formatCode>0.00E+00</c:formatCode>
                <c:ptCount val="2"/>
                <c:pt idx="0">
                  <c:v>1E-3</c:v>
                </c:pt>
                <c:pt idx="1">
                  <c:v>1E-8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E12-407F-82BC-92A1B6547F3F}"/>
            </c:ext>
          </c:extLst>
        </c:ser>
        <c:ser>
          <c:idx val="3"/>
          <c:order val="3"/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FNCurve2!$AB$33:$AB$34</c:f>
              <c:numCache>
                <c:formatCode>General</c:formatCode>
                <c:ptCount val="2"/>
                <c:pt idx="0">
                  <c:v>0.1</c:v>
                </c:pt>
                <c:pt idx="1">
                  <c:v>1000</c:v>
                </c:pt>
              </c:numCache>
            </c:numRef>
          </c:xVal>
          <c:yVal>
            <c:numRef>
              <c:f>FNCurve2!$AC$33:$AC$34</c:f>
              <c:numCache>
                <c:formatCode>0.00E+00</c:formatCode>
                <c:ptCount val="2"/>
                <c:pt idx="0">
                  <c:v>0.01</c:v>
                </c:pt>
                <c:pt idx="1">
                  <c:v>9.9999999999999995E-7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E12-407F-82BC-92A1B6547F3F}"/>
            </c:ext>
          </c:extLst>
        </c:ser>
        <c:ser>
          <c:idx val="4"/>
          <c:order val="4"/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FNCurve2!$AD$33:$AD$34</c:f>
              <c:numCache>
                <c:formatCode>General</c:formatCode>
                <c:ptCount val="2"/>
                <c:pt idx="0">
                  <c:v>0.1</c:v>
                </c:pt>
                <c:pt idx="1">
                  <c:v>1000</c:v>
                </c:pt>
              </c:numCache>
            </c:numRef>
          </c:xVal>
          <c:yVal>
            <c:numRef>
              <c:f>FNCurve2!$AE$33:$AE$34</c:f>
              <c:numCache>
                <c:formatCode>0.00E+00</c:formatCode>
                <c:ptCount val="2"/>
                <c:pt idx="0">
                  <c:v>1E-4</c:v>
                </c:pt>
                <c:pt idx="1">
                  <c:v>1E-8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BE12-407F-82BC-92A1B6547F3F}"/>
            </c:ext>
          </c:extLst>
        </c:ser>
        <c:ser>
          <c:idx val="5"/>
          <c:order val="5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1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BE12-407F-82BC-92A1B6547F3F}"/>
              </c:ext>
            </c:extLst>
          </c:dPt>
          <c:xVal>
            <c:numRef>
              <c:f>FNCurve2!$AF$33:$AF$34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FNCurve2!$AG$33:$AG$34</c:f>
              <c:numCache>
                <c:formatCode>0.00E+00</c:formatCode>
                <c:ptCount val="2"/>
                <c:pt idx="0">
                  <c:v>9.9999999999999995E-7</c:v>
                </c:pt>
                <c:pt idx="1">
                  <c:v>1.0000000000000001E-9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BE12-407F-82BC-92A1B6547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460160"/>
        <c:axId val="264474624"/>
      </c:scatterChart>
      <c:valAx>
        <c:axId val="264460160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CFFFF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Fatalities</a:t>
                </a:r>
              </a:p>
            </c:rich>
          </c:tx>
          <c:layout>
            <c:manualLayout>
              <c:xMode val="edge"/>
              <c:yMode val="edge"/>
              <c:x val="0.49849925430985292"/>
              <c:y val="0.90865363227901608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4474624"/>
        <c:crossesAt val="1.0000000000000001E-9"/>
        <c:crossBetween val="midCat"/>
      </c:valAx>
      <c:valAx>
        <c:axId val="264474624"/>
        <c:scaling>
          <c:logBase val="10"/>
          <c:orientation val="minMax"/>
          <c:max val="1"/>
          <c:min val="1.0000000000000001E-9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CFFFF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Fequency more than N Fatalities [1/yr]</a:t>
                </a:r>
              </a:p>
            </c:rich>
          </c:tx>
          <c:layout>
            <c:manualLayout>
              <c:xMode val="edge"/>
              <c:yMode val="edge"/>
              <c:x val="4.0982009600625396E-2"/>
              <c:y val="0.13373233849163274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4460160"/>
        <c:crossesAt val="1.0000000000000001E-9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216239994252063"/>
          <c:y val="6.25E-2"/>
          <c:w val="0.77477591083648756"/>
          <c:h val="0.76682692307692313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Raw_FNC!$L$3:$L$493</c:f>
              <c:numCache>
                <c:formatCode>###0.0</c:formatCode>
                <c:ptCount val="491"/>
                <c:pt idx="0">
                  <c:v>0.10000000149011612</c:v>
                </c:pt>
                <c:pt idx="1">
                  <c:v>0.20000000298023224</c:v>
                </c:pt>
                <c:pt idx="2">
                  <c:v>0.20000000298023224</c:v>
                </c:pt>
                <c:pt idx="3">
                  <c:v>0.30000001192092896</c:v>
                </c:pt>
                <c:pt idx="4">
                  <c:v>0.30000001192092896</c:v>
                </c:pt>
                <c:pt idx="5">
                  <c:v>0.40000000596046448</c:v>
                </c:pt>
                <c:pt idx="6">
                  <c:v>0.40000000596046448</c:v>
                </c:pt>
                <c:pt idx="7">
                  <c:v>0.5</c:v>
                </c:pt>
                <c:pt idx="8">
                  <c:v>0.5</c:v>
                </c:pt>
                <c:pt idx="9">
                  <c:v>0.60000002384185791</c:v>
                </c:pt>
                <c:pt idx="10">
                  <c:v>0.60000002384185791</c:v>
                </c:pt>
                <c:pt idx="11">
                  <c:v>0.69999998807907104</c:v>
                </c:pt>
                <c:pt idx="12">
                  <c:v>0.69999998807907104</c:v>
                </c:pt>
                <c:pt idx="13">
                  <c:v>0.80000001192092896</c:v>
                </c:pt>
                <c:pt idx="14">
                  <c:v>0.80000001192092896</c:v>
                </c:pt>
                <c:pt idx="15">
                  <c:v>0.89999997615814209</c:v>
                </c:pt>
                <c:pt idx="16">
                  <c:v>0.89999997615814209</c:v>
                </c:pt>
                <c:pt idx="17">
                  <c:v>1</c:v>
                </c:pt>
                <c:pt idx="18">
                  <c:v>1</c:v>
                </c:pt>
                <c:pt idx="19">
                  <c:v>1.1000000238418579</c:v>
                </c:pt>
                <c:pt idx="20">
                  <c:v>1.1000000238418579</c:v>
                </c:pt>
                <c:pt idx="21">
                  <c:v>1.2999999523162842</c:v>
                </c:pt>
                <c:pt idx="22">
                  <c:v>1.2999999523162842</c:v>
                </c:pt>
                <c:pt idx="23">
                  <c:v>1.3999999761581421</c:v>
                </c:pt>
                <c:pt idx="24">
                  <c:v>1.3999999761581421</c:v>
                </c:pt>
                <c:pt idx="25">
                  <c:v>1.5</c:v>
                </c:pt>
                <c:pt idx="26">
                  <c:v>1.5</c:v>
                </c:pt>
                <c:pt idx="27">
                  <c:v>1.7000000476837158</c:v>
                </c:pt>
                <c:pt idx="28">
                  <c:v>1.7000000476837158</c:v>
                </c:pt>
                <c:pt idx="29">
                  <c:v>1.7999999523162842</c:v>
                </c:pt>
                <c:pt idx="30">
                  <c:v>1.7999999523162842</c:v>
                </c:pt>
                <c:pt idx="31">
                  <c:v>1.8999999761581421</c:v>
                </c:pt>
                <c:pt idx="32">
                  <c:v>1.8999999761581421</c:v>
                </c:pt>
                <c:pt idx="33">
                  <c:v>2</c:v>
                </c:pt>
                <c:pt idx="34">
                  <c:v>2</c:v>
                </c:pt>
                <c:pt idx="35">
                  <c:v>2.2000000476837158</c:v>
                </c:pt>
                <c:pt idx="36">
                  <c:v>2.2000000476837158</c:v>
                </c:pt>
                <c:pt idx="37">
                  <c:v>2.2999999523162842</c:v>
                </c:pt>
                <c:pt idx="38">
                  <c:v>2.2999999523162842</c:v>
                </c:pt>
                <c:pt idx="39">
                  <c:v>2.5999999046325684</c:v>
                </c:pt>
                <c:pt idx="40">
                  <c:v>2.5999999046325684</c:v>
                </c:pt>
                <c:pt idx="41">
                  <c:v>2.9000000953674316</c:v>
                </c:pt>
                <c:pt idx="42">
                  <c:v>2.9000000953674316</c:v>
                </c:pt>
                <c:pt idx="43">
                  <c:v>3.2000000476837158</c:v>
                </c:pt>
                <c:pt idx="44">
                  <c:v>3.2000000476837158</c:v>
                </c:pt>
                <c:pt idx="45">
                  <c:v>3.2999999523162842</c:v>
                </c:pt>
                <c:pt idx="46">
                  <c:v>3.2999999523162842</c:v>
                </c:pt>
                <c:pt idx="47">
                  <c:v>3.5</c:v>
                </c:pt>
                <c:pt idx="48">
                  <c:v>3.5</c:v>
                </c:pt>
                <c:pt idx="49">
                  <c:v>3.5999999046325684</c:v>
                </c:pt>
                <c:pt idx="50">
                  <c:v>3.5999999046325684</c:v>
                </c:pt>
                <c:pt idx="51">
                  <c:v>3.7000000476837158</c:v>
                </c:pt>
                <c:pt idx="52">
                  <c:v>3.7000000476837158</c:v>
                </c:pt>
                <c:pt idx="53">
                  <c:v>4</c:v>
                </c:pt>
                <c:pt idx="54">
                  <c:v>4</c:v>
                </c:pt>
                <c:pt idx="55">
                  <c:v>4.0999999046325684</c:v>
                </c:pt>
                <c:pt idx="56">
                  <c:v>4.0999999046325684</c:v>
                </c:pt>
                <c:pt idx="57">
                  <c:v>4.1999998092651367</c:v>
                </c:pt>
                <c:pt idx="58">
                  <c:v>4.1999998092651367</c:v>
                </c:pt>
                <c:pt idx="59">
                  <c:v>4.4000000953674316</c:v>
                </c:pt>
                <c:pt idx="60">
                  <c:v>4.4000000953674316</c:v>
                </c:pt>
                <c:pt idx="61">
                  <c:v>4.5</c:v>
                </c:pt>
                <c:pt idx="62">
                  <c:v>4.5</c:v>
                </c:pt>
                <c:pt idx="63">
                  <c:v>5</c:v>
                </c:pt>
                <c:pt idx="64">
                  <c:v>5</c:v>
                </c:pt>
                <c:pt idx="65">
                  <c:v>5.0999999046325684</c:v>
                </c:pt>
                <c:pt idx="66">
                  <c:v>5.0999999046325684</c:v>
                </c:pt>
                <c:pt idx="67">
                  <c:v>5.3000001907348633</c:v>
                </c:pt>
                <c:pt idx="68">
                  <c:v>5.3000001907348633</c:v>
                </c:pt>
                <c:pt idx="69">
                  <c:v>5.4000000953674316</c:v>
                </c:pt>
                <c:pt idx="70">
                  <c:v>5.4000000953674316</c:v>
                </c:pt>
                <c:pt idx="71">
                  <c:v>5.5</c:v>
                </c:pt>
                <c:pt idx="72">
                  <c:v>5.5</c:v>
                </c:pt>
                <c:pt idx="73">
                  <c:v>5.8000001907348633</c:v>
                </c:pt>
                <c:pt idx="74">
                  <c:v>5.8000001907348633</c:v>
                </c:pt>
                <c:pt idx="75">
                  <c:v>6.0999999046325684</c:v>
                </c:pt>
                <c:pt idx="76">
                  <c:v>6.0999999046325684</c:v>
                </c:pt>
                <c:pt idx="77">
                  <c:v>6.3000001907348633</c:v>
                </c:pt>
                <c:pt idx="78">
                  <c:v>6.3000001907348633</c:v>
                </c:pt>
                <c:pt idx="79">
                  <c:v>6.5</c:v>
                </c:pt>
                <c:pt idx="80">
                  <c:v>6.5</c:v>
                </c:pt>
                <c:pt idx="81">
                  <c:v>7</c:v>
                </c:pt>
                <c:pt idx="82">
                  <c:v>7</c:v>
                </c:pt>
                <c:pt idx="83">
                  <c:v>7.3000001907348633</c:v>
                </c:pt>
                <c:pt idx="84">
                  <c:v>7.3000001907348633</c:v>
                </c:pt>
                <c:pt idx="85">
                  <c:v>7.4000000953674316</c:v>
                </c:pt>
                <c:pt idx="86">
                  <c:v>7.4000000953674316</c:v>
                </c:pt>
                <c:pt idx="87">
                  <c:v>7.5999999046325684</c:v>
                </c:pt>
                <c:pt idx="88">
                  <c:v>7.5999999046325684</c:v>
                </c:pt>
                <c:pt idx="89">
                  <c:v>9.6999998092651367</c:v>
                </c:pt>
                <c:pt idx="90">
                  <c:v>9.6999998092651367</c:v>
                </c:pt>
                <c:pt idx="91">
                  <c:v>10.100000381469727</c:v>
                </c:pt>
                <c:pt idx="92">
                  <c:v>10.100000381469727</c:v>
                </c:pt>
                <c:pt idx="93">
                  <c:v>10.300000190734863</c:v>
                </c:pt>
                <c:pt idx="94">
                  <c:v>10.300000190734863</c:v>
                </c:pt>
                <c:pt idx="95">
                  <c:v>10.399999618530273</c:v>
                </c:pt>
                <c:pt idx="96">
                  <c:v>10.399999618530273</c:v>
                </c:pt>
                <c:pt idx="97">
                  <c:v>10.5</c:v>
                </c:pt>
                <c:pt idx="98">
                  <c:v>10.5</c:v>
                </c:pt>
                <c:pt idx="99">
                  <c:v>10.600000381469727</c:v>
                </c:pt>
                <c:pt idx="100">
                  <c:v>10.600000381469727</c:v>
                </c:pt>
                <c:pt idx="101">
                  <c:v>10.699999809265137</c:v>
                </c:pt>
                <c:pt idx="102">
                  <c:v>10.699999809265137</c:v>
                </c:pt>
                <c:pt idx="103">
                  <c:v>11</c:v>
                </c:pt>
                <c:pt idx="104">
                  <c:v>11</c:v>
                </c:pt>
                <c:pt idx="105">
                  <c:v>11.100000381469727</c:v>
                </c:pt>
                <c:pt idx="106">
                  <c:v>11.100000381469727</c:v>
                </c:pt>
                <c:pt idx="107">
                  <c:v>11.199999809265137</c:v>
                </c:pt>
                <c:pt idx="108">
                  <c:v>11.199999809265137</c:v>
                </c:pt>
                <c:pt idx="109">
                  <c:v>11.5</c:v>
                </c:pt>
                <c:pt idx="110">
                  <c:v>11.5</c:v>
                </c:pt>
                <c:pt idx="111">
                  <c:v>11.699999809265137</c:v>
                </c:pt>
                <c:pt idx="112">
                  <c:v>11.699999809265137</c:v>
                </c:pt>
                <c:pt idx="113">
                  <c:v>12</c:v>
                </c:pt>
                <c:pt idx="114">
                  <c:v>12</c:v>
                </c:pt>
                <c:pt idx="115">
                  <c:v>12.199999809265137</c:v>
                </c:pt>
                <c:pt idx="116">
                  <c:v>12.199999809265137</c:v>
                </c:pt>
                <c:pt idx="117">
                  <c:v>12.300000190734863</c:v>
                </c:pt>
                <c:pt idx="118">
                  <c:v>12.300000190734863</c:v>
                </c:pt>
                <c:pt idx="119">
                  <c:v>12.399999618530273</c:v>
                </c:pt>
                <c:pt idx="120">
                  <c:v>12.399999618530273</c:v>
                </c:pt>
                <c:pt idx="121">
                  <c:v>12.600000381469727</c:v>
                </c:pt>
                <c:pt idx="122">
                  <c:v>12.600000381469727</c:v>
                </c:pt>
                <c:pt idx="123">
                  <c:v>12.699999809265137</c:v>
                </c:pt>
                <c:pt idx="124">
                  <c:v>12.699999809265137</c:v>
                </c:pt>
                <c:pt idx="125">
                  <c:v>12.899999618530273</c:v>
                </c:pt>
                <c:pt idx="126">
                  <c:v>12.899999618530273</c:v>
                </c:pt>
                <c:pt idx="127">
                  <c:v>13</c:v>
                </c:pt>
                <c:pt idx="128">
                  <c:v>13</c:v>
                </c:pt>
                <c:pt idx="129">
                  <c:v>13.199999809265137</c:v>
                </c:pt>
                <c:pt idx="130">
                  <c:v>13.199999809265137</c:v>
                </c:pt>
                <c:pt idx="131">
                  <c:v>13.399999618530273</c:v>
                </c:pt>
                <c:pt idx="132">
                  <c:v>13.399999618530273</c:v>
                </c:pt>
                <c:pt idx="133">
                  <c:v>13.699999809265137</c:v>
                </c:pt>
                <c:pt idx="134">
                  <c:v>13.699999809265137</c:v>
                </c:pt>
                <c:pt idx="135">
                  <c:v>13.800000190734863</c:v>
                </c:pt>
                <c:pt idx="136">
                  <c:v>13.800000190734863</c:v>
                </c:pt>
                <c:pt idx="137">
                  <c:v>13.899999618530273</c:v>
                </c:pt>
                <c:pt idx="138">
                  <c:v>13.899999618530273</c:v>
                </c:pt>
                <c:pt idx="139">
                  <c:v>14</c:v>
                </c:pt>
                <c:pt idx="140">
                  <c:v>14</c:v>
                </c:pt>
                <c:pt idx="141">
                  <c:v>14.100000381469727</c:v>
                </c:pt>
                <c:pt idx="142">
                  <c:v>14.100000381469727</c:v>
                </c:pt>
                <c:pt idx="143">
                  <c:v>14.199999809265137</c:v>
                </c:pt>
                <c:pt idx="144">
                  <c:v>14.199999809265137</c:v>
                </c:pt>
                <c:pt idx="145">
                  <c:v>14.399999618530273</c:v>
                </c:pt>
                <c:pt idx="146">
                  <c:v>14.399999618530273</c:v>
                </c:pt>
                <c:pt idx="147">
                  <c:v>14.600000381469727</c:v>
                </c:pt>
                <c:pt idx="148">
                  <c:v>14.600000381469727</c:v>
                </c:pt>
                <c:pt idx="149">
                  <c:v>14.800000190734863</c:v>
                </c:pt>
                <c:pt idx="150">
                  <c:v>14.800000190734863</c:v>
                </c:pt>
                <c:pt idx="151">
                  <c:v>14.899999618530273</c:v>
                </c:pt>
                <c:pt idx="152">
                  <c:v>14.899999618530273</c:v>
                </c:pt>
                <c:pt idx="153">
                  <c:v>15</c:v>
                </c:pt>
                <c:pt idx="154">
                  <c:v>15</c:v>
                </c:pt>
                <c:pt idx="155">
                  <c:v>15.300000190734863</c:v>
                </c:pt>
                <c:pt idx="156">
                  <c:v>15.300000190734863</c:v>
                </c:pt>
                <c:pt idx="157">
                  <c:v>16.200000762939453</c:v>
                </c:pt>
                <c:pt idx="158">
                  <c:v>16.200000762939453</c:v>
                </c:pt>
                <c:pt idx="159">
                  <c:v>16.299999237060547</c:v>
                </c:pt>
                <c:pt idx="160">
                  <c:v>16.299999237060547</c:v>
                </c:pt>
                <c:pt idx="161">
                  <c:v>16.5</c:v>
                </c:pt>
                <c:pt idx="162">
                  <c:v>16.5</c:v>
                </c:pt>
                <c:pt idx="163">
                  <c:v>16.600000381469727</c:v>
                </c:pt>
                <c:pt idx="164">
                  <c:v>16.600000381469727</c:v>
                </c:pt>
                <c:pt idx="165">
                  <c:v>17.200000762939453</c:v>
                </c:pt>
                <c:pt idx="166">
                  <c:v>17.200000762939453</c:v>
                </c:pt>
                <c:pt idx="167">
                  <c:v>17.399999618530273</c:v>
                </c:pt>
                <c:pt idx="168">
                  <c:v>17.399999618530273</c:v>
                </c:pt>
                <c:pt idx="169">
                  <c:v>17.700000762939453</c:v>
                </c:pt>
                <c:pt idx="170">
                  <c:v>17.700000762939453</c:v>
                </c:pt>
                <c:pt idx="171">
                  <c:v>18.200000762939453</c:v>
                </c:pt>
                <c:pt idx="172">
                  <c:v>18.200000762939453</c:v>
                </c:pt>
                <c:pt idx="173">
                  <c:v>18.399999618530273</c:v>
                </c:pt>
                <c:pt idx="174">
                  <c:v>18.399999618530273</c:v>
                </c:pt>
                <c:pt idx="175">
                  <c:v>18.700000762939453</c:v>
                </c:pt>
                <c:pt idx="176">
                  <c:v>18.700000762939453</c:v>
                </c:pt>
                <c:pt idx="177">
                  <c:v>19.200000762939453</c:v>
                </c:pt>
                <c:pt idx="178">
                  <c:v>19.200000762939453</c:v>
                </c:pt>
                <c:pt idx="179">
                  <c:v>19.700000762939453</c:v>
                </c:pt>
                <c:pt idx="180">
                  <c:v>19.700000762939453</c:v>
                </c:pt>
                <c:pt idx="181">
                  <c:v>20.200000762939453</c:v>
                </c:pt>
                <c:pt idx="182">
                  <c:v>20.200000762939453</c:v>
                </c:pt>
                <c:pt idx="183">
                  <c:v>20.799999237060547</c:v>
                </c:pt>
                <c:pt idx="184">
                  <c:v>20.799999237060547</c:v>
                </c:pt>
                <c:pt idx="185">
                  <c:v>21.399999618530273</c:v>
                </c:pt>
                <c:pt idx="186">
                  <c:v>21.399999618530273</c:v>
                </c:pt>
                <c:pt idx="187">
                  <c:v>21.5</c:v>
                </c:pt>
                <c:pt idx="188">
                  <c:v>21.5</c:v>
                </c:pt>
                <c:pt idx="189">
                  <c:v>22.299999237060547</c:v>
                </c:pt>
                <c:pt idx="190">
                  <c:v>22.299999237060547</c:v>
                </c:pt>
                <c:pt idx="191">
                  <c:v>22.700000762939453</c:v>
                </c:pt>
                <c:pt idx="192">
                  <c:v>22.700000762939453</c:v>
                </c:pt>
                <c:pt idx="193">
                  <c:v>23.100000381469727</c:v>
                </c:pt>
                <c:pt idx="194">
                  <c:v>23.100000381469727</c:v>
                </c:pt>
                <c:pt idx="195">
                  <c:v>23.600000381469727</c:v>
                </c:pt>
                <c:pt idx="196">
                  <c:v>23.600000381469727</c:v>
                </c:pt>
                <c:pt idx="197">
                  <c:v>25.200000762939453</c:v>
                </c:pt>
                <c:pt idx="198">
                  <c:v>25.200000762939453</c:v>
                </c:pt>
                <c:pt idx="199">
                  <c:v>25.399999618530273</c:v>
                </c:pt>
                <c:pt idx="200">
                  <c:v>25.399999618530273</c:v>
                </c:pt>
                <c:pt idx="201">
                  <c:v>25.5</c:v>
                </c:pt>
                <c:pt idx="202">
                  <c:v>25.5</c:v>
                </c:pt>
                <c:pt idx="203">
                  <c:v>26.100000381469727</c:v>
                </c:pt>
                <c:pt idx="204">
                  <c:v>26.100000381469727</c:v>
                </c:pt>
                <c:pt idx="205">
                  <c:v>26.899999618530273</c:v>
                </c:pt>
                <c:pt idx="206">
                  <c:v>26.899999618530273</c:v>
                </c:pt>
                <c:pt idx="207">
                  <c:v>27</c:v>
                </c:pt>
                <c:pt idx="208">
                  <c:v>27</c:v>
                </c:pt>
                <c:pt idx="209">
                  <c:v>28.200000762939453</c:v>
                </c:pt>
                <c:pt idx="210">
                  <c:v>28.200000762939453</c:v>
                </c:pt>
                <c:pt idx="211">
                  <c:v>28.299999237060547</c:v>
                </c:pt>
                <c:pt idx="212">
                  <c:v>28.299999237060547</c:v>
                </c:pt>
                <c:pt idx="213">
                  <c:v>31</c:v>
                </c:pt>
                <c:pt idx="214">
                  <c:v>31</c:v>
                </c:pt>
                <c:pt idx="215">
                  <c:v>32.200000762939453</c:v>
                </c:pt>
                <c:pt idx="216">
                  <c:v>32.200000762939453</c:v>
                </c:pt>
                <c:pt idx="217">
                  <c:v>32.5</c:v>
                </c:pt>
                <c:pt idx="218">
                  <c:v>32.5</c:v>
                </c:pt>
                <c:pt idx="219">
                  <c:v>32.700000762939453</c:v>
                </c:pt>
                <c:pt idx="220">
                  <c:v>32.700000762939453</c:v>
                </c:pt>
                <c:pt idx="221">
                  <c:v>32.799999237060547</c:v>
                </c:pt>
                <c:pt idx="222">
                  <c:v>32.799999237060547</c:v>
                </c:pt>
                <c:pt idx="223">
                  <c:v>34.299999237060547</c:v>
                </c:pt>
                <c:pt idx="224">
                  <c:v>34.299999237060547</c:v>
                </c:pt>
                <c:pt idx="225">
                  <c:v>34.799999237060547</c:v>
                </c:pt>
                <c:pt idx="226">
                  <c:v>34.799999237060547</c:v>
                </c:pt>
                <c:pt idx="227">
                  <c:v>35.700000762939453</c:v>
                </c:pt>
                <c:pt idx="228">
                  <c:v>35.700000762939453</c:v>
                </c:pt>
                <c:pt idx="229">
                  <c:v>36.099998474121094</c:v>
                </c:pt>
                <c:pt idx="230">
                  <c:v>36.099998474121094</c:v>
                </c:pt>
                <c:pt idx="231">
                  <c:v>37.200000762939453</c:v>
                </c:pt>
                <c:pt idx="232">
                  <c:v>37.200000762939453</c:v>
                </c:pt>
                <c:pt idx="233">
                  <c:v>38.5</c:v>
                </c:pt>
                <c:pt idx="234">
                  <c:v>38.5</c:v>
                </c:pt>
                <c:pt idx="235">
                  <c:v>39.200000762939453</c:v>
                </c:pt>
                <c:pt idx="236">
                  <c:v>39.200000762939453</c:v>
                </c:pt>
                <c:pt idx="237">
                  <c:v>39.599998474121094</c:v>
                </c:pt>
                <c:pt idx="238">
                  <c:v>39.599998474121094</c:v>
                </c:pt>
                <c:pt idx="239">
                  <c:v>42.200000762939453</c:v>
                </c:pt>
                <c:pt idx="240">
                  <c:v>42.200000762939453</c:v>
                </c:pt>
                <c:pt idx="241">
                  <c:v>43.400001525878906</c:v>
                </c:pt>
                <c:pt idx="242">
                  <c:v>43.400001525878906</c:v>
                </c:pt>
                <c:pt idx="243">
                  <c:v>49</c:v>
                </c:pt>
                <c:pt idx="244">
                  <c:v>49</c:v>
                </c:pt>
                <c:pt idx="245">
                  <c:v>49.599998474121094</c:v>
                </c:pt>
                <c:pt idx="246">
                  <c:v>49.599998474121094</c:v>
                </c:pt>
                <c:pt idx="247">
                  <c:v>55.099998474121094</c:v>
                </c:pt>
                <c:pt idx="248">
                  <c:v>55.099998474121094</c:v>
                </c:pt>
                <c:pt idx="249">
                  <c:v>57</c:v>
                </c:pt>
                <c:pt idx="250">
                  <c:v>57</c:v>
                </c:pt>
                <c:pt idx="251">
                  <c:v>59.799999237060547</c:v>
                </c:pt>
                <c:pt idx="252">
                  <c:v>59.799999237060547</c:v>
                </c:pt>
                <c:pt idx="253">
                  <c:v>60.599998474121094</c:v>
                </c:pt>
                <c:pt idx="254">
                  <c:v>60.599998474121094</c:v>
                </c:pt>
                <c:pt idx="255">
                  <c:v>61.099998474121094</c:v>
                </c:pt>
                <c:pt idx="256">
                  <c:v>61.099998474121094</c:v>
                </c:pt>
                <c:pt idx="257">
                  <c:v>62.099998474121094</c:v>
                </c:pt>
                <c:pt idx="258">
                  <c:v>62.099998474121094</c:v>
                </c:pt>
                <c:pt idx="259">
                  <c:v>62.200000762939453</c:v>
                </c:pt>
                <c:pt idx="260">
                  <c:v>62.200000762939453</c:v>
                </c:pt>
                <c:pt idx="261">
                  <c:v>62.299999237060547</c:v>
                </c:pt>
                <c:pt idx="262">
                  <c:v>62.299999237060547</c:v>
                </c:pt>
                <c:pt idx="263">
                  <c:v>62.700000762939453</c:v>
                </c:pt>
                <c:pt idx="264">
                  <c:v>62.700000762939453</c:v>
                </c:pt>
                <c:pt idx="265">
                  <c:v>64.900001525878906</c:v>
                </c:pt>
                <c:pt idx="266">
                  <c:v>64.900001525878906</c:v>
                </c:pt>
                <c:pt idx="267">
                  <c:v>65.300003051757812</c:v>
                </c:pt>
                <c:pt idx="268">
                  <c:v>65.300003051757812</c:v>
                </c:pt>
                <c:pt idx="269">
                  <c:v>66.300003051757813</c:v>
                </c:pt>
                <c:pt idx="270">
                  <c:v>66.300003051757813</c:v>
                </c:pt>
                <c:pt idx="271">
                  <c:v>69.300003051757812</c:v>
                </c:pt>
                <c:pt idx="272">
                  <c:v>69.300003051757812</c:v>
                </c:pt>
                <c:pt idx="273">
                  <c:v>69.599998474121094</c:v>
                </c:pt>
                <c:pt idx="274">
                  <c:v>69.599998474121094</c:v>
                </c:pt>
                <c:pt idx="275">
                  <c:v>69.900001525878906</c:v>
                </c:pt>
                <c:pt idx="276">
                  <c:v>69.900001525878906</c:v>
                </c:pt>
                <c:pt idx="277">
                  <c:v>70.300003051757813</c:v>
                </c:pt>
                <c:pt idx="278">
                  <c:v>70.300003051757813</c:v>
                </c:pt>
                <c:pt idx="279">
                  <c:v>71.300003051757813</c:v>
                </c:pt>
                <c:pt idx="280">
                  <c:v>71.300003051757813</c:v>
                </c:pt>
                <c:pt idx="281">
                  <c:v>71.400001525878906</c:v>
                </c:pt>
                <c:pt idx="282">
                  <c:v>71.400001525878906</c:v>
                </c:pt>
                <c:pt idx="283">
                  <c:v>72.699996948242188</c:v>
                </c:pt>
                <c:pt idx="284">
                  <c:v>72.699996948242188</c:v>
                </c:pt>
                <c:pt idx="285">
                  <c:v>74.199996948242188</c:v>
                </c:pt>
                <c:pt idx="286">
                  <c:v>74.199996948242188</c:v>
                </c:pt>
                <c:pt idx="287">
                  <c:v>75.5</c:v>
                </c:pt>
                <c:pt idx="288">
                  <c:v>75.5</c:v>
                </c:pt>
                <c:pt idx="289">
                  <c:v>75.599998474121094</c:v>
                </c:pt>
                <c:pt idx="290">
                  <c:v>75.599998474121094</c:v>
                </c:pt>
                <c:pt idx="291">
                  <c:v>76</c:v>
                </c:pt>
                <c:pt idx="292">
                  <c:v>76</c:v>
                </c:pt>
                <c:pt idx="293">
                  <c:v>76.099998474121094</c:v>
                </c:pt>
                <c:pt idx="294">
                  <c:v>76.099998474121094</c:v>
                </c:pt>
                <c:pt idx="295">
                  <c:v>76.699996948242188</c:v>
                </c:pt>
                <c:pt idx="296">
                  <c:v>76.699996948242188</c:v>
                </c:pt>
                <c:pt idx="297">
                  <c:v>76.900001525878906</c:v>
                </c:pt>
                <c:pt idx="298">
                  <c:v>76.900001525878906</c:v>
                </c:pt>
                <c:pt idx="299">
                  <c:v>77.400001525878906</c:v>
                </c:pt>
                <c:pt idx="300">
                  <c:v>77.400001525878906</c:v>
                </c:pt>
                <c:pt idx="301">
                  <c:v>78.199996948242188</c:v>
                </c:pt>
                <c:pt idx="302">
                  <c:v>78.199996948242188</c:v>
                </c:pt>
                <c:pt idx="303">
                  <c:v>78.300003051757812</c:v>
                </c:pt>
                <c:pt idx="304">
                  <c:v>78.300003051757812</c:v>
                </c:pt>
                <c:pt idx="305">
                  <c:v>79.800003051757813</c:v>
                </c:pt>
                <c:pt idx="306">
                  <c:v>79.800003051757813</c:v>
                </c:pt>
                <c:pt idx="307">
                  <c:v>81.5</c:v>
                </c:pt>
                <c:pt idx="308">
                  <c:v>81.5</c:v>
                </c:pt>
                <c:pt idx="309">
                  <c:v>81.800003051757812</c:v>
                </c:pt>
                <c:pt idx="310">
                  <c:v>81.800003051757812</c:v>
                </c:pt>
                <c:pt idx="311">
                  <c:v>82.599998474121094</c:v>
                </c:pt>
                <c:pt idx="312">
                  <c:v>82.599998474121094</c:v>
                </c:pt>
                <c:pt idx="313">
                  <c:v>83.300003051757813</c:v>
                </c:pt>
                <c:pt idx="314">
                  <c:v>83.300003051757813</c:v>
                </c:pt>
                <c:pt idx="315">
                  <c:v>83.599998474121094</c:v>
                </c:pt>
                <c:pt idx="316">
                  <c:v>83.599998474121094</c:v>
                </c:pt>
                <c:pt idx="317">
                  <c:v>87.699996948242187</c:v>
                </c:pt>
                <c:pt idx="318">
                  <c:v>87.699996948242187</c:v>
                </c:pt>
                <c:pt idx="319">
                  <c:v>89.900001525878906</c:v>
                </c:pt>
                <c:pt idx="320">
                  <c:v>89.900001525878906</c:v>
                </c:pt>
                <c:pt idx="321">
                  <c:v>90.099998474121094</c:v>
                </c:pt>
                <c:pt idx="322">
                  <c:v>90.099998474121094</c:v>
                </c:pt>
                <c:pt idx="323">
                  <c:v>90.300003051757812</c:v>
                </c:pt>
                <c:pt idx="324">
                  <c:v>90.300003051757812</c:v>
                </c:pt>
                <c:pt idx="325">
                  <c:v>91</c:v>
                </c:pt>
                <c:pt idx="326">
                  <c:v>91</c:v>
                </c:pt>
                <c:pt idx="327">
                  <c:v>91.5</c:v>
                </c:pt>
                <c:pt idx="328">
                  <c:v>91.5</c:v>
                </c:pt>
                <c:pt idx="329">
                  <c:v>91.900001525878906</c:v>
                </c:pt>
                <c:pt idx="330">
                  <c:v>91.900001525878906</c:v>
                </c:pt>
                <c:pt idx="331">
                  <c:v>94.699996948242188</c:v>
                </c:pt>
                <c:pt idx="332">
                  <c:v>94.699996948242188</c:v>
                </c:pt>
                <c:pt idx="333">
                  <c:v>95</c:v>
                </c:pt>
                <c:pt idx="334">
                  <c:v>95</c:v>
                </c:pt>
                <c:pt idx="335">
                  <c:v>95.199996948242188</c:v>
                </c:pt>
                <c:pt idx="336">
                  <c:v>95.199996948242188</c:v>
                </c:pt>
                <c:pt idx="337">
                  <c:v>95.800003051757813</c:v>
                </c:pt>
                <c:pt idx="338">
                  <c:v>95.800003051757813</c:v>
                </c:pt>
                <c:pt idx="339">
                  <c:v>96.099998474121094</c:v>
                </c:pt>
                <c:pt idx="340">
                  <c:v>96.099998474121094</c:v>
                </c:pt>
                <c:pt idx="341">
                  <c:v>99.099998474121094</c:v>
                </c:pt>
                <c:pt idx="342">
                  <c:v>99.099998474121094</c:v>
                </c:pt>
                <c:pt idx="343">
                  <c:v>99.599998474121094</c:v>
                </c:pt>
                <c:pt idx="344">
                  <c:v>99.599998474121094</c:v>
                </c:pt>
                <c:pt idx="345">
                  <c:v>100.30000305175781</c:v>
                </c:pt>
                <c:pt idx="346">
                  <c:v>100.30000305175781</c:v>
                </c:pt>
                <c:pt idx="347">
                  <c:v>100.40000152587891</c:v>
                </c:pt>
                <c:pt idx="348">
                  <c:v>100.40000152587891</c:v>
                </c:pt>
                <c:pt idx="349">
                  <c:v>102.30000305175781</c:v>
                </c:pt>
                <c:pt idx="350">
                  <c:v>102.30000305175781</c:v>
                </c:pt>
                <c:pt idx="351">
                  <c:v>103.09999847412109</c:v>
                </c:pt>
                <c:pt idx="352">
                  <c:v>103.09999847412109</c:v>
                </c:pt>
                <c:pt idx="353">
                  <c:v>103.40000152587891</c:v>
                </c:pt>
                <c:pt idx="354">
                  <c:v>103.40000152587891</c:v>
                </c:pt>
                <c:pt idx="355">
                  <c:v>103.69999694824219</c:v>
                </c:pt>
                <c:pt idx="356">
                  <c:v>103.69999694824219</c:v>
                </c:pt>
                <c:pt idx="357">
                  <c:v>105</c:v>
                </c:pt>
                <c:pt idx="358">
                  <c:v>105</c:v>
                </c:pt>
                <c:pt idx="359">
                  <c:v>106</c:v>
                </c:pt>
                <c:pt idx="360">
                  <c:v>106</c:v>
                </c:pt>
                <c:pt idx="361">
                  <c:v>106.09999847412109</c:v>
                </c:pt>
                <c:pt idx="362">
                  <c:v>106.09999847412109</c:v>
                </c:pt>
                <c:pt idx="363">
                  <c:v>106.59999847412109</c:v>
                </c:pt>
                <c:pt idx="364">
                  <c:v>106.59999847412109</c:v>
                </c:pt>
                <c:pt idx="365">
                  <c:v>107.30000305175781</c:v>
                </c:pt>
                <c:pt idx="366">
                  <c:v>107.30000305175781</c:v>
                </c:pt>
                <c:pt idx="367">
                  <c:v>107.80000305175781</c:v>
                </c:pt>
                <c:pt idx="368">
                  <c:v>107.80000305175781</c:v>
                </c:pt>
                <c:pt idx="369">
                  <c:v>107.90000152587891</c:v>
                </c:pt>
                <c:pt idx="370">
                  <c:v>107.90000152587891</c:v>
                </c:pt>
                <c:pt idx="371">
                  <c:v>109.40000152587891</c:v>
                </c:pt>
                <c:pt idx="372">
                  <c:v>109.40000152587891</c:v>
                </c:pt>
                <c:pt idx="373">
                  <c:v>110.19999694824219</c:v>
                </c:pt>
                <c:pt idx="374">
                  <c:v>110.19999694824219</c:v>
                </c:pt>
                <c:pt idx="375">
                  <c:v>110.90000152587891</c:v>
                </c:pt>
                <c:pt idx="376">
                  <c:v>110.90000152587891</c:v>
                </c:pt>
                <c:pt idx="377">
                  <c:v>112.19999694824219</c:v>
                </c:pt>
                <c:pt idx="378">
                  <c:v>112.19999694824219</c:v>
                </c:pt>
                <c:pt idx="379">
                  <c:v>112.5</c:v>
                </c:pt>
                <c:pt idx="380">
                  <c:v>112.5</c:v>
                </c:pt>
                <c:pt idx="381">
                  <c:v>113.69999694824219</c:v>
                </c:pt>
                <c:pt idx="382">
                  <c:v>113.69999694824219</c:v>
                </c:pt>
                <c:pt idx="383">
                  <c:v>115.30000305175781</c:v>
                </c:pt>
                <c:pt idx="384">
                  <c:v>115.30000305175781</c:v>
                </c:pt>
                <c:pt idx="385">
                  <c:v>116.09999847412109</c:v>
                </c:pt>
                <c:pt idx="386">
                  <c:v>116.09999847412109</c:v>
                </c:pt>
                <c:pt idx="387">
                  <c:v>116.30000305175781</c:v>
                </c:pt>
                <c:pt idx="388">
                  <c:v>116.30000305175781</c:v>
                </c:pt>
                <c:pt idx="389">
                  <c:v>116.40000152587891</c:v>
                </c:pt>
                <c:pt idx="390">
                  <c:v>116.40000152587891</c:v>
                </c:pt>
                <c:pt idx="391">
                  <c:v>116.69999694824219</c:v>
                </c:pt>
                <c:pt idx="392">
                  <c:v>116.69999694824219</c:v>
                </c:pt>
                <c:pt idx="393">
                  <c:v>118.5</c:v>
                </c:pt>
                <c:pt idx="394">
                  <c:v>118.5</c:v>
                </c:pt>
                <c:pt idx="395">
                  <c:v>120</c:v>
                </c:pt>
                <c:pt idx="396">
                  <c:v>120</c:v>
                </c:pt>
                <c:pt idx="397">
                  <c:v>121.09999847412109</c:v>
                </c:pt>
                <c:pt idx="398">
                  <c:v>121.09999847412109</c:v>
                </c:pt>
                <c:pt idx="399">
                  <c:v>121.69999694824219</c:v>
                </c:pt>
                <c:pt idx="400">
                  <c:v>121.69999694824219</c:v>
                </c:pt>
                <c:pt idx="401">
                  <c:v>122.30000305175781</c:v>
                </c:pt>
                <c:pt idx="402">
                  <c:v>122.30000305175781</c:v>
                </c:pt>
                <c:pt idx="403">
                  <c:v>122.90000152587891</c:v>
                </c:pt>
                <c:pt idx="404">
                  <c:v>122.90000152587891</c:v>
                </c:pt>
                <c:pt idx="405">
                  <c:v>124.5</c:v>
                </c:pt>
                <c:pt idx="406">
                  <c:v>124.5</c:v>
                </c:pt>
                <c:pt idx="407">
                  <c:v>125.69999694824219</c:v>
                </c:pt>
                <c:pt idx="408">
                  <c:v>125.69999694824219</c:v>
                </c:pt>
                <c:pt idx="409">
                  <c:v>126.5</c:v>
                </c:pt>
                <c:pt idx="410">
                  <c:v>126.5</c:v>
                </c:pt>
                <c:pt idx="411">
                  <c:v>128.10000610351562</c:v>
                </c:pt>
                <c:pt idx="412">
                  <c:v>128.10000610351562</c:v>
                </c:pt>
                <c:pt idx="413">
                  <c:v>132.39999389648437</c:v>
                </c:pt>
                <c:pt idx="414">
                  <c:v>132.39999389648437</c:v>
                </c:pt>
                <c:pt idx="415">
                  <c:v>132.80000305175781</c:v>
                </c:pt>
                <c:pt idx="416">
                  <c:v>132.80000305175781</c:v>
                </c:pt>
                <c:pt idx="417">
                  <c:v>133.69999694824219</c:v>
                </c:pt>
                <c:pt idx="418">
                  <c:v>133.69999694824219</c:v>
                </c:pt>
                <c:pt idx="419">
                  <c:v>133.89999389648437</c:v>
                </c:pt>
                <c:pt idx="420">
                  <c:v>133.89999389648437</c:v>
                </c:pt>
                <c:pt idx="421">
                  <c:v>134</c:v>
                </c:pt>
                <c:pt idx="422">
                  <c:v>134</c:v>
                </c:pt>
                <c:pt idx="423">
                  <c:v>134.5</c:v>
                </c:pt>
                <c:pt idx="424">
                  <c:v>134.5</c:v>
                </c:pt>
                <c:pt idx="425">
                  <c:v>135.19999694824219</c:v>
                </c:pt>
                <c:pt idx="426">
                  <c:v>135.19999694824219</c:v>
                </c:pt>
                <c:pt idx="427">
                  <c:v>136</c:v>
                </c:pt>
                <c:pt idx="428">
                  <c:v>136</c:v>
                </c:pt>
                <c:pt idx="429">
                  <c:v>136.5</c:v>
                </c:pt>
                <c:pt idx="430">
                  <c:v>136.5</c:v>
                </c:pt>
                <c:pt idx="431">
                  <c:v>137.30000305175781</c:v>
                </c:pt>
                <c:pt idx="432">
                  <c:v>137.30000305175781</c:v>
                </c:pt>
                <c:pt idx="433">
                  <c:v>138.5</c:v>
                </c:pt>
                <c:pt idx="434">
                  <c:v>138.5</c:v>
                </c:pt>
                <c:pt idx="435">
                  <c:v>139</c:v>
                </c:pt>
                <c:pt idx="436">
                  <c:v>139</c:v>
                </c:pt>
                <c:pt idx="437">
                  <c:v>141.5</c:v>
                </c:pt>
                <c:pt idx="438">
                  <c:v>141.5</c:v>
                </c:pt>
                <c:pt idx="439">
                  <c:v>143.19999694824219</c:v>
                </c:pt>
                <c:pt idx="440">
                  <c:v>143.19999694824219</c:v>
                </c:pt>
                <c:pt idx="441">
                  <c:v>143.39999389648438</c:v>
                </c:pt>
                <c:pt idx="442">
                  <c:v>143.39999389648438</c:v>
                </c:pt>
                <c:pt idx="443">
                  <c:v>154.60000610351562</c:v>
                </c:pt>
                <c:pt idx="444">
                  <c:v>154.60000610351562</c:v>
                </c:pt>
                <c:pt idx="445">
                  <c:v>156.30000305175781</c:v>
                </c:pt>
                <c:pt idx="446">
                  <c:v>156.30000305175781</c:v>
                </c:pt>
                <c:pt idx="447">
                  <c:v>170.19999694824219</c:v>
                </c:pt>
                <c:pt idx="448">
                  <c:v>170.19999694824219</c:v>
                </c:pt>
                <c:pt idx="449">
                  <c:v>170.89999389648437</c:v>
                </c:pt>
                <c:pt idx="450">
                  <c:v>170.89999389648437</c:v>
                </c:pt>
                <c:pt idx="451">
                  <c:v>185.60000610351562</c:v>
                </c:pt>
                <c:pt idx="452">
                  <c:v>185.60000610351562</c:v>
                </c:pt>
                <c:pt idx="453">
                  <c:v>187.19999694824219</c:v>
                </c:pt>
                <c:pt idx="454">
                  <c:v>187.19999694824219</c:v>
                </c:pt>
                <c:pt idx="455">
                  <c:v>192.19999694824219</c:v>
                </c:pt>
                <c:pt idx="456">
                  <c:v>192.19999694824219</c:v>
                </c:pt>
                <c:pt idx="457">
                  <c:v>196.30000305175781</c:v>
                </c:pt>
                <c:pt idx="458">
                  <c:v>196.30000305175781</c:v>
                </c:pt>
                <c:pt idx="459">
                  <c:v>202</c:v>
                </c:pt>
                <c:pt idx="460">
                  <c:v>202</c:v>
                </c:pt>
                <c:pt idx="461">
                  <c:v>202.39999389648437</c:v>
                </c:pt>
                <c:pt idx="462">
                  <c:v>202.39999389648437</c:v>
                </c:pt>
                <c:pt idx="463">
                  <c:v>214.69999694824219</c:v>
                </c:pt>
                <c:pt idx="464">
                  <c:v>214.69999694824219</c:v>
                </c:pt>
                <c:pt idx="465">
                  <c:v>218.69999694824219</c:v>
                </c:pt>
                <c:pt idx="466">
                  <c:v>218.69999694824219</c:v>
                </c:pt>
                <c:pt idx="467">
                  <c:v>225.80000305175781</c:v>
                </c:pt>
                <c:pt idx="468">
                  <c:v>225.80000305175781</c:v>
                </c:pt>
                <c:pt idx="469">
                  <c:v>226.5</c:v>
                </c:pt>
                <c:pt idx="470">
                  <c:v>226.5</c:v>
                </c:pt>
                <c:pt idx="471">
                  <c:v>228.19999694824219</c:v>
                </c:pt>
                <c:pt idx="472">
                  <c:v>228.19999694824219</c:v>
                </c:pt>
                <c:pt idx="473">
                  <c:v>230.30000305175781</c:v>
                </c:pt>
                <c:pt idx="474">
                  <c:v>230.30000305175781</c:v>
                </c:pt>
                <c:pt idx="475">
                  <c:v>231.80000305175781</c:v>
                </c:pt>
                <c:pt idx="476">
                  <c:v>231.80000305175781</c:v>
                </c:pt>
                <c:pt idx="477">
                  <c:v>240.10000610351562</c:v>
                </c:pt>
                <c:pt idx="478">
                  <c:v>240.10000610351562</c:v>
                </c:pt>
                <c:pt idx="479">
                  <c:v>248.39999389648437</c:v>
                </c:pt>
                <c:pt idx="480">
                  <c:v>248.39999389648437</c:v>
                </c:pt>
                <c:pt idx="481">
                  <c:v>251.5</c:v>
                </c:pt>
                <c:pt idx="482">
                  <c:v>251.5</c:v>
                </c:pt>
                <c:pt idx="483">
                  <c:v>256.20001220703125</c:v>
                </c:pt>
                <c:pt idx="484">
                  <c:v>256.20001220703125</c:v>
                </c:pt>
                <c:pt idx="485">
                  <c:v>272.39999389648437</c:v>
                </c:pt>
                <c:pt idx="486">
                  <c:v>272.39999389648437</c:v>
                </c:pt>
                <c:pt idx="487">
                  <c:v>272.39999389648437</c:v>
                </c:pt>
              </c:numCache>
            </c:numRef>
          </c:xVal>
          <c:yVal>
            <c:numRef>
              <c:f>Raw_FNC!$M$3:$M$493</c:f>
              <c:numCache>
                <c:formatCode>0.0000E+00</c:formatCode>
                <c:ptCount val="491"/>
                <c:pt idx="0">
                  <c:v>8.390566217713058E-4</c:v>
                </c:pt>
                <c:pt idx="1">
                  <c:v>8.390566217713058E-4</c:v>
                </c:pt>
                <c:pt idx="2">
                  <c:v>6.7114457488059998E-4</c:v>
                </c:pt>
                <c:pt idx="3">
                  <c:v>6.7114457488059998E-4</c:v>
                </c:pt>
                <c:pt idx="4">
                  <c:v>6.3557981047779322E-4</c:v>
                </c:pt>
                <c:pt idx="5">
                  <c:v>6.3557981047779322E-4</c:v>
                </c:pt>
                <c:pt idx="6">
                  <c:v>5.8322871336713433E-4</c:v>
                </c:pt>
                <c:pt idx="7">
                  <c:v>5.8322871336713433E-4</c:v>
                </c:pt>
                <c:pt idx="8">
                  <c:v>4.8772501759231091E-4</c:v>
                </c:pt>
                <c:pt idx="9">
                  <c:v>4.8772501759231091E-4</c:v>
                </c:pt>
                <c:pt idx="10">
                  <c:v>4.5940084964968264E-4</c:v>
                </c:pt>
                <c:pt idx="11">
                  <c:v>4.5940084964968264E-4</c:v>
                </c:pt>
                <c:pt idx="12">
                  <c:v>4.5845712884329259E-4</c:v>
                </c:pt>
                <c:pt idx="13">
                  <c:v>4.5845712884329259E-4</c:v>
                </c:pt>
                <c:pt idx="14">
                  <c:v>4.2986491462215781E-4</c:v>
                </c:pt>
                <c:pt idx="15">
                  <c:v>4.2986491462215781E-4</c:v>
                </c:pt>
                <c:pt idx="16">
                  <c:v>4.2518091504462063E-4</c:v>
                </c:pt>
                <c:pt idx="17">
                  <c:v>4.2518091504462063E-4</c:v>
                </c:pt>
                <c:pt idx="18">
                  <c:v>4.2495614616200328E-4</c:v>
                </c:pt>
                <c:pt idx="19">
                  <c:v>4.2495614616200328E-4</c:v>
                </c:pt>
                <c:pt idx="20">
                  <c:v>3.8838430191390216E-4</c:v>
                </c:pt>
                <c:pt idx="21">
                  <c:v>3.8838430191390216E-4</c:v>
                </c:pt>
                <c:pt idx="22">
                  <c:v>3.87934735044837E-4</c:v>
                </c:pt>
                <c:pt idx="23">
                  <c:v>3.87934735044837E-4</c:v>
                </c:pt>
                <c:pt idx="24">
                  <c:v>3.7579637137241662E-4</c:v>
                </c:pt>
                <c:pt idx="25">
                  <c:v>3.7579637137241662E-4</c:v>
                </c:pt>
                <c:pt idx="26">
                  <c:v>3.6852361517958343E-4</c:v>
                </c:pt>
                <c:pt idx="27">
                  <c:v>3.6852361517958343E-4</c:v>
                </c:pt>
                <c:pt idx="28">
                  <c:v>3.5950183519162238E-4</c:v>
                </c:pt>
                <c:pt idx="29">
                  <c:v>3.5950183519162238E-4</c:v>
                </c:pt>
                <c:pt idx="30">
                  <c:v>3.3261047792620957E-4</c:v>
                </c:pt>
                <c:pt idx="31">
                  <c:v>3.3261047792620957E-4</c:v>
                </c:pt>
                <c:pt idx="32">
                  <c:v>3.221282095182687E-4</c:v>
                </c:pt>
                <c:pt idx="33">
                  <c:v>3.221282095182687E-4</c:v>
                </c:pt>
                <c:pt idx="34">
                  <c:v>2.998732088599354E-4</c:v>
                </c:pt>
                <c:pt idx="35">
                  <c:v>2.998732088599354E-4</c:v>
                </c:pt>
                <c:pt idx="36">
                  <c:v>2.9964843997731805E-4</c:v>
                </c:pt>
                <c:pt idx="37">
                  <c:v>2.9964843997731805E-4</c:v>
                </c:pt>
                <c:pt idx="38">
                  <c:v>2.9949596500955522E-4</c:v>
                </c:pt>
                <c:pt idx="39">
                  <c:v>2.9949596500955522E-4</c:v>
                </c:pt>
                <c:pt idx="40">
                  <c:v>2.9222320881672204E-4</c:v>
                </c:pt>
                <c:pt idx="41">
                  <c:v>2.9222320881672204E-4</c:v>
                </c:pt>
                <c:pt idx="42">
                  <c:v>2.8977144393138587E-4</c:v>
                </c:pt>
                <c:pt idx="43">
                  <c:v>2.8977144393138587E-4</c:v>
                </c:pt>
                <c:pt idx="44">
                  <c:v>2.8249868773855269E-4</c:v>
                </c:pt>
                <c:pt idx="45">
                  <c:v>2.8249868773855269E-4</c:v>
                </c:pt>
                <c:pt idx="46">
                  <c:v>2.6009429711848497E-4</c:v>
                </c:pt>
                <c:pt idx="47">
                  <c:v>2.6009429711848497E-4</c:v>
                </c:pt>
                <c:pt idx="48">
                  <c:v>2.5568113778717816E-4</c:v>
                </c:pt>
                <c:pt idx="49">
                  <c:v>2.5568113778717816E-4</c:v>
                </c:pt>
                <c:pt idx="50">
                  <c:v>2.5327395997010171E-4</c:v>
                </c:pt>
                <c:pt idx="51">
                  <c:v>2.5327395997010171E-4</c:v>
                </c:pt>
                <c:pt idx="52">
                  <c:v>2.4705386022105813E-4</c:v>
                </c:pt>
                <c:pt idx="53">
                  <c:v>2.4705386022105813E-4</c:v>
                </c:pt>
                <c:pt idx="54">
                  <c:v>2.2475581499747932E-4</c:v>
                </c:pt>
                <c:pt idx="55">
                  <c:v>2.2475581499747932E-4</c:v>
                </c:pt>
                <c:pt idx="56">
                  <c:v>2.246048825327307E-4</c:v>
                </c:pt>
                <c:pt idx="57">
                  <c:v>2.246048825327307E-4</c:v>
                </c:pt>
                <c:pt idx="58">
                  <c:v>2.0189861243125051E-4</c:v>
                </c:pt>
                <c:pt idx="59">
                  <c:v>2.0189861243125051E-4</c:v>
                </c:pt>
                <c:pt idx="60">
                  <c:v>2.0185403991490602E-4</c:v>
                </c:pt>
                <c:pt idx="61">
                  <c:v>2.0185403991490602E-4</c:v>
                </c:pt>
                <c:pt idx="62">
                  <c:v>1.9744093879126012E-4</c:v>
                </c:pt>
                <c:pt idx="63">
                  <c:v>1.9744093879126012E-4</c:v>
                </c:pt>
                <c:pt idx="64">
                  <c:v>1.9302626606076956E-4</c:v>
                </c:pt>
                <c:pt idx="65">
                  <c:v>1.9302626606076956E-4</c:v>
                </c:pt>
                <c:pt idx="66">
                  <c:v>1.9287531904410571E-4</c:v>
                </c:pt>
                <c:pt idx="67">
                  <c:v>1.9287531904410571E-4</c:v>
                </c:pt>
                <c:pt idx="68">
                  <c:v>1.9257345411460847E-4</c:v>
                </c:pt>
                <c:pt idx="69">
                  <c:v>1.9257345411460847E-4</c:v>
                </c:pt>
                <c:pt idx="70">
                  <c:v>1.9136986520607024E-4</c:v>
                </c:pt>
                <c:pt idx="71">
                  <c:v>1.9136986520607024E-4</c:v>
                </c:pt>
                <c:pt idx="72">
                  <c:v>1.9117434567306191E-4</c:v>
                </c:pt>
                <c:pt idx="73">
                  <c:v>1.9117434567306191E-4</c:v>
                </c:pt>
                <c:pt idx="74">
                  <c:v>1.6892090206965804E-4</c:v>
                </c:pt>
                <c:pt idx="75">
                  <c:v>1.6892090206965804E-4</c:v>
                </c:pt>
                <c:pt idx="76">
                  <c:v>1.6887631500139832E-4</c:v>
                </c:pt>
                <c:pt idx="77">
                  <c:v>1.6887631500139832E-4</c:v>
                </c:pt>
                <c:pt idx="78">
                  <c:v>1.6446317022200674E-4</c:v>
                </c:pt>
                <c:pt idx="79">
                  <c:v>1.6446317022200674E-4</c:v>
                </c:pt>
                <c:pt idx="80">
                  <c:v>1.4220971206668764E-4</c:v>
                </c:pt>
                <c:pt idx="81">
                  <c:v>1.4220971206668764E-4</c:v>
                </c:pt>
                <c:pt idx="82">
                  <c:v>1.4100612315814942E-4</c:v>
                </c:pt>
                <c:pt idx="83">
                  <c:v>1.4100612315814942E-4</c:v>
                </c:pt>
                <c:pt idx="84">
                  <c:v>1.1860173981403932E-4</c:v>
                </c:pt>
                <c:pt idx="85">
                  <c:v>1.1860173981403932E-4</c:v>
                </c:pt>
                <c:pt idx="86">
                  <c:v>1.1840622028103098E-4</c:v>
                </c:pt>
                <c:pt idx="87">
                  <c:v>1.1840622028103098E-4</c:v>
                </c:pt>
                <c:pt idx="88">
                  <c:v>9.6152769401669502E-5</c:v>
                </c:pt>
                <c:pt idx="89">
                  <c:v>9.6152769401669502E-5</c:v>
                </c:pt>
                <c:pt idx="90">
                  <c:v>9.6151241450570524E-5</c:v>
                </c:pt>
                <c:pt idx="91">
                  <c:v>9.6151241450570524E-5</c:v>
                </c:pt>
                <c:pt idx="92">
                  <c:v>9.1738096671178937E-5</c:v>
                </c:pt>
                <c:pt idx="93">
                  <c:v>9.1738096671178937E-5</c:v>
                </c:pt>
                <c:pt idx="94">
                  <c:v>9.1288529802113771E-5</c:v>
                </c:pt>
                <c:pt idx="95">
                  <c:v>9.1288529802113771E-5</c:v>
                </c:pt>
                <c:pt idx="96">
                  <c:v>9.124395000981167E-5</c:v>
                </c:pt>
                <c:pt idx="97">
                  <c:v>9.124395000981167E-5</c:v>
                </c:pt>
                <c:pt idx="98">
                  <c:v>9.1019166575279087E-5</c:v>
                </c:pt>
                <c:pt idx="99">
                  <c:v>9.1019166575279087E-5</c:v>
                </c:pt>
                <c:pt idx="100">
                  <c:v>8.6455082055181265E-5</c:v>
                </c:pt>
                <c:pt idx="101">
                  <c:v>8.6455082055181265E-5</c:v>
                </c:pt>
                <c:pt idx="102">
                  <c:v>8.6230305896606296E-5</c:v>
                </c:pt>
                <c:pt idx="103">
                  <c:v>8.6230305896606296E-5</c:v>
                </c:pt>
                <c:pt idx="104">
                  <c:v>8.181719749700278E-5</c:v>
                </c:pt>
                <c:pt idx="105">
                  <c:v>8.181719749700278E-5</c:v>
                </c:pt>
                <c:pt idx="106">
                  <c:v>8.1592414062470198E-5</c:v>
                </c:pt>
                <c:pt idx="107">
                  <c:v>8.1592414062470198E-5</c:v>
                </c:pt>
                <c:pt idx="108">
                  <c:v>8.0388825153931975E-5</c:v>
                </c:pt>
                <c:pt idx="109">
                  <c:v>8.0388825153931975E-5</c:v>
                </c:pt>
                <c:pt idx="110">
                  <c:v>7.4772091466002166E-5</c:v>
                </c:pt>
                <c:pt idx="111">
                  <c:v>7.4772091466002166E-5</c:v>
                </c:pt>
                <c:pt idx="112">
                  <c:v>7.3568509833421558E-5</c:v>
                </c:pt>
                <c:pt idx="113">
                  <c:v>7.3568509833421558E-5</c:v>
                </c:pt>
                <c:pt idx="114">
                  <c:v>7.3417570092715323E-5</c:v>
                </c:pt>
                <c:pt idx="115">
                  <c:v>7.3417570092715323E-5</c:v>
                </c:pt>
                <c:pt idx="116">
                  <c:v>7.3266637627966702E-5</c:v>
                </c:pt>
                <c:pt idx="117">
                  <c:v>7.3266637627966702E-5</c:v>
                </c:pt>
                <c:pt idx="118">
                  <c:v>6.8853485572617501E-5</c:v>
                </c:pt>
                <c:pt idx="119">
                  <c:v>6.8853485572617501E-5</c:v>
                </c:pt>
                <c:pt idx="120">
                  <c:v>6.4440340793225914E-5</c:v>
                </c:pt>
                <c:pt idx="121">
                  <c:v>6.4440340793225914E-5</c:v>
                </c:pt>
                <c:pt idx="122">
                  <c:v>6.4395768276881427E-5</c:v>
                </c:pt>
                <c:pt idx="123">
                  <c:v>6.4395768276881427E-5</c:v>
                </c:pt>
                <c:pt idx="124">
                  <c:v>6.3192179368343204E-5</c:v>
                </c:pt>
                <c:pt idx="125">
                  <c:v>6.3192179368343204E-5</c:v>
                </c:pt>
                <c:pt idx="126">
                  <c:v>5.8779070968739688E-5</c:v>
                </c:pt>
                <c:pt idx="127">
                  <c:v>5.8779070968739688E-5</c:v>
                </c:pt>
                <c:pt idx="128">
                  <c:v>5.436596620711498E-5</c:v>
                </c:pt>
                <c:pt idx="129">
                  <c:v>5.436596620711498E-5</c:v>
                </c:pt>
                <c:pt idx="130">
                  <c:v>5.4364438256016001E-5</c:v>
                </c:pt>
                <c:pt idx="131">
                  <c:v>5.4364438256016001E-5</c:v>
                </c:pt>
                <c:pt idx="132">
                  <c:v>5.436291394289583E-5</c:v>
                </c:pt>
                <c:pt idx="133">
                  <c:v>5.436291394289583E-5</c:v>
                </c:pt>
                <c:pt idx="134">
                  <c:v>4.9949769163504243E-5</c:v>
                </c:pt>
                <c:pt idx="135">
                  <c:v>4.9949769163504243E-5</c:v>
                </c:pt>
                <c:pt idx="136">
                  <c:v>4.9860613216878846E-5</c:v>
                </c:pt>
                <c:pt idx="137">
                  <c:v>4.9860613216878846E-5</c:v>
                </c:pt>
                <c:pt idx="138">
                  <c:v>4.9709677114151418E-5</c:v>
                </c:pt>
                <c:pt idx="139">
                  <c:v>4.9709677114151418E-5</c:v>
                </c:pt>
                <c:pt idx="140">
                  <c:v>4.9665100959828123E-5</c:v>
                </c:pt>
                <c:pt idx="141">
                  <c:v>4.9665100959828123E-5</c:v>
                </c:pt>
                <c:pt idx="142">
                  <c:v>4.9620524805504829E-5</c:v>
                </c:pt>
                <c:pt idx="143">
                  <c:v>4.9620524805504829E-5</c:v>
                </c:pt>
                <c:pt idx="144">
                  <c:v>4.9619000492384657E-5</c:v>
                </c:pt>
                <c:pt idx="145">
                  <c:v>4.9619000492384657E-5</c:v>
                </c:pt>
                <c:pt idx="146">
                  <c:v>4.9574420700082555E-5</c:v>
                </c:pt>
                <c:pt idx="147">
                  <c:v>4.9574420700082555E-5</c:v>
                </c:pt>
                <c:pt idx="148">
                  <c:v>4.9198701162822545E-5</c:v>
                </c:pt>
                <c:pt idx="149">
                  <c:v>4.9198701162822545E-5</c:v>
                </c:pt>
                <c:pt idx="150">
                  <c:v>4.7993591579142958E-5</c:v>
                </c:pt>
                <c:pt idx="151">
                  <c:v>4.7993591579142958E-5</c:v>
                </c:pt>
                <c:pt idx="152">
                  <c:v>4.7949015424819663E-5</c:v>
                </c:pt>
                <c:pt idx="153">
                  <c:v>4.7949015424819663E-5</c:v>
                </c:pt>
                <c:pt idx="154">
                  <c:v>4.6745426516281441E-5</c:v>
                </c:pt>
                <c:pt idx="155">
                  <c:v>4.6745426516281441E-5</c:v>
                </c:pt>
                <c:pt idx="156">
                  <c:v>4.6594490413554013E-5</c:v>
                </c:pt>
                <c:pt idx="157">
                  <c:v>4.6594490413554013E-5</c:v>
                </c:pt>
                <c:pt idx="158">
                  <c:v>4.2030445911223069E-5</c:v>
                </c:pt>
                <c:pt idx="159">
                  <c:v>4.2030445911223069E-5</c:v>
                </c:pt>
                <c:pt idx="160">
                  <c:v>4.1879509808495641E-5</c:v>
                </c:pt>
                <c:pt idx="161">
                  <c:v>4.1879509808495641E-5</c:v>
                </c:pt>
                <c:pt idx="162">
                  <c:v>4.0675924537936226E-5</c:v>
                </c:pt>
                <c:pt idx="163">
                  <c:v>4.0675924537936226E-5</c:v>
                </c:pt>
                <c:pt idx="164">
                  <c:v>4.0523464122088626E-5</c:v>
                </c:pt>
                <c:pt idx="165">
                  <c:v>4.0523464122088626E-5</c:v>
                </c:pt>
                <c:pt idx="166">
                  <c:v>4.0521939808968455E-5</c:v>
                </c:pt>
                <c:pt idx="167">
                  <c:v>4.0521939808968455E-5</c:v>
                </c:pt>
                <c:pt idx="168">
                  <c:v>3.9318350900430232E-5</c:v>
                </c:pt>
                <c:pt idx="169">
                  <c:v>3.9318350900430232E-5</c:v>
                </c:pt>
                <c:pt idx="170">
                  <c:v>3.9316826587310061E-5</c:v>
                </c:pt>
                <c:pt idx="171">
                  <c:v>3.9316826587310061E-5</c:v>
                </c:pt>
                <c:pt idx="172">
                  <c:v>3.9272250432986766E-5</c:v>
                </c:pt>
                <c:pt idx="173">
                  <c:v>3.9272250432986766E-5</c:v>
                </c:pt>
                <c:pt idx="174">
                  <c:v>3.4814565879059955E-5</c:v>
                </c:pt>
                <c:pt idx="175">
                  <c:v>3.4814565879059955E-5</c:v>
                </c:pt>
                <c:pt idx="176">
                  <c:v>3.4663629776332527E-5</c:v>
                </c:pt>
                <c:pt idx="177">
                  <c:v>3.4663629776332527E-5</c:v>
                </c:pt>
                <c:pt idx="178">
                  <c:v>3.4438846341799945E-5</c:v>
                </c:pt>
                <c:pt idx="179">
                  <c:v>3.4438846341799945E-5</c:v>
                </c:pt>
                <c:pt idx="180">
                  <c:v>3.4394266549497843E-5</c:v>
                </c:pt>
                <c:pt idx="181">
                  <c:v>3.4394266549497843E-5</c:v>
                </c:pt>
                <c:pt idx="182">
                  <c:v>3.4169486752944067E-5</c:v>
                </c:pt>
                <c:pt idx="183">
                  <c:v>3.4169486752944067E-5</c:v>
                </c:pt>
                <c:pt idx="184">
                  <c:v>2.9756378353340551E-5</c:v>
                </c:pt>
                <c:pt idx="185">
                  <c:v>2.9756378353340551E-5</c:v>
                </c:pt>
                <c:pt idx="186">
                  <c:v>2.8552793082781136E-5</c:v>
                </c:pt>
                <c:pt idx="187">
                  <c:v>2.8552793082781136E-5</c:v>
                </c:pt>
                <c:pt idx="188">
                  <c:v>2.8401855161064304E-5</c:v>
                </c:pt>
                <c:pt idx="189">
                  <c:v>2.8401855161064304E-5</c:v>
                </c:pt>
                <c:pt idx="190">
                  <c:v>2.7198269890504889E-5</c:v>
                </c:pt>
                <c:pt idx="191">
                  <c:v>2.7198269890504889E-5</c:v>
                </c:pt>
                <c:pt idx="192">
                  <c:v>2.7047333787777461E-5</c:v>
                </c:pt>
                <c:pt idx="193">
                  <c:v>2.7047333787777461E-5</c:v>
                </c:pt>
                <c:pt idx="194">
                  <c:v>2.2409443772630766E-5</c:v>
                </c:pt>
                <c:pt idx="195">
                  <c:v>2.2409443772630766E-5</c:v>
                </c:pt>
                <c:pt idx="196">
                  <c:v>2.1882786313653924E-5</c:v>
                </c:pt>
                <c:pt idx="197">
                  <c:v>2.1882786313653924E-5</c:v>
                </c:pt>
                <c:pt idx="198">
                  <c:v>1.7469679733039811E-5</c:v>
                </c:pt>
                <c:pt idx="199">
                  <c:v>1.7469679733039811E-5</c:v>
                </c:pt>
                <c:pt idx="200">
                  <c:v>1.746815541991964E-5</c:v>
                </c:pt>
                <c:pt idx="201">
                  <c:v>1.746815541991964E-5</c:v>
                </c:pt>
                <c:pt idx="202">
                  <c:v>1.7317219317192212E-5</c:v>
                </c:pt>
                <c:pt idx="203">
                  <c:v>1.7317219317192212E-5</c:v>
                </c:pt>
                <c:pt idx="204">
                  <c:v>1.2904112736578099E-5</c:v>
                </c:pt>
                <c:pt idx="205">
                  <c:v>1.2904112736578099E-5</c:v>
                </c:pt>
                <c:pt idx="206">
                  <c:v>1.2902588423457928E-5</c:v>
                </c:pt>
                <c:pt idx="207">
                  <c:v>1.2902588423457928E-5</c:v>
                </c:pt>
                <c:pt idx="208">
                  <c:v>8.2646993178059347E-6</c:v>
                </c:pt>
                <c:pt idx="209">
                  <c:v>8.2646993178059347E-6</c:v>
                </c:pt>
                <c:pt idx="210">
                  <c:v>8.2631740951910615E-6</c:v>
                </c:pt>
                <c:pt idx="211">
                  <c:v>8.2631740951910615E-6</c:v>
                </c:pt>
                <c:pt idx="212">
                  <c:v>8.218597031373065E-6</c:v>
                </c:pt>
                <c:pt idx="213">
                  <c:v>8.218597031373065E-6</c:v>
                </c:pt>
                <c:pt idx="214">
                  <c:v>7.993814506335184E-6</c:v>
                </c:pt>
                <c:pt idx="215">
                  <c:v>7.993814506335184E-6</c:v>
                </c:pt>
                <c:pt idx="216">
                  <c:v>7.8428793131024577E-6</c:v>
                </c:pt>
                <c:pt idx="217">
                  <c:v>7.8428793131024577E-6</c:v>
                </c:pt>
                <c:pt idx="218">
                  <c:v>7.4671602305897977E-6</c:v>
                </c:pt>
                <c:pt idx="219">
                  <c:v>7.4671602305897977E-6</c:v>
                </c:pt>
                <c:pt idx="220">
                  <c:v>7.4225831667718012E-6</c:v>
                </c:pt>
                <c:pt idx="221">
                  <c:v>7.4225831667718012E-6</c:v>
                </c:pt>
                <c:pt idx="222">
                  <c:v>7.3780061029538047E-6</c:v>
                </c:pt>
                <c:pt idx="223">
                  <c:v>7.3780061029538047E-6</c:v>
                </c:pt>
                <c:pt idx="224">
                  <c:v>7.1532235779159237E-6</c:v>
                </c:pt>
                <c:pt idx="225">
                  <c:v>7.1532235779159237E-6</c:v>
                </c:pt>
                <c:pt idx="226">
                  <c:v>7.1516988100484014E-6</c:v>
                </c:pt>
                <c:pt idx="227">
                  <c:v>7.1516988100484014E-6</c:v>
                </c:pt>
                <c:pt idx="228">
                  <c:v>7.1105341703514569E-6</c:v>
                </c:pt>
                <c:pt idx="229">
                  <c:v>7.1105341703514569E-6</c:v>
                </c:pt>
                <c:pt idx="230">
                  <c:v>6.9595976128766779E-6</c:v>
                </c:pt>
                <c:pt idx="231">
                  <c:v>6.9595976128766779E-6</c:v>
                </c:pt>
                <c:pt idx="232">
                  <c:v>6.7348150878387969E-6</c:v>
                </c:pt>
                <c:pt idx="233">
                  <c:v>6.7348150878387969E-6</c:v>
                </c:pt>
                <c:pt idx="234">
                  <c:v>6.6902380240208004E-6</c:v>
                </c:pt>
                <c:pt idx="235">
                  <c:v>6.6902380240208004E-6</c:v>
                </c:pt>
                <c:pt idx="236">
                  <c:v>6.4654554989829194E-6</c:v>
                </c:pt>
                <c:pt idx="237">
                  <c:v>6.4654554989829194E-6</c:v>
                </c:pt>
                <c:pt idx="238">
                  <c:v>6.4208784351649228E-6</c:v>
                </c:pt>
                <c:pt idx="239">
                  <c:v>6.4208784351649228E-6</c:v>
                </c:pt>
                <c:pt idx="240">
                  <c:v>5.217291800363455E-6</c:v>
                </c:pt>
                <c:pt idx="241">
                  <c:v>5.217291800363455E-6</c:v>
                </c:pt>
                <c:pt idx="242">
                  <c:v>5.1727142817981075E-6</c:v>
                </c:pt>
                <c:pt idx="243">
                  <c:v>5.1727142817981075E-6</c:v>
                </c:pt>
                <c:pt idx="244">
                  <c:v>5.0217777243233286E-6</c:v>
                </c:pt>
                <c:pt idx="245">
                  <c:v>5.0217777243233286E-6</c:v>
                </c:pt>
                <c:pt idx="246">
                  <c:v>4.8296774366463069E-6</c:v>
                </c:pt>
                <c:pt idx="247">
                  <c:v>4.8296774366463069E-6</c:v>
                </c:pt>
                <c:pt idx="248">
                  <c:v>4.8281526687787846E-6</c:v>
                </c:pt>
                <c:pt idx="249">
                  <c:v>4.8281526687787846E-6</c:v>
                </c:pt>
                <c:pt idx="250">
                  <c:v>4.8266283556586131E-6</c:v>
                </c:pt>
                <c:pt idx="251">
                  <c:v>4.8266283556586131E-6</c:v>
                </c:pt>
                <c:pt idx="252">
                  <c:v>4.8251035877910908E-6</c:v>
                </c:pt>
                <c:pt idx="253">
                  <c:v>4.8251035877910908E-6</c:v>
                </c:pt>
                <c:pt idx="254">
                  <c:v>4.8235792746709194E-6</c:v>
                </c:pt>
                <c:pt idx="255">
                  <c:v>4.8235792746709194E-6</c:v>
                </c:pt>
                <c:pt idx="256">
                  <c:v>4.8220545068033971E-6</c:v>
                </c:pt>
                <c:pt idx="257">
                  <c:v>4.8220545068033971E-6</c:v>
                </c:pt>
                <c:pt idx="258">
                  <c:v>4.8205297389358748E-6</c:v>
                </c:pt>
                <c:pt idx="259">
                  <c:v>4.8205297389358748E-6</c:v>
                </c:pt>
                <c:pt idx="260">
                  <c:v>4.8190054258157033E-6</c:v>
                </c:pt>
                <c:pt idx="261">
                  <c:v>4.8190054258157033E-6</c:v>
                </c:pt>
                <c:pt idx="262">
                  <c:v>4.7778407861187588E-6</c:v>
                </c:pt>
                <c:pt idx="263">
                  <c:v>4.7778407861187588E-6</c:v>
                </c:pt>
                <c:pt idx="264">
                  <c:v>4.7763160182512365E-6</c:v>
                </c:pt>
                <c:pt idx="265">
                  <c:v>4.7763160182512365E-6</c:v>
                </c:pt>
                <c:pt idx="266">
                  <c:v>4.7747912503837142E-6</c:v>
                </c:pt>
                <c:pt idx="267">
                  <c:v>4.7747912503837142E-6</c:v>
                </c:pt>
                <c:pt idx="268">
                  <c:v>4.7732669372635428E-6</c:v>
                </c:pt>
                <c:pt idx="269">
                  <c:v>4.7732669372635428E-6</c:v>
                </c:pt>
                <c:pt idx="270">
                  <c:v>4.7321022975665983E-6</c:v>
                </c:pt>
                <c:pt idx="271">
                  <c:v>4.7321022975665983E-6</c:v>
                </c:pt>
                <c:pt idx="272">
                  <c:v>4.6909376578696538E-6</c:v>
                </c:pt>
                <c:pt idx="273">
                  <c:v>4.6909376578696538E-6</c:v>
                </c:pt>
                <c:pt idx="274">
                  <c:v>4.6894128900021315E-6</c:v>
                </c:pt>
                <c:pt idx="275">
                  <c:v>4.6894128900021315E-6</c:v>
                </c:pt>
                <c:pt idx="276">
                  <c:v>4.6878881221346091E-6</c:v>
                </c:pt>
                <c:pt idx="277">
                  <c:v>4.6878881221346091E-6</c:v>
                </c:pt>
                <c:pt idx="278">
                  <c:v>4.6433115130639635E-6</c:v>
                </c:pt>
                <c:pt idx="279">
                  <c:v>4.6433115130639635E-6</c:v>
                </c:pt>
                <c:pt idx="280">
                  <c:v>4.4512098611448891E-6</c:v>
                </c:pt>
                <c:pt idx="281">
                  <c:v>4.4512098611448891E-6</c:v>
                </c:pt>
                <c:pt idx="282">
                  <c:v>4.3002733036701102E-6</c:v>
                </c:pt>
                <c:pt idx="283">
                  <c:v>4.3002733036701102E-6</c:v>
                </c:pt>
                <c:pt idx="284">
                  <c:v>4.1493362914479803E-6</c:v>
                </c:pt>
                <c:pt idx="285">
                  <c:v>4.1493362914479803E-6</c:v>
                </c:pt>
                <c:pt idx="286">
                  <c:v>4.1047596823773347E-6</c:v>
                </c:pt>
                <c:pt idx="287">
                  <c:v>4.1047596823773347E-6</c:v>
                </c:pt>
                <c:pt idx="288">
                  <c:v>4.0635950426803902E-6</c:v>
                </c:pt>
                <c:pt idx="289">
                  <c:v>4.0635950426803902E-6</c:v>
                </c:pt>
                <c:pt idx="290">
                  <c:v>4.0620702748128679E-6</c:v>
                </c:pt>
                <c:pt idx="291">
                  <c:v>4.0620702748128679E-6</c:v>
                </c:pt>
                <c:pt idx="292">
                  <c:v>4.0209056351159234E-6</c:v>
                </c:pt>
                <c:pt idx="293">
                  <c:v>4.0209056351159234E-6</c:v>
                </c:pt>
                <c:pt idx="294">
                  <c:v>3.9763285712979268E-6</c:v>
                </c:pt>
                <c:pt idx="295">
                  <c:v>3.9763285712979268E-6</c:v>
                </c:pt>
                <c:pt idx="296">
                  <c:v>3.9351639316009823E-6</c:v>
                </c:pt>
                <c:pt idx="297">
                  <c:v>3.9351639316009823E-6</c:v>
                </c:pt>
                <c:pt idx="298">
                  <c:v>3.8905868677829858E-6</c:v>
                </c:pt>
                <c:pt idx="299">
                  <c:v>3.8905868677829858E-6</c:v>
                </c:pt>
                <c:pt idx="300">
                  <c:v>3.8890625546628144E-6</c:v>
                </c:pt>
                <c:pt idx="301">
                  <c:v>3.8890625546628144E-6</c:v>
                </c:pt>
                <c:pt idx="302">
                  <c:v>3.8444854908448178E-6</c:v>
                </c:pt>
                <c:pt idx="303">
                  <c:v>3.8444854908448178E-6</c:v>
                </c:pt>
                <c:pt idx="304">
                  <c:v>3.8429607229772955E-6</c:v>
                </c:pt>
                <c:pt idx="305">
                  <c:v>3.8429607229772955E-6</c:v>
                </c:pt>
                <c:pt idx="306">
                  <c:v>3.8017963106540265E-6</c:v>
                </c:pt>
                <c:pt idx="307">
                  <c:v>3.8017963106540265E-6</c:v>
                </c:pt>
                <c:pt idx="308">
                  <c:v>3.760631670957082E-6</c:v>
                </c:pt>
                <c:pt idx="309">
                  <c:v>3.760631670957082E-6</c:v>
                </c:pt>
                <c:pt idx="310">
                  <c:v>3.6096948861086275E-6</c:v>
                </c:pt>
                <c:pt idx="311">
                  <c:v>3.6096948861086275E-6</c:v>
                </c:pt>
                <c:pt idx="312">
                  <c:v>3.568530246411683E-6</c:v>
                </c:pt>
                <c:pt idx="313">
                  <c:v>3.568530246411683E-6</c:v>
                </c:pt>
                <c:pt idx="314">
                  <c:v>3.5273656067147385E-6</c:v>
                </c:pt>
                <c:pt idx="315">
                  <c:v>3.5273656067147385E-6</c:v>
                </c:pt>
                <c:pt idx="316">
                  <c:v>3.5258410662208917E-6</c:v>
                </c:pt>
                <c:pt idx="317">
                  <c:v>3.5258410662208917E-6</c:v>
                </c:pt>
                <c:pt idx="318">
                  <c:v>3.4400995900796261E-6</c:v>
                </c:pt>
                <c:pt idx="319">
                  <c:v>3.4400995900796261E-6</c:v>
                </c:pt>
                <c:pt idx="320">
                  <c:v>3.4385748222121038E-6</c:v>
                </c:pt>
                <c:pt idx="321">
                  <c:v>3.4385748222121038E-6</c:v>
                </c:pt>
                <c:pt idx="322">
                  <c:v>3.4370502817182569E-6</c:v>
                </c:pt>
                <c:pt idx="323">
                  <c:v>3.4370502817182569E-6</c:v>
                </c:pt>
                <c:pt idx="324">
                  <c:v>3.43552574122441E-6</c:v>
                </c:pt>
                <c:pt idx="325">
                  <c:v>3.43552574122441E-6</c:v>
                </c:pt>
                <c:pt idx="326">
                  <c:v>3.4340009733568877E-6</c:v>
                </c:pt>
                <c:pt idx="327">
                  <c:v>3.4340009733568877E-6</c:v>
                </c:pt>
                <c:pt idx="328">
                  <c:v>3.3894241369125666E-6</c:v>
                </c:pt>
                <c:pt idx="329">
                  <c:v>3.3894241369125666E-6</c:v>
                </c:pt>
                <c:pt idx="330">
                  <c:v>3.3482594972156221E-6</c:v>
                </c:pt>
                <c:pt idx="331">
                  <c:v>3.3482594972156221E-6</c:v>
                </c:pt>
                <c:pt idx="332">
                  <c:v>3.307095084892353E-6</c:v>
                </c:pt>
                <c:pt idx="333">
                  <c:v>3.307095084892353E-6</c:v>
                </c:pt>
                <c:pt idx="334">
                  <c:v>3.3055703170248307E-6</c:v>
                </c:pt>
                <c:pt idx="335">
                  <c:v>3.3055703170248307E-6</c:v>
                </c:pt>
                <c:pt idx="336">
                  <c:v>3.3040457765309839E-6</c:v>
                </c:pt>
                <c:pt idx="337">
                  <c:v>3.3040457765309839E-6</c:v>
                </c:pt>
                <c:pt idx="338">
                  <c:v>3.2594689400866628E-6</c:v>
                </c:pt>
                <c:pt idx="339">
                  <c:v>3.2594689400866628E-6</c:v>
                </c:pt>
                <c:pt idx="340">
                  <c:v>3.2148921036423417E-6</c:v>
                </c:pt>
                <c:pt idx="341">
                  <c:v>3.2148921036423417E-6</c:v>
                </c:pt>
                <c:pt idx="342">
                  <c:v>3.1737274639453972E-6</c:v>
                </c:pt>
                <c:pt idx="343">
                  <c:v>3.1737274639453972E-6</c:v>
                </c:pt>
                <c:pt idx="344">
                  <c:v>3.1722029234515503E-6</c:v>
                </c:pt>
                <c:pt idx="345">
                  <c:v>3.1722029234515503E-6</c:v>
                </c:pt>
                <c:pt idx="346">
                  <c:v>3.1310382837546058E-6</c:v>
                </c:pt>
                <c:pt idx="347">
                  <c:v>3.1310382837546058E-6</c:v>
                </c:pt>
                <c:pt idx="348">
                  <c:v>3.0864609925629338E-6</c:v>
                </c:pt>
                <c:pt idx="349">
                  <c:v>3.0864609925629338E-6</c:v>
                </c:pt>
                <c:pt idx="350">
                  <c:v>3.084936452069087E-6</c:v>
                </c:pt>
                <c:pt idx="351">
                  <c:v>3.084936452069087E-6</c:v>
                </c:pt>
                <c:pt idx="352">
                  <c:v>3.0834116842015646E-6</c:v>
                </c:pt>
                <c:pt idx="353">
                  <c:v>3.0834116842015646E-6</c:v>
                </c:pt>
                <c:pt idx="354">
                  <c:v>3.0818871437077178E-6</c:v>
                </c:pt>
                <c:pt idx="355">
                  <c:v>3.0818871437077178E-6</c:v>
                </c:pt>
                <c:pt idx="356">
                  <c:v>3.0373103072633967E-6</c:v>
                </c:pt>
                <c:pt idx="357">
                  <c:v>3.0373103072633967E-6</c:v>
                </c:pt>
                <c:pt idx="358">
                  <c:v>2.9927330160717247E-6</c:v>
                </c:pt>
                <c:pt idx="359">
                  <c:v>2.9927330160717247E-6</c:v>
                </c:pt>
                <c:pt idx="360">
                  <c:v>2.9515683763747802E-6</c:v>
                </c:pt>
                <c:pt idx="361">
                  <c:v>2.9515683763747802E-6</c:v>
                </c:pt>
                <c:pt idx="362">
                  <c:v>2.9088791961839888E-6</c:v>
                </c:pt>
                <c:pt idx="363">
                  <c:v>2.9088791961839888E-6</c:v>
                </c:pt>
                <c:pt idx="364">
                  <c:v>2.907354655690142E-6</c:v>
                </c:pt>
                <c:pt idx="365">
                  <c:v>2.907354655690142E-6</c:v>
                </c:pt>
                <c:pt idx="366">
                  <c:v>2.9058301151962951E-6</c:v>
                </c:pt>
                <c:pt idx="367">
                  <c:v>2.9058301151962951E-6</c:v>
                </c:pt>
                <c:pt idx="368">
                  <c:v>2.9043053473287728E-6</c:v>
                </c:pt>
                <c:pt idx="369">
                  <c:v>2.9043053473287728E-6</c:v>
                </c:pt>
                <c:pt idx="370">
                  <c:v>2.7533685624803184E-6</c:v>
                </c:pt>
                <c:pt idx="371">
                  <c:v>2.7533685624803184E-6</c:v>
                </c:pt>
                <c:pt idx="372">
                  <c:v>2.7122039227833739E-6</c:v>
                </c:pt>
                <c:pt idx="373">
                  <c:v>2.7122039227833739E-6</c:v>
                </c:pt>
                <c:pt idx="374">
                  <c:v>2.710679382289527E-6</c:v>
                </c:pt>
                <c:pt idx="375">
                  <c:v>2.710679382289527E-6</c:v>
                </c:pt>
                <c:pt idx="376">
                  <c:v>2.6695147425925825E-6</c:v>
                </c:pt>
                <c:pt idx="377">
                  <c:v>2.6695147425925825E-6</c:v>
                </c:pt>
                <c:pt idx="378">
                  <c:v>2.6679902020987356E-6</c:v>
                </c:pt>
                <c:pt idx="379">
                  <c:v>2.6679902020987356E-6</c:v>
                </c:pt>
                <c:pt idx="380">
                  <c:v>2.6664654342312133E-6</c:v>
                </c:pt>
                <c:pt idx="381">
                  <c:v>2.6664654342312133E-6</c:v>
                </c:pt>
                <c:pt idx="382">
                  <c:v>2.6649408937373664E-6</c:v>
                </c:pt>
                <c:pt idx="383">
                  <c:v>2.6649408937373664E-6</c:v>
                </c:pt>
                <c:pt idx="384">
                  <c:v>2.6634163532435196E-6</c:v>
                </c:pt>
                <c:pt idx="385">
                  <c:v>2.6634163532435196E-6</c:v>
                </c:pt>
                <c:pt idx="386">
                  <c:v>2.6618915853759972E-6</c:v>
                </c:pt>
                <c:pt idx="387">
                  <c:v>2.6618915853759972E-6</c:v>
                </c:pt>
                <c:pt idx="388">
                  <c:v>2.6207271730527282E-6</c:v>
                </c:pt>
                <c:pt idx="389">
                  <c:v>2.6207271730527282E-6</c:v>
                </c:pt>
                <c:pt idx="390">
                  <c:v>2.6192024051852059E-6</c:v>
                </c:pt>
                <c:pt idx="391">
                  <c:v>2.6192024051852059E-6</c:v>
                </c:pt>
                <c:pt idx="392">
                  <c:v>2.617677864691359E-6</c:v>
                </c:pt>
                <c:pt idx="393">
                  <c:v>2.617677864691359E-6</c:v>
                </c:pt>
                <c:pt idx="394">
                  <c:v>2.5285241918027168E-6</c:v>
                </c:pt>
                <c:pt idx="395">
                  <c:v>2.5285241918027168E-6</c:v>
                </c:pt>
                <c:pt idx="396">
                  <c:v>2.4873595521057723E-6</c:v>
                </c:pt>
                <c:pt idx="397">
                  <c:v>2.4873595521057723E-6</c:v>
                </c:pt>
                <c:pt idx="398">
                  <c:v>2.3364227672573179E-6</c:v>
                </c:pt>
                <c:pt idx="399">
                  <c:v>2.3364227672573179E-6</c:v>
                </c:pt>
                <c:pt idx="400">
                  <c:v>2.2952581275603734E-6</c:v>
                </c:pt>
                <c:pt idx="401">
                  <c:v>2.2952581275603734E-6</c:v>
                </c:pt>
                <c:pt idx="402">
                  <c:v>2.2506808363687014E-6</c:v>
                </c:pt>
                <c:pt idx="403">
                  <c:v>2.2506808363687014E-6</c:v>
                </c:pt>
                <c:pt idx="404">
                  <c:v>2.2491562958748545E-6</c:v>
                </c:pt>
                <c:pt idx="405">
                  <c:v>2.2491562958748545E-6</c:v>
                </c:pt>
                <c:pt idx="406">
                  <c:v>2.0982195110264001E-6</c:v>
                </c:pt>
                <c:pt idx="407">
                  <c:v>2.0982195110264001E-6</c:v>
                </c:pt>
                <c:pt idx="408">
                  <c:v>2.0570548713294556E-6</c:v>
                </c:pt>
                <c:pt idx="409">
                  <c:v>2.0570548713294556E-6</c:v>
                </c:pt>
                <c:pt idx="410">
                  <c:v>2.0555301034619333E-6</c:v>
                </c:pt>
                <c:pt idx="411">
                  <c:v>2.0555301034619333E-6</c:v>
                </c:pt>
                <c:pt idx="412">
                  <c:v>1.9045946828555316E-6</c:v>
                </c:pt>
                <c:pt idx="413">
                  <c:v>1.9045946828555316E-6</c:v>
                </c:pt>
                <c:pt idx="414">
                  <c:v>1.9030701423616847E-6</c:v>
                </c:pt>
                <c:pt idx="415">
                  <c:v>1.9030701423616847E-6</c:v>
                </c:pt>
                <c:pt idx="416">
                  <c:v>1.9015454881810001E-6</c:v>
                </c:pt>
                <c:pt idx="417">
                  <c:v>1.9015454881810001E-6</c:v>
                </c:pt>
                <c:pt idx="418">
                  <c:v>1.9000208340003155E-6</c:v>
                </c:pt>
                <c:pt idx="419">
                  <c:v>1.9000208340003155E-6</c:v>
                </c:pt>
                <c:pt idx="420">
                  <c:v>1.7490840491518611E-6</c:v>
                </c:pt>
                <c:pt idx="421">
                  <c:v>1.7490840491518611E-6</c:v>
                </c:pt>
                <c:pt idx="422">
                  <c:v>1.7079194094549166E-6</c:v>
                </c:pt>
                <c:pt idx="423">
                  <c:v>1.7079194094549166E-6</c:v>
                </c:pt>
                <c:pt idx="424">
                  <c:v>1.7063948689610697E-6</c:v>
                </c:pt>
                <c:pt idx="425">
                  <c:v>1.7063948689610697E-6</c:v>
                </c:pt>
                <c:pt idx="426">
                  <c:v>1.7048702147803851E-6</c:v>
                </c:pt>
                <c:pt idx="427">
                  <c:v>1.7048702147803851E-6</c:v>
                </c:pt>
                <c:pt idx="428">
                  <c:v>1.6602929235887132E-6</c:v>
                </c:pt>
                <c:pt idx="429">
                  <c:v>1.6602929235887132E-6</c:v>
                </c:pt>
                <c:pt idx="430">
                  <c:v>1.6587683830948663E-6</c:v>
                </c:pt>
                <c:pt idx="431">
                  <c:v>1.6587683830948663E-6</c:v>
                </c:pt>
                <c:pt idx="432">
                  <c:v>1.6176037433979218E-6</c:v>
                </c:pt>
                <c:pt idx="433">
                  <c:v>1.6176037433979218E-6</c:v>
                </c:pt>
                <c:pt idx="434">
                  <c:v>1.6160790892172372E-6</c:v>
                </c:pt>
                <c:pt idx="435">
                  <c:v>1.6160790892172372E-6</c:v>
                </c:pt>
                <c:pt idx="436">
                  <c:v>1.6145545487233903E-6</c:v>
                </c:pt>
                <c:pt idx="437">
                  <c:v>1.6145545487233903E-6</c:v>
                </c:pt>
                <c:pt idx="438">
                  <c:v>1.4620931096942513E-6</c:v>
                </c:pt>
                <c:pt idx="439">
                  <c:v>1.4620931096942513E-6</c:v>
                </c:pt>
                <c:pt idx="440">
                  <c:v>1.4209284699973068E-6</c:v>
                </c:pt>
                <c:pt idx="441">
                  <c:v>1.4209284699973068E-6</c:v>
                </c:pt>
                <c:pt idx="442">
                  <c:v>1.3797638303003623E-6</c:v>
                </c:pt>
                <c:pt idx="443">
                  <c:v>1.3797638303003623E-6</c:v>
                </c:pt>
                <c:pt idx="444">
                  <c:v>1.2288284096939606E-6</c:v>
                </c:pt>
                <c:pt idx="445">
                  <c:v>1.2288284096939606E-6</c:v>
                </c:pt>
                <c:pt idx="446">
                  <c:v>1.227303755513276E-6</c:v>
                </c:pt>
                <c:pt idx="447">
                  <c:v>1.227303755513276E-6</c:v>
                </c:pt>
                <c:pt idx="448">
                  <c:v>1.2257791013325914E-6</c:v>
                </c:pt>
                <c:pt idx="449">
                  <c:v>1.2257791013325914E-6</c:v>
                </c:pt>
                <c:pt idx="450">
                  <c:v>1.2242545608387445E-6</c:v>
                </c:pt>
                <c:pt idx="451">
                  <c:v>1.2242545608387445E-6</c:v>
                </c:pt>
                <c:pt idx="452">
                  <c:v>1.073319026545505E-6</c:v>
                </c:pt>
                <c:pt idx="453">
                  <c:v>1.073319026545505E-6</c:v>
                </c:pt>
                <c:pt idx="454">
                  <c:v>9.2238354909568443E-7</c:v>
                </c:pt>
                <c:pt idx="455">
                  <c:v>9.2238354909568443E-7</c:v>
                </c:pt>
                <c:pt idx="456">
                  <c:v>9.208589517584187E-7</c:v>
                </c:pt>
                <c:pt idx="457">
                  <c:v>9.208589517584187E-7</c:v>
                </c:pt>
                <c:pt idx="458">
                  <c:v>9.1933435442115297E-7</c:v>
                </c:pt>
                <c:pt idx="459">
                  <c:v>9.1933435442115297E-7</c:v>
                </c:pt>
                <c:pt idx="460">
                  <c:v>9.1780975708388723E-7</c:v>
                </c:pt>
                <c:pt idx="461">
                  <c:v>9.1780975708388723E-7</c:v>
                </c:pt>
                <c:pt idx="462">
                  <c:v>9.1628510290320264E-7</c:v>
                </c:pt>
                <c:pt idx="463">
                  <c:v>9.1628510290320264E-7</c:v>
                </c:pt>
                <c:pt idx="464">
                  <c:v>7.6534962545338203E-7</c:v>
                </c:pt>
                <c:pt idx="465">
                  <c:v>7.6534962545338203E-7</c:v>
                </c:pt>
                <c:pt idx="466">
                  <c:v>6.1441420484698028E-7</c:v>
                </c:pt>
                <c:pt idx="467">
                  <c:v>6.1441420484698028E-7</c:v>
                </c:pt>
                <c:pt idx="468">
                  <c:v>6.1288955066629569E-7</c:v>
                </c:pt>
                <c:pt idx="469">
                  <c:v>6.1288955066629569E-7</c:v>
                </c:pt>
                <c:pt idx="470">
                  <c:v>6.1136495332902996E-7</c:v>
                </c:pt>
                <c:pt idx="471">
                  <c:v>6.1136495332902996E-7</c:v>
                </c:pt>
                <c:pt idx="472">
                  <c:v>6.0984035599176423E-7</c:v>
                </c:pt>
                <c:pt idx="473">
                  <c:v>6.0984035599176423E-7</c:v>
                </c:pt>
                <c:pt idx="474">
                  <c:v>6.0831570181107963E-7</c:v>
                </c:pt>
                <c:pt idx="475">
                  <c:v>6.0831570181107963E-7</c:v>
                </c:pt>
                <c:pt idx="476">
                  <c:v>6.067911044738139E-7</c:v>
                </c:pt>
                <c:pt idx="477">
                  <c:v>6.067911044738139E-7</c:v>
                </c:pt>
                <c:pt idx="478">
                  <c:v>4.5585562702399329E-7</c:v>
                </c:pt>
                <c:pt idx="479">
                  <c:v>4.5585562702399329E-7</c:v>
                </c:pt>
                <c:pt idx="480">
                  <c:v>3.0492017799588211E-7</c:v>
                </c:pt>
                <c:pt idx="481">
                  <c:v>3.0492017799588211E-7</c:v>
                </c:pt>
                <c:pt idx="482">
                  <c:v>1.539847005460615E-7</c:v>
                </c:pt>
                <c:pt idx="483">
                  <c:v>1.539847005460615E-7</c:v>
                </c:pt>
                <c:pt idx="484">
                  <c:v>3.049228869400622E-9</c:v>
                </c:pt>
                <c:pt idx="485">
                  <c:v>3.049228869400622E-9</c:v>
                </c:pt>
                <c:pt idx="486">
                  <c:v>1.524614434700311E-9</c:v>
                </c:pt>
                <c:pt idx="487">
                  <c:v>1.0000000000000001E-9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402-48F4-80CD-9D34B514DB63}"/>
            </c:ext>
          </c:extLst>
        </c:ser>
        <c:ser>
          <c:idx val="1"/>
          <c:order val="1"/>
          <c:spPr>
            <a:ln w="3175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FNCurve2!$X$33:$X$34</c:f>
              <c:numCache>
                <c:formatCode>General</c:formatCode>
                <c:ptCount val="2"/>
                <c:pt idx="0">
                  <c:v>0.1</c:v>
                </c:pt>
                <c:pt idx="1">
                  <c:v>10000</c:v>
                </c:pt>
              </c:numCache>
            </c:numRef>
          </c:xVal>
          <c:yVal>
            <c:numRef>
              <c:f>FNCurve2!$Y$33:$Y$34</c:f>
              <c:numCache>
                <c:formatCode>0.00E+00</c:formatCode>
                <c:ptCount val="2"/>
                <c:pt idx="0" formatCode="General">
                  <c:v>1</c:v>
                </c:pt>
                <c:pt idx="1">
                  <c:v>1.0000000000000001E-5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402-48F4-80CD-9D34B514DB63}"/>
            </c:ext>
          </c:extLst>
        </c:ser>
        <c:ser>
          <c:idx val="2"/>
          <c:order val="2"/>
          <c:spPr>
            <a:ln w="3175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FNCurve2!$Z$33:$Z$34</c:f>
              <c:numCache>
                <c:formatCode>General</c:formatCode>
                <c:ptCount val="2"/>
                <c:pt idx="0">
                  <c:v>0.1</c:v>
                </c:pt>
                <c:pt idx="1">
                  <c:v>10000</c:v>
                </c:pt>
              </c:numCache>
            </c:numRef>
          </c:xVal>
          <c:yVal>
            <c:numRef>
              <c:f>FNCurve2!$AA$33:$AA$34</c:f>
              <c:numCache>
                <c:formatCode>0.00E+00</c:formatCode>
                <c:ptCount val="2"/>
                <c:pt idx="0">
                  <c:v>1E-3</c:v>
                </c:pt>
                <c:pt idx="1">
                  <c:v>1E-8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402-48F4-80CD-9D34B514DB63}"/>
            </c:ext>
          </c:extLst>
        </c:ser>
        <c:ser>
          <c:idx val="3"/>
          <c:order val="3"/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FNCurve2!$AB$33:$AB$34</c:f>
              <c:numCache>
                <c:formatCode>General</c:formatCode>
                <c:ptCount val="2"/>
                <c:pt idx="0">
                  <c:v>0.1</c:v>
                </c:pt>
                <c:pt idx="1">
                  <c:v>1000</c:v>
                </c:pt>
              </c:numCache>
            </c:numRef>
          </c:xVal>
          <c:yVal>
            <c:numRef>
              <c:f>FNCurve2!$AC$33:$AC$34</c:f>
              <c:numCache>
                <c:formatCode>0.00E+00</c:formatCode>
                <c:ptCount val="2"/>
                <c:pt idx="0">
                  <c:v>0.01</c:v>
                </c:pt>
                <c:pt idx="1">
                  <c:v>9.9999999999999995E-7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402-48F4-80CD-9D34B514DB63}"/>
            </c:ext>
          </c:extLst>
        </c:ser>
        <c:ser>
          <c:idx val="4"/>
          <c:order val="4"/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FNCurve2!$AD$33:$AD$34</c:f>
              <c:numCache>
                <c:formatCode>General</c:formatCode>
                <c:ptCount val="2"/>
                <c:pt idx="0">
                  <c:v>0.1</c:v>
                </c:pt>
                <c:pt idx="1">
                  <c:v>1000</c:v>
                </c:pt>
              </c:numCache>
            </c:numRef>
          </c:xVal>
          <c:yVal>
            <c:numRef>
              <c:f>FNCurve2!$AE$33:$AE$34</c:f>
              <c:numCache>
                <c:formatCode>0.00E+00</c:formatCode>
                <c:ptCount val="2"/>
                <c:pt idx="0">
                  <c:v>1E-4</c:v>
                </c:pt>
                <c:pt idx="1">
                  <c:v>1E-8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402-48F4-80CD-9D34B514DB63}"/>
            </c:ext>
          </c:extLst>
        </c:ser>
        <c:ser>
          <c:idx val="5"/>
          <c:order val="5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1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7402-48F4-80CD-9D34B514DB63}"/>
              </c:ext>
            </c:extLst>
          </c:dPt>
          <c:xVal>
            <c:numRef>
              <c:f>FNCurve2!$AF$33:$AF$34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FNCurve2!$AG$33:$AG$34</c:f>
              <c:numCache>
                <c:formatCode>0.00E+00</c:formatCode>
                <c:ptCount val="2"/>
                <c:pt idx="0">
                  <c:v>9.9999999999999995E-7</c:v>
                </c:pt>
                <c:pt idx="1">
                  <c:v>1.0000000000000001E-9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7402-48F4-80CD-9D34B514D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83648"/>
        <c:axId val="267885568"/>
      </c:scatterChart>
      <c:valAx>
        <c:axId val="267883648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CFFFF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Fatalities</a:t>
                </a:r>
              </a:p>
            </c:rich>
          </c:tx>
          <c:layout>
            <c:manualLayout>
              <c:xMode val="edge"/>
              <c:yMode val="edge"/>
              <c:x val="0.49849919362489326"/>
              <c:y val="0.90865368669771385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7885568"/>
        <c:crossesAt val="1.0000000000000001E-9"/>
        <c:crossBetween val="midCat"/>
      </c:valAx>
      <c:valAx>
        <c:axId val="267885568"/>
        <c:scaling>
          <c:logBase val="10"/>
          <c:orientation val="minMax"/>
          <c:max val="1"/>
          <c:min val="1.0000000000000001E-9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CFFFF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Fequency more than N Fatalities [1/yr]</a:t>
                </a:r>
              </a:p>
            </c:rich>
          </c:tx>
          <c:layout>
            <c:manualLayout>
              <c:xMode val="edge"/>
              <c:yMode val="edge"/>
              <c:x val="2.4024128008095374E-2"/>
              <c:y val="9.8557490289960789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267883648"/>
        <c:crossesAt val="1.0000000000000001E-9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 paperSize="9" orientation="landscape"/>
  </c:printSettings>
  <c:userShapes r:id="rId1"/>
</c:chartSpace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2</xdr:col>
          <xdr:colOff>0</xdr:colOff>
          <xdr:row>5</xdr:row>
          <xdr:rowOff>114300</xdr:rowOff>
        </xdr:to>
        <xdr:sp macro="" textlink="">
          <xdr:nvSpPr>
            <xdr:cNvPr id="1708034" name="btnMakeProjectFolder" hidden="1">
              <a:extLst>
                <a:ext uri="{63B3BB69-23CF-44E3-9099-C40C66FF867C}">
                  <a14:compatExt spid="_x0000_s1708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705468" name="Line 3">
          <a:extLst>
            <a:ext uri="{FF2B5EF4-FFF2-40B4-BE49-F238E27FC236}">
              <a16:creationId xmlns:a16="http://schemas.microsoft.com/office/drawing/2014/main" xmlns="" id="{00000000-0008-0000-0100-0000FC0E5700}"/>
            </a:ext>
          </a:extLst>
        </xdr:cNvPr>
        <xdr:cNvSpPr>
          <a:spLocks noChangeShapeType="1"/>
        </xdr:cNvSpPr>
      </xdr:nvSpPr>
      <xdr:spPr bwMode="auto">
        <a:xfrm>
          <a:off x="3733800" y="2447925"/>
          <a:ext cx="514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705469" name="Line 4">
          <a:extLst>
            <a:ext uri="{FF2B5EF4-FFF2-40B4-BE49-F238E27FC236}">
              <a16:creationId xmlns:a16="http://schemas.microsoft.com/office/drawing/2014/main" xmlns="" id="{00000000-0008-0000-0100-0000FD0E5700}"/>
            </a:ext>
          </a:extLst>
        </xdr:cNvPr>
        <xdr:cNvSpPr>
          <a:spLocks noChangeShapeType="1"/>
        </xdr:cNvSpPr>
      </xdr:nvSpPr>
      <xdr:spPr bwMode="auto">
        <a:xfrm flipH="1">
          <a:off x="4248150" y="24479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705470" name="Line 7">
          <a:extLst>
            <a:ext uri="{FF2B5EF4-FFF2-40B4-BE49-F238E27FC236}">
              <a16:creationId xmlns:a16="http://schemas.microsoft.com/office/drawing/2014/main" xmlns="" id="{00000000-0008-0000-0100-0000FE0E5700}"/>
            </a:ext>
          </a:extLst>
        </xdr:cNvPr>
        <xdr:cNvSpPr>
          <a:spLocks noChangeShapeType="1"/>
        </xdr:cNvSpPr>
      </xdr:nvSpPr>
      <xdr:spPr bwMode="auto">
        <a:xfrm>
          <a:off x="3733800" y="2447925"/>
          <a:ext cx="514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705471" name="Line 8">
          <a:extLst>
            <a:ext uri="{FF2B5EF4-FFF2-40B4-BE49-F238E27FC236}">
              <a16:creationId xmlns:a16="http://schemas.microsoft.com/office/drawing/2014/main" xmlns="" id="{00000000-0008-0000-0100-0000FF0E5700}"/>
            </a:ext>
          </a:extLst>
        </xdr:cNvPr>
        <xdr:cNvSpPr>
          <a:spLocks noChangeShapeType="1"/>
        </xdr:cNvSpPr>
      </xdr:nvSpPr>
      <xdr:spPr bwMode="auto">
        <a:xfrm flipH="1">
          <a:off x="4248150" y="24479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705472" name="Line 11">
          <a:extLst>
            <a:ext uri="{FF2B5EF4-FFF2-40B4-BE49-F238E27FC236}">
              <a16:creationId xmlns:a16="http://schemas.microsoft.com/office/drawing/2014/main" xmlns="" id="{00000000-0008-0000-0100-0000000F5700}"/>
            </a:ext>
          </a:extLst>
        </xdr:cNvPr>
        <xdr:cNvSpPr>
          <a:spLocks noChangeShapeType="1"/>
        </xdr:cNvSpPr>
      </xdr:nvSpPr>
      <xdr:spPr bwMode="auto">
        <a:xfrm>
          <a:off x="3733800" y="2447925"/>
          <a:ext cx="514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705473" name="Line 12">
          <a:extLst>
            <a:ext uri="{FF2B5EF4-FFF2-40B4-BE49-F238E27FC236}">
              <a16:creationId xmlns:a16="http://schemas.microsoft.com/office/drawing/2014/main" xmlns="" id="{00000000-0008-0000-0100-0000010F5700}"/>
            </a:ext>
          </a:extLst>
        </xdr:cNvPr>
        <xdr:cNvSpPr>
          <a:spLocks noChangeShapeType="1"/>
        </xdr:cNvSpPr>
      </xdr:nvSpPr>
      <xdr:spPr bwMode="auto">
        <a:xfrm flipH="1">
          <a:off x="4248150" y="24479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705474" name="Line 15">
          <a:extLst>
            <a:ext uri="{FF2B5EF4-FFF2-40B4-BE49-F238E27FC236}">
              <a16:creationId xmlns:a16="http://schemas.microsoft.com/office/drawing/2014/main" xmlns="" id="{00000000-0008-0000-0100-0000020F5700}"/>
            </a:ext>
          </a:extLst>
        </xdr:cNvPr>
        <xdr:cNvSpPr>
          <a:spLocks noChangeShapeType="1"/>
        </xdr:cNvSpPr>
      </xdr:nvSpPr>
      <xdr:spPr bwMode="auto">
        <a:xfrm>
          <a:off x="3733800" y="2447925"/>
          <a:ext cx="514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95250</xdr:rowOff>
    </xdr:to>
    <xdr:sp macro="" textlink="">
      <xdr:nvSpPr>
        <xdr:cNvPr id="5705475" name="Line 16">
          <a:extLst>
            <a:ext uri="{FF2B5EF4-FFF2-40B4-BE49-F238E27FC236}">
              <a16:creationId xmlns:a16="http://schemas.microsoft.com/office/drawing/2014/main" xmlns="" id="{00000000-0008-0000-0100-0000030F5700}"/>
            </a:ext>
          </a:extLst>
        </xdr:cNvPr>
        <xdr:cNvSpPr>
          <a:spLocks noChangeShapeType="1"/>
        </xdr:cNvSpPr>
      </xdr:nvSpPr>
      <xdr:spPr bwMode="auto">
        <a:xfrm flipH="1">
          <a:off x="4248150" y="244792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3</xdr:row>
      <xdr:rowOff>361950</xdr:rowOff>
    </xdr:from>
    <xdr:to>
      <xdr:col>3</xdr:col>
      <xdr:colOff>152400</xdr:colOff>
      <xdr:row>7</xdr:row>
      <xdr:rowOff>19050</xdr:rowOff>
    </xdr:to>
    <xdr:sp macro="" textlink="">
      <xdr:nvSpPr>
        <xdr:cNvPr id="5705476" name="Line 19">
          <a:extLst>
            <a:ext uri="{FF2B5EF4-FFF2-40B4-BE49-F238E27FC236}">
              <a16:creationId xmlns:a16="http://schemas.microsoft.com/office/drawing/2014/main" xmlns="" id="{00000000-0008-0000-0100-0000040F5700}"/>
            </a:ext>
          </a:extLst>
        </xdr:cNvPr>
        <xdr:cNvSpPr>
          <a:spLocks noChangeShapeType="1"/>
        </xdr:cNvSpPr>
      </xdr:nvSpPr>
      <xdr:spPr bwMode="auto">
        <a:xfrm flipH="1">
          <a:off x="3390900" y="1295400"/>
          <a:ext cx="0" cy="1343025"/>
        </a:xfrm>
        <a:prstGeom prst="line">
          <a:avLst/>
        </a:prstGeom>
        <a:noFill/>
        <a:ln w="9525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95250</xdr:rowOff>
    </xdr:from>
    <xdr:to>
      <xdr:col>0</xdr:col>
      <xdr:colOff>0</xdr:colOff>
      <xdr:row>7</xdr:row>
      <xdr:rowOff>95250</xdr:rowOff>
    </xdr:to>
    <xdr:sp macro="" textlink="">
      <xdr:nvSpPr>
        <xdr:cNvPr id="5507066" name="Line 1">
          <a:extLst>
            <a:ext uri="{FF2B5EF4-FFF2-40B4-BE49-F238E27FC236}">
              <a16:creationId xmlns:a16="http://schemas.microsoft.com/office/drawing/2014/main" xmlns="" id="{00000000-0008-0000-0300-0000FA075400}"/>
            </a:ext>
          </a:extLst>
        </xdr:cNvPr>
        <xdr:cNvSpPr>
          <a:spLocks noChangeShapeType="1"/>
        </xdr:cNvSpPr>
      </xdr:nvSpPr>
      <xdr:spPr bwMode="auto">
        <a:xfrm flipV="1">
          <a:off x="0" y="12287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16</xdr:row>
      <xdr:rowOff>95250</xdr:rowOff>
    </xdr:from>
    <xdr:to>
      <xdr:col>0</xdr:col>
      <xdr:colOff>0</xdr:colOff>
      <xdr:row>16</xdr:row>
      <xdr:rowOff>95250</xdr:rowOff>
    </xdr:to>
    <xdr:sp macro="" textlink="">
      <xdr:nvSpPr>
        <xdr:cNvPr id="5507067" name="Line 3">
          <a:extLst>
            <a:ext uri="{FF2B5EF4-FFF2-40B4-BE49-F238E27FC236}">
              <a16:creationId xmlns:a16="http://schemas.microsoft.com/office/drawing/2014/main" xmlns="" id="{00000000-0008-0000-0300-0000FB075400}"/>
            </a:ext>
          </a:extLst>
        </xdr:cNvPr>
        <xdr:cNvSpPr>
          <a:spLocks noChangeShapeType="1"/>
        </xdr:cNvSpPr>
      </xdr:nvSpPr>
      <xdr:spPr bwMode="auto">
        <a:xfrm>
          <a:off x="0" y="2686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7</xdr:row>
      <xdr:rowOff>95250</xdr:rowOff>
    </xdr:from>
    <xdr:to>
      <xdr:col>0</xdr:col>
      <xdr:colOff>0</xdr:colOff>
      <xdr:row>16</xdr:row>
      <xdr:rowOff>95250</xdr:rowOff>
    </xdr:to>
    <xdr:sp macro="" textlink="">
      <xdr:nvSpPr>
        <xdr:cNvPr id="5507068" name="Line 4">
          <a:extLst>
            <a:ext uri="{FF2B5EF4-FFF2-40B4-BE49-F238E27FC236}">
              <a16:creationId xmlns:a16="http://schemas.microsoft.com/office/drawing/2014/main" xmlns="" id="{00000000-0008-0000-0300-0000FC075400}"/>
            </a:ext>
          </a:extLst>
        </xdr:cNvPr>
        <xdr:cNvSpPr>
          <a:spLocks noChangeShapeType="1"/>
        </xdr:cNvSpPr>
      </xdr:nvSpPr>
      <xdr:spPr bwMode="auto">
        <a:xfrm>
          <a:off x="0" y="1228725"/>
          <a:ext cx="0" cy="1457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16</xdr:row>
      <xdr:rowOff>76200</xdr:rowOff>
    </xdr:from>
    <xdr:to>
      <xdr:col>0</xdr:col>
      <xdr:colOff>0</xdr:colOff>
      <xdr:row>16</xdr:row>
      <xdr:rowOff>76200</xdr:rowOff>
    </xdr:to>
    <xdr:sp macro="" textlink="">
      <xdr:nvSpPr>
        <xdr:cNvPr id="5507069" name="Line 7">
          <a:extLst>
            <a:ext uri="{FF2B5EF4-FFF2-40B4-BE49-F238E27FC236}">
              <a16:creationId xmlns:a16="http://schemas.microsoft.com/office/drawing/2014/main" xmlns="" id="{00000000-0008-0000-0300-0000FD075400}"/>
            </a:ext>
          </a:extLst>
        </xdr:cNvPr>
        <xdr:cNvSpPr>
          <a:spLocks noChangeShapeType="1"/>
        </xdr:cNvSpPr>
      </xdr:nvSpPr>
      <xdr:spPr bwMode="auto">
        <a:xfrm>
          <a:off x="0" y="26670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16</xdr:row>
      <xdr:rowOff>76200</xdr:rowOff>
    </xdr:from>
    <xdr:to>
      <xdr:col>0</xdr:col>
      <xdr:colOff>0</xdr:colOff>
      <xdr:row>31</xdr:row>
      <xdr:rowOff>95250</xdr:rowOff>
    </xdr:to>
    <xdr:sp macro="" textlink="">
      <xdr:nvSpPr>
        <xdr:cNvPr id="5507070" name="Line 8">
          <a:extLst>
            <a:ext uri="{FF2B5EF4-FFF2-40B4-BE49-F238E27FC236}">
              <a16:creationId xmlns:a16="http://schemas.microsoft.com/office/drawing/2014/main" xmlns="" id="{00000000-0008-0000-0300-0000FE075400}"/>
            </a:ext>
          </a:extLst>
        </xdr:cNvPr>
        <xdr:cNvSpPr>
          <a:spLocks noChangeShapeType="1"/>
        </xdr:cNvSpPr>
      </xdr:nvSpPr>
      <xdr:spPr bwMode="auto">
        <a:xfrm>
          <a:off x="0" y="2667000"/>
          <a:ext cx="0" cy="2447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31</xdr:row>
      <xdr:rowOff>95250</xdr:rowOff>
    </xdr:from>
    <xdr:to>
      <xdr:col>0</xdr:col>
      <xdr:colOff>0</xdr:colOff>
      <xdr:row>31</xdr:row>
      <xdr:rowOff>95250</xdr:rowOff>
    </xdr:to>
    <xdr:sp macro="" textlink="">
      <xdr:nvSpPr>
        <xdr:cNvPr id="5507071" name="Line 9">
          <a:extLst>
            <a:ext uri="{FF2B5EF4-FFF2-40B4-BE49-F238E27FC236}">
              <a16:creationId xmlns:a16="http://schemas.microsoft.com/office/drawing/2014/main" xmlns="" id="{00000000-0008-0000-0300-0000FF075400}"/>
            </a:ext>
          </a:extLst>
        </xdr:cNvPr>
        <xdr:cNvSpPr>
          <a:spLocks noChangeShapeType="1"/>
        </xdr:cNvSpPr>
      </xdr:nvSpPr>
      <xdr:spPr bwMode="auto">
        <a:xfrm>
          <a:off x="0" y="51149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85725</xdr:rowOff>
    </xdr:from>
    <xdr:to>
      <xdr:col>0</xdr:col>
      <xdr:colOff>0</xdr:colOff>
      <xdr:row>115</xdr:row>
      <xdr:rowOff>95250</xdr:rowOff>
    </xdr:to>
    <xdr:sp macro="" textlink="">
      <xdr:nvSpPr>
        <xdr:cNvPr id="7103488" name="Line 12">
          <a:extLst>
            <a:ext uri="{FF2B5EF4-FFF2-40B4-BE49-F238E27FC236}">
              <a16:creationId xmlns:a16="http://schemas.microsoft.com/office/drawing/2014/main" xmlns="" id="{00000000-0008-0000-0300-000000646C00}"/>
            </a:ext>
          </a:extLst>
        </xdr:cNvPr>
        <xdr:cNvSpPr>
          <a:spLocks noChangeShapeType="1"/>
        </xdr:cNvSpPr>
      </xdr:nvSpPr>
      <xdr:spPr bwMode="auto">
        <a:xfrm>
          <a:off x="0" y="9315450"/>
          <a:ext cx="0" cy="778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40</xdr:row>
      <xdr:rowOff>66675</xdr:rowOff>
    </xdr:from>
    <xdr:to>
      <xdr:col>0</xdr:col>
      <xdr:colOff>0</xdr:colOff>
      <xdr:row>69</xdr:row>
      <xdr:rowOff>85725</xdr:rowOff>
    </xdr:to>
    <xdr:sp macro="" textlink="">
      <xdr:nvSpPr>
        <xdr:cNvPr id="7103489" name="Line 15">
          <a:extLst>
            <a:ext uri="{FF2B5EF4-FFF2-40B4-BE49-F238E27FC236}">
              <a16:creationId xmlns:a16="http://schemas.microsoft.com/office/drawing/2014/main" xmlns="" id="{00000000-0008-0000-0300-000001646C00}"/>
            </a:ext>
          </a:extLst>
        </xdr:cNvPr>
        <xdr:cNvSpPr>
          <a:spLocks noChangeShapeType="1"/>
        </xdr:cNvSpPr>
      </xdr:nvSpPr>
      <xdr:spPr bwMode="auto">
        <a:xfrm flipH="1">
          <a:off x="0" y="6381750"/>
          <a:ext cx="0" cy="3257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40</xdr:row>
      <xdr:rowOff>76200</xdr:rowOff>
    </xdr:from>
    <xdr:to>
      <xdr:col>0</xdr:col>
      <xdr:colOff>0</xdr:colOff>
      <xdr:row>40</xdr:row>
      <xdr:rowOff>76200</xdr:rowOff>
    </xdr:to>
    <xdr:sp macro="" textlink="">
      <xdr:nvSpPr>
        <xdr:cNvPr id="7103490" name="Line 17">
          <a:extLst>
            <a:ext uri="{FF2B5EF4-FFF2-40B4-BE49-F238E27FC236}">
              <a16:creationId xmlns:a16="http://schemas.microsoft.com/office/drawing/2014/main" xmlns="" id="{00000000-0008-0000-0300-000002646C00}"/>
            </a:ext>
          </a:extLst>
        </xdr:cNvPr>
        <xdr:cNvSpPr>
          <a:spLocks noChangeShapeType="1"/>
        </xdr:cNvSpPr>
      </xdr:nvSpPr>
      <xdr:spPr bwMode="auto">
        <a:xfrm>
          <a:off x="0" y="6391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37</xdr:row>
      <xdr:rowOff>0</xdr:rowOff>
    </xdr:from>
    <xdr:to>
      <xdr:col>0</xdr:col>
      <xdr:colOff>0</xdr:colOff>
      <xdr:row>70</xdr:row>
      <xdr:rowOff>104775</xdr:rowOff>
    </xdr:to>
    <xdr:sp macro="" textlink="">
      <xdr:nvSpPr>
        <xdr:cNvPr id="7103491" name="Line 24">
          <a:extLst>
            <a:ext uri="{FF2B5EF4-FFF2-40B4-BE49-F238E27FC236}">
              <a16:creationId xmlns:a16="http://schemas.microsoft.com/office/drawing/2014/main" xmlns="" id="{00000000-0008-0000-0300-000003646C00}"/>
            </a:ext>
          </a:extLst>
        </xdr:cNvPr>
        <xdr:cNvSpPr>
          <a:spLocks noChangeShapeType="1"/>
        </xdr:cNvSpPr>
      </xdr:nvSpPr>
      <xdr:spPr bwMode="auto">
        <a:xfrm>
          <a:off x="0" y="5991225"/>
          <a:ext cx="0" cy="3829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65</xdr:row>
          <xdr:rowOff>0</xdr:rowOff>
        </xdr:from>
        <xdr:to>
          <xdr:col>19</xdr:col>
          <xdr:colOff>180975</xdr:colOff>
          <xdr:row>83</xdr:row>
          <xdr:rowOff>57150</xdr:rowOff>
        </xdr:to>
        <xdr:sp macro="" textlink="">
          <xdr:nvSpPr>
            <xdr:cNvPr id="39952" name="btnEVCResultArrange" hidden="1">
              <a:extLst>
                <a:ext uri="{63B3BB69-23CF-44E3-9099-C40C66FF867C}">
                  <a14:compatExt spid="_x0000_s39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48</xdr:row>
          <xdr:rowOff>0</xdr:rowOff>
        </xdr:from>
        <xdr:to>
          <xdr:col>19</xdr:col>
          <xdr:colOff>180975</xdr:colOff>
          <xdr:row>71</xdr:row>
          <xdr:rowOff>66675</xdr:rowOff>
        </xdr:to>
        <xdr:sp macro="" textlink="">
          <xdr:nvSpPr>
            <xdr:cNvPr id="39961" name="btnRecalAvg" hidden="1">
              <a:extLst>
                <a:ext uri="{63B3BB69-23CF-44E3-9099-C40C66FF867C}">
                  <a14:compatExt spid="_x0000_s39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342900</xdr:rowOff>
    </xdr:from>
    <xdr:to>
      <xdr:col>3</xdr:col>
      <xdr:colOff>0</xdr:colOff>
      <xdr:row>21</xdr:row>
      <xdr:rowOff>95250</xdr:rowOff>
    </xdr:to>
    <xdr:graphicFrame macro="[0]!Macro1">
      <xdr:nvGraphicFramePr>
        <xdr:cNvPr id="6562220" name="Chart 4">
          <a:extLst>
            <a:ext uri="{FF2B5EF4-FFF2-40B4-BE49-F238E27FC236}">
              <a16:creationId xmlns:a16="http://schemas.microsoft.com/office/drawing/2014/main" xmlns="" id="{00000000-0008-0000-0700-0000AC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33</xdr:row>
      <xdr:rowOff>38100</xdr:rowOff>
    </xdr:from>
    <xdr:to>
      <xdr:col>8</xdr:col>
      <xdr:colOff>0</xdr:colOff>
      <xdr:row>50</xdr:row>
      <xdr:rowOff>0</xdr:rowOff>
    </xdr:to>
    <xdr:graphicFrame macro="">
      <xdr:nvGraphicFramePr>
        <xdr:cNvPr id="6562221" name="Chart 6">
          <a:extLst>
            <a:ext uri="{FF2B5EF4-FFF2-40B4-BE49-F238E27FC236}">
              <a16:creationId xmlns:a16="http://schemas.microsoft.com/office/drawing/2014/main" xmlns="" id="{00000000-0008-0000-0700-0000AD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9525</xdr:colOff>
      <xdr:row>33</xdr:row>
      <xdr:rowOff>28575</xdr:rowOff>
    </xdr:from>
    <xdr:to>
      <xdr:col>15</xdr:col>
      <xdr:colOff>438150</xdr:colOff>
      <xdr:row>50</xdr:row>
      <xdr:rowOff>0</xdr:rowOff>
    </xdr:to>
    <xdr:graphicFrame macro="">
      <xdr:nvGraphicFramePr>
        <xdr:cNvPr id="6562222" name="Chart 7">
          <a:extLst>
            <a:ext uri="{FF2B5EF4-FFF2-40B4-BE49-F238E27FC236}">
              <a16:creationId xmlns:a16="http://schemas.microsoft.com/office/drawing/2014/main" xmlns="" id="{00000000-0008-0000-0700-0000AE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33</xdr:row>
      <xdr:rowOff>38100</xdr:rowOff>
    </xdr:from>
    <xdr:to>
      <xdr:col>24</xdr:col>
      <xdr:colOff>0</xdr:colOff>
      <xdr:row>49</xdr:row>
      <xdr:rowOff>138545</xdr:rowOff>
    </xdr:to>
    <xdr:graphicFrame macro="">
      <xdr:nvGraphicFramePr>
        <xdr:cNvPr id="6562223" name="Chart 9">
          <a:extLst>
            <a:ext uri="{FF2B5EF4-FFF2-40B4-BE49-F238E27FC236}">
              <a16:creationId xmlns:a16="http://schemas.microsoft.com/office/drawing/2014/main" xmlns="" id="{00000000-0008-0000-0700-0000AF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0</xdr:colOff>
      <xdr:row>33</xdr:row>
      <xdr:rowOff>38101</xdr:rowOff>
    </xdr:from>
    <xdr:to>
      <xdr:col>32</xdr:col>
      <xdr:colOff>9525</xdr:colOff>
      <xdr:row>50</xdr:row>
      <xdr:rowOff>1</xdr:rowOff>
    </xdr:to>
    <xdr:graphicFrame macro="">
      <xdr:nvGraphicFramePr>
        <xdr:cNvPr id="6562224" name="Chart 10">
          <a:extLst>
            <a:ext uri="{FF2B5EF4-FFF2-40B4-BE49-F238E27FC236}">
              <a16:creationId xmlns:a16="http://schemas.microsoft.com/office/drawing/2014/main" xmlns="" id="{00000000-0008-0000-0700-0000B0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0</xdr:colOff>
      <xdr:row>33</xdr:row>
      <xdr:rowOff>38100</xdr:rowOff>
    </xdr:from>
    <xdr:to>
      <xdr:col>40</xdr:col>
      <xdr:colOff>19050</xdr:colOff>
      <xdr:row>50</xdr:row>
      <xdr:rowOff>0</xdr:rowOff>
    </xdr:to>
    <xdr:graphicFrame macro="">
      <xdr:nvGraphicFramePr>
        <xdr:cNvPr id="6562225" name="Chart 11">
          <a:extLst>
            <a:ext uri="{FF2B5EF4-FFF2-40B4-BE49-F238E27FC236}">
              <a16:creationId xmlns:a16="http://schemas.microsoft.com/office/drawing/2014/main" xmlns="" id="{00000000-0008-0000-0700-0000B1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40</xdr:col>
      <xdr:colOff>0</xdr:colOff>
      <xdr:row>33</xdr:row>
      <xdr:rowOff>38101</xdr:rowOff>
    </xdr:from>
    <xdr:to>
      <xdr:col>48</xdr:col>
      <xdr:colOff>28575</xdr:colOff>
      <xdr:row>50</xdr:row>
      <xdr:rowOff>1</xdr:rowOff>
    </xdr:to>
    <xdr:graphicFrame macro="">
      <xdr:nvGraphicFramePr>
        <xdr:cNvPr id="6562226" name="Chart 12">
          <a:extLst>
            <a:ext uri="{FF2B5EF4-FFF2-40B4-BE49-F238E27FC236}">
              <a16:creationId xmlns:a16="http://schemas.microsoft.com/office/drawing/2014/main" xmlns="" id="{00000000-0008-0000-0700-0000B2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0</xdr:colOff>
      <xdr:row>55</xdr:row>
      <xdr:rowOff>9525</xdr:rowOff>
    </xdr:from>
    <xdr:to>
      <xdr:col>32</xdr:col>
      <xdr:colOff>9525</xdr:colOff>
      <xdr:row>71</xdr:row>
      <xdr:rowOff>125706</xdr:rowOff>
    </xdr:to>
    <xdr:graphicFrame macro="">
      <xdr:nvGraphicFramePr>
        <xdr:cNvPr id="6562227" name="Chart 16">
          <a:extLst>
            <a:ext uri="{FF2B5EF4-FFF2-40B4-BE49-F238E27FC236}">
              <a16:creationId xmlns:a16="http://schemas.microsoft.com/office/drawing/2014/main" xmlns="" id="{00000000-0008-0000-0700-0000B3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55</xdr:row>
      <xdr:rowOff>9525</xdr:rowOff>
    </xdr:from>
    <xdr:to>
      <xdr:col>40</xdr:col>
      <xdr:colOff>19050</xdr:colOff>
      <xdr:row>71</xdr:row>
      <xdr:rowOff>125706</xdr:rowOff>
    </xdr:to>
    <xdr:graphicFrame macro="">
      <xdr:nvGraphicFramePr>
        <xdr:cNvPr id="6562228" name="Chart 17">
          <a:extLst>
            <a:ext uri="{FF2B5EF4-FFF2-40B4-BE49-F238E27FC236}">
              <a16:creationId xmlns:a16="http://schemas.microsoft.com/office/drawing/2014/main" xmlns="" id="{00000000-0008-0000-0700-0000B4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40</xdr:col>
      <xdr:colOff>0</xdr:colOff>
      <xdr:row>55</xdr:row>
      <xdr:rowOff>9525</xdr:rowOff>
    </xdr:from>
    <xdr:to>
      <xdr:col>48</xdr:col>
      <xdr:colOff>28575</xdr:colOff>
      <xdr:row>71</xdr:row>
      <xdr:rowOff>125706</xdr:rowOff>
    </xdr:to>
    <xdr:graphicFrame macro="">
      <xdr:nvGraphicFramePr>
        <xdr:cNvPr id="6562229" name="Chart 18">
          <a:extLst>
            <a:ext uri="{FF2B5EF4-FFF2-40B4-BE49-F238E27FC236}">
              <a16:creationId xmlns:a16="http://schemas.microsoft.com/office/drawing/2014/main" xmlns="" id="{00000000-0008-0000-0700-0000B5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19050</xdr:colOff>
      <xdr:row>55</xdr:row>
      <xdr:rowOff>9525</xdr:rowOff>
    </xdr:from>
    <xdr:to>
      <xdr:col>8</xdr:col>
      <xdr:colOff>0</xdr:colOff>
      <xdr:row>71</xdr:row>
      <xdr:rowOff>125706</xdr:rowOff>
    </xdr:to>
    <xdr:graphicFrame macro="">
      <xdr:nvGraphicFramePr>
        <xdr:cNvPr id="6562230" name="Chart 19">
          <a:extLst>
            <a:ext uri="{FF2B5EF4-FFF2-40B4-BE49-F238E27FC236}">
              <a16:creationId xmlns:a16="http://schemas.microsoft.com/office/drawing/2014/main" xmlns="" id="{00000000-0008-0000-0700-0000B6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9525</xdr:colOff>
      <xdr:row>55</xdr:row>
      <xdr:rowOff>0</xdr:rowOff>
    </xdr:from>
    <xdr:to>
      <xdr:col>15</xdr:col>
      <xdr:colOff>438150</xdr:colOff>
      <xdr:row>71</xdr:row>
      <xdr:rowOff>116181</xdr:rowOff>
    </xdr:to>
    <xdr:graphicFrame macro="">
      <xdr:nvGraphicFramePr>
        <xdr:cNvPr id="6562231" name="Chart 20">
          <a:extLst>
            <a:ext uri="{FF2B5EF4-FFF2-40B4-BE49-F238E27FC236}">
              <a16:creationId xmlns:a16="http://schemas.microsoft.com/office/drawing/2014/main" xmlns="" id="{00000000-0008-0000-0700-0000B7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0</xdr:colOff>
      <xdr:row>55</xdr:row>
      <xdr:rowOff>9525</xdr:rowOff>
    </xdr:from>
    <xdr:to>
      <xdr:col>24</xdr:col>
      <xdr:colOff>0</xdr:colOff>
      <xdr:row>71</xdr:row>
      <xdr:rowOff>125706</xdr:rowOff>
    </xdr:to>
    <xdr:graphicFrame macro="">
      <xdr:nvGraphicFramePr>
        <xdr:cNvPr id="6562232" name="Chart 21">
          <a:extLst>
            <a:ext uri="{FF2B5EF4-FFF2-40B4-BE49-F238E27FC236}">
              <a16:creationId xmlns:a16="http://schemas.microsoft.com/office/drawing/2014/main" xmlns="" id="{00000000-0008-0000-0700-0000B8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266700</xdr:colOff>
          <xdr:row>0</xdr:row>
          <xdr:rowOff>0</xdr:rowOff>
        </xdr:from>
        <xdr:to>
          <xdr:col>31</xdr:col>
          <xdr:colOff>57150</xdr:colOff>
          <xdr:row>2</xdr:row>
          <xdr:rowOff>133350</xdr:rowOff>
        </xdr:to>
        <xdr:sp macro="" textlink="">
          <xdr:nvSpPr>
            <xdr:cNvPr id="62499" name="btnDataImport" hidden="1">
              <a:extLst>
                <a:ext uri="{63B3BB69-23CF-44E3-9099-C40C66FF867C}">
                  <a14:compatExt spid="_x0000_s62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0.089</cdr:y>
    </cdr:from>
    <cdr:to>
      <cdr:x>1</cdr:x>
      <cdr:y>0.10411</cdr:y>
    </cdr:to>
    <cdr:sp macro="" textlink="">
      <cdr:nvSpPr>
        <cdr:cNvPr id="6348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256013"/>
          <a:ext cx="157735" cy="434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50" b="0" i="0" u="none" strike="noStrike" baseline="0">
              <a:solidFill>
                <a:srgbClr val="000000"/>
              </a:solidFill>
              <a:latin typeface="돋움"/>
              <a:ea typeface="돋움"/>
            </a:rPr>
            <a:t>Evacuation Time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390293</xdr:colOff>
      <xdr:row>10</xdr:row>
      <xdr:rowOff>102219</xdr:rowOff>
    </xdr:from>
    <xdr:to>
      <xdr:col>4</xdr:col>
      <xdr:colOff>400050</xdr:colOff>
      <xdr:row>20</xdr:row>
      <xdr:rowOff>85725</xdr:rowOff>
    </xdr:to>
    <xdr:sp macro="" textlink="">
      <xdr:nvSpPr>
        <xdr:cNvPr id="6821691" name="Line 7">
          <a:extLst>
            <a:ext uri="{FF2B5EF4-FFF2-40B4-BE49-F238E27FC236}">
              <a16:creationId xmlns:a16="http://schemas.microsoft.com/office/drawing/2014/main" xmlns="" id="{00000000-0008-0000-0900-00003B176800}"/>
            </a:ext>
          </a:extLst>
        </xdr:cNvPr>
        <xdr:cNvSpPr>
          <a:spLocks noChangeShapeType="1"/>
        </xdr:cNvSpPr>
      </xdr:nvSpPr>
      <xdr:spPr bwMode="auto">
        <a:xfrm>
          <a:off x="1983988" y="1514707"/>
          <a:ext cx="9757" cy="15911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400050</xdr:colOff>
      <xdr:row>20</xdr:row>
      <xdr:rowOff>85725</xdr:rowOff>
    </xdr:from>
    <xdr:to>
      <xdr:col>5</xdr:col>
      <xdr:colOff>19050</xdr:colOff>
      <xdr:row>20</xdr:row>
      <xdr:rowOff>85725</xdr:rowOff>
    </xdr:to>
    <xdr:sp macro="" textlink="">
      <xdr:nvSpPr>
        <xdr:cNvPr id="6821692" name="Line 8">
          <a:extLst>
            <a:ext uri="{FF2B5EF4-FFF2-40B4-BE49-F238E27FC236}">
              <a16:creationId xmlns:a16="http://schemas.microsoft.com/office/drawing/2014/main" xmlns="" id="{00000000-0008-0000-0900-00003C176800}"/>
            </a:ext>
          </a:extLst>
        </xdr:cNvPr>
        <xdr:cNvSpPr>
          <a:spLocks noChangeShapeType="1"/>
        </xdr:cNvSpPr>
      </xdr:nvSpPr>
      <xdr:spPr bwMode="auto">
        <a:xfrm flipV="1">
          <a:off x="1990725" y="4524375"/>
          <a:ext cx="600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10</xdr:row>
      <xdr:rowOff>76200</xdr:rowOff>
    </xdr:from>
    <xdr:to>
      <xdr:col>6</xdr:col>
      <xdr:colOff>295275</xdr:colOff>
      <xdr:row>10</xdr:row>
      <xdr:rowOff>76200</xdr:rowOff>
    </xdr:to>
    <xdr:sp macro="" textlink="">
      <xdr:nvSpPr>
        <xdr:cNvPr id="6821693" name="Line 9">
          <a:extLst>
            <a:ext uri="{FF2B5EF4-FFF2-40B4-BE49-F238E27FC236}">
              <a16:creationId xmlns:a16="http://schemas.microsoft.com/office/drawing/2014/main" xmlns="" id="{00000000-0008-0000-0900-00003D176800}"/>
            </a:ext>
          </a:extLst>
        </xdr:cNvPr>
        <xdr:cNvSpPr>
          <a:spLocks noChangeShapeType="1"/>
        </xdr:cNvSpPr>
      </xdr:nvSpPr>
      <xdr:spPr bwMode="auto">
        <a:xfrm>
          <a:off x="3333750" y="2914650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9</xdr:row>
      <xdr:rowOff>66675</xdr:rowOff>
    </xdr:from>
    <xdr:to>
      <xdr:col>6</xdr:col>
      <xdr:colOff>304800</xdr:colOff>
      <xdr:row>14</xdr:row>
      <xdr:rowOff>85725</xdr:rowOff>
    </xdr:to>
    <xdr:sp macro="" textlink="">
      <xdr:nvSpPr>
        <xdr:cNvPr id="6821694" name="Line 10">
          <a:extLst>
            <a:ext uri="{FF2B5EF4-FFF2-40B4-BE49-F238E27FC236}">
              <a16:creationId xmlns:a16="http://schemas.microsoft.com/office/drawing/2014/main" xmlns="" id="{00000000-0008-0000-0900-00003E176800}"/>
            </a:ext>
          </a:extLst>
        </xdr:cNvPr>
        <xdr:cNvSpPr>
          <a:spLocks noChangeShapeType="1"/>
        </xdr:cNvSpPr>
      </xdr:nvSpPr>
      <xdr:spPr bwMode="auto">
        <a:xfrm flipH="1">
          <a:off x="3638550" y="2743200"/>
          <a:ext cx="0" cy="828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299938</xdr:colOff>
      <xdr:row>14</xdr:row>
      <xdr:rowOff>89171</xdr:rowOff>
    </xdr:from>
    <xdr:to>
      <xdr:col>7</xdr:col>
      <xdr:colOff>9526</xdr:colOff>
      <xdr:row>14</xdr:row>
      <xdr:rowOff>95250</xdr:rowOff>
    </xdr:to>
    <xdr:sp macro="" textlink="">
      <xdr:nvSpPr>
        <xdr:cNvPr id="6821695" name="Line 11">
          <a:extLst>
            <a:ext uri="{FF2B5EF4-FFF2-40B4-BE49-F238E27FC236}">
              <a16:creationId xmlns:a16="http://schemas.microsoft.com/office/drawing/2014/main" xmlns="" id="{00000000-0008-0000-0900-00003F176800}"/>
            </a:ext>
          </a:extLst>
        </xdr:cNvPr>
        <xdr:cNvSpPr>
          <a:spLocks noChangeShapeType="1"/>
        </xdr:cNvSpPr>
      </xdr:nvSpPr>
      <xdr:spPr bwMode="auto">
        <a:xfrm>
          <a:off x="3631661" y="2152245"/>
          <a:ext cx="471588" cy="6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9</xdr:row>
      <xdr:rowOff>66675</xdr:rowOff>
    </xdr:from>
    <xdr:to>
      <xdr:col>6</xdr:col>
      <xdr:colOff>742950</xdr:colOff>
      <xdr:row>9</xdr:row>
      <xdr:rowOff>66675</xdr:rowOff>
    </xdr:to>
    <xdr:sp macro="" textlink="">
      <xdr:nvSpPr>
        <xdr:cNvPr id="6821696" name="Line 12">
          <a:extLst>
            <a:ext uri="{FF2B5EF4-FFF2-40B4-BE49-F238E27FC236}">
              <a16:creationId xmlns:a16="http://schemas.microsoft.com/office/drawing/2014/main" xmlns="" id="{00000000-0008-0000-0900-000040176800}"/>
            </a:ext>
          </a:extLst>
        </xdr:cNvPr>
        <xdr:cNvSpPr>
          <a:spLocks noChangeShapeType="1"/>
        </xdr:cNvSpPr>
      </xdr:nvSpPr>
      <xdr:spPr bwMode="auto">
        <a:xfrm>
          <a:off x="3638550" y="2743200"/>
          <a:ext cx="438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394939</xdr:colOff>
      <xdr:row>10</xdr:row>
      <xdr:rowOff>102218</xdr:rowOff>
    </xdr:from>
    <xdr:to>
      <xdr:col>4</xdr:col>
      <xdr:colOff>948418</xdr:colOff>
      <xdr:row>10</xdr:row>
      <xdr:rowOff>103413</xdr:rowOff>
    </xdr:to>
    <xdr:sp macro="" textlink="">
      <xdr:nvSpPr>
        <xdr:cNvPr id="6821697" name="Line 17">
          <a:extLst>
            <a:ext uri="{FF2B5EF4-FFF2-40B4-BE49-F238E27FC236}">
              <a16:creationId xmlns:a16="http://schemas.microsoft.com/office/drawing/2014/main" xmlns="" id="{00000000-0008-0000-0900-000041176800}"/>
            </a:ext>
          </a:extLst>
        </xdr:cNvPr>
        <xdr:cNvSpPr>
          <a:spLocks noChangeShapeType="1"/>
        </xdr:cNvSpPr>
      </xdr:nvSpPr>
      <xdr:spPr bwMode="auto">
        <a:xfrm>
          <a:off x="1988634" y="1514706"/>
          <a:ext cx="553479" cy="119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6</xdr:row>
      <xdr:rowOff>85725</xdr:rowOff>
    </xdr:from>
    <xdr:to>
      <xdr:col>5</xdr:col>
      <xdr:colOff>19050</xdr:colOff>
      <xdr:row>6</xdr:row>
      <xdr:rowOff>85725</xdr:rowOff>
    </xdr:to>
    <xdr:sp macro="" textlink="">
      <xdr:nvSpPr>
        <xdr:cNvPr id="6821698" name="Line 18">
          <a:extLst>
            <a:ext uri="{FF2B5EF4-FFF2-40B4-BE49-F238E27FC236}">
              <a16:creationId xmlns:a16="http://schemas.microsoft.com/office/drawing/2014/main" xmlns="" id="{00000000-0008-0000-0900-000042176800}"/>
            </a:ext>
          </a:extLst>
        </xdr:cNvPr>
        <xdr:cNvSpPr>
          <a:spLocks noChangeShapeType="1"/>
        </xdr:cNvSpPr>
      </xdr:nvSpPr>
      <xdr:spPr bwMode="auto">
        <a:xfrm flipV="1">
          <a:off x="1600200" y="2286000"/>
          <a:ext cx="990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494488</xdr:colOff>
      <xdr:row>6</xdr:row>
      <xdr:rowOff>81063</xdr:rowOff>
    </xdr:from>
    <xdr:to>
      <xdr:col>4</xdr:col>
      <xdr:colOff>4052</xdr:colOff>
      <xdr:row>12</xdr:row>
      <xdr:rowOff>104775</xdr:rowOff>
    </xdr:to>
    <xdr:sp macro="" textlink="">
      <xdr:nvSpPr>
        <xdr:cNvPr id="6821699" name="Line 19">
          <a:extLst>
            <a:ext uri="{FF2B5EF4-FFF2-40B4-BE49-F238E27FC236}">
              <a16:creationId xmlns:a16="http://schemas.microsoft.com/office/drawing/2014/main" xmlns="" id="{00000000-0008-0000-0900-000043176800}"/>
            </a:ext>
          </a:extLst>
        </xdr:cNvPr>
        <xdr:cNvSpPr>
          <a:spLocks noChangeShapeType="1"/>
        </xdr:cNvSpPr>
      </xdr:nvSpPr>
      <xdr:spPr bwMode="auto">
        <a:xfrm flipH="1">
          <a:off x="1588850" y="834957"/>
          <a:ext cx="4053" cy="100863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12</xdr:row>
      <xdr:rowOff>104775</xdr:rowOff>
    </xdr:from>
    <xdr:to>
      <xdr:col>4</xdr:col>
      <xdr:colOff>371475</xdr:colOff>
      <xdr:row>12</xdr:row>
      <xdr:rowOff>104775</xdr:rowOff>
    </xdr:to>
    <xdr:sp macro="" textlink="">
      <xdr:nvSpPr>
        <xdr:cNvPr id="6821700" name="Line 20">
          <a:extLst>
            <a:ext uri="{FF2B5EF4-FFF2-40B4-BE49-F238E27FC236}">
              <a16:creationId xmlns:a16="http://schemas.microsoft.com/office/drawing/2014/main" xmlns="" id="{00000000-0008-0000-0900-000044176800}"/>
            </a:ext>
          </a:extLst>
        </xdr:cNvPr>
        <xdr:cNvSpPr>
          <a:spLocks noChangeShapeType="1"/>
        </xdr:cNvSpPr>
      </xdr:nvSpPr>
      <xdr:spPr bwMode="auto">
        <a:xfrm>
          <a:off x="1590675" y="3267075"/>
          <a:ext cx="37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9</xdr:row>
      <xdr:rowOff>47625</xdr:rowOff>
    </xdr:from>
    <xdr:to>
      <xdr:col>4</xdr:col>
      <xdr:colOff>0</xdr:colOff>
      <xdr:row>9</xdr:row>
      <xdr:rowOff>47625</xdr:rowOff>
    </xdr:to>
    <xdr:sp macro="" textlink="">
      <xdr:nvSpPr>
        <xdr:cNvPr id="6821701" name="Line 21">
          <a:extLst>
            <a:ext uri="{FF2B5EF4-FFF2-40B4-BE49-F238E27FC236}">
              <a16:creationId xmlns:a16="http://schemas.microsoft.com/office/drawing/2014/main" xmlns="" id="{00000000-0008-0000-0900-000045176800}"/>
            </a:ext>
          </a:extLst>
        </xdr:cNvPr>
        <xdr:cNvSpPr>
          <a:spLocks noChangeShapeType="1"/>
        </xdr:cNvSpPr>
      </xdr:nvSpPr>
      <xdr:spPr bwMode="auto">
        <a:xfrm>
          <a:off x="1095375" y="272415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30</xdr:row>
      <xdr:rowOff>57150</xdr:rowOff>
    </xdr:from>
    <xdr:to>
      <xdr:col>5</xdr:col>
      <xdr:colOff>0</xdr:colOff>
      <xdr:row>30</xdr:row>
      <xdr:rowOff>57150</xdr:rowOff>
    </xdr:to>
    <xdr:sp macro="" textlink="">
      <xdr:nvSpPr>
        <xdr:cNvPr id="6821702" name="Line 34">
          <a:extLst>
            <a:ext uri="{FF2B5EF4-FFF2-40B4-BE49-F238E27FC236}">
              <a16:creationId xmlns:a16="http://schemas.microsoft.com/office/drawing/2014/main" xmlns="" id="{00000000-0008-0000-0900-000046176800}"/>
            </a:ext>
          </a:extLst>
        </xdr:cNvPr>
        <xdr:cNvSpPr>
          <a:spLocks noChangeShapeType="1"/>
        </xdr:cNvSpPr>
      </xdr:nvSpPr>
      <xdr:spPr bwMode="auto">
        <a:xfrm flipV="1">
          <a:off x="1095375" y="6153150"/>
          <a:ext cx="1476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40</xdr:row>
      <xdr:rowOff>47625</xdr:rowOff>
    </xdr:from>
    <xdr:to>
      <xdr:col>4</xdr:col>
      <xdr:colOff>971550</xdr:colOff>
      <xdr:row>40</xdr:row>
      <xdr:rowOff>47625</xdr:rowOff>
    </xdr:to>
    <xdr:sp macro="" textlink="">
      <xdr:nvSpPr>
        <xdr:cNvPr id="6821703" name="Line 35">
          <a:extLst>
            <a:ext uri="{FF2B5EF4-FFF2-40B4-BE49-F238E27FC236}">
              <a16:creationId xmlns:a16="http://schemas.microsoft.com/office/drawing/2014/main" xmlns="" id="{00000000-0008-0000-0900-000047176800}"/>
            </a:ext>
          </a:extLst>
        </xdr:cNvPr>
        <xdr:cNvSpPr>
          <a:spLocks noChangeShapeType="1"/>
        </xdr:cNvSpPr>
      </xdr:nvSpPr>
      <xdr:spPr bwMode="auto">
        <a:xfrm>
          <a:off x="1104900" y="7762875"/>
          <a:ext cx="1457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50</xdr:row>
      <xdr:rowOff>104775</xdr:rowOff>
    </xdr:from>
    <xdr:to>
      <xdr:col>4</xdr:col>
      <xdr:colOff>990600</xdr:colOff>
      <xdr:row>50</xdr:row>
      <xdr:rowOff>104775</xdr:rowOff>
    </xdr:to>
    <xdr:sp macro="" textlink="">
      <xdr:nvSpPr>
        <xdr:cNvPr id="6821704" name="Line 36">
          <a:extLst>
            <a:ext uri="{FF2B5EF4-FFF2-40B4-BE49-F238E27FC236}">
              <a16:creationId xmlns:a16="http://schemas.microsoft.com/office/drawing/2014/main" xmlns="" id="{00000000-0008-0000-0900-000048176800}"/>
            </a:ext>
          </a:extLst>
        </xdr:cNvPr>
        <xdr:cNvSpPr>
          <a:spLocks noChangeShapeType="1"/>
        </xdr:cNvSpPr>
      </xdr:nvSpPr>
      <xdr:spPr bwMode="auto">
        <a:xfrm>
          <a:off x="1104900" y="9439275"/>
          <a:ext cx="146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752475</xdr:colOff>
      <xdr:row>20</xdr:row>
      <xdr:rowOff>100517</xdr:rowOff>
    </xdr:from>
    <xdr:to>
      <xdr:col>6</xdr:col>
      <xdr:colOff>299937</xdr:colOff>
      <xdr:row>20</xdr:row>
      <xdr:rowOff>101328</xdr:rowOff>
    </xdr:to>
    <xdr:sp macro="" textlink="">
      <xdr:nvSpPr>
        <xdr:cNvPr id="6821705" name="Line 42">
          <a:extLst>
            <a:ext uri="{FF2B5EF4-FFF2-40B4-BE49-F238E27FC236}">
              <a16:creationId xmlns:a16="http://schemas.microsoft.com/office/drawing/2014/main" xmlns="" id="{00000000-0008-0000-0900-000049176800}"/>
            </a:ext>
          </a:extLst>
        </xdr:cNvPr>
        <xdr:cNvSpPr>
          <a:spLocks noChangeShapeType="1"/>
        </xdr:cNvSpPr>
      </xdr:nvSpPr>
      <xdr:spPr bwMode="auto">
        <a:xfrm>
          <a:off x="3322198" y="3120145"/>
          <a:ext cx="309462" cy="81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19</xdr:row>
      <xdr:rowOff>66675</xdr:rowOff>
    </xdr:from>
    <xdr:to>
      <xdr:col>6</xdr:col>
      <xdr:colOff>308043</xdr:colOff>
      <xdr:row>24</xdr:row>
      <xdr:rowOff>85117</xdr:rowOff>
    </xdr:to>
    <xdr:sp macro="" textlink="">
      <xdr:nvSpPr>
        <xdr:cNvPr id="6821706" name="Line 43">
          <a:extLst>
            <a:ext uri="{FF2B5EF4-FFF2-40B4-BE49-F238E27FC236}">
              <a16:creationId xmlns:a16="http://schemas.microsoft.com/office/drawing/2014/main" xmlns="" id="{00000000-0008-0000-0900-00004A176800}"/>
            </a:ext>
          </a:extLst>
        </xdr:cNvPr>
        <xdr:cNvSpPr>
          <a:spLocks noChangeShapeType="1"/>
        </xdr:cNvSpPr>
      </xdr:nvSpPr>
      <xdr:spPr bwMode="auto">
        <a:xfrm>
          <a:off x="3636523" y="2924175"/>
          <a:ext cx="3243" cy="8655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24</xdr:row>
      <xdr:rowOff>95250</xdr:rowOff>
    </xdr:from>
    <xdr:to>
      <xdr:col>7</xdr:col>
      <xdr:colOff>9526</xdr:colOff>
      <xdr:row>24</xdr:row>
      <xdr:rowOff>95250</xdr:rowOff>
    </xdr:to>
    <xdr:sp macro="" textlink="">
      <xdr:nvSpPr>
        <xdr:cNvPr id="6821707" name="Line 44">
          <a:extLst>
            <a:ext uri="{FF2B5EF4-FFF2-40B4-BE49-F238E27FC236}">
              <a16:creationId xmlns:a16="http://schemas.microsoft.com/office/drawing/2014/main" xmlns="" id="{00000000-0008-0000-0900-00004B176800}"/>
            </a:ext>
          </a:extLst>
        </xdr:cNvPr>
        <xdr:cNvSpPr>
          <a:spLocks noChangeShapeType="1"/>
        </xdr:cNvSpPr>
      </xdr:nvSpPr>
      <xdr:spPr bwMode="auto">
        <a:xfrm>
          <a:off x="3642360" y="3821430"/>
          <a:ext cx="46672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19</xdr:row>
      <xdr:rowOff>66675</xdr:rowOff>
    </xdr:from>
    <xdr:to>
      <xdr:col>6</xdr:col>
      <xdr:colOff>742950</xdr:colOff>
      <xdr:row>19</xdr:row>
      <xdr:rowOff>66675</xdr:rowOff>
    </xdr:to>
    <xdr:sp macro="" textlink="">
      <xdr:nvSpPr>
        <xdr:cNvPr id="6821708" name="Line 45">
          <a:extLst>
            <a:ext uri="{FF2B5EF4-FFF2-40B4-BE49-F238E27FC236}">
              <a16:creationId xmlns:a16="http://schemas.microsoft.com/office/drawing/2014/main" xmlns="" id="{00000000-0008-0000-0900-00004C176800}"/>
            </a:ext>
          </a:extLst>
        </xdr:cNvPr>
        <xdr:cNvSpPr>
          <a:spLocks noChangeShapeType="1"/>
        </xdr:cNvSpPr>
      </xdr:nvSpPr>
      <xdr:spPr bwMode="auto">
        <a:xfrm>
          <a:off x="3638550" y="4343400"/>
          <a:ext cx="438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30</xdr:row>
      <xdr:rowOff>76200</xdr:rowOff>
    </xdr:from>
    <xdr:to>
      <xdr:col>6</xdr:col>
      <xdr:colOff>295275</xdr:colOff>
      <xdr:row>30</xdr:row>
      <xdr:rowOff>76200</xdr:rowOff>
    </xdr:to>
    <xdr:sp macro="" textlink="">
      <xdr:nvSpPr>
        <xdr:cNvPr id="6821709" name="Line 46">
          <a:extLst>
            <a:ext uri="{FF2B5EF4-FFF2-40B4-BE49-F238E27FC236}">
              <a16:creationId xmlns:a16="http://schemas.microsoft.com/office/drawing/2014/main" xmlns="" id="{00000000-0008-0000-0900-00004D176800}"/>
            </a:ext>
          </a:extLst>
        </xdr:cNvPr>
        <xdr:cNvSpPr>
          <a:spLocks noChangeShapeType="1"/>
        </xdr:cNvSpPr>
      </xdr:nvSpPr>
      <xdr:spPr bwMode="auto">
        <a:xfrm>
          <a:off x="3333750" y="6172200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295275</xdr:colOff>
      <xdr:row>29</xdr:row>
      <xdr:rowOff>66675</xdr:rowOff>
    </xdr:from>
    <xdr:to>
      <xdr:col>6</xdr:col>
      <xdr:colOff>304800</xdr:colOff>
      <xdr:row>34</xdr:row>
      <xdr:rowOff>104775</xdr:rowOff>
    </xdr:to>
    <xdr:sp macro="" textlink="">
      <xdr:nvSpPr>
        <xdr:cNvPr id="6821710" name="Line 47">
          <a:extLst>
            <a:ext uri="{FF2B5EF4-FFF2-40B4-BE49-F238E27FC236}">
              <a16:creationId xmlns:a16="http://schemas.microsoft.com/office/drawing/2014/main" xmlns="" id="{00000000-0008-0000-0900-00004E176800}"/>
            </a:ext>
          </a:extLst>
        </xdr:cNvPr>
        <xdr:cNvSpPr>
          <a:spLocks noChangeShapeType="1"/>
        </xdr:cNvSpPr>
      </xdr:nvSpPr>
      <xdr:spPr bwMode="auto">
        <a:xfrm flipH="1">
          <a:off x="3629025" y="6000750"/>
          <a:ext cx="9525" cy="847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34</xdr:row>
      <xdr:rowOff>95250</xdr:rowOff>
    </xdr:from>
    <xdr:to>
      <xdr:col>7</xdr:col>
      <xdr:colOff>9525</xdr:colOff>
      <xdr:row>34</xdr:row>
      <xdr:rowOff>95250</xdr:rowOff>
    </xdr:to>
    <xdr:sp macro="" textlink="">
      <xdr:nvSpPr>
        <xdr:cNvPr id="6821711" name="Line 48">
          <a:extLst>
            <a:ext uri="{FF2B5EF4-FFF2-40B4-BE49-F238E27FC236}">
              <a16:creationId xmlns:a16="http://schemas.microsoft.com/office/drawing/2014/main" xmlns="" id="{00000000-0008-0000-0900-00004F176800}"/>
            </a:ext>
          </a:extLst>
        </xdr:cNvPr>
        <xdr:cNvSpPr>
          <a:spLocks noChangeShapeType="1"/>
        </xdr:cNvSpPr>
      </xdr:nvSpPr>
      <xdr:spPr bwMode="auto">
        <a:xfrm>
          <a:off x="3638550" y="6838950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29</xdr:row>
      <xdr:rowOff>66675</xdr:rowOff>
    </xdr:from>
    <xdr:to>
      <xdr:col>6</xdr:col>
      <xdr:colOff>742950</xdr:colOff>
      <xdr:row>29</xdr:row>
      <xdr:rowOff>66675</xdr:rowOff>
    </xdr:to>
    <xdr:sp macro="" textlink="">
      <xdr:nvSpPr>
        <xdr:cNvPr id="6821712" name="Line 49">
          <a:extLst>
            <a:ext uri="{FF2B5EF4-FFF2-40B4-BE49-F238E27FC236}">
              <a16:creationId xmlns:a16="http://schemas.microsoft.com/office/drawing/2014/main" xmlns="" id="{00000000-0008-0000-0900-000050176800}"/>
            </a:ext>
          </a:extLst>
        </xdr:cNvPr>
        <xdr:cNvSpPr>
          <a:spLocks noChangeShapeType="1"/>
        </xdr:cNvSpPr>
      </xdr:nvSpPr>
      <xdr:spPr bwMode="auto">
        <a:xfrm>
          <a:off x="3638550" y="6000750"/>
          <a:ext cx="438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40</xdr:row>
      <xdr:rowOff>76200</xdr:rowOff>
    </xdr:from>
    <xdr:to>
      <xdr:col>6</xdr:col>
      <xdr:colOff>295275</xdr:colOff>
      <xdr:row>40</xdr:row>
      <xdr:rowOff>76200</xdr:rowOff>
    </xdr:to>
    <xdr:sp macro="" textlink="">
      <xdr:nvSpPr>
        <xdr:cNvPr id="6821713" name="Line 50">
          <a:extLst>
            <a:ext uri="{FF2B5EF4-FFF2-40B4-BE49-F238E27FC236}">
              <a16:creationId xmlns:a16="http://schemas.microsoft.com/office/drawing/2014/main" xmlns="" id="{00000000-0008-0000-0900-000051176800}"/>
            </a:ext>
          </a:extLst>
        </xdr:cNvPr>
        <xdr:cNvSpPr>
          <a:spLocks noChangeShapeType="1"/>
        </xdr:cNvSpPr>
      </xdr:nvSpPr>
      <xdr:spPr bwMode="auto">
        <a:xfrm>
          <a:off x="3333750" y="7791450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39</xdr:row>
      <xdr:rowOff>66675</xdr:rowOff>
    </xdr:from>
    <xdr:to>
      <xdr:col>6</xdr:col>
      <xdr:colOff>304800</xdr:colOff>
      <xdr:row>44</xdr:row>
      <xdr:rowOff>104775</xdr:rowOff>
    </xdr:to>
    <xdr:sp macro="" textlink="">
      <xdr:nvSpPr>
        <xdr:cNvPr id="6821714" name="Line 51">
          <a:extLst>
            <a:ext uri="{FF2B5EF4-FFF2-40B4-BE49-F238E27FC236}">
              <a16:creationId xmlns:a16="http://schemas.microsoft.com/office/drawing/2014/main" xmlns="" id="{00000000-0008-0000-0900-000052176800}"/>
            </a:ext>
          </a:extLst>
        </xdr:cNvPr>
        <xdr:cNvSpPr>
          <a:spLocks noChangeShapeType="1"/>
        </xdr:cNvSpPr>
      </xdr:nvSpPr>
      <xdr:spPr bwMode="auto">
        <a:xfrm flipH="1">
          <a:off x="3642360" y="6269355"/>
          <a:ext cx="0" cy="857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44</xdr:row>
      <xdr:rowOff>95250</xdr:rowOff>
    </xdr:from>
    <xdr:to>
      <xdr:col>7</xdr:col>
      <xdr:colOff>9525</xdr:colOff>
      <xdr:row>44</xdr:row>
      <xdr:rowOff>95250</xdr:rowOff>
    </xdr:to>
    <xdr:sp macro="" textlink="">
      <xdr:nvSpPr>
        <xdr:cNvPr id="6821715" name="Line 52">
          <a:extLst>
            <a:ext uri="{FF2B5EF4-FFF2-40B4-BE49-F238E27FC236}">
              <a16:creationId xmlns:a16="http://schemas.microsoft.com/office/drawing/2014/main" xmlns="" id="{00000000-0008-0000-0900-000053176800}"/>
            </a:ext>
          </a:extLst>
        </xdr:cNvPr>
        <xdr:cNvSpPr>
          <a:spLocks noChangeShapeType="1"/>
        </xdr:cNvSpPr>
      </xdr:nvSpPr>
      <xdr:spPr bwMode="auto">
        <a:xfrm>
          <a:off x="3638550" y="8458200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39</xdr:row>
      <xdr:rowOff>66675</xdr:rowOff>
    </xdr:from>
    <xdr:to>
      <xdr:col>6</xdr:col>
      <xdr:colOff>742950</xdr:colOff>
      <xdr:row>39</xdr:row>
      <xdr:rowOff>66675</xdr:rowOff>
    </xdr:to>
    <xdr:sp macro="" textlink="">
      <xdr:nvSpPr>
        <xdr:cNvPr id="6821716" name="Line 53">
          <a:extLst>
            <a:ext uri="{FF2B5EF4-FFF2-40B4-BE49-F238E27FC236}">
              <a16:creationId xmlns:a16="http://schemas.microsoft.com/office/drawing/2014/main" xmlns="" id="{00000000-0008-0000-0900-000054176800}"/>
            </a:ext>
          </a:extLst>
        </xdr:cNvPr>
        <xdr:cNvSpPr>
          <a:spLocks noChangeShapeType="1"/>
        </xdr:cNvSpPr>
      </xdr:nvSpPr>
      <xdr:spPr bwMode="auto">
        <a:xfrm>
          <a:off x="3638550" y="7620000"/>
          <a:ext cx="438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50</xdr:row>
      <xdr:rowOff>76200</xdr:rowOff>
    </xdr:from>
    <xdr:to>
      <xdr:col>6</xdr:col>
      <xdr:colOff>295275</xdr:colOff>
      <xdr:row>50</xdr:row>
      <xdr:rowOff>76200</xdr:rowOff>
    </xdr:to>
    <xdr:sp macro="" textlink="">
      <xdr:nvSpPr>
        <xdr:cNvPr id="6821717" name="Line 54">
          <a:extLst>
            <a:ext uri="{FF2B5EF4-FFF2-40B4-BE49-F238E27FC236}">
              <a16:creationId xmlns:a16="http://schemas.microsoft.com/office/drawing/2014/main" xmlns="" id="{00000000-0008-0000-0900-000055176800}"/>
            </a:ext>
          </a:extLst>
        </xdr:cNvPr>
        <xdr:cNvSpPr>
          <a:spLocks noChangeShapeType="1"/>
        </xdr:cNvSpPr>
      </xdr:nvSpPr>
      <xdr:spPr bwMode="auto">
        <a:xfrm>
          <a:off x="3333750" y="9410700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49</xdr:row>
      <xdr:rowOff>62622</xdr:rowOff>
    </xdr:from>
    <xdr:to>
      <xdr:col>6</xdr:col>
      <xdr:colOff>304800</xdr:colOff>
      <xdr:row>54</xdr:row>
      <xdr:rowOff>100722</xdr:rowOff>
    </xdr:to>
    <xdr:sp macro="" textlink="">
      <xdr:nvSpPr>
        <xdr:cNvPr id="6821718" name="Line 55">
          <a:extLst>
            <a:ext uri="{FF2B5EF4-FFF2-40B4-BE49-F238E27FC236}">
              <a16:creationId xmlns:a16="http://schemas.microsoft.com/office/drawing/2014/main" xmlns="" id="{00000000-0008-0000-0900-000056176800}"/>
            </a:ext>
          </a:extLst>
        </xdr:cNvPr>
        <xdr:cNvSpPr>
          <a:spLocks noChangeShapeType="1"/>
        </xdr:cNvSpPr>
      </xdr:nvSpPr>
      <xdr:spPr bwMode="auto">
        <a:xfrm flipH="1">
          <a:off x="3636523" y="7840696"/>
          <a:ext cx="0" cy="8406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54</xdr:row>
      <xdr:rowOff>95250</xdr:rowOff>
    </xdr:from>
    <xdr:to>
      <xdr:col>7</xdr:col>
      <xdr:colOff>9525</xdr:colOff>
      <xdr:row>54</xdr:row>
      <xdr:rowOff>95250</xdr:rowOff>
    </xdr:to>
    <xdr:sp macro="" textlink="">
      <xdr:nvSpPr>
        <xdr:cNvPr id="6821719" name="Line 56">
          <a:extLst>
            <a:ext uri="{FF2B5EF4-FFF2-40B4-BE49-F238E27FC236}">
              <a16:creationId xmlns:a16="http://schemas.microsoft.com/office/drawing/2014/main" xmlns="" id="{00000000-0008-0000-0900-000057176800}"/>
            </a:ext>
          </a:extLst>
        </xdr:cNvPr>
        <xdr:cNvSpPr>
          <a:spLocks noChangeShapeType="1"/>
        </xdr:cNvSpPr>
      </xdr:nvSpPr>
      <xdr:spPr bwMode="auto">
        <a:xfrm>
          <a:off x="3638550" y="1006792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49</xdr:row>
      <xdr:rowOff>66675</xdr:rowOff>
    </xdr:from>
    <xdr:to>
      <xdr:col>6</xdr:col>
      <xdr:colOff>742950</xdr:colOff>
      <xdr:row>49</xdr:row>
      <xdr:rowOff>66675</xdr:rowOff>
    </xdr:to>
    <xdr:sp macro="" textlink="">
      <xdr:nvSpPr>
        <xdr:cNvPr id="6821720" name="Line 57">
          <a:extLst>
            <a:ext uri="{FF2B5EF4-FFF2-40B4-BE49-F238E27FC236}">
              <a16:creationId xmlns:a16="http://schemas.microsoft.com/office/drawing/2014/main" xmlns="" id="{00000000-0008-0000-0900-000058176800}"/>
            </a:ext>
          </a:extLst>
        </xdr:cNvPr>
        <xdr:cNvSpPr>
          <a:spLocks noChangeShapeType="1"/>
        </xdr:cNvSpPr>
      </xdr:nvSpPr>
      <xdr:spPr bwMode="auto">
        <a:xfrm>
          <a:off x="3638550" y="9239250"/>
          <a:ext cx="438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114300</xdr:colOff>
      <xdr:row>0</xdr:row>
      <xdr:rowOff>180975</xdr:rowOff>
    </xdr:from>
    <xdr:to>
      <xdr:col>13</xdr:col>
      <xdr:colOff>390525</xdr:colOff>
      <xdr:row>0</xdr:row>
      <xdr:rowOff>371475</xdr:rowOff>
    </xdr:to>
    <xdr:sp macro="" textlink="">
      <xdr:nvSpPr>
        <xdr:cNvPr id="6821721" name="AutoShape 58">
          <a:extLst>
            <a:ext uri="{FF2B5EF4-FFF2-40B4-BE49-F238E27FC236}">
              <a16:creationId xmlns:a16="http://schemas.microsoft.com/office/drawing/2014/main" xmlns="" id="{00000000-0008-0000-0900-000059176800}"/>
            </a:ext>
          </a:extLst>
        </xdr:cNvPr>
        <xdr:cNvSpPr>
          <a:spLocks noChangeArrowheads="1"/>
        </xdr:cNvSpPr>
      </xdr:nvSpPr>
      <xdr:spPr bwMode="auto">
        <a:xfrm>
          <a:off x="7877175" y="180975"/>
          <a:ext cx="276225" cy="95250"/>
        </a:xfrm>
        <a:prstGeom prst="rightArrow">
          <a:avLst>
            <a:gd name="adj1" fmla="val 50000"/>
            <a:gd name="adj2" fmla="val 7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29</xdr:col>
      <xdr:colOff>0</xdr:colOff>
      <xdr:row>74</xdr:row>
      <xdr:rowOff>114300</xdr:rowOff>
    </xdr:from>
    <xdr:to>
      <xdr:col>29</xdr:col>
      <xdr:colOff>0</xdr:colOff>
      <xdr:row>101</xdr:row>
      <xdr:rowOff>123825</xdr:rowOff>
    </xdr:to>
    <xdr:graphicFrame macro="">
      <xdr:nvGraphicFramePr>
        <xdr:cNvPr id="6821722" name="Chart 63">
          <a:extLst>
            <a:ext uri="{FF2B5EF4-FFF2-40B4-BE49-F238E27FC236}">
              <a16:creationId xmlns:a16="http://schemas.microsoft.com/office/drawing/2014/main" xmlns="" id="{00000000-0008-0000-0900-00005A176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60</xdr:row>
          <xdr:rowOff>0</xdr:rowOff>
        </xdr:from>
        <xdr:to>
          <xdr:col>26</xdr:col>
          <xdr:colOff>19050</xdr:colOff>
          <xdr:row>62</xdr:row>
          <xdr:rowOff>142875</xdr:rowOff>
        </xdr:to>
        <xdr:sp macro="" textlink="">
          <xdr:nvSpPr>
            <xdr:cNvPr id="2115" name="btnCallFatalities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27</xdr:row>
      <xdr:rowOff>85724</xdr:rowOff>
    </xdr:from>
    <xdr:to>
      <xdr:col>5</xdr:col>
      <xdr:colOff>19051</xdr:colOff>
      <xdr:row>27</xdr:row>
      <xdr:rowOff>87177</xdr:rowOff>
    </xdr:to>
    <xdr:sp macro="" textlink="">
      <xdr:nvSpPr>
        <xdr:cNvPr id="6821723" name="Line 18">
          <a:extLst>
            <a:ext uri="{FF2B5EF4-FFF2-40B4-BE49-F238E27FC236}">
              <a16:creationId xmlns:a16="http://schemas.microsoft.com/office/drawing/2014/main" xmlns="" id="{00000000-0008-0000-0900-00005B176800}"/>
            </a:ext>
          </a:extLst>
        </xdr:cNvPr>
        <xdr:cNvSpPr>
          <a:spLocks noChangeShapeType="1"/>
        </xdr:cNvSpPr>
      </xdr:nvSpPr>
      <xdr:spPr bwMode="auto">
        <a:xfrm flipV="1">
          <a:off x="1588577" y="4257351"/>
          <a:ext cx="1000610" cy="1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492369</xdr:colOff>
      <xdr:row>27</xdr:row>
      <xdr:rowOff>90407</xdr:rowOff>
    </xdr:from>
    <xdr:to>
      <xdr:col>3</xdr:col>
      <xdr:colOff>494008</xdr:colOff>
      <xdr:row>30</xdr:row>
      <xdr:rowOff>52754</xdr:rowOff>
    </xdr:to>
    <xdr:cxnSp macro="">
      <xdr:nvCxnSpPr>
        <xdr:cNvPr id="3" name="직선 연결선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CxnSpPr/>
      </xdr:nvCxnSpPr>
      <xdr:spPr>
        <a:xfrm flipH="1">
          <a:off x="1588477" y="4263822"/>
          <a:ext cx="1639" cy="445924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492369</xdr:colOff>
      <xdr:row>30</xdr:row>
      <xdr:rowOff>137746</xdr:rowOff>
    </xdr:from>
    <xdr:to>
      <xdr:col>4</xdr:col>
      <xdr:colOff>1</xdr:colOff>
      <xdr:row>40</xdr:row>
      <xdr:rowOff>47625</xdr:rowOff>
    </xdr:to>
    <xdr:cxnSp macro="">
      <xdr:nvCxnSpPr>
        <xdr:cNvPr id="47" name="직선 연결선 46">
          <a:extLst>
            <a:ext uri="{FF2B5EF4-FFF2-40B4-BE49-F238E27FC236}">
              <a16:creationId xmlns:a16="http://schemas.microsoft.com/office/drawing/2014/main" xmlns="" id="{00000000-0008-0000-0900-00002F000000}"/>
            </a:ext>
          </a:extLst>
        </xdr:cNvPr>
        <xdr:cNvCxnSpPr>
          <a:stCxn id="6821728" idx="0"/>
        </xdr:cNvCxnSpPr>
      </xdr:nvCxnSpPr>
      <xdr:spPr>
        <a:xfrm>
          <a:off x="1588477" y="4794738"/>
          <a:ext cx="2932" cy="1542318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492369</xdr:colOff>
      <xdr:row>30</xdr:row>
      <xdr:rowOff>137746</xdr:rowOff>
    </xdr:from>
    <xdr:to>
      <xdr:col>4</xdr:col>
      <xdr:colOff>981807</xdr:colOff>
      <xdr:row>30</xdr:row>
      <xdr:rowOff>142875</xdr:rowOff>
    </xdr:to>
    <xdr:sp macro="" textlink="">
      <xdr:nvSpPr>
        <xdr:cNvPr id="6821728" name="Line 18">
          <a:extLst>
            <a:ext uri="{FF2B5EF4-FFF2-40B4-BE49-F238E27FC236}">
              <a16:creationId xmlns:a16="http://schemas.microsoft.com/office/drawing/2014/main" xmlns="" id="{00000000-0008-0000-0900-000060176800}"/>
            </a:ext>
          </a:extLst>
        </xdr:cNvPr>
        <xdr:cNvSpPr>
          <a:spLocks noChangeShapeType="1"/>
        </xdr:cNvSpPr>
      </xdr:nvSpPr>
      <xdr:spPr bwMode="auto">
        <a:xfrm>
          <a:off x="1588477" y="4794738"/>
          <a:ext cx="984738" cy="51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40</xdr:row>
      <xdr:rowOff>114299</xdr:rowOff>
    </xdr:from>
    <xdr:to>
      <xdr:col>4</xdr:col>
      <xdr:colOff>1467</xdr:colOff>
      <xdr:row>50</xdr:row>
      <xdr:rowOff>108438</xdr:rowOff>
    </xdr:to>
    <xdr:cxnSp macro="">
      <xdr:nvCxnSpPr>
        <xdr:cNvPr id="52" name="직선 연결선 51">
          <a:extLst>
            <a:ext uri="{FF2B5EF4-FFF2-40B4-BE49-F238E27FC236}">
              <a16:creationId xmlns:a16="http://schemas.microsoft.com/office/drawing/2014/main" xmlns="" id="{00000000-0008-0000-0900-000034000000}"/>
            </a:ext>
          </a:extLst>
        </xdr:cNvPr>
        <xdr:cNvCxnSpPr>
          <a:stCxn id="6821730" idx="0"/>
        </xdr:cNvCxnSpPr>
      </xdr:nvCxnSpPr>
      <xdr:spPr>
        <a:xfrm flipH="1">
          <a:off x="1591408" y="6403730"/>
          <a:ext cx="1467" cy="160606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1467</xdr:colOff>
      <xdr:row>40</xdr:row>
      <xdr:rowOff>114299</xdr:rowOff>
    </xdr:from>
    <xdr:to>
      <xdr:col>4</xdr:col>
      <xdr:colOff>970084</xdr:colOff>
      <xdr:row>40</xdr:row>
      <xdr:rowOff>120160</xdr:rowOff>
    </xdr:to>
    <xdr:sp macro="" textlink="">
      <xdr:nvSpPr>
        <xdr:cNvPr id="6821730" name="Line 18">
          <a:extLst>
            <a:ext uri="{FF2B5EF4-FFF2-40B4-BE49-F238E27FC236}">
              <a16:creationId xmlns:a16="http://schemas.microsoft.com/office/drawing/2014/main" xmlns="" id="{00000000-0008-0000-0900-000062176800}"/>
            </a:ext>
          </a:extLst>
        </xdr:cNvPr>
        <xdr:cNvSpPr>
          <a:spLocks noChangeShapeType="1"/>
        </xdr:cNvSpPr>
      </xdr:nvSpPr>
      <xdr:spPr bwMode="auto">
        <a:xfrm>
          <a:off x="1592875" y="6403730"/>
          <a:ext cx="968617" cy="5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0.33424</cdr:x>
      <cdr:y>0.41459</cdr:y>
    </cdr:from>
    <cdr:to>
      <cdr:x>0.76626</cdr:x>
      <cdr:y>0.72645</cdr:y>
    </cdr:to>
    <cdr:sp macro="" textlink="">
      <cdr:nvSpPr>
        <cdr:cNvPr id="7169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48315" y="1653858"/>
          <a:ext cx="316854" cy="124164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FF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ko-KR" altLang="en-US"/>
        </a:p>
      </cdr:txBody>
    </cdr:sp>
  </cdr:relSizeAnchor>
  <cdr:relSizeAnchor xmlns:cdr="http://schemas.openxmlformats.org/drawingml/2006/chartDrawing">
    <cdr:from>
      <cdr:x>0.33424</cdr:x>
      <cdr:y>0.63104</cdr:y>
    </cdr:from>
    <cdr:to>
      <cdr:x>0.76626</cdr:x>
      <cdr:y>0.93313</cdr:y>
    </cdr:to>
    <cdr:sp macro="" textlink="">
      <cdr:nvSpPr>
        <cdr:cNvPr id="7170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48315" y="2515622"/>
          <a:ext cx="316854" cy="1202779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FF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ko-KR" altLang="en-US"/>
        </a:p>
      </cdr:txBody>
    </cdr:sp>
  </cdr:relSizeAnchor>
  <cdr:relSizeAnchor xmlns:cdr="http://schemas.openxmlformats.org/drawingml/2006/chartDrawing">
    <cdr:from>
      <cdr:x>0</cdr:x>
      <cdr:y>0.14861</cdr:y>
    </cdr:from>
    <cdr:to>
      <cdr:x>1</cdr:x>
      <cdr:y>0.15915</cdr:y>
    </cdr:to>
    <cdr:sp macro="" textlink="">
      <cdr:nvSpPr>
        <cdr:cNvPr id="717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612916"/>
          <a:ext cx="253339" cy="434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50" b="0" i="0" u="none" strike="noStrike" baseline="0">
              <a:solidFill>
                <a:srgbClr val="000000"/>
              </a:solidFill>
              <a:latin typeface="돋움"/>
              <a:ea typeface="돋움"/>
            </a:rPr>
            <a:t>YangNam 7.45km - 250 m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1971675</xdr:colOff>
      <xdr:row>34</xdr:row>
      <xdr:rowOff>0</xdr:rowOff>
    </xdr:from>
    <xdr:to>
      <xdr:col>3</xdr:col>
      <xdr:colOff>0</xdr:colOff>
      <xdr:row>34</xdr:row>
      <xdr:rowOff>0</xdr:rowOff>
    </xdr:to>
    <xdr:sp macro="" textlink="">
      <xdr:nvSpPr>
        <xdr:cNvPr id="46008" name="AutoShape 1">
          <a:extLst>
            <a:ext uri="{FF2B5EF4-FFF2-40B4-BE49-F238E27FC236}">
              <a16:creationId xmlns:a16="http://schemas.microsoft.com/office/drawing/2014/main" xmlns="" id="{00000000-0008-0000-0A00-0000B8B30000}"/>
            </a:ext>
          </a:extLst>
        </xdr:cNvPr>
        <xdr:cNvSpPr>
          <a:spLocks noChangeArrowheads="1"/>
        </xdr:cNvSpPr>
      </xdr:nvSpPr>
      <xdr:spPr bwMode="auto">
        <a:xfrm>
          <a:off x="3533775" y="530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9523</xdr:colOff>
      <xdr:row>1</xdr:row>
      <xdr:rowOff>7842</xdr:rowOff>
    </xdr:from>
    <xdr:to>
      <xdr:col>32</xdr:col>
      <xdr:colOff>739587</xdr:colOff>
      <xdr:row>35</xdr:row>
      <xdr:rowOff>67233</xdr:rowOff>
    </xdr:to>
    <xdr:graphicFrame macro="">
      <xdr:nvGraphicFramePr>
        <xdr:cNvPr id="46009" name="Chart 3">
          <a:extLst>
            <a:ext uri="{FF2B5EF4-FFF2-40B4-BE49-F238E27FC236}">
              <a16:creationId xmlns:a16="http://schemas.microsoft.com/office/drawing/2014/main" xmlns="" id="{00000000-0008-0000-0A00-0000B9B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5</xdr:row>
          <xdr:rowOff>0</xdr:rowOff>
        </xdr:from>
        <xdr:to>
          <xdr:col>10</xdr:col>
          <xdr:colOff>1152525</xdr:colOff>
          <xdr:row>8</xdr:row>
          <xdr:rowOff>0</xdr:rowOff>
        </xdr:to>
        <xdr:sp macro="" textlink="">
          <xdr:nvSpPr>
            <xdr:cNvPr id="45330" name="btnCreateFNcurve" hidden="1">
              <a:extLst>
                <a:ext uri="{63B3BB69-23CF-44E3-9099-C40C66FF867C}">
                  <a14:compatExt spid="_x0000_s45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19050</xdr:rowOff>
        </xdr:from>
        <xdr:to>
          <xdr:col>10</xdr:col>
          <xdr:colOff>1152525</xdr:colOff>
          <xdr:row>5</xdr:row>
          <xdr:rowOff>0</xdr:rowOff>
        </xdr:to>
        <xdr:sp macro="" textlink="">
          <xdr:nvSpPr>
            <xdr:cNvPr id="45331" name="btnReSenario" hidden="1">
              <a:extLst>
                <a:ext uri="{63B3BB69-23CF-44E3-9099-C40C66FF867C}">
                  <a14:compatExt spid="_x0000_s45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1971675</xdr:colOff>
      <xdr:row>334</xdr:row>
      <xdr:rowOff>0</xdr:rowOff>
    </xdr:from>
    <xdr:to>
      <xdr:col>3</xdr:col>
      <xdr:colOff>0</xdr:colOff>
      <xdr:row>334</xdr:row>
      <xdr:rowOff>0</xdr:rowOff>
    </xdr:to>
    <xdr:sp macro="" textlink="">
      <xdr:nvSpPr>
        <xdr:cNvPr id="6" name="AutoShape 1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>
          <a:spLocks noChangeArrowheads="1"/>
        </xdr:cNvSpPr>
      </xdr:nvSpPr>
      <xdr:spPr bwMode="auto">
        <a:xfrm>
          <a:off x="3533775" y="530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34</xdr:row>
      <xdr:rowOff>0</xdr:rowOff>
    </xdr:from>
    <xdr:to>
      <xdr:col>3</xdr:col>
      <xdr:colOff>0</xdr:colOff>
      <xdr:row>34</xdr:row>
      <xdr:rowOff>0</xdr:rowOff>
    </xdr:to>
    <xdr:sp macro="" textlink="">
      <xdr:nvSpPr>
        <xdr:cNvPr id="7" name="AutoShape 1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>
          <a:spLocks noChangeArrowheads="1"/>
        </xdr:cNvSpPr>
      </xdr:nvSpPr>
      <xdr:spPr bwMode="auto">
        <a:xfrm>
          <a:off x="3533775" y="530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634</xdr:row>
      <xdr:rowOff>0</xdr:rowOff>
    </xdr:from>
    <xdr:to>
      <xdr:col>3</xdr:col>
      <xdr:colOff>0</xdr:colOff>
      <xdr:row>634</xdr:row>
      <xdr:rowOff>0</xdr:rowOff>
    </xdr:to>
    <xdr:sp macro="" textlink="">
      <xdr:nvSpPr>
        <xdr:cNvPr id="8" name="AutoShape 1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>
          <a:spLocks noChangeArrowheads="1"/>
        </xdr:cNvSpPr>
      </xdr:nvSpPr>
      <xdr:spPr bwMode="auto">
        <a:xfrm>
          <a:off x="3533775" y="530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934</xdr:row>
      <xdr:rowOff>0</xdr:rowOff>
    </xdr:from>
    <xdr:to>
      <xdr:col>3</xdr:col>
      <xdr:colOff>0</xdr:colOff>
      <xdr:row>934</xdr:row>
      <xdr:rowOff>0</xdr:rowOff>
    </xdr:to>
    <xdr:sp macro="" textlink="">
      <xdr:nvSpPr>
        <xdr:cNvPr id="9" name="AutoShape 1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>
          <a:spLocks noChangeArrowheads="1"/>
        </xdr:cNvSpPr>
      </xdr:nvSpPr>
      <xdr:spPr bwMode="auto">
        <a:xfrm>
          <a:off x="3533775" y="5102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1234</xdr:row>
      <xdr:rowOff>0</xdr:rowOff>
    </xdr:from>
    <xdr:to>
      <xdr:col>3</xdr:col>
      <xdr:colOff>0</xdr:colOff>
      <xdr:row>1234</xdr:row>
      <xdr:rowOff>0</xdr:rowOff>
    </xdr:to>
    <xdr:sp macro="" textlink="">
      <xdr:nvSpPr>
        <xdr:cNvPr id="10" name="AutoShape 1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>
          <a:spLocks noChangeArrowheads="1"/>
        </xdr:cNvSpPr>
      </xdr:nvSpPr>
      <xdr:spPr bwMode="auto">
        <a:xfrm>
          <a:off x="3533775" y="9674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1534</xdr:row>
      <xdr:rowOff>0</xdr:rowOff>
    </xdr:from>
    <xdr:to>
      <xdr:col>3</xdr:col>
      <xdr:colOff>0</xdr:colOff>
      <xdr:row>1534</xdr:row>
      <xdr:rowOff>0</xdr:rowOff>
    </xdr:to>
    <xdr:sp macro="" textlink="">
      <xdr:nvSpPr>
        <xdr:cNvPr id="11" name="AutoShape 1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>
          <a:spLocks noChangeArrowheads="1"/>
        </xdr:cNvSpPr>
      </xdr:nvSpPr>
      <xdr:spPr bwMode="auto">
        <a:xfrm>
          <a:off x="3533775" y="14246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1834</xdr:row>
      <xdr:rowOff>0</xdr:rowOff>
    </xdr:from>
    <xdr:to>
      <xdr:col>3</xdr:col>
      <xdr:colOff>0</xdr:colOff>
      <xdr:row>1834</xdr:row>
      <xdr:rowOff>0</xdr:rowOff>
    </xdr:to>
    <xdr:sp macro="" textlink="">
      <xdr:nvSpPr>
        <xdr:cNvPr id="12" name="AutoShape 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>
          <a:spLocks noChangeArrowheads="1"/>
        </xdr:cNvSpPr>
      </xdr:nvSpPr>
      <xdr:spPr bwMode="auto">
        <a:xfrm>
          <a:off x="3533775" y="530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2134</xdr:row>
      <xdr:rowOff>0</xdr:rowOff>
    </xdr:from>
    <xdr:to>
      <xdr:col>3</xdr:col>
      <xdr:colOff>0</xdr:colOff>
      <xdr:row>2134</xdr:row>
      <xdr:rowOff>0</xdr:rowOff>
    </xdr:to>
    <xdr:sp macro="" textlink="">
      <xdr:nvSpPr>
        <xdr:cNvPr id="13" name="AutoShape 1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>
          <a:spLocks noChangeArrowheads="1"/>
        </xdr:cNvSpPr>
      </xdr:nvSpPr>
      <xdr:spPr bwMode="auto">
        <a:xfrm>
          <a:off x="3533775" y="530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634</xdr:row>
      <xdr:rowOff>0</xdr:rowOff>
    </xdr:from>
    <xdr:to>
      <xdr:col>3</xdr:col>
      <xdr:colOff>0</xdr:colOff>
      <xdr:row>634</xdr:row>
      <xdr:rowOff>0</xdr:rowOff>
    </xdr:to>
    <xdr:sp macro="" textlink="">
      <xdr:nvSpPr>
        <xdr:cNvPr id="14" name="AutoShape 1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>
          <a:spLocks noChangeArrowheads="1"/>
        </xdr:cNvSpPr>
      </xdr:nvSpPr>
      <xdr:spPr bwMode="auto">
        <a:xfrm>
          <a:off x="3533775" y="530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934</xdr:row>
      <xdr:rowOff>0</xdr:rowOff>
    </xdr:from>
    <xdr:to>
      <xdr:col>3</xdr:col>
      <xdr:colOff>0</xdr:colOff>
      <xdr:row>934</xdr:row>
      <xdr:rowOff>0</xdr:rowOff>
    </xdr:to>
    <xdr:sp macro="" textlink="">
      <xdr:nvSpPr>
        <xdr:cNvPr id="15" name="AutoShape 1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>
          <a:spLocks noChangeArrowheads="1"/>
        </xdr:cNvSpPr>
      </xdr:nvSpPr>
      <xdr:spPr bwMode="auto">
        <a:xfrm>
          <a:off x="3533775" y="5102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1234</xdr:row>
      <xdr:rowOff>0</xdr:rowOff>
    </xdr:from>
    <xdr:to>
      <xdr:col>3</xdr:col>
      <xdr:colOff>0</xdr:colOff>
      <xdr:row>1234</xdr:row>
      <xdr:rowOff>0</xdr:rowOff>
    </xdr:to>
    <xdr:sp macro="" textlink="">
      <xdr:nvSpPr>
        <xdr:cNvPr id="16" name="AutoShape 1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>
          <a:spLocks noChangeArrowheads="1"/>
        </xdr:cNvSpPr>
      </xdr:nvSpPr>
      <xdr:spPr bwMode="auto">
        <a:xfrm>
          <a:off x="3533775" y="9674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1534</xdr:row>
      <xdr:rowOff>0</xdr:rowOff>
    </xdr:from>
    <xdr:to>
      <xdr:col>3</xdr:col>
      <xdr:colOff>0</xdr:colOff>
      <xdr:row>1534</xdr:row>
      <xdr:rowOff>0</xdr:rowOff>
    </xdr:to>
    <xdr:sp macro="" textlink="">
      <xdr:nvSpPr>
        <xdr:cNvPr id="17" name="AutoShape 1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>
          <a:spLocks noChangeArrowheads="1"/>
        </xdr:cNvSpPr>
      </xdr:nvSpPr>
      <xdr:spPr bwMode="auto">
        <a:xfrm>
          <a:off x="3533775" y="14246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2134</xdr:row>
      <xdr:rowOff>0</xdr:rowOff>
    </xdr:from>
    <xdr:to>
      <xdr:col>3</xdr:col>
      <xdr:colOff>0</xdr:colOff>
      <xdr:row>2134</xdr:row>
      <xdr:rowOff>0</xdr:rowOff>
    </xdr:to>
    <xdr:sp macro="" textlink="">
      <xdr:nvSpPr>
        <xdr:cNvPr id="18" name="AutoShape 1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>
          <a:spLocks noChangeArrowheads="1"/>
        </xdr:cNvSpPr>
      </xdr:nvSpPr>
      <xdr:spPr bwMode="auto">
        <a:xfrm>
          <a:off x="3533775" y="530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0.59948</cdr:x>
      <cdr:y>0.1989</cdr:y>
    </cdr:from>
    <cdr:to>
      <cdr:x>0.77547</cdr:x>
      <cdr:y>0.2467</cdr:y>
    </cdr:to>
    <cdr:sp macro="" textlink="">
      <cdr:nvSpPr>
        <cdr:cNvPr id="471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00540" y="909371"/>
          <a:ext cx="1115755" cy="21852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돋움"/>
              <a:ea typeface="돋움"/>
            </a:rPr>
            <a:t>HSE High Level</a:t>
          </a:r>
        </a:p>
      </cdr:txBody>
    </cdr:sp>
  </cdr:relSizeAnchor>
  <cdr:relSizeAnchor xmlns:cdr="http://schemas.openxmlformats.org/drawingml/2006/chartDrawing">
    <cdr:from>
      <cdr:x>0.64799</cdr:x>
      <cdr:y>0.64199</cdr:y>
    </cdr:from>
    <cdr:to>
      <cdr:x>0.81807</cdr:x>
      <cdr:y>0.68979</cdr:y>
    </cdr:to>
    <cdr:sp macro="" textlink="">
      <cdr:nvSpPr>
        <cdr:cNvPr id="4710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108080" y="2935178"/>
          <a:ext cx="1078244" cy="21852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돋움"/>
              <a:ea typeface="돋움"/>
            </a:rPr>
            <a:t>HSE Low Level</a:t>
          </a:r>
        </a:p>
      </cdr:txBody>
    </cdr:sp>
  </cdr:relSizeAnchor>
  <cdr:relSizeAnchor xmlns:cdr="http://schemas.openxmlformats.org/drawingml/2006/chartDrawing">
    <cdr:from>
      <cdr:x>0.66728</cdr:x>
      <cdr:y>0.44069</cdr:y>
    </cdr:from>
    <cdr:to>
      <cdr:x>0.83436</cdr:x>
      <cdr:y>0.48849</cdr:y>
    </cdr:to>
    <cdr:sp macro="" textlink="">
      <cdr:nvSpPr>
        <cdr:cNvPr id="4710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97017" y="2386708"/>
          <a:ext cx="1376406" cy="258875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돋움"/>
              <a:ea typeface="돋움"/>
            </a:rPr>
            <a:t>PHI High Level</a:t>
          </a:r>
        </a:p>
      </cdr:txBody>
    </cdr:sp>
  </cdr:relSizeAnchor>
  <cdr:relSizeAnchor xmlns:cdr="http://schemas.openxmlformats.org/drawingml/2006/chartDrawing">
    <cdr:from>
      <cdr:x>0.24954</cdr:x>
      <cdr:y>0.65003</cdr:y>
    </cdr:from>
    <cdr:to>
      <cdr:x>0.41071</cdr:x>
      <cdr:y>0.69783</cdr:y>
    </cdr:to>
    <cdr:sp macro="" textlink="">
      <cdr:nvSpPr>
        <cdr:cNvPr id="47108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82016" y="2971937"/>
          <a:ext cx="1021755" cy="21852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돋움"/>
              <a:ea typeface="돋움"/>
            </a:rPr>
            <a:t>PHI Low Level</a:t>
          </a:r>
        </a:p>
      </cdr:txBody>
    </cdr:sp>
  </cdr:relSizeAnchor>
  <cdr:relSizeAnchor xmlns:cdr="http://schemas.openxmlformats.org/drawingml/2006/chartDrawing">
    <cdr:from>
      <cdr:x>0.56401</cdr:x>
      <cdr:y>0.45069</cdr:y>
    </cdr:from>
    <cdr:to>
      <cdr:x>0.64424</cdr:x>
      <cdr:y>0.49849</cdr:y>
    </cdr:to>
    <cdr:sp macro="" textlink="">
      <cdr:nvSpPr>
        <cdr:cNvPr id="4710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75670" y="2060555"/>
          <a:ext cx="508665" cy="21852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돋움"/>
              <a:ea typeface="돋움"/>
            </a:rPr>
            <a:t>ALARP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19050</xdr:rowOff>
        </xdr:from>
        <xdr:to>
          <xdr:col>4</xdr:col>
          <xdr:colOff>333375</xdr:colOff>
          <xdr:row>3</xdr:row>
          <xdr:rowOff>9525</xdr:rowOff>
        </xdr:to>
        <xdr:sp macro="" textlink="">
          <xdr:nvSpPr>
            <xdr:cNvPr id="3718145" name="btnReArrangeSFC" hidden="1">
              <a:extLst>
                <a:ext uri="{63B3BB69-23CF-44E3-9099-C40C66FF867C}">
                  <a14:compatExt spid="_x0000_s3718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2</xdr:row>
      <xdr:rowOff>0</xdr:rowOff>
    </xdr:from>
    <xdr:to>
      <xdr:col>24</xdr:col>
      <xdr:colOff>514350</xdr:colOff>
      <xdr:row>28</xdr:row>
      <xdr:rowOff>47625</xdr:rowOff>
    </xdr:to>
    <xdr:graphicFrame macro="">
      <xdr:nvGraphicFramePr>
        <xdr:cNvPr id="4262062" name="Chart 3">
          <a:extLst>
            <a:ext uri="{FF2B5EF4-FFF2-40B4-BE49-F238E27FC236}">
              <a16:creationId xmlns:a16="http://schemas.microsoft.com/office/drawing/2014/main" xmlns="" id="{00000000-0008-0000-0C00-0000AE084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285750</xdr:colOff>
          <xdr:row>0</xdr:row>
          <xdr:rowOff>0</xdr:rowOff>
        </xdr:from>
        <xdr:to>
          <xdr:col>18</xdr:col>
          <xdr:colOff>123825</xdr:colOff>
          <xdr:row>2</xdr:row>
          <xdr:rowOff>133350</xdr:rowOff>
        </xdr:to>
        <xdr:sp macro="" textlink="">
          <xdr:nvSpPr>
            <xdr:cNvPr id="4261889" name="btnDrawRawFNC" hidden="1">
              <a:extLst>
                <a:ext uri="{63B3BB69-23CF-44E3-9099-C40C66FF867C}">
                  <a14:compatExt spid="_x0000_s426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0.59948</cdr:x>
      <cdr:y>0.1989</cdr:y>
    </cdr:from>
    <cdr:to>
      <cdr:x>0.7759</cdr:x>
      <cdr:y>0.25339</cdr:y>
    </cdr:to>
    <cdr:sp macro="" textlink="">
      <cdr:nvSpPr>
        <cdr:cNvPr id="471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791471" y="797594"/>
          <a:ext cx="1115755" cy="21852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돋움"/>
              <a:ea typeface="돋움"/>
            </a:rPr>
            <a:t>HSE High Level</a:t>
          </a:r>
        </a:p>
      </cdr:txBody>
    </cdr:sp>
  </cdr:relSizeAnchor>
  <cdr:relSizeAnchor xmlns:cdr="http://schemas.openxmlformats.org/drawingml/2006/chartDrawing">
    <cdr:from>
      <cdr:x>0.64799</cdr:x>
      <cdr:y>0.64199</cdr:y>
    </cdr:from>
    <cdr:to>
      <cdr:x>0.81847</cdr:x>
      <cdr:y>0.69648</cdr:y>
    </cdr:to>
    <cdr:sp macro="" textlink="">
      <cdr:nvSpPr>
        <cdr:cNvPr id="4710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98278" y="2574396"/>
          <a:ext cx="1078244" cy="21852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돋움"/>
              <a:ea typeface="돋움"/>
            </a:rPr>
            <a:t>HSE Low Level</a:t>
          </a:r>
        </a:p>
      </cdr:txBody>
    </cdr:sp>
  </cdr:relSizeAnchor>
  <cdr:relSizeAnchor xmlns:cdr="http://schemas.openxmlformats.org/drawingml/2006/chartDrawing">
    <cdr:from>
      <cdr:x>0.33401</cdr:x>
      <cdr:y>0.28551</cdr:y>
    </cdr:from>
    <cdr:to>
      <cdr:x>0.50149</cdr:x>
      <cdr:y>0.34</cdr:y>
    </cdr:to>
    <cdr:sp macro="" textlink="">
      <cdr:nvSpPr>
        <cdr:cNvPr id="4710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12480" y="1144902"/>
          <a:ext cx="1059264" cy="21852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돋움"/>
              <a:ea typeface="돋움"/>
            </a:rPr>
            <a:t>PHI High Level</a:t>
          </a:r>
        </a:p>
      </cdr:txBody>
    </cdr:sp>
  </cdr:relSizeAnchor>
  <cdr:relSizeAnchor xmlns:cdr="http://schemas.openxmlformats.org/drawingml/2006/chartDrawing">
    <cdr:from>
      <cdr:x>0.24954</cdr:x>
      <cdr:y>0.65003</cdr:y>
    </cdr:from>
    <cdr:to>
      <cdr:x>0.41109</cdr:x>
      <cdr:y>0.70452</cdr:y>
    </cdr:to>
    <cdr:sp macro="" textlink="">
      <cdr:nvSpPr>
        <cdr:cNvPr id="47108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78241" y="2606637"/>
          <a:ext cx="1021755" cy="21852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돋움"/>
              <a:ea typeface="돋움"/>
            </a:rPr>
            <a:t>PHI Low Level</a:t>
          </a:r>
        </a:p>
      </cdr:txBody>
    </cdr:sp>
  </cdr:relSizeAnchor>
  <cdr:relSizeAnchor xmlns:cdr="http://schemas.openxmlformats.org/drawingml/2006/chartDrawing">
    <cdr:from>
      <cdr:x>0.56401</cdr:x>
      <cdr:y>0.45069</cdr:y>
    </cdr:from>
    <cdr:to>
      <cdr:x>0.64444</cdr:x>
      <cdr:y>0.50518</cdr:y>
    </cdr:to>
    <cdr:sp macro="" textlink="">
      <cdr:nvSpPr>
        <cdr:cNvPr id="4710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67138" y="1807278"/>
          <a:ext cx="508665" cy="21852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돋움"/>
              <a:ea typeface="돋움"/>
            </a:rPr>
            <a:t>ALARP</a:t>
          </a:r>
        </a:p>
      </cdr:txBody>
    </cdr:sp>
  </cdr:relSizeAnchor>
</c:userShape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1.xml"/><Relationship Id="rId4" Type="http://schemas.openxmlformats.org/officeDocument/2006/relationships/image" Target="../media/image8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N153"/>
  <sheetViews>
    <sheetView zoomScaleNormal="100" workbookViewId="0">
      <selection activeCell="G14" sqref="G14"/>
    </sheetView>
  </sheetViews>
  <sheetFormatPr defaultColWidth="8.88671875" defaultRowHeight="13.5"/>
  <cols>
    <col min="1" max="1" width="8.88671875" style="415"/>
    <col min="2" max="2" width="9" style="415" customWidth="1"/>
    <col min="3" max="3" width="4.21875" style="415" customWidth="1"/>
    <col min="4" max="4" width="5.6640625" style="415" customWidth="1"/>
    <col min="5" max="5" width="4.5546875" style="414" customWidth="1"/>
    <col min="6" max="6" width="36" style="414" customWidth="1"/>
    <col min="7" max="7" width="73.33203125" style="414" customWidth="1"/>
    <col min="8" max="8" width="33" style="414" bestFit="1" customWidth="1"/>
    <col min="9" max="9" width="71" style="414" bestFit="1" customWidth="1"/>
    <col min="10" max="10" width="46.44140625" style="418" bestFit="1" customWidth="1"/>
    <col min="11" max="11" width="10.21875" style="418" bestFit="1" customWidth="1"/>
    <col min="12" max="12" width="83.77734375" style="415" bestFit="1" customWidth="1"/>
    <col min="13" max="13" width="69.21875" style="415" customWidth="1"/>
    <col min="14" max="16384" width="8.88671875" style="415"/>
  </cols>
  <sheetData>
    <row r="1" spans="3:14" ht="16.5" customHeight="1">
      <c r="E1" s="416" t="s">
        <v>228</v>
      </c>
      <c r="F1" s="417" t="s">
        <v>2314</v>
      </c>
    </row>
    <row r="2" spans="3:14" ht="16.5" customHeight="1">
      <c r="E2" s="416" t="s">
        <v>2312</v>
      </c>
      <c r="F2" s="417" t="s">
        <v>2315</v>
      </c>
      <c r="G2" s="419" t="s">
        <v>2313</v>
      </c>
    </row>
    <row r="3" spans="3:14" ht="16.5" customHeight="1">
      <c r="C3" s="420"/>
      <c r="D3" s="421"/>
      <c r="E3" s="422"/>
      <c r="F3" s="423"/>
      <c r="G3" s="421"/>
      <c r="H3" s="424"/>
      <c r="I3" s="422"/>
    </row>
    <row r="4" spans="3:14">
      <c r="C4" s="425" t="s">
        <v>312</v>
      </c>
      <c r="D4" s="415" t="s">
        <v>415</v>
      </c>
      <c r="E4" s="414" t="s">
        <v>307</v>
      </c>
      <c r="F4" s="414" t="s">
        <v>2316</v>
      </c>
      <c r="G4" s="414" t="s">
        <v>2376</v>
      </c>
      <c r="H4" s="414" t="s">
        <v>2377</v>
      </c>
      <c r="J4" s="414"/>
      <c r="L4" s="414" t="s">
        <v>2383</v>
      </c>
      <c r="M4" s="415" t="s">
        <v>2384</v>
      </c>
      <c r="N4" s="415" t="s">
        <v>2378</v>
      </c>
    </row>
    <row r="5" spans="3:14">
      <c r="C5" s="425"/>
      <c r="E5" s="414" t="s">
        <v>311</v>
      </c>
      <c r="F5" s="414" t="s">
        <v>2317</v>
      </c>
      <c r="G5" s="414" t="s">
        <v>2385</v>
      </c>
      <c r="H5" s="414" t="s">
        <v>478</v>
      </c>
      <c r="L5" s="415" t="s">
        <v>2392</v>
      </c>
      <c r="M5" s="415" t="s">
        <v>2393</v>
      </c>
      <c r="N5" s="415" t="s">
        <v>2379</v>
      </c>
    </row>
    <row r="6" spans="3:14">
      <c r="E6" s="414" t="s">
        <v>309</v>
      </c>
      <c r="F6" s="414" t="s">
        <v>2318</v>
      </c>
      <c r="G6" s="414" t="s">
        <v>2394</v>
      </c>
      <c r="H6" s="414" t="s">
        <v>2386</v>
      </c>
      <c r="L6" s="415" t="s">
        <v>2401</v>
      </c>
      <c r="M6" s="415" t="s">
        <v>2402</v>
      </c>
      <c r="N6" s="415" t="s">
        <v>2380</v>
      </c>
    </row>
    <row r="7" spans="3:14">
      <c r="E7" s="414" t="s">
        <v>308</v>
      </c>
      <c r="F7" s="414" t="s">
        <v>2319</v>
      </c>
      <c r="G7" s="414" t="s">
        <v>2403</v>
      </c>
      <c r="H7" s="414" t="s">
        <v>479</v>
      </c>
      <c r="L7" s="415" t="s">
        <v>2410</v>
      </c>
      <c r="M7" s="415" t="s">
        <v>2411</v>
      </c>
      <c r="N7" s="415" t="s">
        <v>2381</v>
      </c>
    </row>
    <row r="8" spans="3:14">
      <c r="E8" s="414" t="s">
        <v>310</v>
      </c>
      <c r="F8" s="414" t="s">
        <v>2320</v>
      </c>
      <c r="G8" s="414" t="s">
        <v>2412</v>
      </c>
      <c r="H8" s="414" t="s">
        <v>2395</v>
      </c>
      <c r="L8" s="415" t="s">
        <v>2419</v>
      </c>
      <c r="M8" s="415" t="s">
        <v>2420</v>
      </c>
      <c r="N8" s="415" t="s">
        <v>2382</v>
      </c>
    </row>
    <row r="9" spans="3:14">
      <c r="D9" s="415" t="s">
        <v>416</v>
      </c>
      <c r="E9" s="414" t="s">
        <v>307</v>
      </c>
      <c r="F9" s="414" t="s">
        <v>2321</v>
      </c>
      <c r="G9" s="414" t="s">
        <v>2421</v>
      </c>
      <c r="H9" s="414" t="s">
        <v>480</v>
      </c>
      <c r="L9" s="415" t="s">
        <v>2428</v>
      </c>
      <c r="M9" s="415" t="s">
        <v>2429</v>
      </c>
      <c r="N9" s="415" t="s">
        <v>2387</v>
      </c>
    </row>
    <row r="10" spans="3:14">
      <c r="E10" s="414" t="s">
        <v>311</v>
      </c>
      <c r="F10" s="414" t="s">
        <v>2322</v>
      </c>
      <c r="G10" s="414" t="s">
        <v>2430</v>
      </c>
      <c r="H10" s="414" t="s">
        <v>2404</v>
      </c>
      <c r="L10" s="415" t="s">
        <v>2437</v>
      </c>
      <c r="M10" s="415" t="s">
        <v>2438</v>
      </c>
      <c r="N10" s="415" t="s">
        <v>2388</v>
      </c>
    </row>
    <row r="11" spans="3:14">
      <c r="E11" s="414" t="s">
        <v>309</v>
      </c>
      <c r="F11" s="414" t="s">
        <v>2323</v>
      </c>
      <c r="G11" s="414" t="s">
        <v>2439</v>
      </c>
      <c r="H11" s="414" t="s">
        <v>481</v>
      </c>
      <c r="L11" s="415" t="s">
        <v>2446</v>
      </c>
      <c r="M11" s="415" t="s">
        <v>2447</v>
      </c>
      <c r="N11" s="415" t="s">
        <v>2389</v>
      </c>
    </row>
    <row r="12" spans="3:14">
      <c r="E12" s="414" t="s">
        <v>308</v>
      </c>
      <c r="F12" s="414" t="s">
        <v>2324</v>
      </c>
      <c r="G12" s="414" t="s">
        <v>2448</v>
      </c>
      <c r="H12" s="414" t="s">
        <v>2413</v>
      </c>
      <c r="L12" s="415" t="s">
        <v>2455</v>
      </c>
      <c r="M12" s="415" t="s">
        <v>2456</v>
      </c>
      <c r="N12" s="415" t="s">
        <v>2390</v>
      </c>
    </row>
    <row r="13" spans="3:14">
      <c r="E13" s="414" t="s">
        <v>310</v>
      </c>
      <c r="F13" s="414" t="s">
        <v>2325</v>
      </c>
      <c r="G13" s="414" t="s">
        <v>2457</v>
      </c>
      <c r="H13" s="414" t="s">
        <v>482</v>
      </c>
      <c r="L13" s="415" t="s">
        <v>2464</v>
      </c>
      <c r="M13" s="415" t="s">
        <v>2465</v>
      </c>
      <c r="N13" s="415" t="s">
        <v>2391</v>
      </c>
    </row>
    <row r="14" spans="3:14">
      <c r="C14" s="425" t="s">
        <v>314</v>
      </c>
      <c r="D14" s="415" t="s">
        <v>415</v>
      </c>
      <c r="E14" s="414" t="s">
        <v>307</v>
      </c>
      <c r="F14" s="414" t="s">
        <v>2326</v>
      </c>
      <c r="G14" s="414" t="s">
        <v>2466</v>
      </c>
      <c r="H14" s="414" t="s">
        <v>2422</v>
      </c>
      <c r="L14" s="415" t="s">
        <v>2473</v>
      </c>
      <c r="M14" s="415" t="s">
        <v>2474</v>
      </c>
      <c r="N14" s="415" t="s">
        <v>2396</v>
      </c>
    </row>
    <row r="15" spans="3:14">
      <c r="C15" s="425"/>
      <c r="E15" s="414" t="s">
        <v>311</v>
      </c>
      <c r="F15" s="414" t="s">
        <v>2327</v>
      </c>
      <c r="G15" s="414" t="s">
        <v>2475</v>
      </c>
      <c r="H15" s="414" t="s">
        <v>483</v>
      </c>
      <c r="L15" s="415" t="s">
        <v>2482</v>
      </c>
      <c r="M15" s="415" t="s">
        <v>2483</v>
      </c>
      <c r="N15" s="415" t="s">
        <v>2397</v>
      </c>
    </row>
    <row r="16" spans="3:14">
      <c r="E16" s="414" t="s">
        <v>309</v>
      </c>
      <c r="F16" s="414" t="s">
        <v>2328</v>
      </c>
      <c r="G16" s="414" t="s">
        <v>2484</v>
      </c>
      <c r="H16" s="414" t="s">
        <v>2431</v>
      </c>
      <c r="L16" s="415" t="s">
        <v>2491</v>
      </c>
      <c r="M16" s="415" t="s">
        <v>2492</v>
      </c>
      <c r="N16" s="415" t="s">
        <v>2398</v>
      </c>
    </row>
    <row r="17" spans="3:14">
      <c r="E17" s="414" t="s">
        <v>308</v>
      </c>
      <c r="F17" s="414" t="s">
        <v>2329</v>
      </c>
      <c r="G17" s="414" t="s">
        <v>2493</v>
      </c>
      <c r="H17" s="414" t="s">
        <v>484</v>
      </c>
      <c r="L17" s="415" t="s">
        <v>2500</v>
      </c>
      <c r="M17" s="415" t="s">
        <v>2501</v>
      </c>
      <c r="N17" s="415" t="s">
        <v>2399</v>
      </c>
    </row>
    <row r="18" spans="3:14">
      <c r="E18" s="414" t="s">
        <v>310</v>
      </c>
      <c r="F18" s="414" t="s">
        <v>2330</v>
      </c>
      <c r="G18" s="414" t="s">
        <v>2502</v>
      </c>
      <c r="H18" s="414" t="s">
        <v>2440</v>
      </c>
      <c r="L18" s="415" t="s">
        <v>2509</v>
      </c>
      <c r="M18" s="415" t="s">
        <v>2510</v>
      </c>
      <c r="N18" s="415" t="s">
        <v>2400</v>
      </c>
    </row>
    <row r="19" spans="3:14">
      <c r="D19" s="415" t="s">
        <v>416</v>
      </c>
      <c r="E19" s="414" t="s">
        <v>307</v>
      </c>
      <c r="F19" s="414" t="s">
        <v>2331</v>
      </c>
      <c r="G19" s="414" t="s">
        <v>2511</v>
      </c>
      <c r="H19" s="414" t="s">
        <v>485</v>
      </c>
      <c r="L19" s="415" t="s">
        <v>2518</v>
      </c>
      <c r="M19" s="415" t="s">
        <v>2519</v>
      </c>
      <c r="N19" s="415" t="s">
        <v>2405</v>
      </c>
    </row>
    <row r="20" spans="3:14">
      <c r="E20" s="414" t="s">
        <v>311</v>
      </c>
      <c r="F20" s="414" t="s">
        <v>2332</v>
      </c>
      <c r="G20" s="414" t="s">
        <v>2520</v>
      </c>
      <c r="H20" s="414" t="s">
        <v>2449</v>
      </c>
      <c r="L20" s="415" t="s">
        <v>2527</v>
      </c>
      <c r="M20" s="415" t="s">
        <v>2528</v>
      </c>
      <c r="N20" s="415" t="s">
        <v>2406</v>
      </c>
    </row>
    <row r="21" spans="3:14">
      <c r="E21" s="414" t="s">
        <v>309</v>
      </c>
      <c r="F21" s="414" t="s">
        <v>2333</v>
      </c>
      <c r="G21" s="414" t="s">
        <v>2529</v>
      </c>
      <c r="H21" s="414" t="s">
        <v>486</v>
      </c>
      <c r="L21" s="415" t="s">
        <v>2536</v>
      </c>
      <c r="M21" s="415" t="s">
        <v>2537</v>
      </c>
      <c r="N21" s="415" t="s">
        <v>2407</v>
      </c>
    </row>
    <row r="22" spans="3:14">
      <c r="E22" s="414" t="s">
        <v>308</v>
      </c>
      <c r="F22" s="414" t="s">
        <v>2334</v>
      </c>
      <c r="G22" s="414" t="s">
        <v>2538</v>
      </c>
      <c r="H22" s="414" t="s">
        <v>2458</v>
      </c>
      <c r="L22" s="415" t="s">
        <v>2545</v>
      </c>
      <c r="M22" s="415" t="s">
        <v>2546</v>
      </c>
      <c r="N22" s="415" t="s">
        <v>2408</v>
      </c>
    </row>
    <row r="23" spans="3:14">
      <c r="E23" s="414" t="s">
        <v>310</v>
      </c>
      <c r="F23" s="414" t="s">
        <v>2335</v>
      </c>
      <c r="G23" s="414" t="s">
        <v>2547</v>
      </c>
      <c r="H23" s="414" t="s">
        <v>487</v>
      </c>
      <c r="L23" s="415" t="s">
        <v>2554</v>
      </c>
      <c r="M23" s="415" t="s">
        <v>2555</v>
      </c>
      <c r="N23" s="415" t="s">
        <v>2409</v>
      </c>
    </row>
    <row r="24" spans="3:14">
      <c r="C24" s="425" t="s">
        <v>316</v>
      </c>
      <c r="D24" s="415" t="s">
        <v>415</v>
      </c>
      <c r="E24" s="414" t="s">
        <v>307</v>
      </c>
      <c r="F24" s="414" t="s">
        <v>2336</v>
      </c>
      <c r="G24" s="414" t="s">
        <v>2556</v>
      </c>
      <c r="H24" s="414" t="s">
        <v>2467</v>
      </c>
      <c r="L24" s="415" t="s">
        <v>2563</v>
      </c>
      <c r="M24" s="415" t="s">
        <v>2564</v>
      </c>
      <c r="N24" s="415" t="s">
        <v>2414</v>
      </c>
    </row>
    <row r="25" spans="3:14">
      <c r="C25" s="425"/>
      <c r="E25" s="414" t="s">
        <v>311</v>
      </c>
      <c r="F25" s="414" t="s">
        <v>2337</v>
      </c>
      <c r="G25" s="414" t="s">
        <v>2565</v>
      </c>
      <c r="H25" s="414" t="s">
        <v>488</v>
      </c>
      <c r="L25" s="415" t="s">
        <v>2572</v>
      </c>
      <c r="M25" s="415" t="s">
        <v>2573</v>
      </c>
      <c r="N25" s="415" t="s">
        <v>2415</v>
      </c>
    </row>
    <row r="26" spans="3:14">
      <c r="E26" s="414" t="s">
        <v>309</v>
      </c>
      <c r="F26" s="414" t="s">
        <v>2338</v>
      </c>
      <c r="G26" s="414" t="s">
        <v>2574</v>
      </c>
      <c r="H26" s="414" t="s">
        <v>2476</v>
      </c>
      <c r="L26" s="415" t="s">
        <v>2581</v>
      </c>
      <c r="M26" s="415" t="s">
        <v>2582</v>
      </c>
      <c r="N26" s="415" t="s">
        <v>2416</v>
      </c>
    </row>
    <row r="27" spans="3:14">
      <c r="E27" s="414" t="s">
        <v>308</v>
      </c>
      <c r="F27" s="414" t="s">
        <v>2339</v>
      </c>
      <c r="G27" s="414" t="s">
        <v>2583</v>
      </c>
      <c r="H27" s="414" t="s">
        <v>489</v>
      </c>
      <c r="L27" s="415" t="s">
        <v>2590</v>
      </c>
      <c r="M27" s="415" t="s">
        <v>2591</v>
      </c>
      <c r="N27" s="415" t="s">
        <v>2417</v>
      </c>
    </row>
    <row r="28" spans="3:14">
      <c r="E28" s="414" t="s">
        <v>310</v>
      </c>
      <c r="F28" s="414" t="s">
        <v>2340</v>
      </c>
      <c r="G28" s="414" t="s">
        <v>2592</v>
      </c>
      <c r="H28" s="414" t="s">
        <v>2485</v>
      </c>
      <c r="L28" s="415" t="s">
        <v>2599</v>
      </c>
      <c r="M28" s="415" t="s">
        <v>2600</v>
      </c>
      <c r="N28" s="415" t="s">
        <v>2418</v>
      </c>
    </row>
    <row r="29" spans="3:14">
      <c r="D29" s="415" t="s">
        <v>416</v>
      </c>
      <c r="E29" s="414" t="s">
        <v>307</v>
      </c>
      <c r="F29" s="414" t="s">
        <v>2341</v>
      </c>
      <c r="G29" s="414" t="s">
        <v>2601</v>
      </c>
      <c r="H29" s="414" t="s">
        <v>490</v>
      </c>
      <c r="L29" s="415" t="s">
        <v>2608</v>
      </c>
      <c r="M29" s="415" t="s">
        <v>2609</v>
      </c>
      <c r="N29" s="415" t="s">
        <v>2423</v>
      </c>
    </row>
    <row r="30" spans="3:14">
      <c r="E30" s="414" t="s">
        <v>311</v>
      </c>
      <c r="F30" s="414" t="s">
        <v>2342</v>
      </c>
      <c r="G30" s="414" t="s">
        <v>2610</v>
      </c>
      <c r="H30" s="414" t="s">
        <v>2494</v>
      </c>
      <c r="L30" s="415" t="s">
        <v>2617</v>
      </c>
      <c r="M30" s="415" t="s">
        <v>2618</v>
      </c>
      <c r="N30" s="415" t="s">
        <v>2424</v>
      </c>
    </row>
    <row r="31" spans="3:14">
      <c r="E31" s="414" t="s">
        <v>309</v>
      </c>
      <c r="F31" s="414" t="s">
        <v>2343</v>
      </c>
      <c r="G31" s="414" t="s">
        <v>2619</v>
      </c>
      <c r="H31" s="414" t="s">
        <v>491</v>
      </c>
      <c r="L31" s="415" t="s">
        <v>2626</v>
      </c>
      <c r="M31" s="415" t="s">
        <v>2627</v>
      </c>
      <c r="N31" s="415" t="s">
        <v>2425</v>
      </c>
    </row>
    <row r="32" spans="3:14">
      <c r="E32" s="414" t="s">
        <v>308</v>
      </c>
      <c r="F32" s="414" t="s">
        <v>2344</v>
      </c>
      <c r="G32" s="414" t="s">
        <v>2628</v>
      </c>
      <c r="H32" s="414" t="s">
        <v>2503</v>
      </c>
      <c r="L32" s="415" t="s">
        <v>2635</v>
      </c>
      <c r="M32" s="415" t="s">
        <v>2636</v>
      </c>
      <c r="N32" s="415" t="s">
        <v>2426</v>
      </c>
    </row>
    <row r="33" spans="3:14">
      <c r="E33" s="414" t="s">
        <v>310</v>
      </c>
      <c r="F33" s="414" t="s">
        <v>2345</v>
      </c>
      <c r="G33" s="414" t="s">
        <v>2637</v>
      </c>
      <c r="H33" s="414" t="s">
        <v>492</v>
      </c>
      <c r="L33" s="415" t="s">
        <v>2644</v>
      </c>
      <c r="M33" s="415" t="s">
        <v>2645</v>
      </c>
      <c r="N33" s="415" t="s">
        <v>2427</v>
      </c>
    </row>
    <row r="34" spans="3:14">
      <c r="F34" s="414" t="s">
        <v>2346</v>
      </c>
      <c r="H34" s="414" t="s">
        <v>2512</v>
      </c>
      <c r="N34" s="415" t="s">
        <v>2432</v>
      </c>
    </row>
    <row r="35" spans="3:14">
      <c r="C35" s="425"/>
      <c r="F35" s="414" t="s">
        <v>2347</v>
      </c>
      <c r="H35" s="414" t="s">
        <v>493</v>
      </c>
      <c r="N35" s="415" t="s">
        <v>2433</v>
      </c>
    </row>
    <row r="36" spans="3:14">
      <c r="F36" s="414" t="s">
        <v>2348</v>
      </c>
      <c r="H36" s="414" t="s">
        <v>2521</v>
      </c>
      <c r="N36" s="415" t="s">
        <v>2434</v>
      </c>
    </row>
    <row r="37" spans="3:14">
      <c r="F37" s="414" t="s">
        <v>2349</v>
      </c>
      <c r="H37" s="414" t="s">
        <v>494</v>
      </c>
      <c r="N37" s="415" t="s">
        <v>2435</v>
      </c>
    </row>
    <row r="38" spans="3:14">
      <c r="F38" s="414" t="s">
        <v>2350</v>
      </c>
      <c r="H38" s="414" t="s">
        <v>2530</v>
      </c>
      <c r="N38" s="415" t="s">
        <v>2436</v>
      </c>
    </row>
    <row r="39" spans="3:14">
      <c r="F39" s="414" t="s">
        <v>2351</v>
      </c>
      <c r="H39" s="414" t="s">
        <v>495</v>
      </c>
      <c r="N39" s="415" t="s">
        <v>2441</v>
      </c>
    </row>
    <row r="40" spans="3:14">
      <c r="F40" s="414" t="s">
        <v>2352</v>
      </c>
      <c r="H40" s="414" t="s">
        <v>2539</v>
      </c>
      <c r="N40" s="415" t="s">
        <v>2442</v>
      </c>
    </row>
    <row r="41" spans="3:14">
      <c r="F41" s="414" t="s">
        <v>2353</v>
      </c>
      <c r="H41" s="414" t="s">
        <v>496</v>
      </c>
      <c r="N41" s="415" t="s">
        <v>2443</v>
      </c>
    </row>
    <row r="42" spans="3:14">
      <c r="F42" s="414" t="s">
        <v>2354</v>
      </c>
      <c r="H42" s="414" t="s">
        <v>2548</v>
      </c>
      <c r="N42" s="415" t="s">
        <v>2444</v>
      </c>
    </row>
    <row r="43" spans="3:14">
      <c r="F43" s="414" t="s">
        <v>2355</v>
      </c>
      <c r="H43" s="414" t="s">
        <v>497</v>
      </c>
      <c r="N43" s="415" t="s">
        <v>2445</v>
      </c>
    </row>
    <row r="44" spans="3:14">
      <c r="F44" s="414" t="s">
        <v>2356</v>
      </c>
      <c r="H44" s="414" t="s">
        <v>2557</v>
      </c>
      <c r="N44" s="415" t="s">
        <v>2450</v>
      </c>
    </row>
    <row r="45" spans="3:14">
      <c r="F45" s="414" t="s">
        <v>2357</v>
      </c>
      <c r="H45" s="414" t="s">
        <v>498</v>
      </c>
      <c r="N45" s="415" t="s">
        <v>2451</v>
      </c>
    </row>
    <row r="46" spans="3:14">
      <c r="F46" s="414" t="s">
        <v>2358</v>
      </c>
      <c r="H46" s="414" t="s">
        <v>2566</v>
      </c>
      <c r="N46" s="415" t="s">
        <v>2452</v>
      </c>
    </row>
    <row r="47" spans="3:14">
      <c r="F47" s="414" t="s">
        <v>2359</v>
      </c>
      <c r="H47" s="414" t="s">
        <v>499</v>
      </c>
      <c r="N47" s="415" t="s">
        <v>2453</v>
      </c>
    </row>
    <row r="48" spans="3:14">
      <c r="F48" s="414" t="s">
        <v>2360</v>
      </c>
      <c r="H48" s="414" t="s">
        <v>2575</v>
      </c>
      <c r="N48" s="415" t="s">
        <v>2454</v>
      </c>
    </row>
    <row r="49" spans="6:14">
      <c r="F49" s="414" t="s">
        <v>2361</v>
      </c>
      <c r="H49" s="414" t="s">
        <v>500</v>
      </c>
      <c r="N49" s="415" t="s">
        <v>2459</v>
      </c>
    </row>
    <row r="50" spans="6:14">
      <c r="F50" s="414" t="s">
        <v>2362</v>
      </c>
      <c r="H50" s="414" t="s">
        <v>2584</v>
      </c>
      <c r="N50" s="415" t="s">
        <v>2460</v>
      </c>
    </row>
    <row r="51" spans="6:14">
      <c r="F51" s="414" t="s">
        <v>2363</v>
      </c>
      <c r="H51" s="414" t="s">
        <v>501</v>
      </c>
      <c r="N51" s="415" t="s">
        <v>2461</v>
      </c>
    </row>
    <row r="52" spans="6:14">
      <c r="F52" s="414" t="s">
        <v>2364</v>
      </c>
      <c r="H52" s="414" t="s">
        <v>2593</v>
      </c>
      <c r="N52" s="415" t="s">
        <v>2462</v>
      </c>
    </row>
    <row r="53" spans="6:14">
      <c r="F53" s="414" t="s">
        <v>2365</v>
      </c>
      <c r="H53" s="414" t="s">
        <v>502</v>
      </c>
      <c r="N53" s="415" t="s">
        <v>2463</v>
      </c>
    </row>
    <row r="54" spans="6:14">
      <c r="F54" s="414" t="s">
        <v>2366</v>
      </c>
      <c r="H54" s="414" t="s">
        <v>2602</v>
      </c>
      <c r="N54" s="415" t="s">
        <v>2468</v>
      </c>
    </row>
    <row r="55" spans="6:14">
      <c r="F55" s="414" t="s">
        <v>2367</v>
      </c>
      <c r="H55" s="414" t="s">
        <v>503</v>
      </c>
      <c r="N55" s="415" t="s">
        <v>2469</v>
      </c>
    </row>
    <row r="56" spans="6:14">
      <c r="F56" s="414" t="s">
        <v>2368</v>
      </c>
      <c r="H56" s="414" t="s">
        <v>2611</v>
      </c>
      <c r="N56" s="415" t="s">
        <v>2470</v>
      </c>
    </row>
    <row r="57" spans="6:14">
      <c r="F57" s="414" t="s">
        <v>2369</v>
      </c>
      <c r="H57" s="414" t="s">
        <v>504</v>
      </c>
      <c r="N57" s="415" t="s">
        <v>2471</v>
      </c>
    </row>
    <row r="58" spans="6:14">
      <c r="F58" s="414" t="s">
        <v>2370</v>
      </c>
      <c r="H58" s="414" t="s">
        <v>2620</v>
      </c>
      <c r="N58" s="415" t="s">
        <v>2472</v>
      </c>
    </row>
    <row r="59" spans="6:14">
      <c r="F59" s="414" t="s">
        <v>2371</v>
      </c>
      <c r="H59" s="414" t="s">
        <v>505</v>
      </c>
      <c r="N59" s="415" t="s">
        <v>2477</v>
      </c>
    </row>
    <row r="60" spans="6:14">
      <c r="F60" s="414" t="s">
        <v>2372</v>
      </c>
      <c r="H60" s="414" t="s">
        <v>2629</v>
      </c>
      <c r="N60" s="415" t="s">
        <v>2478</v>
      </c>
    </row>
    <row r="61" spans="6:14">
      <c r="F61" s="414" t="s">
        <v>2373</v>
      </c>
      <c r="H61" s="414" t="s">
        <v>506</v>
      </c>
      <c r="N61" s="415" t="s">
        <v>2479</v>
      </c>
    </row>
    <row r="62" spans="6:14">
      <c r="F62" s="414" t="s">
        <v>2374</v>
      </c>
      <c r="H62" s="414" t="s">
        <v>2638</v>
      </c>
      <c r="N62" s="415" t="s">
        <v>2480</v>
      </c>
    </row>
    <row r="63" spans="6:14">
      <c r="F63" s="414" t="s">
        <v>2375</v>
      </c>
      <c r="H63" s="414" t="s">
        <v>507</v>
      </c>
      <c r="N63" s="415" t="s">
        <v>2481</v>
      </c>
    </row>
    <row r="64" spans="6:14">
      <c r="N64" s="415" t="s">
        <v>2486</v>
      </c>
    </row>
    <row r="65" spans="14:14">
      <c r="N65" s="415" t="s">
        <v>2487</v>
      </c>
    </row>
    <row r="66" spans="14:14">
      <c r="N66" s="415" t="s">
        <v>2488</v>
      </c>
    </row>
    <row r="67" spans="14:14">
      <c r="N67" s="415" t="s">
        <v>2489</v>
      </c>
    </row>
    <row r="68" spans="14:14">
      <c r="N68" s="415" t="s">
        <v>2490</v>
      </c>
    </row>
    <row r="69" spans="14:14">
      <c r="N69" s="415" t="s">
        <v>2495</v>
      </c>
    </row>
    <row r="70" spans="14:14">
      <c r="N70" s="415" t="s">
        <v>2496</v>
      </c>
    </row>
    <row r="71" spans="14:14">
      <c r="N71" s="415" t="s">
        <v>2497</v>
      </c>
    </row>
    <row r="72" spans="14:14">
      <c r="N72" s="415" t="s">
        <v>2498</v>
      </c>
    </row>
    <row r="73" spans="14:14">
      <c r="N73" s="415" t="s">
        <v>2499</v>
      </c>
    </row>
    <row r="74" spans="14:14">
      <c r="N74" s="415" t="s">
        <v>2504</v>
      </c>
    </row>
    <row r="75" spans="14:14">
      <c r="N75" s="415" t="s">
        <v>2505</v>
      </c>
    </row>
    <row r="76" spans="14:14">
      <c r="N76" s="415" t="s">
        <v>2506</v>
      </c>
    </row>
    <row r="77" spans="14:14">
      <c r="N77" s="415" t="s">
        <v>2507</v>
      </c>
    </row>
    <row r="78" spans="14:14">
      <c r="N78" s="415" t="s">
        <v>2508</v>
      </c>
    </row>
    <row r="79" spans="14:14">
      <c r="N79" s="415" t="s">
        <v>2513</v>
      </c>
    </row>
    <row r="80" spans="14:14">
      <c r="N80" s="415" t="s">
        <v>2514</v>
      </c>
    </row>
    <row r="81" spans="14:14">
      <c r="N81" s="415" t="s">
        <v>2515</v>
      </c>
    </row>
    <row r="82" spans="14:14">
      <c r="N82" s="415" t="s">
        <v>2516</v>
      </c>
    </row>
    <row r="83" spans="14:14">
      <c r="N83" s="415" t="s">
        <v>2517</v>
      </c>
    </row>
    <row r="84" spans="14:14">
      <c r="N84" s="415" t="s">
        <v>2522</v>
      </c>
    </row>
    <row r="85" spans="14:14">
      <c r="N85" s="415" t="s">
        <v>2523</v>
      </c>
    </row>
    <row r="86" spans="14:14">
      <c r="N86" s="415" t="s">
        <v>2524</v>
      </c>
    </row>
    <row r="87" spans="14:14">
      <c r="N87" s="415" t="s">
        <v>2525</v>
      </c>
    </row>
    <row r="88" spans="14:14">
      <c r="N88" s="415" t="s">
        <v>2526</v>
      </c>
    </row>
    <row r="89" spans="14:14">
      <c r="N89" s="415" t="s">
        <v>2531</v>
      </c>
    </row>
    <row r="90" spans="14:14">
      <c r="N90" s="415" t="s">
        <v>2532</v>
      </c>
    </row>
    <row r="91" spans="14:14">
      <c r="N91" s="415" t="s">
        <v>2533</v>
      </c>
    </row>
    <row r="92" spans="14:14">
      <c r="N92" s="415" t="s">
        <v>2534</v>
      </c>
    </row>
    <row r="93" spans="14:14">
      <c r="N93" s="415" t="s">
        <v>2535</v>
      </c>
    </row>
    <row r="94" spans="14:14">
      <c r="N94" s="415" t="s">
        <v>2540</v>
      </c>
    </row>
    <row r="95" spans="14:14">
      <c r="N95" s="415" t="s">
        <v>2541</v>
      </c>
    </row>
    <row r="96" spans="14:14">
      <c r="N96" s="415" t="s">
        <v>2542</v>
      </c>
    </row>
    <row r="97" spans="14:14">
      <c r="N97" s="415" t="s">
        <v>2543</v>
      </c>
    </row>
    <row r="98" spans="14:14">
      <c r="N98" s="415" t="s">
        <v>2544</v>
      </c>
    </row>
    <row r="99" spans="14:14">
      <c r="N99" s="415" t="s">
        <v>2549</v>
      </c>
    </row>
    <row r="100" spans="14:14">
      <c r="N100" s="415" t="s">
        <v>2550</v>
      </c>
    </row>
    <row r="101" spans="14:14">
      <c r="N101" s="415" t="s">
        <v>2551</v>
      </c>
    </row>
    <row r="102" spans="14:14">
      <c r="N102" s="415" t="s">
        <v>2552</v>
      </c>
    </row>
    <row r="103" spans="14:14">
      <c r="N103" s="415" t="s">
        <v>2553</v>
      </c>
    </row>
    <row r="104" spans="14:14">
      <c r="N104" s="415" t="s">
        <v>2558</v>
      </c>
    </row>
    <row r="105" spans="14:14">
      <c r="N105" s="415" t="s">
        <v>2559</v>
      </c>
    </row>
    <row r="106" spans="14:14">
      <c r="N106" s="415" t="s">
        <v>2560</v>
      </c>
    </row>
    <row r="107" spans="14:14">
      <c r="N107" s="415" t="s">
        <v>2561</v>
      </c>
    </row>
    <row r="108" spans="14:14">
      <c r="N108" s="415" t="s">
        <v>2562</v>
      </c>
    </row>
    <row r="109" spans="14:14">
      <c r="N109" s="415" t="s">
        <v>2567</v>
      </c>
    </row>
    <row r="110" spans="14:14">
      <c r="N110" s="415" t="s">
        <v>2568</v>
      </c>
    </row>
    <row r="111" spans="14:14">
      <c r="N111" s="415" t="s">
        <v>2569</v>
      </c>
    </row>
    <row r="112" spans="14:14">
      <c r="N112" s="415" t="s">
        <v>2570</v>
      </c>
    </row>
    <row r="113" spans="14:14">
      <c r="N113" s="415" t="s">
        <v>2571</v>
      </c>
    </row>
    <row r="114" spans="14:14">
      <c r="N114" s="415" t="s">
        <v>2576</v>
      </c>
    </row>
    <row r="115" spans="14:14">
      <c r="N115" s="415" t="s">
        <v>2577</v>
      </c>
    </row>
    <row r="116" spans="14:14">
      <c r="N116" s="415" t="s">
        <v>2578</v>
      </c>
    </row>
    <row r="117" spans="14:14">
      <c r="N117" s="415" t="s">
        <v>2579</v>
      </c>
    </row>
    <row r="118" spans="14:14">
      <c r="N118" s="415" t="s">
        <v>2580</v>
      </c>
    </row>
    <row r="119" spans="14:14">
      <c r="N119" s="415" t="s">
        <v>2585</v>
      </c>
    </row>
    <row r="120" spans="14:14">
      <c r="N120" s="415" t="s">
        <v>2586</v>
      </c>
    </row>
    <row r="121" spans="14:14">
      <c r="N121" s="415" t="s">
        <v>2587</v>
      </c>
    </row>
    <row r="122" spans="14:14">
      <c r="N122" s="415" t="s">
        <v>2588</v>
      </c>
    </row>
    <row r="123" spans="14:14">
      <c r="N123" s="415" t="s">
        <v>2589</v>
      </c>
    </row>
    <row r="124" spans="14:14">
      <c r="N124" s="415" t="s">
        <v>2594</v>
      </c>
    </row>
    <row r="125" spans="14:14">
      <c r="N125" s="415" t="s">
        <v>2595</v>
      </c>
    </row>
    <row r="126" spans="14:14">
      <c r="N126" s="415" t="s">
        <v>2596</v>
      </c>
    </row>
    <row r="127" spans="14:14">
      <c r="N127" s="415" t="s">
        <v>2597</v>
      </c>
    </row>
    <row r="128" spans="14:14">
      <c r="N128" s="415" t="s">
        <v>2598</v>
      </c>
    </row>
    <row r="129" spans="14:14">
      <c r="N129" s="415" t="s">
        <v>2603</v>
      </c>
    </row>
    <row r="130" spans="14:14">
      <c r="N130" s="415" t="s">
        <v>2604</v>
      </c>
    </row>
    <row r="131" spans="14:14">
      <c r="N131" s="415" t="s">
        <v>2605</v>
      </c>
    </row>
    <row r="132" spans="14:14">
      <c r="N132" s="415" t="s">
        <v>2606</v>
      </c>
    </row>
    <row r="133" spans="14:14">
      <c r="N133" s="415" t="s">
        <v>2607</v>
      </c>
    </row>
    <row r="134" spans="14:14">
      <c r="N134" s="415" t="s">
        <v>2612</v>
      </c>
    </row>
    <row r="135" spans="14:14">
      <c r="N135" s="415" t="s">
        <v>2613</v>
      </c>
    </row>
    <row r="136" spans="14:14">
      <c r="N136" s="415" t="s">
        <v>2614</v>
      </c>
    </row>
    <row r="137" spans="14:14">
      <c r="N137" s="415" t="s">
        <v>2615</v>
      </c>
    </row>
    <row r="138" spans="14:14">
      <c r="N138" s="415" t="s">
        <v>2616</v>
      </c>
    </row>
    <row r="139" spans="14:14">
      <c r="N139" s="415" t="s">
        <v>2621</v>
      </c>
    </row>
    <row r="140" spans="14:14">
      <c r="N140" s="415" t="s">
        <v>2622</v>
      </c>
    </row>
    <row r="141" spans="14:14">
      <c r="N141" s="415" t="s">
        <v>2623</v>
      </c>
    </row>
    <row r="142" spans="14:14">
      <c r="N142" s="415" t="s">
        <v>2624</v>
      </c>
    </row>
    <row r="143" spans="14:14">
      <c r="N143" s="415" t="s">
        <v>2625</v>
      </c>
    </row>
    <row r="144" spans="14:14">
      <c r="N144" s="415" t="s">
        <v>2630</v>
      </c>
    </row>
    <row r="145" spans="14:14">
      <c r="N145" s="415" t="s">
        <v>2631</v>
      </c>
    </row>
    <row r="146" spans="14:14">
      <c r="N146" s="415" t="s">
        <v>2632</v>
      </c>
    </row>
    <row r="147" spans="14:14">
      <c r="N147" s="415" t="s">
        <v>2633</v>
      </c>
    </row>
    <row r="148" spans="14:14">
      <c r="N148" s="415" t="s">
        <v>2634</v>
      </c>
    </row>
    <row r="149" spans="14:14">
      <c r="N149" s="415" t="s">
        <v>2639</v>
      </c>
    </row>
    <row r="150" spans="14:14">
      <c r="N150" s="415" t="s">
        <v>2640</v>
      </c>
    </row>
    <row r="151" spans="14:14">
      <c r="N151" s="415" t="s">
        <v>2641</v>
      </c>
    </row>
    <row r="152" spans="14:14">
      <c r="N152" s="415" t="s">
        <v>2642</v>
      </c>
    </row>
    <row r="153" spans="14:14">
      <c r="N153" s="415" t="s">
        <v>2643</v>
      </c>
    </row>
  </sheetData>
  <phoneticPr fontId="3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708034" r:id="rId4" name="btnMakeProjectFolder">
          <controlPr defaultSize="0" autoLine="0" r:id="rId5">
            <anchor moveWithCells="1" sizeWithCells="1">
              <from>
                <xdr:col>0</xdr:col>
                <xdr:colOff>19050</xdr:colOff>
                <xdr:row>2</xdr:row>
                <xdr:rowOff>0</xdr:rowOff>
              </from>
              <to>
                <xdr:col>2</xdr:col>
                <xdr:colOff>0</xdr:colOff>
                <xdr:row>5</xdr:row>
                <xdr:rowOff>114300</xdr:rowOff>
              </to>
            </anchor>
          </controlPr>
        </control>
      </mc:Choice>
      <mc:Fallback>
        <control shapeId="1708034" r:id="rId4" name="btnMakeProjectFol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9"/>
  <sheetViews>
    <sheetView workbookViewId="0">
      <selection sqref="A1:I1"/>
    </sheetView>
  </sheetViews>
  <sheetFormatPr defaultRowHeight="13.5"/>
  <cols>
    <col min="1" max="1" width="25.33203125" customWidth="1"/>
    <col min="2" max="3" width="6.21875" customWidth="1"/>
    <col min="4" max="4" width="5.77734375" customWidth="1"/>
    <col min="5" max="5" width="6" bestFit="1" customWidth="1"/>
    <col min="6" max="7" width="6.5546875" customWidth="1"/>
    <col min="8" max="8" width="6.88671875" customWidth="1"/>
    <col min="9" max="9" width="6.5546875" customWidth="1"/>
  </cols>
  <sheetData>
    <row r="1" spans="1:9" ht="25.5" customHeight="1">
      <c r="A1" s="436" t="s">
        <v>194</v>
      </c>
      <c r="B1" s="436"/>
      <c r="C1" s="436"/>
      <c r="D1" s="436"/>
      <c r="E1" s="436"/>
      <c r="F1" s="436"/>
      <c r="G1" s="436"/>
      <c r="H1" s="436"/>
      <c r="I1" s="436"/>
    </row>
    <row r="2" spans="1:9" ht="36">
      <c r="A2" s="437" t="s">
        <v>139</v>
      </c>
      <c r="B2" s="434" t="s">
        <v>141</v>
      </c>
      <c r="C2" s="21" t="s">
        <v>137</v>
      </c>
      <c r="D2" s="34" t="s">
        <v>144</v>
      </c>
      <c r="E2" s="17" t="s">
        <v>192</v>
      </c>
      <c r="F2" s="34" t="s">
        <v>191</v>
      </c>
      <c r="G2" s="17" t="s">
        <v>188</v>
      </c>
      <c r="H2" s="17" t="s">
        <v>189</v>
      </c>
      <c r="I2" s="17" t="s">
        <v>190</v>
      </c>
    </row>
    <row r="3" spans="1:9" ht="24" customHeight="1">
      <c r="A3" s="437"/>
      <c r="B3" s="435"/>
      <c r="C3" s="26">
        <f>1-D3</f>
        <v>0.95</v>
      </c>
      <c r="D3" s="31">
        <v>0.05</v>
      </c>
      <c r="E3" s="26">
        <v>0.61</v>
      </c>
      <c r="F3" s="32">
        <f>1-E3</f>
        <v>0.39</v>
      </c>
      <c r="G3" s="33">
        <v>0.87</v>
      </c>
      <c r="H3" s="33">
        <v>0.11</v>
      </c>
      <c r="I3" s="33">
        <v>0.02</v>
      </c>
    </row>
    <row r="4" spans="1:9" ht="39.950000000000003" customHeight="1">
      <c r="A4" s="28" t="s">
        <v>193</v>
      </c>
      <c r="B4" s="30">
        <f>TACCRate</f>
        <v>40.383910575737488</v>
      </c>
      <c r="C4" s="29">
        <f>B4*C3</f>
        <v>38.364715046950614</v>
      </c>
      <c r="D4" s="30">
        <f>B4*D3</f>
        <v>2.0191955287868746</v>
      </c>
      <c r="E4" s="29">
        <f>D4/(E3+표준시나리오!E69*F3)</f>
        <v>1.0199828690640784</v>
      </c>
      <c r="F4" s="27">
        <f>E4*표준시나리오!E69</f>
        <v>3.5820666119430431</v>
      </c>
      <c r="G4" s="18">
        <f>F4*G3</f>
        <v>3.1163979523904475</v>
      </c>
      <c r="H4" s="18">
        <f>F4*H3</f>
        <v>0.39402732731373474</v>
      </c>
      <c r="I4" s="18">
        <f>F4*I3</f>
        <v>7.1641332238860864E-2</v>
      </c>
    </row>
    <row r="5" spans="1:9" ht="39.950000000000003" customHeight="1">
      <c r="A5" s="17" t="s">
        <v>142</v>
      </c>
      <c r="B5" s="40">
        <f>TOTALVK/BASE*B4</f>
        <v>0.78891897399129718</v>
      </c>
      <c r="C5" s="40">
        <f>TOTALVK/BASE*C4</f>
        <v>0.74947302529173232</v>
      </c>
      <c r="D5" s="40">
        <f>TOTALVK/BASE*D4</f>
        <v>3.9445948699564859E-2</v>
      </c>
      <c r="E5" s="40">
        <f>PCVK/BASE*E4</f>
        <v>1.5042573531204606E-2</v>
      </c>
      <c r="F5" s="40">
        <f>LGVK/BASE*F4</f>
        <v>1.7149533060394039E-2</v>
      </c>
      <c r="G5" s="40" t="e">
        <f>BSVK/BASE*G4</f>
        <v>#NAME?</v>
      </c>
      <c r="H5" s="40">
        <f>TRVK/BASE*H4</f>
        <v>6.8630661704892533E-4</v>
      </c>
      <c r="I5" s="67">
        <f>SPVK/BASE*I4</f>
        <v>2.0818856522481383E-6</v>
      </c>
    </row>
    <row r="6" spans="1:9" ht="39.950000000000003" customHeight="1">
      <c r="A6" s="17" t="s">
        <v>143</v>
      </c>
      <c r="B6" s="40">
        <f>1/B5</f>
        <v>1.2675572941804176</v>
      </c>
      <c r="C6" s="40">
        <f t="shared" ref="C6:I6" si="0">1/C5</f>
        <v>1.3342708359793871</v>
      </c>
      <c r="D6" s="40">
        <f t="shared" si="0"/>
        <v>25.351145883608353</v>
      </c>
      <c r="E6" s="40">
        <f t="shared" si="0"/>
        <v>66.477986491179891</v>
      </c>
      <c r="F6" s="40">
        <f t="shared" si="0"/>
        <v>58.310625512565608</v>
      </c>
      <c r="G6" s="40" t="e">
        <f>1/G5</f>
        <v>#NAME?</v>
      </c>
      <c r="H6" s="40">
        <f t="shared" si="0"/>
        <v>1457.0746881327418</v>
      </c>
      <c r="I6" s="40">
        <f t="shared" si="0"/>
        <v>480333.77765975922</v>
      </c>
    </row>
    <row r="7" spans="1:9">
      <c r="A7" s="1"/>
      <c r="B7" s="1"/>
      <c r="C7" s="1"/>
      <c r="D7" s="1"/>
      <c r="E7" s="1"/>
      <c r="F7" s="1"/>
      <c r="G7" s="1"/>
      <c r="H7" s="20"/>
    </row>
    <row r="8" spans="1:9">
      <c r="C8" s="5" t="s">
        <v>200</v>
      </c>
      <c r="D8" s="1" t="s">
        <v>201</v>
      </c>
    </row>
    <row r="9" spans="1:9">
      <c r="B9">
        <f>BASE</f>
        <v>100000000</v>
      </c>
    </row>
  </sheetData>
  <protectedRanges>
    <protectedRange sqref="B4 C3 E3:I3 D4" name="범위1"/>
  </protectedRanges>
  <mergeCells count="3">
    <mergeCell ref="B2:B3"/>
    <mergeCell ref="A1:I1"/>
    <mergeCell ref="A2:A3"/>
  </mergeCells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4"/>
  <sheetViews>
    <sheetView workbookViewId="0">
      <selection sqref="A1:D1"/>
    </sheetView>
  </sheetViews>
  <sheetFormatPr defaultColWidth="8.88671875" defaultRowHeight="12"/>
  <cols>
    <col min="1" max="1" width="6.5546875" style="1" customWidth="1"/>
    <col min="2" max="2" width="2.6640625" style="1" customWidth="1"/>
    <col min="3" max="3" width="4.88671875" style="1" customWidth="1"/>
    <col min="4" max="4" width="16.88671875" style="1" customWidth="1"/>
    <col min="5" max="11" width="8.88671875" style="1"/>
    <col min="12" max="12" width="9.44140625" style="1" customWidth="1"/>
    <col min="13" max="16384" width="8.88671875" style="1"/>
  </cols>
  <sheetData>
    <row r="1" spans="1:13">
      <c r="A1" s="440" t="s">
        <v>161</v>
      </c>
      <c r="B1" s="440"/>
      <c r="C1" s="440"/>
      <c r="D1" s="440"/>
      <c r="E1" s="54">
        <v>2000</v>
      </c>
      <c r="F1" s="54">
        <v>2001</v>
      </c>
      <c r="G1" s="54">
        <v>2002</v>
      </c>
      <c r="H1" s="54">
        <v>2003</v>
      </c>
      <c r="I1" s="54">
        <v>2004</v>
      </c>
      <c r="J1" s="54">
        <v>2005</v>
      </c>
      <c r="K1" s="54">
        <v>2006</v>
      </c>
      <c r="L1" s="39" t="s">
        <v>197</v>
      </c>
    </row>
    <row r="2" spans="1:13">
      <c r="A2" s="440" t="s">
        <v>159</v>
      </c>
      <c r="B2" s="440"/>
      <c r="C2" s="440"/>
      <c r="D2" s="440"/>
      <c r="E2" s="44">
        <v>290</v>
      </c>
      <c r="F2" s="44">
        <v>300</v>
      </c>
      <c r="G2" s="44">
        <v>310.8</v>
      </c>
      <c r="H2" s="44">
        <v>317</v>
      </c>
      <c r="I2" s="44">
        <v>324</v>
      </c>
      <c r="J2" s="44">
        <v>328</v>
      </c>
      <c r="K2" s="44">
        <v>331</v>
      </c>
      <c r="L2" s="57">
        <f>AVERAGE(E2:K2)</f>
        <v>314.40000000000003</v>
      </c>
    </row>
    <row r="3" spans="1:13">
      <c r="A3" s="441" t="s">
        <v>145</v>
      </c>
      <c r="B3" s="441"/>
      <c r="C3" s="441"/>
      <c r="D3" s="36" t="s">
        <v>1</v>
      </c>
      <c r="E3" s="45">
        <v>291481</v>
      </c>
      <c r="F3" s="45">
        <v>260579</v>
      </c>
      <c r="G3" s="45">
        <v>231026</v>
      </c>
      <c r="H3" s="45">
        <v>240832</v>
      </c>
      <c r="I3" s="45">
        <v>220755</v>
      </c>
      <c r="J3" s="45">
        <v>214171</v>
      </c>
      <c r="K3" s="45">
        <v>213745</v>
      </c>
      <c r="L3" s="57">
        <f t="shared" ref="L3:L22" si="0">AVERAGE(E3:K3)</f>
        <v>238941.28571428571</v>
      </c>
    </row>
    <row r="4" spans="1:13">
      <c r="A4" s="441"/>
      <c r="B4" s="441"/>
      <c r="C4" s="441"/>
      <c r="D4" s="36" t="s">
        <v>146</v>
      </c>
      <c r="E4" s="46">
        <v>10236</v>
      </c>
      <c r="F4" s="46">
        <v>8097</v>
      </c>
      <c r="G4" s="46">
        <v>7224</v>
      </c>
      <c r="H4" s="46">
        <v>7212</v>
      </c>
      <c r="I4" s="46">
        <v>6563</v>
      </c>
      <c r="J4" s="46">
        <v>6376</v>
      </c>
      <c r="K4" s="46">
        <v>6327</v>
      </c>
      <c r="L4" s="57">
        <f t="shared" si="0"/>
        <v>7433.5714285714284</v>
      </c>
    </row>
    <row r="5" spans="1:13" ht="12" customHeight="1">
      <c r="A5" s="441"/>
      <c r="B5" s="441"/>
      <c r="C5" s="441"/>
      <c r="D5" s="36" t="s">
        <v>160</v>
      </c>
      <c r="E5" s="47">
        <f>E4/E2</f>
        <v>35.296551724137935</v>
      </c>
      <c r="F5" s="47">
        <f t="shared" ref="F5:K5" si="1">F4/F2</f>
        <v>26.99</v>
      </c>
      <c r="G5" s="47">
        <f t="shared" si="1"/>
        <v>23.243243243243242</v>
      </c>
      <c r="H5" s="47">
        <f t="shared" si="1"/>
        <v>22.750788643533124</v>
      </c>
      <c r="I5" s="47">
        <f t="shared" si="1"/>
        <v>20.256172839506174</v>
      </c>
      <c r="J5" s="47">
        <f t="shared" si="1"/>
        <v>19.439024390243901</v>
      </c>
      <c r="K5" s="47">
        <f t="shared" si="1"/>
        <v>19.114803625377643</v>
      </c>
      <c r="L5" s="57">
        <f t="shared" si="0"/>
        <v>23.870083495148862</v>
      </c>
      <c r="M5" s="19"/>
    </row>
    <row r="6" spans="1:13">
      <c r="A6" s="441"/>
      <c r="B6" s="441"/>
      <c r="C6" s="441"/>
      <c r="D6" s="36" t="s">
        <v>0</v>
      </c>
      <c r="E6" s="46">
        <v>426984</v>
      </c>
      <c r="F6" s="46">
        <v>386539</v>
      </c>
      <c r="G6" s="46">
        <v>348184</v>
      </c>
      <c r="H6" s="46">
        <v>376503</v>
      </c>
      <c r="I6" s="46">
        <v>346987</v>
      </c>
      <c r="J6" s="46">
        <v>342233</v>
      </c>
      <c r="K6" s="46">
        <v>340229</v>
      </c>
      <c r="L6" s="57">
        <f t="shared" si="0"/>
        <v>366808.42857142858</v>
      </c>
    </row>
    <row r="7" spans="1:13" ht="12" customHeight="1">
      <c r="A7" s="442" t="s">
        <v>147</v>
      </c>
      <c r="B7" s="442"/>
      <c r="C7" s="442" t="s">
        <v>148</v>
      </c>
      <c r="D7" s="35" t="s">
        <v>2</v>
      </c>
      <c r="E7" s="48">
        <v>301</v>
      </c>
      <c r="F7" s="48">
        <v>292</v>
      </c>
      <c r="G7" s="48">
        <v>259</v>
      </c>
      <c r="H7" s="48">
        <v>453</v>
      </c>
      <c r="I7" s="48">
        <v>382</v>
      </c>
      <c r="J7" s="48">
        <v>549</v>
      </c>
      <c r="K7" s="48">
        <v>567</v>
      </c>
      <c r="L7" s="57">
        <f t="shared" si="0"/>
        <v>400.42857142857144</v>
      </c>
    </row>
    <row r="8" spans="1:13">
      <c r="A8" s="442"/>
      <c r="B8" s="442"/>
      <c r="C8" s="442"/>
      <c r="D8" s="35" t="s">
        <v>146</v>
      </c>
      <c r="E8" s="48">
        <v>13</v>
      </c>
      <c r="F8" s="48">
        <v>9</v>
      </c>
      <c r="G8" s="48">
        <v>8</v>
      </c>
      <c r="H8" s="48">
        <v>25</v>
      </c>
      <c r="I8" s="48">
        <v>13</v>
      </c>
      <c r="J8" s="48">
        <v>25</v>
      </c>
      <c r="K8" s="48">
        <v>24</v>
      </c>
      <c r="L8" s="57">
        <f t="shared" si="0"/>
        <v>16.714285714285715</v>
      </c>
    </row>
    <row r="9" spans="1:13">
      <c r="A9" s="442"/>
      <c r="B9" s="442"/>
      <c r="C9" s="442"/>
      <c r="D9" s="35" t="s">
        <v>149</v>
      </c>
      <c r="E9" s="48">
        <v>593</v>
      </c>
      <c r="F9" s="48">
        <v>578</v>
      </c>
      <c r="G9" s="48">
        <v>545</v>
      </c>
      <c r="H9" s="48">
        <v>949</v>
      </c>
      <c r="I9" s="48">
        <v>830</v>
      </c>
      <c r="J9" s="48">
        <v>1326</v>
      </c>
      <c r="K9" s="48">
        <v>1349</v>
      </c>
      <c r="L9" s="57">
        <f t="shared" si="0"/>
        <v>881.42857142857144</v>
      </c>
    </row>
    <row r="10" spans="1:13" ht="12" customHeight="1">
      <c r="A10" s="442"/>
      <c r="B10" s="442"/>
      <c r="C10" s="442" t="s">
        <v>150</v>
      </c>
      <c r="D10" s="35" t="s">
        <v>3</v>
      </c>
      <c r="E10" s="48">
        <v>12</v>
      </c>
      <c r="F10" s="48">
        <v>8</v>
      </c>
      <c r="G10" s="48">
        <v>13</v>
      </c>
      <c r="H10" s="48">
        <v>13</v>
      </c>
      <c r="I10" s="48">
        <v>4</v>
      </c>
      <c r="J10" s="48">
        <v>7</v>
      </c>
      <c r="K10" s="48">
        <v>32</v>
      </c>
      <c r="L10" s="57">
        <f t="shared" si="0"/>
        <v>12.714285714285714</v>
      </c>
    </row>
    <row r="11" spans="1:13">
      <c r="A11" s="442"/>
      <c r="B11" s="442"/>
      <c r="C11" s="442"/>
      <c r="D11" s="35" t="s">
        <v>146</v>
      </c>
      <c r="E11" s="48">
        <v>4</v>
      </c>
      <c r="F11" s="48">
        <v>1</v>
      </c>
      <c r="G11" s="48">
        <v>2</v>
      </c>
      <c r="H11" s="48">
        <v>0</v>
      </c>
      <c r="I11" s="48">
        <v>1</v>
      </c>
      <c r="J11" s="48">
        <v>1</v>
      </c>
      <c r="K11" s="48">
        <v>1</v>
      </c>
      <c r="L11" s="57">
        <f t="shared" si="0"/>
        <v>1.4285714285714286</v>
      </c>
    </row>
    <row r="12" spans="1:13">
      <c r="A12" s="442"/>
      <c r="B12" s="442"/>
      <c r="C12" s="442"/>
      <c r="D12" s="35" t="s">
        <v>149</v>
      </c>
      <c r="E12" s="48">
        <v>2</v>
      </c>
      <c r="F12" s="48">
        <v>0</v>
      </c>
      <c r="G12" s="48">
        <v>0</v>
      </c>
      <c r="H12" s="48">
        <v>48</v>
      </c>
      <c r="I12" s="48">
        <v>2</v>
      </c>
      <c r="J12" s="48">
        <v>1</v>
      </c>
      <c r="K12" s="48">
        <v>8</v>
      </c>
      <c r="L12" s="57">
        <f t="shared" si="0"/>
        <v>8.7142857142857135</v>
      </c>
    </row>
    <row r="13" spans="1:13">
      <c r="A13" s="438" t="s">
        <v>151</v>
      </c>
      <c r="B13" s="438"/>
      <c r="C13" s="438"/>
      <c r="D13" s="38" t="s">
        <v>153</v>
      </c>
      <c r="E13" s="49">
        <f>E7/E3*100</f>
        <v>0.10326573601709889</v>
      </c>
      <c r="F13" s="49">
        <f t="shared" ref="F13:K13" si="2">F7/F3*100</f>
        <v>0.11205814743321604</v>
      </c>
      <c r="G13" s="49">
        <f t="shared" si="2"/>
        <v>0.112108593837923</v>
      </c>
      <c r="H13" s="49">
        <f t="shared" si="2"/>
        <v>0.18809792718575605</v>
      </c>
      <c r="I13" s="49">
        <f t="shared" si="2"/>
        <v>0.17304251319335914</v>
      </c>
      <c r="J13" s="49">
        <f t="shared" si="2"/>
        <v>0.25633722586157787</v>
      </c>
      <c r="K13" s="49">
        <f t="shared" si="2"/>
        <v>0.26526936302603571</v>
      </c>
      <c r="L13" s="57">
        <f t="shared" si="0"/>
        <v>0.17288278665070952</v>
      </c>
    </row>
    <row r="14" spans="1:13">
      <c r="A14" s="438" t="s">
        <v>152</v>
      </c>
      <c r="B14" s="438"/>
      <c r="C14" s="438"/>
      <c r="D14" s="38" t="s">
        <v>154</v>
      </c>
      <c r="E14" s="49">
        <f>E10/E7*100</f>
        <v>3.9867109634551494</v>
      </c>
      <c r="F14" s="49">
        <f t="shared" ref="F14:K14" si="3">F10/F7*100</f>
        <v>2.7397260273972601</v>
      </c>
      <c r="G14" s="49">
        <f t="shared" si="3"/>
        <v>5.019305019305019</v>
      </c>
      <c r="H14" s="49">
        <f t="shared" si="3"/>
        <v>2.869757174392936</v>
      </c>
      <c r="I14" s="49">
        <f t="shared" si="3"/>
        <v>1.0471204188481675</v>
      </c>
      <c r="J14" s="49">
        <f t="shared" si="3"/>
        <v>1.2750455373406193</v>
      </c>
      <c r="K14" s="49">
        <f t="shared" si="3"/>
        <v>5.6437389770723101</v>
      </c>
      <c r="L14" s="57">
        <f t="shared" si="0"/>
        <v>3.2259148739730663</v>
      </c>
    </row>
    <row r="15" spans="1:13" ht="15.75" customHeight="1">
      <c r="A15" s="439" t="s">
        <v>157</v>
      </c>
      <c r="B15" s="439"/>
      <c r="C15" s="439" t="s">
        <v>155</v>
      </c>
      <c r="D15" s="37" t="s">
        <v>4</v>
      </c>
      <c r="E15" s="50">
        <f>E3/E2/10</f>
        <v>100.51068965517241</v>
      </c>
      <c r="F15" s="50">
        <f t="shared" ref="F15:K15" si="4">F3/F2/10</f>
        <v>86.859666666666669</v>
      </c>
      <c r="G15" s="50">
        <f t="shared" si="4"/>
        <v>74.332689832689837</v>
      </c>
      <c r="H15" s="50">
        <f t="shared" si="4"/>
        <v>75.972239747634063</v>
      </c>
      <c r="I15" s="50">
        <f t="shared" si="4"/>
        <v>68.134259259259267</v>
      </c>
      <c r="J15" s="50">
        <f>J3/J2/10</f>
        <v>65.296036585365854</v>
      </c>
      <c r="K15" s="50">
        <f t="shared" si="4"/>
        <v>64.575528700906347</v>
      </c>
      <c r="L15" s="57">
        <f t="shared" si="0"/>
        <v>76.525872921099207</v>
      </c>
    </row>
    <row r="16" spans="1:13">
      <c r="A16" s="439"/>
      <c r="B16" s="439"/>
      <c r="C16" s="439"/>
      <c r="D16" s="37" t="s">
        <v>6</v>
      </c>
      <c r="E16" s="51">
        <f>E15*$L$14/100</f>
        <v>3.2423892875191149</v>
      </c>
      <c r="F16" s="51">
        <f t="shared" ref="F16:K16" si="5">F15*$L$14/100</f>
        <v>2.8020189064834256</v>
      </c>
      <c r="G16" s="51">
        <f t="shared" si="5"/>
        <v>2.3979092975370064</v>
      </c>
      <c r="H16" s="51">
        <f t="shared" si="5"/>
        <v>2.4507997821094052</v>
      </c>
      <c r="I16" s="51">
        <f t="shared" si="5"/>
        <v>2.1979532037158158</v>
      </c>
      <c r="J16" s="51">
        <f t="shared" si="5"/>
        <v>2.1063945563222122</v>
      </c>
      <c r="K16" s="51">
        <f t="shared" si="5"/>
        <v>2.0831515853092841</v>
      </c>
      <c r="L16" s="57">
        <f t="shared" si="0"/>
        <v>2.4686595169994665</v>
      </c>
    </row>
    <row r="17" spans="1:13" ht="13.5" customHeight="1">
      <c r="A17" s="439"/>
      <c r="B17" s="439"/>
      <c r="C17" s="439" t="s">
        <v>156</v>
      </c>
      <c r="D17" s="37" t="s">
        <v>158</v>
      </c>
      <c r="E17" s="50">
        <v>52.75</v>
      </c>
      <c r="F17" s="50">
        <v>52.75</v>
      </c>
      <c r="G17" s="50">
        <v>45.7</v>
      </c>
      <c r="H17" s="50">
        <v>59.8</v>
      </c>
      <c r="I17" s="50">
        <v>52.75</v>
      </c>
      <c r="J17" s="50">
        <v>52.75</v>
      </c>
      <c r="K17" s="50">
        <v>52.75</v>
      </c>
      <c r="L17" s="57">
        <f t="shared" si="0"/>
        <v>52.75</v>
      </c>
    </row>
    <row r="18" spans="1:13">
      <c r="A18" s="439"/>
      <c r="B18" s="439"/>
      <c r="C18" s="439"/>
      <c r="D18" s="37" t="s">
        <v>8</v>
      </c>
      <c r="E18" s="52">
        <f>E3*E17/100</f>
        <v>153756.22750000001</v>
      </c>
      <c r="F18" s="52">
        <f t="shared" ref="F18:K18" si="6">F3*F17/100</f>
        <v>137455.42249999999</v>
      </c>
      <c r="G18" s="52">
        <f t="shared" si="6"/>
        <v>105578.88200000001</v>
      </c>
      <c r="H18" s="52">
        <f t="shared" si="6"/>
        <v>144017.53599999999</v>
      </c>
      <c r="I18" s="52">
        <f t="shared" si="6"/>
        <v>116448.2625</v>
      </c>
      <c r="J18" s="52">
        <f t="shared" si="6"/>
        <v>112975.2025</v>
      </c>
      <c r="K18" s="52">
        <f t="shared" si="6"/>
        <v>112750.4875</v>
      </c>
      <c r="L18" s="57">
        <f t="shared" si="0"/>
        <v>126140.28864285714</v>
      </c>
    </row>
    <row r="19" spans="1:13">
      <c r="A19" s="439"/>
      <c r="B19" s="439"/>
      <c r="C19" s="439"/>
      <c r="D19" s="37" t="s">
        <v>11</v>
      </c>
      <c r="E19" s="51">
        <f>E18/E2/10</f>
        <v>53.019388793103452</v>
      </c>
      <c r="F19" s="51">
        <f t="shared" ref="F19:K19" si="7">F18/F2/10</f>
        <v>45.818474166666661</v>
      </c>
      <c r="G19" s="51">
        <f t="shared" si="7"/>
        <v>33.970039253539255</v>
      </c>
      <c r="H19" s="51">
        <f t="shared" si="7"/>
        <v>45.43139936908517</v>
      </c>
      <c r="I19" s="51">
        <f t="shared" si="7"/>
        <v>35.940821759259258</v>
      </c>
      <c r="J19" s="51">
        <f>J18/J2/10</f>
        <v>34.443659298780489</v>
      </c>
      <c r="K19" s="51">
        <f t="shared" si="7"/>
        <v>34.063591389728103</v>
      </c>
      <c r="L19" s="57">
        <f t="shared" si="0"/>
        <v>40.383910575737488</v>
      </c>
    </row>
    <row r="20" spans="1:13">
      <c r="A20" s="439"/>
      <c r="B20" s="439"/>
      <c r="C20" s="439"/>
      <c r="D20" s="37" t="s">
        <v>12</v>
      </c>
      <c r="E20" s="51">
        <f t="shared" ref="E20:K20" si="8">E19*E14/100</f>
        <v>2.1137297857715662</v>
      </c>
      <c r="F20" s="51">
        <f t="shared" si="8"/>
        <v>1.2553006621004565</v>
      </c>
      <c r="G20" s="51">
        <f t="shared" si="8"/>
        <v>1.705059885312781</v>
      </c>
      <c r="H20" s="51">
        <f t="shared" si="8"/>
        <v>1.3037708428214287</v>
      </c>
      <c r="I20" s="51">
        <f t="shared" si="8"/>
        <v>0.37634368334302887</v>
      </c>
      <c r="J20" s="51">
        <f t="shared" si="8"/>
        <v>0.43917234078590789</v>
      </c>
      <c r="K20" s="51">
        <f t="shared" si="8"/>
        <v>1.9224601842527322</v>
      </c>
      <c r="L20" s="57">
        <f t="shared" si="0"/>
        <v>1.302262483483986</v>
      </c>
    </row>
    <row r="21" spans="1:13">
      <c r="A21" s="439"/>
      <c r="B21" s="439"/>
      <c r="C21" s="439"/>
      <c r="D21" s="37" t="s">
        <v>10</v>
      </c>
      <c r="E21" s="51">
        <f>E19*$L$14/100</f>
        <v>1.7103603491663333</v>
      </c>
      <c r="F21" s="51">
        <f t="shared" ref="F21:K21" si="9">F19*$L$14/100</f>
        <v>1.4780649731700066</v>
      </c>
      <c r="G21" s="51">
        <f t="shared" si="9"/>
        <v>1.095844548974412</v>
      </c>
      <c r="H21" s="51">
        <f t="shared" si="9"/>
        <v>1.4655782697014244</v>
      </c>
      <c r="I21" s="51">
        <f t="shared" si="9"/>
        <v>1.1594203149600926</v>
      </c>
      <c r="J21" s="51">
        <f t="shared" si="9"/>
        <v>1.111123128459967</v>
      </c>
      <c r="K21" s="51">
        <f t="shared" si="9"/>
        <v>1.0988624612506477</v>
      </c>
      <c r="L21" s="57">
        <f t="shared" si="0"/>
        <v>1.3027505779546975</v>
      </c>
    </row>
    <row r="22" spans="1:13" ht="14.25">
      <c r="A22" s="439"/>
      <c r="B22" s="439"/>
      <c r="C22" s="439"/>
      <c r="D22" s="43" t="s">
        <v>9</v>
      </c>
      <c r="E22" s="53">
        <f>E19*0.05</f>
        <v>2.6509694396551726</v>
      </c>
      <c r="F22" s="53">
        <f t="shared" ref="F22:K22" si="10">F19*0.05</f>
        <v>2.2909237083333331</v>
      </c>
      <c r="G22" s="53">
        <f t="shared" si="10"/>
        <v>1.6985019626769629</v>
      </c>
      <c r="H22" s="53">
        <f t="shared" si="10"/>
        <v>2.2715699684542585</v>
      </c>
      <c r="I22" s="53">
        <f t="shared" si="10"/>
        <v>1.797041087962963</v>
      </c>
      <c r="J22" s="53">
        <f t="shared" si="10"/>
        <v>1.7221829649390246</v>
      </c>
      <c r="K22" s="53">
        <f t="shared" si="10"/>
        <v>1.7031795694864051</v>
      </c>
      <c r="L22" s="57">
        <f t="shared" si="0"/>
        <v>2.0191955287868741</v>
      </c>
      <c r="M22" s="1" t="s">
        <v>199</v>
      </c>
    </row>
    <row r="23" spans="1:13">
      <c r="A23" s="1" t="s">
        <v>5</v>
      </c>
    </row>
    <row r="24" spans="1:13">
      <c r="A24" s="1" t="s">
        <v>7</v>
      </c>
    </row>
  </sheetData>
  <mergeCells count="11">
    <mergeCell ref="A1:D1"/>
    <mergeCell ref="A2:D2"/>
    <mergeCell ref="A3:C6"/>
    <mergeCell ref="A7:B12"/>
    <mergeCell ref="C7:C9"/>
    <mergeCell ref="C10:C12"/>
    <mergeCell ref="A13:C13"/>
    <mergeCell ref="A14:C14"/>
    <mergeCell ref="C15:C16"/>
    <mergeCell ref="A15:B22"/>
    <mergeCell ref="C17:C22"/>
  </mergeCells>
  <phoneticPr fontId="3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336"/>
  <sheetViews>
    <sheetView tabSelected="1" topLeftCell="A34" zoomScaleNormal="100" workbookViewId="0">
      <selection activeCell="J26" sqref="J26"/>
    </sheetView>
  </sheetViews>
  <sheetFormatPr defaultColWidth="8.88671875" defaultRowHeight="12.95" customHeight="1"/>
  <cols>
    <col min="1" max="1" width="9.21875" style="1" customWidth="1"/>
    <col min="2" max="2" width="9.6640625" style="1" customWidth="1"/>
    <col min="3" max="3" width="8.88671875" style="1"/>
    <col min="4" max="9" width="9.33203125" style="1" customWidth="1"/>
    <col min="10" max="10" width="9.33203125" style="2" customWidth="1"/>
    <col min="11" max="11" width="9.33203125" style="3" customWidth="1"/>
    <col min="12" max="12" width="9.33203125" style="1" customWidth="1"/>
    <col min="13" max="13" width="8.21875" style="1" customWidth="1"/>
    <col min="14" max="14" width="7.21875" style="1" customWidth="1"/>
    <col min="15" max="18" width="7.109375" style="1" customWidth="1"/>
    <col min="19" max="19" width="9.109375" style="1" customWidth="1"/>
    <col min="20" max="20" width="7.21875" style="1" customWidth="1"/>
    <col min="21" max="16384" width="8.88671875" style="1"/>
  </cols>
  <sheetData>
    <row r="1" spans="1:19" ht="12.95" customHeight="1">
      <c r="A1" s="443" t="s">
        <v>185</v>
      </c>
      <c r="B1" s="443"/>
      <c r="C1" s="443"/>
      <c r="D1" s="443"/>
      <c r="E1" s="443"/>
    </row>
    <row r="2" spans="1:19" ht="37.5" customHeight="1">
      <c r="B2" s="445" t="s">
        <v>84</v>
      </c>
      <c r="C2" s="445"/>
      <c r="D2" s="17" t="s">
        <v>546</v>
      </c>
      <c r="E2" s="17" t="s">
        <v>220</v>
      </c>
      <c r="F2" s="15" t="s">
        <v>165</v>
      </c>
      <c r="G2" s="15" t="s">
        <v>166</v>
      </c>
      <c r="H2" s="17" t="s">
        <v>205</v>
      </c>
      <c r="I2" s="15" t="s">
        <v>82</v>
      </c>
      <c r="J2" s="15" t="s">
        <v>83</v>
      </c>
      <c r="K2" s="15" t="s">
        <v>84</v>
      </c>
      <c r="L2" s="94" t="s">
        <v>85</v>
      </c>
    </row>
    <row r="3" spans="1:19" ht="12.95" customHeight="1">
      <c r="B3" s="445" t="s">
        <v>1381</v>
      </c>
      <c r="C3" s="445"/>
      <c r="D3" s="255">
        <v>0.49759999999999999</v>
      </c>
      <c r="E3" s="249"/>
      <c r="F3" s="249"/>
      <c r="G3" s="288"/>
      <c r="H3" s="249"/>
      <c r="I3" s="250"/>
      <c r="J3" s="250"/>
      <c r="K3" s="249" t="s">
        <v>3683</v>
      </c>
      <c r="L3" s="251" t="s">
        <v>2652</v>
      </c>
    </row>
    <row r="5" spans="1:19" ht="12.95" customHeight="1">
      <c r="C5" s="3"/>
      <c r="J5" s="1"/>
      <c r="K5" s="1"/>
    </row>
    <row r="6" spans="1:19" ht="12.95" customHeight="1">
      <c r="A6" s="1" t="s">
        <v>186</v>
      </c>
      <c r="E6" s="1">
        <v>27360</v>
      </c>
      <c r="F6" s="1">
        <v>132</v>
      </c>
      <c r="G6" s="1">
        <v>541</v>
      </c>
      <c r="H6" s="1">
        <v>8407</v>
      </c>
      <c r="I6" s="1">
        <v>1785</v>
      </c>
      <c r="J6" s="1">
        <v>578</v>
      </c>
      <c r="K6" s="1"/>
    </row>
    <row r="7" spans="1:19" ht="12.95" customHeight="1">
      <c r="B7" s="446" t="s">
        <v>103</v>
      </c>
      <c r="C7" s="446"/>
      <c r="D7" s="95" t="s">
        <v>125</v>
      </c>
      <c r="E7" s="95" t="s">
        <v>104</v>
      </c>
      <c r="F7" s="95" t="s">
        <v>105</v>
      </c>
      <c r="G7" s="95" t="s">
        <v>106</v>
      </c>
      <c r="H7" s="95" t="s">
        <v>107</v>
      </c>
      <c r="I7" s="95" t="s">
        <v>108</v>
      </c>
      <c r="J7" s="95" t="s">
        <v>109</v>
      </c>
      <c r="K7" s="95" t="s">
        <v>110</v>
      </c>
      <c r="L7" s="457" t="s">
        <v>219</v>
      </c>
      <c r="M7" s="62"/>
      <c r="P7" s="41" t="s">
        <v>202</v>
      </c>
    </row>
    <row r="8" spans="1:19" ht="12.95" customHeight="1">
      <c r="B8" s="446" t="s">
        <v>196</v>
      </c>
      <c r="C8" s="446"/>
      <c r="D8" s="107">
        <f>SUM(E8:K8)</f>
        <v>10756</v>
      </c>
      <c r="E8" s="410">
        <v>8120</v>
      </c>
      <c r="F8" s="410">
        <v>16</v>
      </c>
      <c r="G8" s="410">
        <v>152</v>
      </c>
      <c r="H8" s="410">
        <v>1493</v>
      </c>
      <c r="I8" s="410">
        <v>655</v>
      </c>
      <c r="J8" s="410">
        <v>152</v>
      </c>
      <c r="K8" s="410">
        <v>168</v>
      </c>
      <c r="L8" s="458"/>
      <c r="M8" s="62"/>
      <c r="P8" s="1" t="s">
        <v>204</v>
      </c>
      <c r="R8" s="42">
        <f>1/D10</f>
        <v>51.188920417805768</v>
      </c>
      <c r="S8" s="1" t="s">
        <v>203</v>
      </c>
    </row>
    <row r="9" spans="1:19" ht="12.95" customHeight="1">
      <c r="B9" s="446" t="s">
        <v>164</v>
      </c>
      <c r="C9" s="446"/>
      <c r="D9" s="104">
        <f t="shared" ref="D9:K9" si="0">D8/$D$8*100</f>
        <v>100</v>
      </c>
      <c r="E9" s="109">
        <f t="shared" si="0"/>
        <v>75.492748233544077</v>
      </c>
      <c r="F9" s="109">
        <f t="shared" si="0"/>
        <v>0.14875418371141688</v>
      </c>
      <c r="G9" s="109">
        <f t="shared" si="0"/>
        <v>1.4131647452584604</v>
      </c>
      <c r="H9" s="109">
        <f t="shared" si="0"/>
        <v>13.880624767571586</v>
      </c>
      <c r="I9" s="109">
        <f t="shared" si="0"/>
        <v>6.0896243956861289</v>
      </c>
      <c r="J9" s="109">
        <f t="shared" si="0"/>
        <v>1.4131647452584604</v>
      </c>
      <c r="K9" s="109">
        <f t="shared" si="0"/>
        <v>1.5619189289698772</v>
      </c>
      <c r="L9" s="108">
        <f>SUM(F9:K9)</f>
        <v>24.50725176645593</v>
      </c>
      <c r="M9" s="62"/>
      <c r="N9" s="1">
        <v>2</v>
      </c>
    </row>
    <row r="10" spans="1:19" ht="12.95" customHeight="1">
      <c r="B10" s="459" t="s">
        <v>198</v>
      </c>
      <c r="C10" s="459"/>
      <c r="D10" s="105">
        <f>D8*TL*365/100000000</f>
        <v>1.9535477440000001E-2</v>
      </c>
      <c r="E10" s="105">
        <f t="shared" ref="E10:K10" si="1">E8*TL*365/100000000</f>
        <v>1.4747868799999999E-2</v>
      </c>
      <c r="F10" s="105">
        <f t="shared" si="1"/>
        <v>2.9059839999999999E-5</v>
      </c>
      <c r="G10" s="105">
        <f t="shared" si="1"/>
        <v>2.7606848000000001E-4</v>
      </c>
      <c r="H10" s="105">
        <f t="shared" si="1"/>
        <v>2.7116463199999999E-3</v>
      </c>
      <c r="I10" s="105">
        <f t="shared" si="1"/>
        <v>1.1896372E-3</v>
      </c>
      <c r="J10" s="105">
        <f t="shared" si="1"/>
        <v>2.7606848000000001E-4</v>
      </c>
      <c r="K10" s="105">
        <f t="shared" si="1"/>
        <v>3.0512832000000002E-4</v>
      </c>
      <c r="L10" s="94"/>
      <c r="M10" s="62"/>
      <c r="P10" s="1">
        <f>2341+780</f>
        <v>3121</v>
      </c>
      <c r="Q10" s="1">
        <f>P10*0.3</f>
        <v>936.3</v>
      </c>
    </row>
    <row r="11" spans="1:19" ht="12.95" customHeight="1">
      <c r="B11" s="459" t="s">
        <v>173</v>
      </c>
      <c r="C11" s="459"/>
      <c r="D11" s="104"/>
      <c r="E11" s="256">
        <v>3</v>
      </c>
      <c r="F11" s="256">
        <v>8</v>
      </c>
      <c r="G11" s="256">
        <v>30</v>
      </c>
      <c r="H11" s="256">
        <v>2</v>
      </c>
      <c r="I11" s="256">
        <v>2</v>
      </c>
      <c r="J11" s="256">
        <v>1</v>
      </c>
      <c r="K11" s="256">
        <v>1</v>
      </c>
      <c r="L11" s="103" t="s">
        <v>227</v>
      </c>
      <c r="M11" s="62" t="s">
        <v>418</v>
      </c>
      <c r="Q11" s="1">
        <v>937</v>
      </c>
      <c r="R11" s="1">
        <f>P10-Q11</f>
        <v>2184</v>
      </c>
    </row>
    <row r="12" spans="1:19" ht="12.95" customHeight="1">
      <c r="A12" s="23"/>
      <c r="B12" s="445" t="s">
        <v>226</v>
      </c>
      <c r="C12" s="445"/>
      <c r="D12" s="106">
        <f>SUM(E12:K12)</f>
        <v>33664</v>
      </c>
      <c r="E12" s="106">
        <f>E11*E8</f>
        <v>24360</v>
      </c>
      <c r="F12" s="106">
        <f t="shared" ref="F12:K12" si="2">F11*F8</f>
        <v>128</v>
      </c>
      <c r="G12" s="106">
        <f t="shared" si="2"/>
        <v>4560</v>
      </c>
      <c r="H12" s="106">
        <f t="shared" si="2"/>
        <v>2986</v>
      </c>
      <c r="I12" s="106">
        <f t="shared" si="2"/>
        <v>1310</v>
      </c>
      <c r="J12" s="106">
        <f t="shared" si="2"/>
        <v>152</v>
      </c>
      <c r="K12" s="106">
        <f t="shared" si="2"/>
        <v>168</v>
      </c>
      <c r="L12" s="106">
        <f>npersonpday*365</f>
        <v>12287360</v>
      </c>
      <c r="M12" s="224">
        <f>L12*TL</f>
        <v>6114190.3360000001</v>
      </c>
    </row>
    <row r="13" spans="1:19" ht="12.95" customHeight="1">
      <c r="A13" s="23"/>
      <c r="B13" s="24"/>
      <c r="C13" s="24"/>
      <c r="D13" s="223">
        <f>npersonpday/D8</f>
        <v>3.1297880252882111</v>
      </c>
      <c r="E13" s="24"/>
      <c r="F13" s="24"/>
      <c r="G13" s="24"/>
      <c r="H13" s="24"/>
      <c r="I13" s="24"/>
      <c r="J13" s="1"/>
      <c r="K13" s="1"/>
    </row>
    <row r="14" spans="1:19" ht="12.95" customHeight="1">
      <c r="A14" s="444" t="s">
        <v>187</v>
      </c>
      <c r="B14" s="444"/>
      <c r="C14" s="444"/>
      <c r="D14" s="444"/>
      <c r="E14" s="24"/>
      <c r="F14" s="24">
        <f>E8+F8</f>
        <v>8136</v>
      </c>
      <c r="G14" s="24">
        <f>1187+792</f>
        <v>1979</v>
      </c>
      <c r="H14" s="24"/>
      <c r="I14" s="24"/>
      <c r="J14" s="1"/>
      <c r="K14" s="1"/>
    </row>
    <row r="15" spans="1:19" ht="12.95" customHeight="1">
      <c r="B15" s="459" t="s">
        <v>167</v>
      </c>
      <c r="C15" s="459"/>
      <c r="D15" s="252">
        <v>2</v>
      </c>
      <c r="E15" s="24" t="s">
        <v>168</v>
      </c>
      <c r="F15" s="24"/>
      <c r="G15" s="24"/>
      <c r="H15" s="24"/>
      <c r="I15" s="24"/>
      <c r="J15" s="24"/>
      <c r="K15" s="1"/>
    </row>
    <row r="16" spans="1:19" ht="12.95" customHeight="1">
      <c r="B16" s="459" t="s">
        <v>169</v>
      </c>
      <c r="C16" s="459"/>
      <c r="D16" s="252">
        <v>2</v>
      </c>
      <c r="E16" s="24" t="s">
        <v>168</v>
      </c>
      <c r="F16" s="24"/>
      <c r="G16" s="24"/>
      <c r="H16" s="24"/>
      <c r="I16" s="24"/>
      <c r="J16" s="24"/>
      <c r="K16" s="1"/>
    </row>
    <row r="17" spans="1:11" ht="12.95" customHeight="1">
      <c r="B17" s="437" t="s">
        <v>212</v>
      </c>
      <c r="C17" s="96" t="s">
        <v>170</v>
      </c>
      <c r="D17" s="254">
        <v>60</v>
      </c>
      <c r="E17" s="7" t="s">
        <v>172</v>
      </c>
      <c r="F17" s="7"/>
      <c r="H17" s="8"/>
      <c r="I17" s="7"/>
      <c r="J17" s="7"/>
      <c r="K17" s="1"/>
    </row>
    <row r="18" spans="1:11" ht="12.95" customHeight="1">
      <c r="B18" s="437"/>
      <c r="C18" s="96" t="s">
        <v>171</v>
      </c>
      <c r="D18" s="254">
        <v>5</v>
      </c>
      <c r="E18" s="7" t="s">
        <v>172</v>
      </c>
      <c r="F18" s="7"/>
      <c r="H18" s="13"/>
      <c r="I18" s="13"/>
      <c r="J18" s="7"/>
      <c r="K18" s="1"/>
    </row>
    <row r="19" spans="1:11" ht="12.95" customHeight="1">
      <c r="B19" s="445" t="s">
        <v>174</v>
      </c>
      <c r="C19" s="445"/>
      <c r="D19" s="253">
        <v>250</v>
      </c>
      <c r="E19" s="7" t="s">
        <v>175</v>
      </c>
      <c r="F19" s="7"/>
      <c r="H19" s="13"/>
      <c r="I19" s="13"/>
      <c r="J19" s="7"/>
      <c r="K19" s="1"/>
    </row>
    <row r="20" spans="1:11" ht="12.95" customHeight="1">
      <c r="B20" s="437" t="s">
        <v>211</v>
      </c>
      <c r="C20" s="96" t="s">
        <v>171</v>
      </c>
      <c r="D20" s="254"/>
      <c r="E20" s="7" t="s">
        <v>176</v>
      </c>
      <c r="F20" s="7" t="s">
        <v>178</v>
      </c>
      <c r="H20" s="13"/>
      <c r="I20" s="13"/>
      <c r="J20" s="7"/>
      <c r="K20" s="1"/>
    </row>
    <row r="21" spans="1:11" ht="12.95" customHeight="1">
      <c r="B21" s="437"/>
      <c r="C21" s="96" t="s">
        <v>170</v>
      </c>
      <c r="D21" s="254"/>
      <c r="E21" s="7" t="s">
        <v>176</v>
      </c>
      <c r="F21" s="7" t="s">
        <v>177</v>
      </c>
      <c r="H21" s="13"/>
      <c r="I21" s="13"/>
      <c r="J21" s="7"/>
      <c r="K21" s="1"/>
    </row>
    <row r="22" spans="1:11" ht="12.95" customHeight="1">
      <c r="B22" s="445" t="s">
        <v>179</v>
      </c>
      <c r="C22" s="445"/>
      <c r="D22" s="257">
        <v>0.02</v>
      </c>
      <c r="E22" s="7"/>
      <c r="F22" s="7" t="s">
        <v>477</v>
      </c>
      <c r="H22" s="13"/>
      <c r="I22" s="13"/>
      <c r="J22" s="1" t="s">
        <v>16</v>
      </c>
      <c r="K22" s="1"/>
    </row>
    <row r="23" spans="1:11" ht="12.95" customHeight="1">
      <c r="A23" s="25" t="s">
        <v>526</v>
      </c>
      <c r="B23" s="455" t="s">
        <v>180</v>
      </c>
      <c r="C23" s="456"/>
      <c r="D23" s="266">
        <v>0.6</v>
      </c>
      <c r="E23" s="7"/>
      <c r="F23" s="7"/>
      <c r="H23" s="13"/>
      <c r="I23" s="13"/>
      <c r="J23" s="5" t="s">
        <v>14</v>
      </c>
      <c r="K23" s="4">
        <f>2*8/(365*24)</f>
        <v>1.8264840182648401E-3</v>
      </c>
    </row>
    <row r="24" spans="1:11" ht="12.95" customHeight="1">
      <c r="A24" s="25" t="s">
        <v>526</v>
      </c>
      <c r="B24" s="455" t="s">
        <v>181</v>
      </c>
      <c r="C24" s="456"/>
      <c r="D24" s="266">
        <v>0.05</v>
      </c>
      <c r="E24" s="7"/>
      <c r="F24" s="7"/>
      <c r="H24" s="13"/>
      <c r="I24" s="13"/>
      <c r="J24" s="5" t="s">
        <v>13</v>
      </c>
      <c r="K24" s="4">
        <f>12/(30*24)</f>
        <v>1.6666666666666666E-2</v>
      </c>
    </row>
    <row r="25" spans="1:11" ht="12.95" customHeight="1">
      <c r="B25" s="460" t="s">
        <v>182</v>
      </c>
      <c r="C25" s="461"/>
      <c r="D25" s="258">
        <v>0.05</v>
      </c>
      <c r="E25" s="7"/>
      <c r="H25" s="13"/>
      <c r="I25" s="13"/>
      <c r="J25" s="7"/>
      <c r="K25" s="1"/>
    </row>
    <row r="26" spans="1:11" ht="12.95" customHeight="1">
      <c r="A26" s="25" t="s">
        <v>526</v>
      </c>
      <c r="B26" s="462" t="s">
        <v>184</v>
      </c>
      <c r="C26" s="265" t="s">
        <v>38</v>
      </c>
      <c r="D26" s="266">
        <v>0.87</v>
      </c>
      <c r="E26" s="7" t="s">
        <v>183</v>
      </c>
      <c r="F26" s="8"/>
      <c r="H26" s="7"/>
      <c r="J26" s="1"/>
      <c r="K26" s="1"/>
    </row>
    <row r="27" spans="1:11" ht="12.95" customHeight="1">
      <c r="B27" s="463"/>
      <c r="C27" s="265" t="s">
        <v>209</v>
      </c>
      <c r="D27" s="266">
        <v>0.11</v>
      </c>
      <c r="G27" s="25"/>
      <c r="H27" s="7"/>
      <c r="J27" s="1"/>
      <c r="K27" s="1"/>
    </row>
    <row r="28" spans="1:11" ht="12.95" customHeight="1">
      <c r="B28" s="464"/>
      <c r="C28" s="265" t="s">
        <v>40</v>
      </c>
      <c r="D28" s="266">
        <v>0.02</v>
      </c>
      <c r="E28" s="98"/>
      <c r="F28" s="98"/>
      <c r="G28" s="7"/>
      <c r="I28" s="25"/>
      <c r="J28" s="7"/>
      <c r="K28" s="1"/>
    </row>
    <row r="29" spans="1:11" ht="12.95" customHeight="1">
      <c r="B29" s="454" t="s">
        <v>207</v>
      </c>
      <c r="C29" s="96" t="s">
        <v>23</v>
      </c>
      <c r="D29" s="257">
        <v>0.33300000000000002</v>
      </c>
      <c r="E29" s="7"/>
      <c r="G29" s="13"/>
      <c r="H29" s="13"/>
      <c r="I29" s="7"/>
      <c r="J29" s="1"/>
      <c r="K29" s="1"/>
    </row>
    <row r="30" spans="1:11" ht="12.95" customHeight="1">
      <c r="B30" s="454"/>
      <c r="C30" s="15" t="s">
        <v>13</v>
      </c>
      <c r="D30" s="257">
        <v>0.33300000000000002</v>
      </c>
      <c r="E30" s="6"/>
      <c r="F30" s="6"/>
      <c r="J30" s="1"/>
      <c r="K30" s="1"/>
    </row>
    <row r="31" spans="1:11" ht="12.95" customHeight="1">
      <c r="B31" s="454"/>
      <c r="C31" s="15" t="s">
        <v>208</v>
      </c>
      <c r="D31" s="257">
        <v>0.33300000000000002</v>
      </c>
      <c r="E31" s="6"/>
      <c r="F31" s="6"/>
      <c r="I31" s="1" t="s">
        <v>536</v>
      </c>
      <c r="J31" s="1" t="s">
        <v>539</v>
      </c>
      <c r="K31" s="1"/>
    </row>
    <row r="32" spans="1:11" ht="12.95" customHeight="1">
      <c r="C32" s="5"/>
      <c r="E32" s="6"/>
      <c r="I32" s="1" t="s">
        <v>538</v>
      </c>
      <c r="J32" s="6" t="s">
        <v>2295</v>
      </c>
      <c r="K32" s="1"/>
    </row>
    <row r="33" spans="1:13" ht="12.95" customHeight="1">
      <c r="A33" s="1" t="s">
        <v>210</v>
      </c>
      <c r="C33" s="5"/>
      <c r="E33" s="6"/>
      <c r="F33" s="6"/>
      <c r="I33" s="1" t="s">
        <v>540</v>
      </c>
      <c r="J33" s="1" t="s">
        <v>541</v>
      </c>
      <c r="K33" s="1"/>
    </row>
    <row r="34" spans="1:13" ht="12.95" customHeight="1">
      <c r="B34" s="397" t="s">
        <v>2297</v>
      </c>
      <c r="C34" s="398" t="s">
        <v>535</v>
      </c>
      <c r="D34" s="398" t="s">
        <v>2299</v>
      </c>
      <c r="E34" s="16" t="s">
        <v>2298</v>
      </c>
      <c r="F34" s="16" t="s">
        <v>2300</v>
      </c>
      <c r="G34" s="398" t="s">
        <v>2301</v>
      </c>
    </row>
    <row r="35" spans="1:13" ht="12.95" customHeight="1">
      <c r="B35" s="15" t="s">
        <v>126</v>
      </c>
      <c r="C35" s="106">
        <f>E8</f>
        <v>8120</v>
      </c>
      <c r="D35" s="110">
        <f>C35*365*TL</f>
        <v>1474786.88</v>
      </c>
      <c r="E35" s="398">
        <v>0.77</v>
      </c>
      <c r="F35" s="408">
        <f>E35/BASE*D35</f>
        <v>1.1355858975999998E-2</v>
      </c>
      <c r="G35" s="409">
        <f>1/F35</f>
        <v>88.060269338800936</v>
      </c>
    </row>
    <row r="36" spans="1:13" ht="12.95" customHeight="1">
      <c r="B36" s="15" t="s">
        <v>522</v>
      </c>
      <c r="C36" s="106">
        <f>F8+G8+H8</f>
        <v>1661</v>
      </c>
      <c r="D36" s="110">
        <f>C36*365*TL</f>
        <v>301677.46399999998</v>
      </c>
      <c r="E36" s="398">
        <v>1.52</v>
      </c>
      <c r="F36" s="408">
        <f>E36/BASE*D36</f>
        <v>4.5854974527999998E-3</v>
      </c>
      <c r="G36" s="409">
        <f>1/F36</f>
        <v>218.07884756088552</v>
      </c>
    </row>
    <row r="37" spans="1:13" ht="12.95" customHeight="1">
      <c r="B37" s="15" t="s">
        <v>521</v>
      </c>
      <c r="C37" s="106">
        <f>I8+J8</f>
        <v>807</v>
      </c>
      <c r="D37" s="110">
        <f>C37*365*TL</f>
        <v>146570.568</v>
      </c>
      <c r="E37" s="398">
        <v>2.2999999999999998</v>
      </c>
      <c r="F37" s="408">
        <f>E37/BASE*D37</f>
        <v>3.3711230639999995E-3</v>
      </c>
      <c r="G37" s="409">
        <f>1/F37</f>
        <v>296.63704973542315</v>
      </c>
    </row>
    <row r="38" spans="1:13" ht="12.95" customHeight="1">
      <c r="B38" s="15" t="s">
        <v>129</v>
      </c>
      <c r="C38" s="106">
        <f>K8</f>
        <v>168</v>
      </c>
      <c r="D38" s="110">
        <f>C38*365*TL</f>
        <v>30512.831999999999</v>
      </c>
      <c r="E38" s="398">
        <v>2.2999999999999998</v>
      </c>
      <c r="F38" s="408">
        <f>E38/BASE*D38</f>
        <v>7.0179513599999985E-4</v>
      </c>
      <c r="G38" s="409">
        <f>1/F38</f>
        <v>1424.9172567648006</v>
      </c>
    </row>
    <row r="39" spans="1:13" ht="12.95" customHeight="1">
      <c r="B39" s="398" t="s">
        <v>2294</v>
      </c>
      <c r="C39" s="106"/>
      <c r="D39" s="110">
        <f>SUM(D35:D38)</f>
        <v>1953547.7439999997</v>
      </c>
      <c r="E39" s="407">
        <f>(E35*D35+E36*D36+E37*D37+E38*D38)/D39</f>
        <v>1.0245091111937523</v>
      </c>
      <c r="F39" s="408">
        <f>SUM(F35:F38)</f>
        <v>2.00142746288E-2</v>
      </c>
      <c r="G39" s="409">
        <f>1/F39</f>
        <v>49.964338880462201</v>
      </c>
    </row>
    <row r="40" spans="1:13" ht="12.95" customHeight="1">
      <c r="B40" s="406" t="s">
        <v>131</v>
      </c>
      <c r="C40" s="106">
        <f>SUM(C36:C38)</f>
        <v>2636</v>
      </c>
      <c r="D40" s="110">
        <f>SUM(D36:D38)</f>
        <v>478760.864</v>
      </c>
    </row>
    <row r="41" spans="1:13" ht="12.95" customHeight="1">
      <c r="B41" s="406" t="s">
        <v>132</v>
      </c>
      <c r="C41" s="406"/>
      <c r="D41" s="275">
        <f>SUM(LGVK,PC)</f>
        <v>1953547.7439999999</v>
      </c>
    </row>
    <row r="42" spans="1:13" ht="12.95" customHeight="1">
      <c r="B42" s="101"/>
      <c r="C42" s="101"/>
      <c r="D42" s="101"/>
      <c r="E42" s="102"/>
      <c r="F42" s="12"/>
      <c r="I42" s="263"/>
      <c r="J42" s="1"/>
      <c r="K42" s="1"/>
    </row>
    <row r="43" spans="1:13" ht="12.95" customHeight="1">
      <c r="B43" s="398" t="s">
        <v>2296</v>
      </c>
      <c r="C43" s="398" t="s">
        <v>535</v>
      </c>
      <c r="D43" s="398" t="s">
        <v>2293</v>
      </c>
      <c r="E43" s="97" t="s">
        <v>537</v>
      </c>
      <c r="F43" s="398" t="s">
        <v>540</v>
      </c>
      <c r="J43" s="1"/>
      <c r="K43" s="1"/>
    </row>
    <row r="44" spans="1:13" ht="12.95" customHeight="1">
      <c r="B44" s="398" t="s">
        <v>130</v>
      </c>
      <c r="C44" s="106">
        <f>E8</f>
        <v>8120</v>
      </c>
      <c r="D44" s="110">
        <f>C44*365*TL</f>
        <v>1474786.88</v>
      </c>
      <c r="E44" s="412">
        <f>VK.HRR010</f>
        <v>1474786.88</v>
      </c>
      <c r="F44" s="347"/>
      <c r="H44" s="1" t="s">
        <v>525</v>
      </c>
      <c r="J44" s="411">
        <v>0.05</v>
      </c>
      <c r="K44" s="1"/>
    </row>
    <row r="45" spans="1:13" ht="12.95" customHeight="1">
      <c r="B45" s="398" t="s">
        <v>127</v>
      </c>
      <c r="C45" s="106">
        <f>F8+G8+H8</f>
        <v>1661</v>
      </c>
      <c r="D45" s="110">
        <f>C45*365*TL</f>
        <v>301677.46399999998</v>
      </c>
      <c r="E45" s="412">
        <f>VK.HRR020*LFR.020+VK.HRR030*(1-LFR.030)</f>
        <v>193302.42319999999</v>
      </c>
      <c r="F45" s="412">
        <f>VK.HRR020*(1-LFR.020)</f>
        <v>256425.84439999997</v>
      </c>
      <c r="H45" s="1" t="s">
        <v>527</v>
      </c>
      <c r="J45" s="264" t="s">
        <v>97</v>
      </c>
      <c r="K45" s="15">
        <v>20</v>
      </c>
      <c r="L45" s="15">
        <v>30</v>
      </c>
      <c r="M45" s="15">
        <v>100</v>
      </c>
    </row>
    <row r="46" spans="1:13" ht="12.95" customHeight="1">
      <c r="B46" s="398" t="s">
        <v>128</v>
      </c>
      <c r="C46" s="106">
        <f>I8+(J8+K8)*(1-J44)</f>
        <v>959</v>
      </c>
      <c r="D46" s="110">
        <f>C46*365*TL</f>
        <v>174177.416</v>
      </c>
      <c r="E46" s="412">
        <f>VK.HRR030*LFR.030+VK.HRR100*(1-LFR.100)</f>
        <v>28596.698799999998</v>
      </c>
      <c r="F46" s="412">
        <f>VK.HRR030*(1-LFR.030)</f>
        <v>148050.80359999998</v>
      </c>
      <c r="H46" s="271"/>
      <c r="I46" s="263"/>
      <c r="J46" s="411">
        <v>0.4</v>
      </c>
      <c r="K46" s="411">
        <v>0.15</v>
      </c>
      <c r="L46" s="411">
        <v>0.15</v>
      </c>
      <c r="M46" s="411">
        <v>0.15</v>
      </c>
    </row>
    <row r="47" spans="1:13" ht="12.95" customHeight="1">
      <c r="B47" s="398" t="s">
        <v>523</v>
      </c>
      <c r="C47" s="106">
        <f>(J8+K8)*RATE_HZV</f>
        <v>16</v>
      </c>
      <c r="D47" s="110">
        <f>C47*365*TL</f>
        <v>2905.9839999999999</v>
      </c>
      <c r="E47" s="412">
        <f>VK.HRR100*LFR.100</f>
        <v>435.89759999999995</v>
      </c>
      <c r="F47" s="412">
        <f>SPVK-TOT.VK.HRR100</f>
        <v>2470.0864000000001</v>
      </c>
      <c r="H47" s="263"/>
      <c r="J47" s="1"/>
      <c r="K47" s="1"/>
    </row>
    <row r="48" spans="1:13" ht="12.95" customHeight="1">
      <c r="B48" s="16" t="s">
        <v>131</v>
      </c>
      <c r="C48" s="106">
        <f>SUM(C45:C47)</f>
        <v>2636</v>
      </c>
      <c r="D48" s="110">
        <f>SUM(D45:D47)</f>
        <v>478760.864</v>
      </c>
      <c r="E48" s="413">
        <f>SUM(E45:E47)</f>
        <v>222335.01959999997</v>
      </c>
      <c r="F48" s="347"/>
      <c r="I48" s="2"/>
      <c r="J48" s="1"/>
      <c r="K48" s="1"/>
    </row>
    <row r="49" spans="1:11" ht="12.95" customHeight="1">
      <c r="B49" s="406" t="s">
        <v>132</v>
      </c>
      <c r="C49" s="16"/>
      <c r="D49" s="275">
        <f>SUM(LGVK,PC)</f>
        <v>1953547.7439999999</v>
      </c>
      <c r="E49" s="276">
        <f>SUM(E48,TOT.VK.HRR010,F45)</f>
        <v>1953547.7439999999</v>
      </c>
      <c r="F49" s="277">
        <v>100000000</v>
      </c>
      <c r="H49" s="263"/>
      <c r="J49" s="1"/>
      <c r="K49" s="1"/>
    </row>
    <row r="50" spans="1:11" ht="12.95" customHeight="1">
      <c r="B50" s="101"/>
      <c r="C50" s="101"/>
      <c r="D50" s="101"/>
      <c r="E50" s="102"/>
      <c r="F50" s="12"/>
      <c r="I50" s="263"/>
      <c r="J50" s="1"/>
      <c r="K50" s="1"/>
    </row>
    <row r="51" spans="1:11" ht="12.95" customHeight="1">
      <c r="B51" s="101"/>
      <c r="C51" s="101"/>
      <c r="D51" s="101"/>
      <c r="E51" s="102"/>
      <c r="F51" s="12"/>
      <c r="I51" s="263"/>
      <c r="J51" s="1"/>
      <c r="K51" s="1"/>
    </row>
    <row r="52" spans="1:11" ht="12.95" customHeight="1">
      <c r="B52" s="101"/>
      <c r="C52" s="101"/>
      <c r="D52" s="101"/>
      <c r="E52" s="102"/>
      <c r="F52" s="12"/>
      <c r="I52" s="263"/>
      <c r="J52" s="1"/>
      <c r="K52" s="1"/>
    </row>
    <row r="53" spans="1:11" ht="12.95" customHeight="1">
      <c r="A53" s="1" t="s">
        <v>224</v>
      </c>
      <c r="B53" s="101"/>
      <c r="C53" s="101"/>
      <c r="D53" s="101"/>
      <c r="E53" s="102" t="s">
        <v>2308</v>
      </c>
      <c r="F53" s="12"/>
      <c r="I53" s="263"/>
      <c r="J53" s="1"/>
      <c r="K53" s="1"/>
    </row>
    <row r="54" spans="1:11" ht="12.95" customHeight="1">
      <c r="B54" s="16" t="s">
        <v>24</v>
      </c>
      <c r="C54" s="15" t="s">
        <v>32</v>
      </c>
      <c r="D54" s="259">
        <v>0</v>
      </c>
      <c r="E54" s="199" t="s">
        <v>554</v>
      </c>
      <c r="F54" s="278"/>
      <c r="H54" s="1" t="s">
        <v>1382</v>
      </c>
      <c r="I54" s="1" t="s">
        <v>13</v>
      </c>
      <c r="J54" s="199" t="s">
        <v>1387</v>
      </c>
      <c r="K54" s="1"/>
    </row>
    <row r="55" spans="1:11" ht="12.95" customHeight="1">
      <c r="B55" s="60"/>
      <c r="C55" s="66" t="s">
        <v>25</v>
      </c>
      <c r="D55" s="259">
        <v>0</v>
      </c>
      <c r="E55" s="199" t="s">
        <v>2292</v>
      </c>
      <c r="F55" s="278"/>
      <c r="H55" s="1" t="s">
        <v>1388</v>
      </c>
      <c r="I55" s="1" t="s">
        <v>1384</v>
      </c>
      <c r="J55" s="1"/>
      <c r="K55" s="1"/>
    </row>
    <row r="56" spans="1:11" ht="12.95" customHeight="1">
      <c r="B56" s="61"/>
      <c r="C56" s="66" t="s">
        <v>26</v>
      </c>
      <c r="D56" s="259">
        <v>1</v>
      </c>
      <c r="E56" s="199" t="s">
        <v>2309</v>
      </c>
      <c r="F56" s="278"/>
      <c r="H56" s="331" t="s">
        <v>1385</v>
      </c>
      <c r="I56" s="1" t="s">
        <v>1386</v>
      </c>
      <c r="J56" s="2" t="s">
        <v>1389</v>
      </c>
      <c r="K56" s="3" t="s">
        <v>1390</v>
      </c>
    </row>
    <row r="57" spans="1:11" ht="12.95" customHeight="1">
      <c r="B57" s="16" t="s">
        <v>27</v>
      </c>
      <c r="C57" s="15" t="s">
        <v>32</v>
      </c>
      <c r="D57" s="259">
        <v>0</v>
      </c>
      <c r="E57" s="199" t="s">
        <v>555</v>
      </c>
      <c r="F57" s="278"/>
      <c r="H57" s="1" t="s">
        <v>1382</v>
      </c>
    </row>
    <row r="58" spans="1:11" ht="12.95" customHeight="1">
      <c r="B58" s="60"/>
      <c r="C58" s="66" t="s">
        <v>25</v>
      </c>
      <c r="D58" s="259">
        <v>0</v>
      </c>
      <c r="E58" s="199" t="s">
        <v>556</v>
      </c>
      <c r="F58" s="278"/>
      <c r="H58" s="1" t="s">
        <v>1388</v>
      </c>
      <c r="J58" s="1"/>
      <c r="K58" s="1"/>
    </row>
    <row r="59" spans="1:11" ht="12.95" customHeight="1">
      <c r="B59" s="61"/>
      <c r="C59" s="66" t="s">
        <v>26</v>
      </c>
      <c r="D59" s="259">
        <v>1</v>
      </c>
      <c r="E59" s="199" t="s">
        <v>2310</v>
      </c>
      <c r="F59" s="278"/>
      <c r="H59" s="1" t="s">
        <v>1391</v>
      </c>
      <c r="J59" s="1"/>
      <c r="K59" s="1"/>
    </row>
    <row r="60" spans="1:11" ht="12.95" customHeight="1">
      <c r="B60" s="101"/>
      <c r="C60" s="101"/>
      <c r="D60" s="101"/>
      <c r="E60" s="58"/>
      <c r="J60" s="1"/>
      <c r="K60" s="1"/>
    </row>
    <row r="61" spans="1:11" ht="12.95" customHeight="1">
      <c r="A61" s="450"/>
      <c r="B61" s="450"/>
      <c r="C61" s="58"/>
      <c r="D61" s="58"/>
      <c r="E61" s="58"/>
      <c r="F61" s="12"/>
      <c r="J61" s="1"/>
      <c r="K61" s="1"/>
    </row>
    <row r="62" spans="1:11" ht="12.95" customHeight="1">
      <c r="A62" s="58"/>
      <c r="B62" s="101"/>
      <c r="C62" s="101"/>
      <c r="D62" s="58"/>
      <c r="E62" s="102"/>
      <c r="F62" s="12"/>
      <c r="J62" s="1"/>
      <c r="K62" s="1"/>
    </row>
    <row r="63" spans="1:11" ht="12.95" customHeight="1">
      <c r="A63" s="58"/>
      <c r="B63" s="101"/>
      <c r="C63" s="101"/>
      <c r="D63" s="58"/>
      <c r="E63" s="102"/>
      <c r="F63" s="12"/>
      <c r="J63" s="1"/>
      <c r="K63" s="1"/>
    </row>
    <row r="64" spans="1:11" ht="12.95" customHeight="1">
      <c r="A64" s="58"/>
      <c r="B64" s="101"/>
      <c r="C64" s="101"/>
      <c r="D64" s="58"/>
      <c r="E64" s="102"/>
      <c r="F64" s="12"/>
      <c r="J64" s="1"/>
      <c r="K64" s="1"/>
    </row>
    <row r="65" spans="1:25" ht="12.95" customHeight="1">
      <c r="A65" s="58"/>
      <c r="B65" s="101"/>
      <c r="C65" s="101"/>
      <c r="D65" s="58"/>
      <c r="E65" s="102"/>
      <c r="F65" s="12"/>
      <c r="J65" s="1"/>
      <c r="K65" s="1"/>
    </row>
    <row r="66" spans="1:25" ht="12.95" customHeight="1">
      <c r="B66" s="101"/>
      <c r="C66" s="101"/>
      <c r="D66" s="101"/>
      <c r="E66" s="102"/>
      <c r="F66" s="12"/>
      <c r="J66" s="1"/>
    </row>
    <row r="67" spans="1:25" ht="12.95" customHeight="1">
      <c r="B67" s="101"/>
      <c r="C67" s="101"/>
      <c r="D67" s="101"/>
      <c r="E67" s="102"/>
      <c r="F67" s="12"/>
      <c r="J67" s="1"/>
      <c r="K67" s="1"/>
    </row>
    <row r="68" spans="1:25" ht="12.95" customHeight="1">
      <c r="A68" s="1" t="s">
        <v>419</v>
      </c>
      <c r="C68" s="1" t="s">
        <v>2311</v>
      </c>
      <c r="D68" s="260">
        <v>0</v>
      </c>
      <c r="E68" s="1" t="s">
        <v>206</v>
      </c>
      <c r="F68" s="1" t="s">
        <v>217</v>
      </c>
      <c r="G68" s="261">
        <v>6</v>
      </c>
      <c r="H68" s="1" t="s">
        <v>206</v>
      </c>
      <c r="I68" s="1" t="s">
        <v>222</v>
      </c>
      <c r="J68" s="1"/>
      <c r="K68" s="261">
        <v>25</v>
      </c>
      <c r="L68" s="1" t="s">
        <v>221</v>
      </c>
      <c r="N68" t="s">
        <v>550</v>
      </c>
    </row>
    <row r="69" spans="1:25" ht="12.95" customHeight="1">
      <c r="D69" s="68"/>
      <c r="G69" s="1" t="s">
        <v>225</v>
      </c>
      <c r="K69" s="1" t="s">
        <v>1383</v>
      </c>
    </row>
    <row r="70" spans="1:25" ht="12.95" customHeight="1">
      <c r="B70" s="451" t="s">
        <v>215</v>
      </c>
      <c r="C70" s="451" t="s">
        <v>213</v>
      </c>
      <c r="D70" s="451" t="s">
        <v>214</v>
      </c>
      <c r="E70" s="434" t="s">
        <v>216</v>
      </c>
      <c r="F70" s="451" t="s">
        <v>218</v>
      </c>
      <c r="G70" s="447" t="s">
        <v>174</v>
      </c>
      <c r="H70" s="448"/>
      <c r="I70" s="448"/>
      <c r="J70" s="448"/>
      <c r="K70" s="448"/>
      <c r="L70" s="449"/>
      <c r="M70" s="447" t="s">
        <v>223</v>
      </c>
      <c r="N70" s="448"/>
      <c r="O70" s="448"/>
      <c r="P70" s="448"/>
      <c r="Q70" s="448"/>
      <c r="R70" s="449"/>
    </row>
    <row r="71" spans="1:25" ht="12.95" customHeight="1">
      <c r="B71" s="452"/>
      <c r="C71" s="452"/>
      <c r="D71" s="452"/>
      <c r="E71" s="453"/>
      <c r="F71" s="452"/>
      <c r="G71" s="99">
        <v>1</v>
      </c>
      <c r="H71" s="99">
        <v>2</v>
      </c>
      <c r="I71" s="99">
        <v>3</v>
      </c>
      <c r="J71" s="99">
        <v>4</v>
      </c>
      <c r="K71" s="99">
        <v>5</v>
      </c>
      <c r="L71" s="99">
        <v>6</v>
      </c>
      <c r="M71" s="99">
        <v>1</v>
      </c>
      <c r="N71" s="99">
        <v>2</v>
      </c>
      <c r="O71" s="99">
        <v>3</v>
      </c>
      <c r="P71" s="99">
        <v>4</v>
      </c>
      <c r="Q71" s="99">
        <v>5</v>
      </c>
      <c r="R71" s="99">
        <v>6</v>
      </c>
    </row>
    <row r="72" spans="1:25" ht="12.95" customHeight="1">
      <c r="B72" s="177">
        <v>0</v>
      </c>
      <c r="C72" s="177" t="s">
        <v>3684</v>
      </c>
      <c r="D72" s="178">
        <v>0</v>
      </c>
      <c r="E72" s="177"/>
      <c r="F72" s="177"/>
      <c r="G72" s="177"/>
      <c r="H72" s="177"/>
      <c r="I72" s="177"/>
      <c r="J72" s="177"/>
      <c r="K72" s="177"/>
      <c r="L72" s="177"/>
      <c r="M72" s="180">
        <f t="shared" ref="M72:R72" si="3">SUM(M73:M73)</f>
        <v>0.15829314040728837</v>
      </c>
      <c r="N72" s="180">
        <f t="shared" si="3"/>
        <v>0.15829314040728837</v>
      </c>
      <c r="O72" s="180">
        <f t="shared" si="3"/>
        <v>0.15829314040728831</v>
      </c>
      <c r="P72" s="180">
        <f t="shared" si="3"/>
        <v>0.15829314040728829</v>
      </c>
      <c r="Q72" s="180">
        <f t="shared" si="3"/>
        <v>0.15829314040728829</v>
      </c>
      <c r="R72" s="179">
        <f t="shared" si="3"/>
        <v>0.20853429796355841</v>
      </c>
      <c r="S72" s="309">
        <f>SUM(M72:R72)</f>
        <v>1</v>
      </c>
      <c r="T72"/>
      <c r="U72"/>
      <c r="Y72" s="1">
        <v>118.3</v>
      </c>
    </row>
    <row r="73" spans="1:25" ht="12.95" customHeight="1">
      <c r="B73" s="177">
        <v>1</v>
      </c>
      <c r="C73" s="177" t="s">
        <v>3685</v>
      </c>
      <c r="D73" s="178">
        <v>497.59999999999997</v>
      </c>
      <c r="E73" s="177">
        <f>D73-D72</f>
        <v>497.59999999999997</v>
      </c>
      <c r="F73" s="177">
        <f>(E73-ranEVCFire)/(nFire)</f>
        <v>78.766666666666666</v>
      </c>
      <c r="G73" s="177">
        <f>$D72+$F73/2</f>
        <v>39.383333333333333</v>
      </c>
      <c r="H73" s="177">
        <f>G73+$F73</f>
        <v>118.15</v>
      </c>
      <c r="I73" s="177">
        <f>H73+$F73</f>
        <v>196.91666666666669</v>
      </c>
      <c r="J73" s="177">
        <f>I73+$F73</f>
        <v>275.68333333333334</v>
      </c>
      <c r="K73" s="177">
        <f>J73+$F73</f>
        <v>354.45</v>
      </c>
      <c r="L73" s="177">
        <f>K73+$F73</f>
        <v>433.21666666666664</v>
      </c>
      <c r="M73" s="180">
        <f>((G73-(D73-E73))+(H73-G73)/2) /(TL*1000)</f>
        <v>0.15829314040728837</v>
      </c>
      <c r="N73" s="180">
        <f>((I73-H73)/2+(H73-G73)/2) /(TL*1000)</f>
        <v>0.15829314040728837</v>
      </c>
      <c r="O73" s="180">
        <f>((J73-I73)/2+(I73-H73)/2) /(TL*1000)</f>
        <v>0.15829314040728831</v>
      </c>
      <c r="P73" s="180">
        <f>((K73-J73)/2+(J73-I73)/2) /(TL*1000)</f>
        <v>0.15829314040728829</v>
      </c>
      <c r="Q73" s="180">
        <f>((L73-K73)/2+(K73-J73)/2) /(TL*1000)</f>
        <v>0.15829314040728829</v>
      </c>
      <c r="R73" s="179">
        <f>((L73-K73)/2+(TL*1000-L73)) /(TL*1000)</f>
        <v>0.20853429796355841</v>
      </c>
      <c r="S73"/>
      <c r="T73">
        <v>1</v>
      </c>
      <c r="U73">
        <v>189</v>
      </c>
      <c r="V73" s="1">
        <v>189</v>
      </c>
      <c r="X73" s="1">
        <v>47.5</v>
      </c>
      <c r="Y73" s="1">
        <v>166.25</v>
      </c>
    </row>
    <row r="74" spans="1:25" ht="12.95" customHeight="1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>
        <v>2</v>
      </c>
      <c r="U74">
        <v>188</v>
      </c>
      <c r="V74" s="1">
        <f>V73+U74</f>
        <v>377</v>
      </c>
      <c r="X74" s="1">
        <v>23.75</v>
      </c>
      <c r="Y74" s="1">
        <v>213.75</v>
      </c>
    </row>
    <row r="75" spans="1:25" ht="12.95" customHeight="1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>
        <v>3</v>
      </c>
      <c r="U75">
        <v>180</v>
      </c>
      <c r="V75" s="1">
        <f t="shared" ref="V75:V86" si="4">V74+U75</f>
        <v>557</v>
      </c>
      <c r="X75" s="1">
        <v>71.25</v>
      </c>
      <c r="Y75" s="1">
        <v>250</v>
      </c>
    </row>
    <row r="76" spans="1:25" ht="12.95" customHeight="1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>
        <v>4</v>
      </c>
      <c r="U76">
        <v>179</v>
      </c>
      <c r="V76" s="1">
        <f t="shared" si="4"/>
        <v>736</v>
      </c>
      <c r="X76" s="1">
        <v>118.75</v>
      </c>
      <c r="Y76" s="1">
        <v>286.3</v>
      </c>
    </row>
    <row r="77" spans="1:25" ht="12.95" customHeight="1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>
        <v>5</v>
      </c>
      <c r="U77">
        <v>172</v>
      </c>
      <c r="V77" s="1">
        <f t="shared" si="4"/>
        <v>908</v>
      </c>
      <c r="X77" s="1">
        <v>166.25</v>
      </c>
      <c r="Y77" s="1">
        <v>333.8</v>
      </c>
    </row>
    <row r="78" spans="1:25" ht="12.95" customHeight="1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>
        <v>6</v>
      </c>
      <c r="U78">
        <v>169</v>
      </c>
      <c r="V78" s="1">
        <f t="shared" si="4"/>
        <v>1077</v>
      </c>
      <c r="X78" s="1">
        <v>213.75</v>
      </c>
    </row>
    <row r="79" spans="1:25" ht="12.95" customHeight="1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>
        <v>7</v>
      </c>
      <c r="U79">
        <v>169</v>
      </c>
      <c r="V79" s="1">
        <f t="shared" si="4"/>
        <v>1246</v>
      </c>
      <c r="X79" s="1">
        <v>250</v>
      </c>
    </row>
    <row r="80" spans="1:25" ht="12.95" customHeight="1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>
        <v>8</v>
      </c>
      <c r="U80">
        <v>167</v>
      </c>
      <c r="V80" s="1">
        <f t="shared" si="4"/>
        <v>1413</v>
      </c>
    </row>
    <row r="81" spans="2:22" ht="12.95" customHeight="1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>
        <v>9</v>
      </c>
      <c r="U81">
        <v>167</v>
      </c>
      <c r="V81" s="1">
        <f t="shared" si="4"/>
        <v>1580</v>
      </c>
    </row>
    <row r="82" spans="2:22" ht="12.95" customHeight="1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>
        <v>10</v>
      </c>
      <c r="U82">
        <v>167</v>
      </c>
      <c r="V82" s="1">
        <f t="shared" si="4"/>
        <v>1747</v>
      </c>
    </row>
    <row r="83" spans="2:22" ht="12.95" customHeight="1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>
        <v>11</v>
      </c>
      <c r="U83">
        <v>167</v>
      </c>
      <c r="V83" s="1">
        <f t="shared" si="4"/>
        <v>1914</v>
      </c>
    </row>
    <row r="84" spans="2:22" ht="12.95" customHeight="1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>
        <v>12</v>
      </c>
      <c r="U84">
        <v>167</v>
      </c>
      <c r="V84" s="1">
        <f t="shared" si="4"/>
        <v>2081</v>
      </c>
    </row>
    <row r="85" spans="2:22" ht="12.95" customHeight="1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>
        <v>13</v>
      </c>
      <c r="U85">
        <v>167</v>
      </c>
      <c r="V85" s="1">
        <f t="shared" si="4"/>
        <v>2248</v>
      </c>
    </row>
    <row r="86" spans="2:22" ht="12.95" customHeight="1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 s="1">
        <f t="shared" si="4"/>
        <v>2248</v>
      </c>
    </row>
    <row r="87" spans="2:22" ht="12.95" customHeight="1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2:22" ht="12.95" customHeight="1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2:22" ht="12.95" customHeight="1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2:22" ht="12.95" customHeight="1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2:22" ht="12.95" customHeight="1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2:22" ht="12.95" customHeight="1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2:22" ht="12.95" customHeight="1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2:22" ht="12.95" customHeight="1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2:22" ht="12.95" customHeight="1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2:22" ht="12.95" customHeight="1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2:21" ht="12.95" customHeight="1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2:21" ht="12.95" customHeight="1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2:21" ht="12.95" customHeight="1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2:21" ht="12.95" customHeight="1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2:21" ht="12.95" customHeight="1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2:21" ht="12.95" customHeight="1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2:21" ht="12.95" customHeight="1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2:21" ht="12.95" customHeight="1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2:21" ht="12.95" customHeight="1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2:21" ht="12.95" customHeight="1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2:21" ht="12.95" customHeight="1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2:21" ht="12.95" customHeight="1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2:21" ht="12.95" customHeight="1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2:21" ht="12.95" customHeight="1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2:21" ht="12.95" customHeight="1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2:21" ht="12.95" customHeight="1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ht="12.95" customHeight="1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ht="12.95" customHeight="1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ht="12.95" customHeight="1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 ht="12.95" customHeight="1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 ht="12.95" customHeight="1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 ht="12.95" customHeight="1">
      <c r="A118" s="1">
        <v>1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 ht="12.95" customHeight="1">
      <c r="A119" s="1">
        <v>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 ht="12.95" customHeight="1">
      <c r="A120" s="1">
        <v>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 ht="12.95" customHeight="1">
      <c r="A121" s="1">
        <v>4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 ht="12.95" customHeight="1">
      <c r="A122" s="1">
        <v>5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 ht="12.95" customHeight="1">
      <c r="A123" s="1">
        <v>6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 ht="12.95" customHeight="1">
      <c r="A124" s="1">
        <v>7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 ht="12.95" customHeight="1">
      <c r="A125" s="1">
        <v>8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 ht="12.95" customHeight="1">
      <c r="A126" s="1">
        <v>9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 ht="12.95" customHeight="1">
      <c r="A127" s="1">
        <v>10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 ht="12.95" customHeight="1">
      <c r="A128" s="1">
        <v>11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 ht="12.95" customHeight="1">
      <c r="A129" s="1">
        <v>12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 ht="12.95" customHeight="1">
      <c r="A130" s="1">
        <v>13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 ht="12.95" customHeight="1">
      <c r="A131" s="1">
        <v>14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 ht="12.95" customHeight="1">
      <c r="A132" s="1">
        <v>15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 ht="12.95" customHeight="1">
      <c r="A133" s="1">
        <v>16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 ht="12.95" customHeight="1">
      <c r="A134" s="1">
        <v>17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 ht="12.95" customHeight="1">
      <c r="A135" s="1">
        <v>18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 ht="12.95" customHeight="1">
      <c r="A136" s="1">
        <v>19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 ht="12.95" customHeight="1">
      <c r="A137" s="1">
        <v>20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 ht="12.95" customHeight="1">
      <c r="A138" s="1">
        <v>21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 ht="12.95" customHeight="1">
      <c r="A139" s="1">
        <v>22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 ht="12.95" customHeight="1">
      <c r="A140" s="1">
        <v>23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 ht="12.95" customHeight="1">
      <c r="A141" s="1">
        <v>24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 ht="12.95" customHeight="1">
      <c r="A142" s="1">
        <v>25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 ht="12.95" customHeight="1">
      <c r="A143" s="1">
        <v>26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 ht="12.95" customHeight="1">
      <c r="A144" s="1">
        <v>27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 ht="12.95" customHeight="1">
      <c r="A145" s="1">
        <v>28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 ht="12.95" customHeight="1">
      <c r="A146" s="1">
        <v>29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 ht="12.95" customHeight="1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 ht="12.95" customHeight="1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 ht="12.95" customHeight="1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 ht="12.95" customHeight="1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 ht="12.95" customHeight="1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 ht="12.95" customHeight="1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 ht="12.95" customHeight="1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 ht="12.95" customHeight="1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 ht="12.95" customHeight="1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 ht="12.95" customHeight="1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 ht="12.95" customHeight="1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 ht="12.95" customHeight="1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 ht="12.95" customHeight="1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 ht="12.95" customHeight="1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2:21" ht="12.95" customHeight="1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2:21" ht="12.95" customHeight="1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2:21" ht="12.95" customHeight="1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2:21" ht="12.95" customHeight="1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2:21" ht="12.95" customHeight="1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2:21" ht="12.95" customHeight="1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2:21" ht="12.95" customHeight="1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2:21" ht="12.95" customHeight="1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2:21" ht="12.95" customHeight="1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2:21" ht="12.95" customHeight="1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2:21" ht="12.95" customHeight="1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2:21" ht="12.95" customHeight="1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2:21" ht="12.95" customHeight="1">
      <c r="B173" s="2"/>
      <c r="C173" s="2"/>
      <c r="D173" s="2"/>
      <c r="E173" s="2"/>
      <c r="F173" s="2"/>
      <c r="G173" s="2"/>
      <c r="H173" s="2"/>
      <c r="I173" s="2"/>
      <c r="K173" s="100"/>
      <c r="L173" s="2"/>
    </row>
    <row r="174" spans="2:21" ht="12.95" customHeight="1">
      <c r="B174" s="2"/>
      <c r="C174" s="2"/>
      <c r="D174" s="2"/>
      <c r="E174" s="2"/>
      <c r="F174" s="2"/>
      <c r="G174" s="2"/>
      <c r="H174" s="2"/>
      <c r="I174" s="2"/>
      <c r="K174" s="100"/>
      <c r="L174" s="2"/>
    </row>
    <row r="175" spans="2:21" ht="12.95" customHeight="1">
      <c r="B175" s="2"/>
      <c r="C175" s="2"/>
      <c r="D175" s="2"/>
      <c r="E175" s="2"/>
      <c r="F175" s="2"/>
      <c r="G175" s="2"/>
      <c r="H175" s="2"/>
      <c r="I175" s="2"/>
      <c r="K175" s="100"/>
      <c r="L175" s="2"/>
    </row>
    <row r="176" spans="2:21" ht="12.95" customHeight="1">
      <c r="B176" s="2"/>
      <c r="C176" s="2"/>
      <c r="D176" s="2"/>
      <c r="E176" s="2"/>
      <c r="F176" s="2"/>
      <c r="G176" s="2"/>
      <c r="H176" s="2"/>
      <c r="I176" s="2"/>
      <c r="K176" s="100"/>
      <c r="L176" s="2"/>
    </row>
    <row r="177" spans="2:12" ht="12.95" customHeight="1">
      <c r="B177" s="2"/>
      <c r="C177" s="2"/>
      <c r="D177" s="2"/>
      <c r="E177" s="2"/>
      <c r="F177" s="2"/>
      <c r="G177" s="2"/>
      <c r="H177" s="2"/>
      <c r="I177" s="2"/>
      <c r="K177" s="100"/>
      <c r="L177" s="2"/>
    </row>
    <row r="178" spans="2:12" ht="12.95" customHeight="1">
      <c r="B178" s="2"/>
      <c r="C178" s="2"/>
      <c r="D178" s="2"/>
      <c r="E178" s="2"/>
      <c r="F178" s="2"/>
      <c r="G178" s="2"/>
      <c r="H178" s="2"/>
      <c r="I178" s="2"/>
      <c r="K178" s="100"/>
      <c r="L178" s="2"/>
    </row>
    <row r="179" spans="2:12" ht="12.95" customHeight="1">
      <c r="B179" s="2"/>
      <c r="C179" s="2"/>
      <c r="D179" s="2"/>
      <c r="E179" s="2"/>
      <c r="F179" s="2"/>
      <c r="G179" s="2"/>
      <c r="H179" s="2"/>
      <c r="I179" s="2"/>
      <c r="K179" s="100"/>
      <c r="L179" s="2"/>
    </row>
    <row r="180" spans="2:12" ht="12.95" customHeight="1">
      <c r="B180" s="2"/>
      <c r="C180" s="2"/>
      <c r="D180" s="2"/>
      <c r="E180" s="2"/>
      <c r="F180" s="2"/>
      <c r="G180" s="2"/>
      <c r="H180" s="2"/>
      <c r="I180" s="2"/>
      <c r="K180" s="100"/>
      <c r="L180" s="2"/>
    </row>
    <row r="181" spans="2:12" ht="12.95" customHeight="1">
      <c r="B181" s="2"/>
      <c r="C181" s="2"/>
      <c r="D181" s="2"/>
      <c r="E181" s="2"/>
      <c r="F181" s="2"/>
      <c r="G181" s="2"/>
      <c r="H181" s="2"/>
      <c r="I181" s="2"/>
      <c r="K181" s="100"/>
      <c r="L181" s="2"/>
    </row>
    <row r="182" spans="2:12" ht="12.95" customHeight="1">
      <c r="B182" s="2"/>
      <c r="C182" s="2"/>
      <c r="D182" s="2"/>
      <c r="E182" s="2"/>
      <c r="F182" s="2"/>
      <c r="G182" s="2"/>
      <c r="H182" s="2"/>
      <c r="I182" s="2"/>
      <c r="K182" s="100"/>
      <c r="L182" s="2"/>
    </row>
    <row r="183" spans="2:12" ht="12.95" customHeight="1">
      <c r="B183" s="2"/>
      <c r="C183" s="2"/>
      <c r="D183" s="2"/>
      <c r="E183" s="2"/>
      <c r="F183" s="2"/>
      <c r="G183" s="2"/>
      <c r="H183" s="2"/>
      <c r="I183" s="2"/>
      <c r="K183" s="100"/>
      <c r="L183" s="2"/>
    </row>
    <row r="184" spans="2:12" ht="12.95" customHeight="1">
      <c r="B184" s="2"/>
      <c r="C184" s="2"/>
      <c r="D184" s="2"/>
      <c r="E184" s="2"/>
      <c r="F184" s="2"/>
      <c r="G184" s="2"/>
      <c r="H184" s="2"/>
      <c r="I184" s="2"/>
      <c r="K184" s="100"/>
      <c r="L184" s="2"/>
    </row>
    <row r="185" spans="2:12" ht="12.95" customHeight="1">
      <c r="B185" s="2"/>
      <c r="C185" s="2"/>
      <c r="D185" s="2"/>
      <c r="E185" s="2"/>
      <c r="F185" s="2"/>
      <c r="G185" s="2"/>
      <c r="H185" s="2"/>
      <c r="I185" s="2"/>
      <c r="K185" s="100"/>
      <c r="L185" s="2"/>
    </row>
    <row r="186" spans="2:12" ht="12.95" customHeight="1">
      <c r="B186" s="2"/>
      <c r="C186" s="2"/>
      <c r="D186" s="2"/>
      <c r="E186" s="2"/>
      <c r="F186" s="2"/>
      <c r="G186" s="2"/>
      <c r="H186" s="2"/>
      <c r="I186" s="2"/>
      <c r="K186" s="100"/>
      <c r="L186" s="2"/>
    </row>
    <row r="187" spans="2:12" ht="12.95" customHeight="1">
      <c r="B187" s="2"/>
      <c r="C187" s="2"/>
      <c r="D187" s="2"/>
      <c r="E187" s="2"/>
      <c r="F187" s="2"/>
      <c r="G187" s="2"/>
      <c r="H187" s="2"/>
      <c r="I187" s="2"/>
      <c r="K187" s="100"/>
      <c r="L187" s="2"/>
    </row>
    <row r="188" spans="2:12" ht="12.95" customHeight="1">
      <c r="B188" s="2"/>
      <c r="C188" s="2"/>
      <c r="D188" s="2"/>
      <c r="E188" s="2"/>
      <c r="F188" s="2"/>
      <c r="G188" s="2"/>
      <c r="H188" s="2"/>
      <c r="I188" s="2"/>
      <c r="K188" s="100"/>
      <c r="L188" s="2"/>
    </row>
    <row r="189" spans="2:12" ht="12.95" customHeight="1">
      <c r="B189" s="2"/>
      <c r="C189" s="2"/>
      <c r="D189" s="2"/>
      <c r="E189" s="2"/>
      <c r="F189" s="2"/>
      <c r="G189" s="2"/>
      <c r="H189" s="2"/>
      <c r="I189" s="2"/>
      <c r="K189" s="100"/>
      <c r="L189" s="2"/>
    </row>
    <row r="190" spans="2:12" ht="12.95" customHeight="1">
      <c r="B190" s="2"/>
      <c r="C190" s="2"/>
      <c r="D190" s="2"/>
      <c r="E190" s="2"/>
      <c r="F190" s="2"/>
      <c r="G190" s="2"/>
      <c r="H190" s="2"/>
      <c r="I190" s="2"/>
      <c r="K190" s="100"/>
      <c r="L190" s="2"/>
    </row>
    <row r="191" spans="2:12" ht="12.95" customHeight="1">
      <c r="B191" s="2"/>
      <c r="C191" s="2"/>
      <c r="D191" s="2"/>
      <c r="E191" s="2"/>
      <c r="F191" s="2"/>
      <c r="G191" s="2"/>
      <c r="H191" s="2"/>
      <c r="I191" s="2"/>
      <c r="K191" s="100"/>
      <c r="L191" s="2"/>
    </row>
    <row r="192" spans="2:12" ht="12.95" customHeight="1">
      <c r="B192" s="2"/>
      <c r="C192" s="2"/>
      <c r="D192" s="2"/>
      <c r="E192" s="2"/>
      <c r="F192" s="2"/>
      <c r="G192" s="2"/>
      <c r="H192" s="2"/>
      <c r="I192" s="2"/>
      <c r="K192" s="100"/>
      <c r="L192" s="2"/>
    </row>
    <row r="193" spans="2:12" ht="12.95" customHeight="1">
      <c r="B193" s="2"/>
      <c r="C193" s="2"/>
      <c r="D193" s="2"/>
      <c r="E193" s="2"/>
      <c r="F193" s="2"/>
      <c r="G193" s="2"/>
      <c r="H193" s="2"/>
      <c r="I193" s="2"/>
      <c r="K193" s="100"/>
      <c r="L193" s="2"/>
    </row>
    <row r="194" spans="2:12" ht="12.95" customHeight="1">
      <c r="B194" s="2"/>
      <c r="C194" s="2"/>
      <c r="D194" s="2"/>
      <c r="E194" s="2"/>
      <c r="F194" s="2"/>
      <c r="G194" s="2"/>
      <c r="H194" s="2"/>
      <c r="I194" s="2"/>
      <c r="K194" s="100"/>
      <c r="L194" s="2"/>
    </row>
    <row r="195" spans="2:12" ht="12.95" customHeight="1">
      <c r="B195" s="2"/>
      <c r="C195" s="2"/>
      <c r="D195" s="2"/>
      <c r="E195" s="2"/>
      <c r="F195" s="2"/>
      <c r="G195" s="2"/>
      <c r="H195" s="2"/>
      <c r="I195" s="2"/>
      <c r="K195" s="100"/>
      <c r="L195" s="2"/>
    </row>
    <row r="196" spans="2:12" ht="12.95" customHeight="1">
      <c r="B196" s="2"/>
      <c r="C196" s="2"/>
      <c r="D196" s="2"/>
      <c r="E196" s="2"/>
      <c r="F196" s="2"/>
      <c r="G196" s="2"/>
      <c r="H196" s="2"/>
      <c r="I196" s="2"/>
      <c r="K196" s="100"/>
      <c r="L196" s="2"/>
    </row>
    <row r="197" spans="2:12" ht="12.95" customHeight="1">
      <c r="B197" s="2"/>
      <c r="C197" s="2"/>
      <c r="D197" s="2"/>
      <c r="E197" s="2"/>
      <c r="F197" s="2"/>
      <c r="G197" s="2"/>
      <c r="H197" s="2"/>
      <c r="I197" s="2"/>
      <c r="K197" s="100"/>
      <c r="L197" s="2"/>
    </row>
    <row r="198" spans="2:12" ht="12.95" customHeight="1">
      <c r="B198" s="2"/>
      <c r="C198" s="2"/>
      <c r="D198" s="2"/>
      <c r="E198" s="2"/>
      <c r="F198" s="2"/>
      <c r="G198" s="2"/>
      <c r="H198" s="2"/>
      <c r="I198" s="2"/>
      <c r="K198" s="100"/>
      <c r="L198" s="2"/>
    </row>
    <row r="199" spans="2:12" ht="12.95" customHeight="1">
      <c r="B199" s="2"/>
      <c r="C199" s="2"/>
      <c r="D199" s="2"/>
      <c r="E199" s="2"/>
      <c r="F199" s="2"/>
      <c r="G199" s="2"/>
      <c r="H199" s="2"/>
      <c r="I199" s="2"/>
      <c r="K199" s="100"/>
      <c r="L199" s="2"/>
    </row>
    <row r="200" spans="2:12" ht="12.95" customHeight="1">
      <c r="B200" s="2"/>
      <c r="C200" s="2"/>
      <c r="D200" s="2"/>
      <c r="E200" s="2"/>
      <c r="F200" s="2"/>
      <c r="G200" s="2"/>
      <c r="H200" s="2"/>
      <c r="I200" s="2"/>
      <c r="K200" s="100"/>
      <c r="L200" s="2"/>
    </row>
    <row r="201" spans="2:12" ht="12.95" customHeight="1">
      <c r="B201" s="2"/>
      <c r="C201" s="2"/>
      <c r="D201" s="2"/>
      <c r="E201" s="2"/>
      <c r="F201" s="2"/>
      <c r="G201" s="2"/>
      <c r="H201" s="2"/>
      <c r="I201" s="2"/>
      <c r="K201" s="100"/>
      <c r="L201" s="2"/>
    </row>
    <row r="202" spans="2:12" ht="12.95" customHeight="1">
      <c r="B202" s="2"/>
      <c r="C202" s="2"/>
      <c r="D202" s="2"/>
      <c r="E202" s="2"/>
      <c r="F202" s="2"/>
      <c r="G202" s="2"/>
      <c r="H202" s="2"/>
      <c r="I202" s="2"/>
      <c r="K202" s="100"/>
      <c r="L202" s="2"/>
    </row>
    <row r="203" spans="2:12" ht="12.95" customHeight="1">
      <c r="B203" s="2"/>
      <c r="C203" s="2"/>
      <c r="D203" s="2"/>
      <c r="E203" s="2"/>
      <c r="F203" s="2"/>
      <c r="G203" s="2"/>
      <c r="H203" s="2"/>
      <c r="I203" s="2"/>
      <c r="K203" s="100"/>
      <c r="L203" s="2"/>
    </row>
    <row r="204" spans="2:12" ht="12.95" customHeight="1">
      <c r="B204" s="2"/>
      <c r="C204" s="2"/>
      <c r="D204" s="2"/>
      <c r="E204" s="2"/>
      <c r="F204" s="2"/>
      <c r="G204" s="2"/>
      <c r="H204" s="2"/>
      <c r="I204" s="2"/>
      <c r="K204" s="100"/>
      <c r="L204" s="2"/>
    </row>
    <row r="205" spans="2:12" ht="12.95" customHeight="1">
      <c r="B205" s="2"/>
      <c r="C205" s="2"/>
      <c r="D205" s="2"/>
      <c r="E205" s="2"/>
      <c r="F205" s="2"/>
      <c r="G205" s="2"/>
      <c r="H205" s="2"/>
      <c r="I205" s="2"/>
      <c r="K205" s="100"/>
      <c r="L205" s="2"/>
    </row>
    <row r="206" spans="2:12" ht="12.95" customHeight="1">
      <c r="B206" s="2"/>
      <c r="C206" s="2"/>
      <c r="D206" s="2"/>
      <c r="E206" s="2"/>
      <c r="F206" s="2"/>
      <c r="G206" s="2"/>
      <c r="H206" s="2"/>
      <c r="I206" s="2"/>
      <c r="K206" s="100"/>
      <c r="L206" s="2"/>
    </row>
    <row r="207" spans="2:12" ht="12.95" customHeight="1">
      <c r="B207" s="2"/>
      <c r="C207" s="2"/>
      <c r="D207" s="2"/>
      <c r="E207" s="2"/>
      <c r="F207" s="2"/>
      <c r="G207" s="2"/>
      <c r="H207" s="2"/>
      <c r="I207" s="2"/>
      <c r="K207" s="100"/>
      <c r="L207" s="2"/>
    </row>
    <row r="208" spans="2:12" ht="12.95" customHeight="1">
      <c r="B208" s="2"/>
      <c r="C208" s="2"/>
      <c r="D208" s="2"/>
      <c r="E208" s="2"/>
      <c r="F208" s="2"/>
      <c r="G208" s="2"/>
      <c r="H208" s="2"/>
      <c r="I208" s="2"/>
      <c r="K208" s="100"/>
      <c r="L208" s="2"/>
    </row>
    <row r="209" spans="2:12" ht="12.95" customHeight="1">
      <c r="B209" s="2"/>
      <c r="C209" s="2"/>
      <c r="D209" s="2"/>
      <c r="E209" s="2"/>
      <c r="F209" s="2"/>
      <c r="G209" s="2"/>
      <c r="H209" s="2"/>
      <c r="I209" s="2"/>
      <c r="K209" s="100"/>
      <c r="L209" s="2"/>
    </row>
    <row r="210" spans="2:12" ht="12.95" customHeight="1">
      <c r="B210" s="2"/>
      <c r="C210" s="2"/>
      <c r="D210" s="2"/>
      <c r="E210" s="2"/>
      <c r="F210" s="2"/>
      <c r="G210" s="2"/>
      <c r="H210" s="2"/>
      <c r="I210" s="2"/>
      <c r="K210" s="100"/>
      <c r="L210" s="2"/>
    </row>
    <row r="211" spans="2:12" ht="12.95" customHeight="1">
      <c r="B211" s="2"/>
      <c r="C211" s="2"/>
      <c r="D211" s="2"/>
      <c r="E211" s="2"/>
      <c r="F211" s="2"/>
      <c r="G211" s="2"/>
      <c r="H211" s="2"/>
      <c r="I211" s="2"/>
      <c r="K211" s="100"/>
      <c r="L211" s="2"/>
    </row>
    <row r="212" spans="2:12" ht="12.95" customHeight="1">
      <c r="B212" s="2"/>
      <c r="C212" s="2"/>
      <c r="D212" s="2"/>
      <c r="E212" s="2"/>
      <c r="F212" s="2"/>
      <c r="G212" s="2"/>
      <c r="H212" s="2"/>
      <c r="I212" s="2"/>
      <c r="K212" s="100"/>
      <c r="L212" s="2"/>
    </row>
    <row r="213" spans="2:12" ht="12.95" customHeight="1">
      <c r="B213" s="2"/>
      <c r="C213" s="2"/>
      <c r="D213" s="2"/>
      <c r="E213" s="2"/>
      <c r="F213" s="2"/>
      <c r="G213" s="2"/>
      <c r="H213" s="2"/>
      <c r="I213" s="2"/>
      <c r="K213" s="100"/>
      <c r="L213" s="2"/>
    </row>
    <row r="214" spans="2:12" ht="12.95" customHeight="1">
      <c r="B214" s="2"/>
      <c r="C214" s="2"/>
      <c r="D214" s="2"/>
      <c r="E214" s="2"/>
      <c r="F214" s="2"/>
      <c r="G214" s="2"/>
      <c r="H214" s="2"/>
      <c r="I214" s="2"/>
      <c r="K214" s="100"/>
      <c r="L214" s="2"/>
    </row>
    <row r="215" spans="2:12" ht="12.95" customHeight="1">
      <c r="B215" s="2"/>
      <c r="C215" s="2"/>
      <c r="D215" s="2"/>
      <c r="E215" s="2"/>
      <c r="F215" s="2"/>
      <c r="G215" s="2"/>
      <c r="H215" s="2"/>
      <c r="I215" s="2"/>
      <c r="K215" s="100"/>
      <c r="L215" s="2"/>
    </row>
    <row r="216" spans="2:12" ht="12.95" customHeight="1">
      <c r="B216" s="2"/>
      <c r="C216" s="2"/>
      <c r="D216" s="2"/>
      <c r="E216" s="2"/>
      <c r="F216" s="2"/>
      <c r="G216" s="2"/>
      <c r="H216" s="2"/>
      <c r="I216" s="2"/>
      <c r="K216" s="100"/>
      <c r="L216" s="2"/>
    </row>
    <row r="217" spans="2:12" ht="12.95" customHeight="1">
      <c r="B217" s="2"/>
      <c r="C217" s="2"/>
      <c r="D217" s="2"/>
      <c r="E217" s="2"/>
      <c r="F217" s="2"/>
      <c r="G217" s="2"/>
      <c r="H217" s="2"/>
      <c r="I217" s="2"/>
      <c r="K217" s="100"/>
      <c r="L217" s="2"/>
    </row>
    <row r="218" spans="2:12" ht="12.95" customHeight="1">
      <c r="B218" s="2"/>
      <c r="C218" s="2"/>
      <c r="D218" s="2"/>
      <c r="E218" s="2"/>
      <c r="F218" s="2"/>
      <c r="G218" s="2"/>
      <c r="H218" s="2"/>
      <c r="I218" s="2"/>
      <c r="K218" s="100"/>
      <c r="L218" s="2"/>
    </row>
    <row r="219" spans="2:12" ht="12.95" customHeight="1">
      <c r="B219" s="2"/>
      <c r="C219" s="2"/>
      <c r="D219" s="2"/>
      <c r="E219" s="2"/>
      <c r="F219" s="2"/>
      <c r="G219" s="2"/>
      <c r="H219" s="2"/>
      <c r="I219" s="2"/>
      <c r="K219" s="100"/>
      <c r="L219" s="2"/>
    </row>
    <row r="220" spans="2:12" ht="12.95" customHeight="1">
      <c r="B220" s="2"/>
      <c r="C220" s="2"/>
      <c r="D220" s="2"/>
      <c r="E220" s="2"/>
      <c r="F220" s="2"/>
      <c r="G220" s="2"/>
      <c r="H220" s="2"/>
      <c r="I220" s="2"/>
      <c r="K220" s="100"/>
      <c r="L220" s="2"/>
    </row>
    <row r="221" spans="2:12" ht="12.95" customHeight="1">
      <c r="B221" s="2"/>
      <c r="C221" s="2"/>
      <c r="D221" s="2"/>
      <c r="E221" s="2"/>
      <c r="F221" s="2"/>
      <c r="G221" s="2"/>
      <c r="H221" s="2"/>
      <c r="I221" s="2"/>
      <c r="K221" s="100"/>
      <c r="L221" s="2"/>
    </row>
    <row r="222" spans="2:12" ht="12.95" customHeight="1">
      <c r="B222" s="2"/>
      <c r="C222" s="2"/>
      <c r="D222" s="2"/>
      <c r="E222" s="2"/>
      <c r="F222" s="2"/>
      <c r="G222" s="2"/>
      <c r="H222" s="2"/>
      <c r="I222" s="2"/>
      <c r="K222" s="100"/>
      <c r="L222" s="2"/>
    </row>
    <row r="223" spans="2:12" ht="12.95" customHeight="1">
      <c r="B223" s="2"/>
      <c r="C223" s="2"/>
      <c r="D223" s="2"/>
      <c r="E223" s="2"/>
      <c r="F223" s="2"/>
      <c r="G223" s="2"/>
      <c r="H223" s="2"/>
      <c r="I223" s="2"/>
      <c r="K223" s="100"/>
      <c r="L223" s="2"/>
    </row>
    <row r="224" spans="2:12" ht="12.95" customHeight="1">
      <c r="B224" s="2"/>
      <c r="C224" s="2"/>
      <c r="D224" s="2"/>
      <c r="E224" s="2"/>
      <c r="F224" s="2"/>
      <c r="G224" s="2"/>
      <c r="H224" s="2"/>
      <c r="I224" s="2"/>
      <c r="K224" s="100"/>
      <c r="L224" s="2"/>
    </row>
    <row r="225" spans="2:12" ht="12.95" customHeight="1">
      <c r="B225" s="2"/>
      <c r="C225" s="2"/>
      <c r="D225" s="2"/>
      <c r="E225" s="2"/>
      <c r="F225" s="2"/>
      <c r="G225" s="2"/>
      <c r="H225" s="2"/>
      <c r="I225" s="2"/>
      <c r="K225" s="100"/>
      <c r="L225" s="2"/>
    </row>
    <row r="226" spans="2:12" ht="12.95" customHeight="1">
      <c r="B226" s="2"/>
      <c r="C226" s="2"/>
      <c r="D226" s="2"/>
      <c r="E226" s="2"/>
      <c r="F226" s="2"/>
      <c r="G226" s="2"/>
      <c r="H226" s="2"/>
      <c r="I226" s="2"/>
      <c r="K226" s="100"/>
      <c r="L226" s="2"/>
    </row>
    <row r="227" spans="2:12" ht="12.95" customHeight="1">
      <c r="B227" s="2"/>
      <c r="C227" s="2"/>
      <c r="D227" s="2"/>
      <c r="E227" s="2"/>
      <c r="F227" s="2"/>
      <c r="G227" s="2"/>
      <c r="H227" s="2"/>
      <c r="I227" s="2"/>
      <c r="K227" s="100"/>
      <c r="L227" s="2"/>
    </row>
    <row r="228" spans="2:12" ht="12.95" customHeight="1">
      <c r="B228" s="2"/>
      <c r="C228" s="2"/>
      <c r="D228" s="2"/>
      <c r="E228" s="2"/>
      <c r="F228" s="2"/>
      <c r="G228" s="2"/>
      <c r="H228" s="2"/>
      <c r="I228" s="2"/>
      <c r="K228" s="100"/>
      <c r="L228" s="2"/>
    </row>
    <row r="229" spans="2:12" ht="12.95" customHeight="1">
      <c r="B229" s="2"/>
      <c r="C229" s="2"/>
      <c r="D229" s="2"/>
      <c r="E229" s="2"/>
      <c r="F229" s="2"/>
      <c r="G229" s="2"/>
      <c r="H229" s="2"/>
      <c r="I229" s="2"/>
      <c r="K229" s="100"/>
      <c r="L229" s="2"/>
    </row>
    <row r="230" spans="2:12" ht="12.95" customHeight="1">
      <c r="B230" s="2"/>
      <c r="C230" s="2"/>
      <c r="D230" s="2"/>
      <c r="E230" s="2"/>
      <c r="F230" s="2"/>
      <c r="G230" s="2"/>
      <c r="H230" s="2"/>
      <c r="I230" s="2"/>
      <c r="K230" s="100"/>
      <c r="L230" s="2"/>
    </row>
    <row r="231" spans="2:12" ht="12.95" customHeight="1">
      <c r="B231" s="2"/>
      <c r="C231" s="2"/>
      <c r="D231" s="2"/>
      <c r="E231" s="2"/>
      <c r="F231" s="2"/>
      <c r="G231" s="2"/>
      <c r="H231" s="2"/>
      <c r="I231" s="2"/>
      <c r="K231" s="100"/>
      <c r="L231" s="2"/>
    </row>
    <row r="232" spans="2:12" ht="12.95" customHeight="1">
      <c r="B232" s="2"/>
      <c r="C232" s="2"/>
      <c r="D232" s="2"/>
      <c r="E232" s="2"/>
      <c r="F232" s="2"/>
      <c r="G232" s="2"/>
      <c r="H232" s="2"/>
      <c r="I232" s="2"/>
      <c r="K232" s="100"/>
      <c r="L232" s="2"/>
    </row>
    <row r="233" spans="2:12" ht="12.95" customHeight="1">
      <c r="B233" s="2"/>
      <c r="C233" s="2"/>
      <c r="D233" s="2"/>
      <c r="E233" s="2"/>
      <c r="F233" s="2"/>
      <c r="G233" s="2"/>
      <c r="H233" s="2"/>
      <c r="I233" s="2"/>
      <c r="K233" s="100"/>
      <c r="L233" s="2"/>
    </row>
    <row r="234" spans="2:12" ht="12.95" customHeight="1">
      <c r="B234" s="2"/>
      <c r="C234" s="2"/>
      <c r="D234" s="2"/>
      <c r="E234" s="2"/>
      <c r="F234" s="2"/>
      <c r="G234" s="2"/>
      <c r="H234" s="2"/>
      <c r="I234" s="2"/>
      <c r="K234" s="100"/>
      <c r="L234" s="2"/>
    </row>
    <row r="235" spans="2:12" ht="12.95" customHeight="1">
      <c r="B235" s="2"/>
      <c r="C235" s="2"/>
      <c r="D235" s="2"/>
      <c r="E235" s="2"/>
      <c r="F235" s="2"/>
      <c r="G235" s="2"/>
      <c r="H235" s="2"/>
      <c r="I235" s="2"/>
      <c r="K235" s="100"/>
      <c r="L235" s="2"/>
    </row>
    <row r="236" spans="2:12" ht="12.95" customHeight="1">
      <c r="B236" s="2"/>
      <c r="C236" s="2"/>
      <c r="D236" s="2"/>
      <c r="E236" s="2"/>
      <c r="F236" s="2"/>
      <c r="G236" s="2"/>
      <c r="H236" s="2"/>
      <c r="I236" s="2"/>
      <c r="K236" s="100"/>
      <c r="L236" s="2"/>
    </row>
    <row r="237" spans="2:12" ht="12.95" customHeight="1">
      <c r="B237" s="2"/>
      <c r="C237" s="2"/>
      <c r="D237" s="2"/>
      <c r="E237" s="2"/>
      <c r="F237" s="2"/>
      <c r="G237" s="2"/>
      <c r="H237" s="2"/>
      <c r="I237" s="2"/>
      <c r="K237" s="100"/>
      <c r="L237" s="2"/>
    </row>
    <row r="238" spans="2:12" ht="12.95" customHeight="1">
      <c r="B238" s="2"/>
      <c r="C238" s="2"/>
      <c r="D238" s="2"/>
      <c r="E238" s="2"/>
      <c r="F238" s="2"/>
      <c r="G238" s="2"/>
      <c r="H238" s="2"/>
      <c r="I238" s="2"/>
      <c r="K238" s="100"/>
      <c r="L238" s="2"/>
    </row>
    <row r="239" spans="2:12" ht="12.95" customHeight="1">
      <c r="B239" s="2"/>
      <c r="C239" s="2"/>
      <c r="D239" s="2"/>
      <c r="E239" s="2"/>
      <c r="F239" s="2"/>
      <c r="G239" s="2"/>
      <c r="H239" s="2"/>
      <c r="I239" s="2"/>
      <c r="K239" s="100"/>
      <c r="L239" s="2"/>
    </row>
    <row r="240" spans="2:12" ht="12.95" customHeight="1">
      <c r="B240" s="2"/>
      <c r="C240" s="2"/>
      <c r="D240" s="2"/>
      <c r="E240" s="2"/>
      <c r="F240" s="2"/>
      <c r="G240" s="2"/>
      <c r="H240" s="2"/>
      <c r="I240" s="2"/>
      <c r="K240" s="100"/>
      <c r="L240" s="2"/>
    </row>
    <row r="241" spans="2:12" ht="12.95" customHeight="1">
      <c r="B241" s="2"/>
      <c r="C241" s="2"/>
      <c r="D241" s="2"/>
      <c r="E241" s="2"/>
      <c r="F241" s="2"/>
      <c r="G241" s="2"/>
      <c r="H241" s="2"/>
      <c r="I241" s="2"/>
      <c r="K241" s="100"/>
      <c r="L241" s="2"/>
    </row>
    <row r="242" spans="2:12" ht="12.95" customHeight="1">
      <c r="B242" s="2"/>
      <c r="C242" s="2"/>
      <c r="D242" s="2"/>
      <c r="E242" s="2"/>
      <c r="F242" s="2"/>
      <c r="G242" s="2"/>
      <c r="H242" s="2"/>
      <c r="I242" s="2"/>
      <c r="K242" s="100"/>
      <c r="L242" s="2"/>
    </row>
    <row r="243" spans="2:12" ht="12.95" customHeight="1">
      <c r="B243" s="2"/>
      <c r="C243" s="2"/>
      <c r="D243" s="2"/>
      <c r="E243" s="2"/>
      <c r="F243" s="2"/>
      <c r="G243" s="2"/>
      <c r="H243" s="2"/>
      <c r="I243" s="2"/>
      <c r="K243" s="100"/>
      <c r="L243" s="2"/>
    </row>
    <row r="244" spans="2:12" ht="12.95" customHeight="1">
      <c r="B244" s="2"/>
      <c r="C244" s="2"/>
      <c r="D244" s="2"/>
      <c r="E244" s="2"/>
      <c r="F244" s="2"/>
      <c r="G244" s="2"/>
      <c r="H244" s="2"/>
      <c r="I244" s="2"/>
      <c r="K244" s="100"/>
      <c r="L244" s="2"/>
    </row>
    <row r="245" spans="2:12" ht="12.95" customHeight="1">
      <c r="B245" s="2"/>
      <c r="C245" s="2"/>
      <c r="D245" s="2"/>
      <c r="E245" s="2"/>
      <c r="F245" s="2"/>
      <c r="G245" s="2"/>
      <c r="H245" s="2"/>
      <c r="I245" s="2"/>
      <c r="K245" s="100"/>
      <c r="L245" s="2"/>
    </row>
    <row r="246" spans="2:12" ht="12.95" customHeight="1">
      <c r="B246" s="2"/>
      <c r="C246" s="2"/>
      <c r="D246" s="2"/>
      <c r="E246" s="2"/>
      <c r="F246" s="2"/>
      <c r="G246" s="2"/>
      <c r="H246" s="2"/>
      <c r="I246" s="2"/>
      <c r="K246" s="100"/>
      <c r="L246" s="2"/>
    </row>
    <row r="247" spans="2:12" ht="12.95" customHeight="1">
      <c r="B247" s="2"/>
      <c r="C247" s="2"/>
      <c r="D247" s="2"/>
      <c r="E247" s="2"/>
      <c r="F247" s="2"/>
      <c r="G247" s="2"/>
      <c r="H247" s="2"/>
      <c r="I247" s="2"/>
      <c r="K247" s="100"/>
      <c r="L247" s="2"/>
    </row>
    <row r="248" spans="2:12" ht="12.95" customHeight="1">
      <c r="B248" s="2"/>
      <c r="C248" s="2"/>
      <c r="D248" s="2"/>
      <c r="E248" s="2"/>
      <c r="F248" s="2"/>
      <c r="G248" s="2"/>
      <c r="H248" s="2"/>
      <c r="I248" s="2"/>
      <c r="K248" s="100"/>
      <c r="L248" s="2"/>
    </row>
    <row r="249" spans="2:12" ht="12.95" customHeight="1">
      <c r="B249" s="2"/>
      <c r="C249" s="2"/>
      <c r="D249" s="2"/>
      <c r="E249" s="2"/>
      <c r="F249" s="2"/>
      <c r="G249" s="2"/>
      <c r="H249" s="2"/>
      <c r="I249" s="2"/>
      <c r="K249" s="100"/>
      <c r="L249" s="2"/>
    </row>
    <row r="250" spans="2:12" ht="12.95" customHeight="1">
      <c r="B250" s="2"/>
      <c r="C250" s="2"/>
      <c r="D250" s="2"/>
      <c r="E250" s="2"/>
      <c r="F250" s="2"/>
      <c r="G250" s="2"/>
      <c r="H250" s="2"/>
      <c r="I250" s="2"/>
      <c r="K250" s="100"/>
      <c r="L250" s="2"/>
    </row>
    <row r="251" spans="2:12" ht="12.95" customHeight="1">
      <c r="B251" s="2"/>
      <c r="C251" s="2"/>
      <c r="D251" s="2"/>
      <c r="E251" s="2"/>
      <c r="F251" s="2"/>
      <c r="G251" s="2"/>
      <c r="H251" s="2"/>
      <c r="I251" s="2"/>
      <c r="K251" s="100"/>
      <c r="L251" s="2"/>
    </row>
    <row r="252" spans="2:12" ht="12.95" customHeight="1">
      <c r="B252" s="2"/>
      <c r="C252" s="2"/>
      <c r="D252" s="2"/>
      <c r="E252" s="2"/>
      <c r="F252" s="2"/>
      <c r="G252" s="2"/>
      <c r="H252" s="2"/>
      <c r="I252" s="2"/>
      <c r="K252" s="100"/>
      <c r="L252" s="2"/>
    </row>
    <row r="253" spans="2:12" ht="12.95" customHeight="1">
      <c r="B253" s="2"/>
      <c r="C253" s="2"/>
      <c r="D253" s="2"/>
      <c r="E253" s="2"/>
      <c r="F253" s="2"/>
      <c r="G253" s="2"/>
      <c r="H253" s="2"/>
      <c r="I253" s="2"/>
      <c r="K253" s="100"/>
      <c r="L253" s="2"/>
    </row>
    <row r="254" spans="2:12" ht="12.95" customHeight="1">
      <c r="B254" s="2"/>
      <c r="C254" s="2"/>
      <c r="D254" s="2"/>
      <c r="E254" s="2"/>
      <c r="F254" s="2"/>
      <c r="G254" s="2"/>
      <c r="H254" s="2"/>
      <c r="I254" s="2"/>
      <c r="K254" s="100"/>
      <c r="L254" s="2"/>
    </row>
    <row r="255" spans="2:12" ht="12.95" customHeight="1">
      <c r="B255" s="2"/>
      <c r="C255" s="2"/>
      <c r="D255" s="2"/>
      <c r="E255" s="2"/>
      <c r="F255" s="2"/>
      <c r="G255" s="2"/>
      <c r="H255" s="2"/>
      <c r="I255" s="2"/>
      <c r="K255" s="100"/>
      <c r="L255" s="2"/>
    </row>
    <row r="256" spans="2:12" ht="12.95" customHeight="1">
      <c r="B256" s="2"/>
      <c r="C256" s="2"/>
      <c r="D256" s="2"/>
      <c r="E256" s="2"/>
      <c r="F256" s="2"/>
      <c r="G256" s="2"/>
      <c r="H256" s="2"/>
      <c r="I256" s="2"/>
      <c r="K256" s="100"/>
      <c r="L256" s="2"/>
    </row>
    <row r="257" spans="2:12" ht="12.95" customHeight="1">
      <c r="B257" s="2"/>
      <c r="C257" s="2"/>
      <c r="D257" s="2"/>
      <c r="E257" s="2"/>
      <c r="F257" s="2"/>
      <c r="G257" s="2"/>
      <c r="H257" s="2"/>
      <c r="I257" s="2"/>
      <c r="K257" s="100"/>
      <c r="L257" s="2"/>
    </row>
    <row r="258" spans="2:12" ht="12.95" customHeight="1">
      <c r="B258" s="2"/>
      <c r="C258" s="2"/>
      <c r="D258" s="2"/>
      <c r="E258" s="2"/>
      <c r="F258" s="2"/>
      <c r="G258" s="2"/>
      <c r="H258" s="2"/>
      <c r="I258" s="2"/>
      <c r="K258" s="100"/>
      <c r="L258" s="2"/>
    </row>
    <row r="259" spans="2:12" ht="12.95" customHeight="1">
      <c r="B259" s="2"/>
      <c r="C259" s="2"/>
      <c r="D259" s="2"/>
      <c r="E259" s="2"/>
      <c r="F259" s="2"/>
      <c r="G259" s="2"/>
      <c r="H259" s="2"/>
      <c r="I259" s="2"/>
      <c r="K259" s="100"/>
      <c r="L259" s="2"/>
    </row>
    <row r="260" spans="2:12" ht="12.95" customHeight="1">
      <c r="B260" s="2"/>
      <c r="C260" s="2"/>
      <c r="D260" s="2"/>
      <c r="E260" s="2"/>
      <c r="F260" s="2"/>
      <c r="G260" s="2"/>
      <c r="H260" s="2"/>
      <c r="I260" s="2"/>
      <c r="K260" s="100"/>
      <c r="L260" s="2"/>
    </row>
    <row r="261" spans="2:12" ht="12.95" customHeight="1">
      <c r="B261" s="2"/>
      <c r="C261" s="2"/>
      <c r="D261" s="2"/>
      <c r="E261" s="2"/>
      <c r="F261" s="2"/>
      <c r="G261" s="2"/>
      <c r="H261" s="2"/>
      <c r="I261" s="2"/>
      <c r="K261" s="100"/>
      <c r="L261" s="2"/>
    </row>
    <row r="262" spans="2:12" ht="12.95" customHeight="1">
      <c r="B262" s="2"/>
      <c r="C262" s="2"/>
      <c r="D262" s="2"/>
      <c r="E262" s="2"/>
      <c r="F262" s="2"/>
      <c r="G262" s="2"/>
      <c r="H262" s="2"/>
      <c r="I262" s="2"/>
      <c r="K262" s="100"/>
      <c r="L262" s="2"/>
    </row>
    <row r="263" spans="2:12" ht="12.95" customHeight="1">
      <c r="B263" s="2"/>
      <c r="C263" s="2"/>
      <c r="D263" s="2"/>
      <c r="E263" s="2"/>
      <c r="F263" s="2"/>
      <c r="G263" s="2"/>
      <c r="H263" s="2"/>
      <c r="I263" s="2"/>
      <c r="K263" s="100"/>
      <c r="L263" s="2"/>
    </row>
    <row r="264" spans="2:12" ht="12.95" customHeight="1">
      <c r="B264" s="2"/>
      <c r="C264" s="2"/>
      <c r="D264" s="2"/>
      <c r="E264" s="2"/>
      <c r="F264" s="2"/>
      <c r="G264" s="2"/>
      <c r="H264" s="2"/>
      <c r="I264" s="2"/>
      <c r="K264" s="100"/>
      <c r="L264" s="2"/>
    </row>
    <row r="265" spans="2:12" ht="12.95" customHeight="1">
      <c r="B265" s="2"/>
      <c r="C265" s="2"/>
      <c r="D265" s="2"/>
      <c r="E265" s="2"/>
      <c r="F265" s="2"/>
      <c r="G265" s="2"/>
      <c r="H265" s="2"/>
      <c r="I265" s="2"/>
      <c r="K265" s="100"/>
      <c r="L265" s="2"/>
    </row>
    <row r="266" spans="2:12" ht="12.95" customHeight="1">
      <c r="B266" s="2"/>
      <c r="C266" s="2"/>
      <c r="D266" s="2"/>
      <c r="E266" s="2"/>
      <c r="F266" s="2"/>
      <c r="G266" s="2"/>
      <c r="H266" s="2"/>
      <c r="I266" s="2"/>
      <c r="K266" s="100"/>
      <c r="L266" s="2"/>
    </row>
    <row r="267" spans="2:12" ht="12.95" customHeight="1">
      <c r="B267" s="2"/>
      <c r="C267" s="2"/>
      <c r="D267" s="2"/>
      <c r="E267" s="2"/>
      <c r="F267" s="2"/>
      <c r="G267" s="2"/>
      <c r="H267" s="2"/>
      <c r="I267" s="2"/>
      <c r="K267" s="100"/>
      <c r="L267" s="2"/>
    </row>
    <row r="268" spans="2:12" ht="12.95" customHeight="1">
      <c r="B268" s="2"/>
      <c r="C268" s="2"/>
      <c r="D268" s="2"/>
      <c r="E268" s="2"/>
      <c r="F268" s="2"/>
      <c r="G268" s="2"/>
      <c r="H268" s="2"/>
      <c r="I268" s="2"/>
      <c r="K268" s="100"/>
      <c r="L268" s="2"/>
    </row>
    <row r="269" spans="2:12" ht="12.95" customHeight="1">
      <c r="B269" s="2"/>
      <c r="C269" s="2"/>
      <c r="D269" s="2"/>
      <c r="E269" s="2"/>
      <c r="F269" s="2"/>
      <c r="G269" s="2"/>
      <c r="H269" s="2"/>
      <c r="I269" s="2"/>
      <c r="K269" s="100"/>
      <c r="L269" s="2"/>
    </row>
    <row r="270" spans="2:12" ht="12.95" customHeight="1">
      <c r="B270" s="2"/>
      <c r="C270" s="2"/>
      <c r="D270" s="2"/>
      <c r="E270" s="2"/>
      <c r="F270" s="2"/>
      <c r="G270" s="2"/>
      <c r="H270" s="2"/>
      <c r="I270" s="2"/>
      <c r="K270" s="100"/>
      <c r="L270" s="2"/>
    </row>
    <row r="271" spans="2:12" ht="12.95" customHeight="1">
      <c r="B271" s="2"/>
      <c r="C271" s="2"/>
      <c r="D271" s="2"/>
      <c r="E271" s="2"/>
      <c r="F271" s="2"/>
      <c r="G271" s="2"/>
      <c r="H271" s="2"/>
      <c r="I271" s="2"/>
      <c r="K271" s="100"/>
      <c r="L271" s="2"/>
    </row>
    <row r="272" spans="2:12" ht="12.95" customHeight="1">
      <c r="B272" s="2"/>
      <c r="C272" s="2"/>
      <c r="D272" s="2"/>
      <c r="E272" s="2"/>
      <c r="F272" s="2"/>
      <c r="G272" s="2"/>
      <c r="H272" s="2"/>
      <c r="I272" s="2"/>
      <c r="K272" s="100"/>
      <c r="L272" s="2"/>
    </row>
    <row r="273" spans="2:12" ht="12.95" customHeight="1">
      <c r="B273" s="2"/>
      <c r="C273" s="2"/>
      <c r="D273" s="2"/>
      <c r="E273" s="2"/>
      <c r="F273" s="2"/>
      <c r="G273" s="2"/>
      <c r="H273" s="2"/>
      <c r="I273" s="2"/>
      <c r="K273" s="100"/>
      <c r="L273" s="2"/>
    </row>
    <row r="274" spans="2:12" ht="12.95" customHeight="1">
      <c r="B274" s="2"/>
      <c r="C274" s="2"/>
      <c r="D274" s="2"/>
      <c r="E274" s="2"/>
      <c r="F274" s="2"/>
      <c r="G274" s="2"/>
      <c r="H274" s="2"/>
      <c r="I274" s="2"/>
      <c r="K274" s="100"/>
      <c r="L274" s="2"/>
    </row>
    <row r="275" spans="2:12" ht="12.95" customHeight="1">
      <c r="B275" s="2"/>
      <c r="C275" s="2"/>
      <c r="D275" s="2"/>
      <c r="E275" s="2"/>
      <c r="F275" s="2"/>
      <c r="G275" s="2"/>
      <c r="H275" s="2"/>
      <c r="I275" s="2"/>
      <c r="K275" s="100"/>
      <c r="L275" s="2"/>
    </row>
    <row r="276" spans="2:12" ht="12.95" customHeight="1">
      <c r="B276" s="2"/>
      <c r="C276" s="2"/>
      <c r="D276" s="2"/>
      <c r="E276" s="2"/>
      <c r="F276" s="2"/>
      <c r="G276" s="2"/>
      <c r="H276" s="2"/>
      <c r="I276" s="2"/>
      <c r="K276" s="100"/>
      <c r="L276" s="2"/>
    </row>
    <row r="277" spans="2:12" ht="12.95" customHeight="1">
      <c r="B277" s="2"/>
      <c r="C277" s="2"/>
      <c r="D277" s="2"/>
      <c r="E277" s="2"/>
      <c r="F277" s="2"/>
      <c r="G277" s="2"/>
      <c r="H277" s="2"/>
      <c r="I277" s="2"/>
      <c r="K277" s="100"/>
      <c r="L277" s="2"/>
    </row>
    <row r="278" spans="2:12" ht="12.95" customHeight="1">
      <c r="B278" s="2"/>
      <c r="C278" s="2"/>
      <c r="D278" s="2"/>
      <c r="E278" s="2"/>
      <c r="F278" s="2"/>
      <c r="G278" s="2"/>
      <c r="H278" s="2"/>
      <c r="I278" s="2"/>
      <c r="K278" s="100"/>
      <c r="L278" s="2"/>
    </row>
    <row r="279" spans="2:12" ht="12.95" customHeight="1">
      <c r="B279" s="2"/>
      <c r="C279" s="2"/>
      <c r="D279" s="2"/>
      <c r="E279" s="2"/>
      <c r="F279" s="2"/>
      <c r="G279" s="2"/>
      <c r="H279" s="2"/>
      <c r="I279" s="2"/>
      <c r="K279" s="100"/>
      <c r="L279" s="2"/>
    </row>
    <row r="280" spans="2:12" ht="12.95" customHeight="1">
      <c r="B280" s="2"/>
      <c r="C280" s="2"/>
      <c r="D280" s="2"/>
      <c r="E280" s="2"/>
      <c r="F280" s="2"/>
      <c r="G280" s="2"/>
      <c r="H280" s="2"/>
      <c r="I280" s="2"/>
      <c r="K280" s="100"/>
      <c r="L280" s="2"/>
    </row>
    <row r="281" spans="2:12" ht="12.95" customHeight="1">
      <c r="B281" s="2"/>
      <c r="C281" s="2"/>
      <c r="D281" s="2"/>
      <c r="E281" s="2"/>
      <c r="F281" s="2"/>
      <c r="G281" s="2"/>
      <c r="H281" s="2"/>
      <c r="I281" s="2"/>
      <c r="K281" s="100"/>
      <c r="L281" s="2"/>
    </row>
    <row r="282" spans="2:12" ht="12.95" customHeight="1">
      <c r="B282" s="2"/>
      <c r="C282" s="2"/>
      <c r="D282" s="2"/>
      <c r="E282" s="2"/>
      <c r="F282" s="2"/>
      <c r="G282" s="2"/>
      <c r="H282" s="2"/>
      <c r="I282" s="2"/>
      <c r="K282" s="100"/>
      <c r="L282" s="2"/>
    </row>
    <row r="283" spans="2:12" ht="12.95" customHeight="1">
      <c r="B283" s="2"/>
      <c r="C283" s="2"/>
      <c r="D283" s="2"/>
      <c r="E283" s="2"/>
      <c r="F283" s="2"/>
      <c r="G283" s="2"/>
      <c r="H283" s="2"/>
      <c r="I283" s="2"/>
      <c r="K283" s="100"/>
      <c r="L283" s="2"/>
    </row>
    <row r="284" spans="2:12" ht="12.95" customHeight="1">
      <c r="B284" s="2"/>
      <c r="C284" s="2"/>
      <c r="D284" s="2"/>
      <c r="E284" s="2"/>
      <c r="F284" s="2"/>
      <c r="G284" s="2"/>
      <c r="H284" s="2"/>
      <c r="I284" s="2"/>
      <c r="K284" s="100"/>
      <c r="L284" s="2"/>
    </row>
    <row r="285" spans="2:12" ht="12.95" customHeight="1">
      <c r="B285" s="2"/>
      <c r="C285" s="2"/>
      <c r="D285" s="2"/>
      <c r="E285" s="2"/>
      <c r="F285" s="2"/>
      <c r="G285" s="2"/>
      <c r="H285" s="2"/>
      <c r="I285" s="2"/>
      <c r="K285" s="100"/>
      <c r="L285" s="2"/>
    </row>
    <row r="286" spans="2:12" ht="12.95" customHeight="1">
      <c r="B286" s="2"/>
      <c r="C286" s="2"/>
      <c r="D286" s="2"/>
      <c r="E286" s="2"/>
      <c r="F286" s="2"/>
      <c r="G286" s="2"/>
      <c r="H286" s="2"/>
      <c r="I286" s="2"/>
      <c r="K286" s="100"/>
      <c r="L286" s="2"/>
    </row>
    <row r="287" spans="2:12" ht="12.95" customHeight="1">
      <c r="B287" s="2"/>
      <c r="C287" s="2"/>
      <c r="D287" s="2"/>
      <c r="E287" s="2"/>
      <c r="F287" s="2"/>
      <c r="G287" s="2"/>
      <c r="H287" s="2"/>
      <c r="I287" s="2"/>
      <c r="K287" s="100"/>
      <c r="L287" s="2"/>
    </row>
    <row r="288" spans="2:12" ht="12.95" customHeight="1">
      <c r="B288" s="2"/>
      <c r="C288" s="2"/>
      <c r="D288" s="2"/>
      <c r="E288" s="2"/>
      <c r="F288" s="2"/>
      <c r="G288" s="2"/>
      <c r="H288" s="2"/>
      <c r="I288" s="2"/>
      <c r="K288" s="100"/>
      <c r="L288" s="2"/>
    </row>
    <row r="289" spans="2:12" ht="12.95" customHeight="1">
      <c r="B289" s="2"/>
      <c r="C289" s="2"/>
      <c r="D289" s="2"/>
      <c r="E289" s="2"/>
      <c r="F289" s="2"/>
      <c r="G289" s="2"/>
      <c r="H289" s="2"/>
      <c r="I289" s="2"/>
      <c r="K289" s="100"/>
      <c r="L289" s="2"/>
    </row>
    <row r="290" spans="2:12" ht="12.95" customHeight="1">
      <c r="B290" s="2"/>
      <c r="C290" s="2"/>
      <c r="D290" s="2"/>
      <c r="E290" s="2"/>
      <c r="F290" s="2"/>
      <c r="G290" s="2"/>
      <c r="H290" s="2"/>
      <c r="I290" s="2"/>
      <c r="K290" s="100"/>
      <c r="L290" s="2"/>
    </row>
    <row r="291" spans="2:12" ht="12.95" customHeight="1">
      <c r="B291" s="2"/>
      <c r="C291" s="2"/>
      <c r="D291" s="2"/>
      <c r="E291" s="2"/>
      <c r="F291" s="2"/>
      <c r="G291" s="2"/>
      <c r="H291" s="2"/>
      <c r="I291" s="2"/>
      <c r="K291" s="100"/>
      <c r="L291" s="2"/>
    </row>
    <row r="292" spans="2:12" ht="12.95" customHeight="1">
      <c r="B292" s="2"/>
      <c r="C292" s="2"/>
      <c r="D292" s="2"/>
      <c r="E292" s="2"/>
      <c r="F292" s="2"/>
      <c r="G292" s="2"/>
      <c r="H292" s="2"/>
      <c r="I292" s="2"/>
      <c r="K292" s="100"/>
      <c r="L292" s="2"/>
    </row>
    <row r="293" spans="2:12" ht="12.95" customHeight="1">
      <c r="B293" s="2"/>
      <c r="C293" s="2"/>
      <c r="D293" s="2"/>
      <c r="E293" s="2"/>
      <c r="F293" s="2"/>
      <c r="G293" s="2"/>
      <c r="H293" s="2"/>
      <c r="I293" s="2"/>
      <c r="K293" s="100"/>
      <c r="L293" s="2"/>
    </row>
    <row r="294" spans="2:12" ht="12.95" customHeight="1">
      <c r="B294" s="2"/>
      <c r="C294" s="2"/>
      <c r="D294" s="2"/>
      <c r="E294" s="2"/>
      <c r="F294" s="2"/>
      <c r="G294" s="2"/>
      <c r="H294" s="2"/>
      <c r="I294" s="2"/>
      <c r="K294" s="100"/>
      <c r="L294" s="2"/>
    </row>
    <row r="295" spans="2:12" ht="12.95" customHeight="1">
      <c r="B295" s="2"/>
      <c r="C295" s="2"/>
      <c r="D295" s="2"/>
      <c r="E295" s="2"/>
      <c r="F295" s="2"/>
      <c r="G295" s="2"/>
      <c r="H295" s="2"/>
      <c r="I295" s="2"/>
      <c r="K295" s="100"/>
      <c r="L295" s="2"/>
    </row>
    <row r="296" spans="2:12" ht="12.95" customHeight="1">
      <c r="B296" s="2"/>
      <c r="C296" s="2"/>
      <c r="D296" s="2"/>
      <c r="E296" s="2"/>
      <c r="F296" s="2"/>
      <c r="G296" s="2"/>
      <c r="H296" s="2"/>
      <c r="I296" s="2"/>
      <c r="K296" s="100"/>
      <c r="L296" s="2"/>
    </row>
    <row r="297" spans="2:12" ht="12.95" customHeight="1">
      <c r="B297" s="2"/>
      <c r="C297" s="2"/>
      <c r="D297" s="2"/>
      <c r="E297" s="2"/>
      <c r="F297" s="2"/>
      <c r="G297" s="2"/>
      <c r="H297" s="2"/>
      <c r="I297" s="2"/>
      <c r="K297" s="100"/>
      <c r="L297" s="2"/>
    </row>
    <row r="298" spans="2:12" ht="12.95" customHeight="1">
      <c r="B298" s="2"/>
      <c r="C298" s="2"/>
      <c r="D298" s="2"/>
      <c r="E298" s="2"/>
      <c r="F298" s="2"/>
      <c r="G298" s="2"/>
      <c r="H298" s="2"/>
      <c r="I298" s="2"/>
      <c r="K298" s="100"/>
      <c r="L298" s="2"/>
    </row>
    <row r="299" spans="2:12" ht="12.95" customHeight="1">
      <c r="B299" s="2"/>
      <c r="C299" s="2"/>
      <c r="D299" s="2"/>
      <c r="E299" s="2"/>
      <c r="F299" s="2"/>
      <c r="G299" s="2"/>
      <c r="H299" s="2"/>
      <c r="I299" s="2"/>
      <c r="K299" s="100"/>
      <c r="L299" s="2"/>
    </row>
    <row r="300" spans="2:12" ht="12.95" customHeight="1">
      <c r="B300" s="2"/>
      <c r="C300" s="2"/>
      <c r="D300" s="2"/>
      <c r="E300" s="2"/>
      <c r="F300" s="2"/>
      <c r="G300" s="2"/>
      <c r="H300" s="2"/>
      <c r="I300" s="2"/>
      <c r="K300" s="100"/>
      <c r="L300" s="2"/>
    </row>
    <row r="301" spans="2:12" ht="12.95" customHeight="1">
      <c r="B301" s="2"/>
      <c r="C301" s="2"/>
      <c r="D301" s="2"/>
      <c r="E301" s="2"/>
      <c r="F301" s="2"/>
      <c r="G301" s="2"/>
      <c r="H301" s="2"/>
      <c r="I301" s="2"/>
      <c r="K301" s="100"/>
      <c r="L301" s="2"/>
    </row>
    <row r="302" spans="2:12" ht="12.95" customHeight="1">
      <c r="B302" s="2"/>
      <c r="C302" s="2"/>
      <c r="D302" s="2"/>
      <c r="E302" s="2"/>
      <c r="F302" s="2"/>
      <c r="G302" s="2"/>
      <c r="H302" s="2"/>
      <c r="I302" s="2"/>
      <c r="K302" s="100"/>
      <c r="L302" s="2"/>
    </row>
    <row r="303" spans="2:12" ht="12.95" customHeight="1">
      <c r="B303" s="2"/>
      <c r="C303" s="2"/>
      <c r="D303" s="2"/>
      <c r="E303" s="2"/>
      <c r="F303" s="2"/>
      <c r="G303" s="2"/>
      <c r="H303" s="2"/>
      <c r="I303" s="2"/>
      <c r="K303" s="100"/>
      <c r="L303" s="2"/>
    </row>
    <row r="304" spans="2:12" ht="12.95" customHeight="1">
      <c r="B304" s="2"/>
      <c r="C304" s="2"/>
      <c r="D304" s="2"/>
      <c r="E304" s="2"/>
      <c r="F304" s="2"/>
      <c r="G304" s="2"/>
      <c r="H304" s="2"/>
      <c r="I304" s="2"/>
      <c r="K304" s="100"/>
      <c r="L304" s="2"/>
    </row>
    <row r="305" spans="2:12" ht="12.95" customHeight="1">
      <c r="B305" s="2"/>
      <c r="C305" s="2"/>
      <c r="D305" s="2"/>
      <c r="E305" s="2"/>
      <c r="F305" s="2"/>
      <c r="G305" s="2"/>
      <c r="H305" s="2"/>
      <c r="I305" s="2"/>
      <c r="K305" s="100"/>
      <c r="L305" s="2"/>
    </row>
    <row r="306" spans="2:12" ht="12.95" customHeight="1">
      <c r="B306" s="2"/>
      <c r="C306" s="2"/>
      <c r="D306" s="2"/>
      <c r="E306" s="2"/>
      <c r="F306" s="2"/>
      <c r="G306" s="2"/>
      <c r="H306" s="2"/>
      <c r="I306" s="2"/>
      <c r="K306" s="100"/>
      <c r="L306" s="2"/>
    </row>
    <row r="307" spans="2:12" ht="12.95" customHeight="1">
      <c r="B307" s="2"/>
      <c r="C307" s="2"/>
      <c r="D307" s="2"/>
      <c r="E307" s="2"/>
      <c r="F307" s="2"/>
      <c r="G307" s="2"/>
      <c r="H307" s="2"/>
      <c r="I307" s="2"/>
      <c r="K307" s="100"/>
      <c r="L307" s="2"/>
    </row>
    <row r="308" spans="2:12" ht="12.95" customHeight="1">
      <c r="B308" s="2"/>
      <c r="C308" s="2"/>
      <c r="D308" s="2"/>
      <c r="E308" s="2"/>
      <c r="F308" s="2"/>
      <c r="G308" s="2"/>
      <c r="H308" s="2"/>
      <c r="I308" s="2"/>
      <c r="K308" s="100"/>
      <c r="L308" s="2"/>
    </row>
    <row r="309" spans="2:12" ht="12.95" customHeight="1">
      <c r="B309" s="2"/>
      <c r="C309" s="2"/>
      <c r="D309" s="2"/>
      <c r="E309" s="2"/>
      <c r="F309" s="2"/>
      <c r="G309" s="2"/>
      <c r="H309" s="2"/>
      <c r="I309" s="2"/>
      <c r="K309" s="100"/>
      <c r="L309" s="2"/>
    </row>
    <row r="310" spans="2:12" ht="12.95" customHeight="1">
      <c r="B310" s="2"/>
      <c r="C310" s="2"/>
      <c r="D310" s="2"/>
      <c r="E310" s="2"/>
      <c r="F310" s="2"/>
      <c r="G310" s="2"/>
      <c r="H310" s="2"/>
      <c r="I310" s="2"/>
      <c r="K310" s="100"/>
      <c r="L310" s="2"/>
    </row>
    <row r="311" spans="2:12" ht="12.95" customHeight="1">
      <c r="B311" s="2"/>
      <c r="C311" s="2"/>
      <c r="D311" s="2"/>
      <c r="E311" s="2"/>
      <c r="F311" s="2"/>
      <c r="G311" s="2"/>
      <c r="H311" s="2"/>
      <c r="I311" s="2"/>
      <c r="K311" s="100"/>
      <c r="L311" s="2"/>
    </row>
    <row r="312" spans="2:12" ht="12.95" customHeight="1">
      <c r="B312" s="2"/>
      <c r="C312" s="2"/>
      <c r="D312" s="2"/>
      <c r="E312" s="2"/>
      <c r="F312" s="2"/>
      <c r="G312" s="2"/>
      <c r="H312" s="2"/>
      <c r="I312" s="2"/>
      <c r="K312" s="100"/>
      <c r="L312" s="2"/>
    </row>
    <row r="313" spans="2:12" ht="12.95" customHeight="1">
      <c r="B313" s="2"/>
      <c r="C313" s="2"/>
      <c r="D313" s="2"/>
      <c r="E313" s="2"/>
      <c r="F313" s="2"/>
      <c r="G313" s="2"/>
      <c r="H313" s="2"/>
      <c r="I313" s="2"/>
      <c r="K313" s="100"/>
      <c r="L313" s="2"/>
    </row>
    <row r="314" spans="2:12" ht="12.95" customHeight="1">
      <c r="B314" s="2"/>
      <c r="C314" s="2"/>
      <c r="D314" s="2"/>
      <c r="E314" s="2"/>
      <c r="F314" s="2"/>
      <c r="G314" s="2"/>
      <c r="H314" s="2"/>
      <c r="I314" s="2"/>
      <c r="K314" s="100"/>
      <c r="L314" s="2"/>
    </row>
    <row r="315" spans="2:12" ht="12.95" customHeight="1">
      <c r="B315" s="2"/>
      <c r="C315" s="2"/>
      <c r="D315" s="2"/>
      <c r="E315" s="2"/>
      <c r="F315" s="2"/>
      <c r="G315" s="2"/>
      <c r="H315" s="2"/>
      <c r="I315" s="2"/>
      <c r="K315" s="100"/>
      <c r="L315" s="2"/>
    </row>
    <row r="316" spans="2:12" ht="12.95" customHeight="1">
      <c r="B316" s="2"/>
      <c r="C316" s="2"/>
      <c r="D316" s="2"/>
      <c r="E316" s="2"/>
      <c r="F316" s="2"/>
      <c r="G316" s="2"/>
      <c r="H316" s="2"/>
      <c r="I316" s="2"/>
      <c r="K316" s="100"/>
      <c r="L316" s="2"/>
    </row>
    <row r="317" spans="2:12" ht="12.95" customHeight="1">
      <c r="B317" s="2"/>
      <c r="C317" s="2"/>
      <c r="D317" s="2"/>
      <c r="E317" s="2"/>
      <c r="F317" s="2"/>
      <c r="G317" s="2"/>
      <c r="H317" s="2"/>
      <c r="I317" s="2"/>
      <c r="K317" s="100"/>
      <c r="L317" s="2"/>
    </row>
    <row r="318" spans="2:12" ht="12.95" customHeight="1">
      <c r="B318" s="2"/>
      <c r="C318" s="2"/>
      <c r="D318" s="2"/>
      <c r="E318" s="2"/>
      <c r="F318" s="2"/>
      <c r="G318" s="2"/>
      <c r="H318" s="2"/>
      <c r="I318" s="2"/>
      <c r="K318" s="100"/>
      <c r="L318" s="2"/>
    </row>
    <row r="319" spans="2:12" ht="12.95" customHeight="1">
      <c r="B319" s="2"/>
      <c r="C319" s="2"/>
      <c r="D319" s="2"/>
      <c r="E319" s="2"/>
      <c r="F319" s="2"/>
      <c r="G319" s="2"/>
      <c r="H319" s="2"/>
      <c r="I319" s="2"/>
      <c r="K319" s="100"/>
      <c r="L319" s="2"/>
    </row>
    <row r="320" spans="2:12" ht="12.95" customHeight="1">
      <c r="B320" s="2"/>
      <c r="C320" s="2"/>
      <c r="D320" s="2"/>
      <c r="E320" s="2"/>
      <c r="F320" s="2"/>
      <c r="G320" s="2"/>
      <c r="H320" s="2"/>
      <c r="I320" s="2"/>
      <c r="K320" s="100"/>
      <c r="L320" s="2"/>
    </row>
    <row r="321" spans="2:12" ht="12.95" customHeight="1">
      <c r="B321" s="2"/>
      <c r="C321" s="2"/>
      <c r="D321" s="2"/>
      <c r="E321" s="2"/>
      <c r="F321" s="2"/>
      <c r="G321" s="2"/>
      <c r="H321" s="2"/>
      <c r="I321" s="2"/>
      <c r="K321" s="100"/>
      <c r="L321" s="2"/>
    </row>
    <row r="322" spans="2:12" ht="12.95" customHeight="1">
      <c r="B322" s="2"/>
      <c r="C322" s="2"/>
      <c r="D322" s="2"/>
      <c r="E322" s="2"/>
      <c r="F322" s="2"/>
      <c r="G322" s="2"/>
      <c r="H322" s="2"/>
      <c r="I322" s="2"/>
      <c r="K322" s="100"/>
      <c r="L322" s="2"/>
    </row>
    <row r="323" spans="2:12" ht="12.95" customHeight="1">
      <c r="B323" s="2"/>
      <c r="C323" s="2"/>
      <c r="D323" s="2"/>
      <c r="E323" s="2"/>
      <c r="F323" s="2"/>
      <c r="G323" s="2"/>
      <c r="H323" s="2"/>
      <c r="I323" s="2"/>
      <c r="K323" s="100"/>
      <c r="L323" s="2"/>
    </row>
    <row r="324" spans="2:12" ht="12.95" customHeight="1">
      <c r="B324" s="2"/>
      <c r="C324" s="2"/>
      <c r="D324" s="2"/>
      <c r="E324" s="2"/>
      <c r="F324" s="2"/>
      <c r="G324" s="2"/>
      <c r="H324" s="2"/>
      <c r="I324" s="2"/>
      <c r="K324" s="100"/>
      <c r="L324" s="2"/>
    </row>
    <row r="325" spans="2:12" ht="12.95" customHeight="1">
      <c r="B325" s="2"/>
      <c r="C325" s="2"/>
      <c r="D325" s="2"/>
      <c r="E325" s="2"/>
      <c r="F325" s="2"/>
      <c r="G325" s="2"/>
      <c r="H325" s="2"/>
      <c r="I325" s="2"/>
      <c r="K325" s="100"/>
      <c r="L325" s="2"/>
    </row>
    <row r="326" spans="2:12" ht="12.95" customHeight="1">
      <c r="B326" s="2"/>
      <c r="C326" s="2"/>
      <c r="D326" s="2"/>
      <c r="E326" s="2"/>
      <c r="F326" s="2"/>
      <c r="G326" s="2"/>
      <c r="H326" s="2"/>
      <c r="I326" s="2"/>
      <c r="K326" s="100"/>
      <c r="L326" s="2"/>
    </row>
    <row r="327" spans="2:12" ht="12.95" customHeight="1">
      <c r="B327" s="2"/>
      <c r="C327" s="2"/>
      <c r="D327" s="2"/>
      <c r="E327" s="2"/>
      <c r="F327" s="2"/>
      <c r="G327" s="2"/>
      <c r="H327" s="2"/>
      <c r="I327" s="2"/>
      <c r="K327" s="100"/>
      <c r="L327" s="2"/>
    </row>
    <row r="328" spans="2:12" ht="12.95" customHeight="1">
      <c r="B328" s="2"/>
      <c r="C328" s="2"/>
      <c r="D328" s="2"/>
      <c r="E328" s="2"/>
      <c r="F328" s="2"/>
      <c r="G328" s="2"/>
      <c r="H328" s="2"/>
      <c r="I328" s="2"/>
      <c r="K328" s="100"/>
      <c r="L328" s="2"/>
    </row>
    <row r="329" spans="2:12" ht="12.95" customHeight="1">
      <c r="B329" s="2"/>
      <c r="C329" s="2"/>
      <c r="D329" s="2"/>
      <c r="E329" s="2"/>
      <c r="F329" s="2"/>
      <c r="G329" s="2"/>
      <c r="H329" s="2"/>
      <c r="I329" s="2"/>
      <c r="K329" s="100"/>
      <c r="L329" s="2"/>
    </row>
    <row r="330" spans="2:12" ht="12.95" customHeight="1">
      <c r="B330" s="2"/>
      <c r="C330" s="2"/>
      <c r="D330" s="2"/>
      <c r="E330" s="2"/>
      <c r="F330" s="2"/>
      <c r="G330" s="2"/>
      <c r="H330" s="2"/>
      <c r="I330" s="2"/>
      <c r="K330" s="100"/>
      <c r="L330" s="2"/>
    </row>
    <row r="331" spans="2:12" ht="12.95" customHeight="1">
      <c r="B331" s="2"/>
      <c r="C331" s="2"/>
      <c r="D331" s="2"/>
      <c r="E331" s="2"/>
      <c r="F331" s="2"/>
      <c r="G331" s="2"/>
      <c r="H331" s="2"/>
      <c r="I331" s="2"/>
      <c r="K331" s="100"/>
      <c r="L331" s="2"/>
    </row>
    <row r="332" spans="2:12" ht="12.95" customHeight="1">
      <c r="B332" s="2"/>
      <c r="C332" s="2"/>
      <c r="D332" s="2"/>
      <c r="E332" s="2"/>
      <c r="F332" s="2"/>
      <c r="G332" s="2"/>
      <c r="H332" s="2"/>
      <c r="I332" s="2"/>
      <c r="K332" s="100"/>
      <c r="L332" s="2"/>
    </row>
    <row r="333" spans="2:12" ht="12.95" customHeight="1">
      <c r="B333" s="2"/>
      <c r="C333" s="2"/>
      <c r="D333" s="2"/>
      <c r="E333" s="2"/>
      <c r="F333" s="2"/>
      <c r="G333" s="2"/>
      <c r="H333" s="2"/>
      <c r="I333" s="2"/>
      <c r="K333" s="100"/>
      <c r="L333" s="2"/>
    </row>
    <row r="334" spans="2:12" ht="12.95" customHeight="1">
      <c r="B334" s="2"/>
      <c r="C334" s="2"/>
      <c r="D334" s="2"/>
      <c r="E334" s="2"/>
      <c r="F334" s="2"/>
      <c r="G334" s="2"/>
      <c r="H334" s="2"/>
      <c r="I334" s="2"/>
      <c r="K334" s="100"/>
      <c r="L334" s="2"/>
    </row>
    <row r="335" spans="2:12" ht="12.95" customHeight="1">
      <c r="B335" s="2"/>
      <c r="C335" s="2"/>
      <c r="D335" s="2"/>
      <c r="E335" s="2"/>
      <c r="F335" s="2"/>
      <c r="G335" s="2"/>
      <c r="H335" s="2"/>
      <c r="I335" s="2"/>
      <c r="K335" s="100"/>
      <c r="L335" s="2"/>
    </row>
    <row r="336" spans="2:12" ht="12.95" customHeight="1">
      <c r="B336" s="2"/>
      <c r="C336" s="2"/>
      <c r="D336" s="2"/>
      <c r="E336" s="2"/>
      <c r="F336" s="2"/>
      <c r="G336" s="2"/>
      <c r="H336" s="2"/>
      <c r="I336" s="2"/>
      <c r="K336" s="100"/>
      <c r="L336" s="2"/>
    </row>
  </sheetData>
  <sheetProtection selectLockedCells="1"/>
  <mergeCells count="30">
    <mergeCell ref="B29:B31"/>
    <mergeCell ref="B19:C19"/>
    <mergeCell ref="B24:C24"/>
    <mergeCell ref="L7:L8"/>
    <mergeCell ref="B8:C8"/>
    <mergeCell ref="B9:C9"/>
    <mergeCell ref="B10:C10"/>
    <mergeCell ref="B11:C11"/>
    <mergeCell ref="B25:C25"/>
    <mergeCell ref="B23:C23"/>
    <mergeCell ref="B20:B21"/>
    <mergeCell ref="B26:B28"/>
    <mergeCell ref="B15:C15"/>
    <mergeCell ref="B22:C22"/>
    <mergeCell ref="B17:B18"/>
    <mergeCell ref="B16:C16"/>
    <mergeCell ref="M70:R70"/>
    <mergeCell ref="A61:B61"/>
    <mergeCell ref="F70:F71"/>
    <mergeCell ref="D70:D71"/>
    <mergeCell ref="G70:L70"/>
    <mergeCell ref="E70:E71"/>
    <mergeCell ref="B70:B71"/>
    <mergeCell ref="C70:C71"/>
    <mergeCell ref="A1:E1"/>
    <mergeCell ref="A14:D14"/>
    <mergeCell ref="B2:C2"/>
    <mergeCell ref="B3:C3"/>
    <mergeCell ref="B7:C7"/>
    <mergeCell ref="B12:C12"/>
  </mergeCells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59"/>
  <sheetViews>
    <sheetView workbookViewId="0">
      <selection activeCell="E6" sqref="E6"/>
    </sheetView>
  </sheetViews>
  <sheetFormatPr defaultRowHeight="13.5"/>
  <cols>
    <col min="2" max="2" width="10.44140625" bestFit="1" customWidth="1"/>
    <col min="5" max="5" width="12.33203125" bestFit="1" customWidth="1"/>
    <col min="6" max="6" width="13" customWidth="1"/>
  </cols>
  <sheetData>
    <row r="3" spans="1:7" s="310" customFormat="1" ht="27">
      <c r="A3" s="311" t="s">
        <v>103</v>
      </c>
      <c r="B3" s="311" t="s">
        <v>562</v>
      </c>
      <c r="C3" s="311" t="s">
        <v>563</v>
      </c>
      <c r="D3" s="311" t="s">
        <v>564</v>
      </c>
      <c r="E3" s="311" t="s">
        <v>557</v>
      </c>
      <c r="F3" s="311" t="s">
        <v>558</v>
      </c>
    </row>
    <row r="4" spans="1:7" s="310" customFormat="1">
      <c r="A4" s="312" t="s">
        <v>104</v>
      </c>
      <c r="B4" s="311"/>
      <c r="C4" s="311"/>
      <c r="D4" s="311"/>
      <c r="E4" s="313">
        <f>표준시나리오!C12</f>
        <v>7.8163704639999994E-3</v>
      </c>
      <c r="F4" s="314">
        <f>표준시나리오!C13</f>
        <v>127.9366177186353</v>
      </c>
    </row>
    <row r="5" spans="1:7" s="310" customFormat="1">
      <c r="A5" s="315"/>
      <c r="B5" s="312" t="s">
        <v>551</v>
      </c>
      <c r="C5" s="312"/>
      <c r="D5" s="316"/>
      <c r="E5" s="313">
        <f>표준시나리오!K7</f>
        <v>4.6898222783999998E-3</v>
      </c>
      <c r="F5" s="314">
        <f>표준시나리오!L7</f>
        <v>213.22769619772549</v>
      </c>
    </row>
    <row r="6" spans="1:7" s="310" customFormat="1">
      <c r="A6" s="312"/>
      <c r="B6" s="312" t="s">
        <v>560</v>
      </c>
      <c r="C6" s="312"/>
      <c r="D6" s="316"/>
      <c r="E6" s="313">
        <f>표준시나리오!F13</f>
        <v>2.97022077632E-3</v>
      </c>
      <c r="F6" s="314">
        <f>표준시나리오!F14</f>
        <v>336.67530978588235</v>
      </c>
    </row>
    <row r="7" spans="1:7" s="310" customFormat="1">
      <c r="A7" s="312"/>
      <c r="B7" s="312"/>
      <c r="C7" s="317" t="s">
        <v>553</v>
      </c>
      <c r="D7" s="318"/>
      <c r="E7" s="319">
        <f>표준시나리오!K10</f>
        <v>2.9108163607936E-3</v>
      </c>
      <c r="F7" s="320">
        <f>표준시나리오!L10</f>
        <v>343.54623447539018</v>
      </c>
      <c r="G7" s="400">
        <f>E8+E9+E10*3</f>
        <v>2.9079055444328063E-3</v>
      </c>
    </row>
    <row r="8" spans="1:7" s="310" customFormat="1">
      <c r="A8" s="312"/>
      <c r="B8" s="312"/>
      <c r="C8" s="317"/>
      <c r="D8" s="318" t="s">
        <v>554</v>
      </c>
      <c r="E8" s="319">
        <f>표준시나리오!Q10</f>
        <v>0</v>
      </c>
      <c r="F8" s="320" t="str">
        <f>표준시나리오!R10</f>
        <v/>
      </c>
    </row>
    <row r="9" spans="1:7" s="310" customFormat="1">
      <c r="A9" s="312"/>
      <c r="B9" s="312"/>
      <c r="C9" s="317"/>
      <c r="D9" s="318" t="s">
        <v>2292</v>
      </c>
      <c r="E9" s="319">
        <f>표준시나리오!Q11</f>
        <v>0</v>
      </c>
      <c r="F9" s="320" t="str">
        <f>표준시나리오!R11</f>
        <v/>
      </c>
    </row>
    <row r="10" spans="1:7" s="310" customFormat="1">
      <c r="A10" s="312"/>
      <c r="B10" s="312"/>
      <c r="C10" s="317"/>
      <c r="D10" s="318" t="s">
        <v>565</v>
      </c>
      <c r="E10" s="319">
        <f>표준시나리오!Q12</f>
        <v>9.6930184814426879E-4</v>
      </c>
      <c r="F10" s="320">
        <f>표준시나리오!R12</f>
        <v>1031.6703737999705</v>
      </c>
    </row>
    <row r="11" spans="1:7" s="310" customFormat="1">
      <c r="A11" s="312"/>
      <c r="B11" s="312"/>
      <c r="C11" s="317" t="s">
        <v>27</v>
      </c>
      <c r="D11" s="318"/>
      <c r="E11" s="319">
        <f>표준시나리오!K15</f>
        <v>5.94044155264E-5</v>
      </c>
      <c r="F11" s="320">
        <f>표준시나리오!L15</f>
        <v>16833.765489294117</v>
      </c>
    </row>
    <row r="12" spans="1:7" s="310" customFormat="1">
      <c r="A12" s="312"/>
      <c r="B12" s="312"/>
      <c r="C12" s="317"/>
      <c r="D12" s="318" t="s">
        <v>555</v>
      </c>
      <c r="E12" s="319">
        <f>표준시나리오!Q15</f>
        <v>0</v>
      </c>
      <c r="F12" s="320" t="str">
        <f>표준시나리오!R15</f>
        <v/>
      </c>
    </row>
    <row r="13" spans="1:7" s="310" customFormat="1">
      <c r="A13" s="312"/>
      <c r="B13" s="312"/>
      <c r="C13" s="317"/>
      <c r="D13" s="318" t="s">
        <v>556</v>
      </c>
      <c r="E13" s="319">
        <f>표준시나리오!Q16</f>
        <v>0</v>
      </c>
      <c r="F13" s="320" t="str">
        <f>표준시나리오!R16</f>
        <v/>
      </c>
    </row>
    <row r="14" spans="1:7" s="310" customFormat="1">
      <c r="A14" s="312"/>
      <c r="B14" s="312"/>
      <c r="C14" s="317"/>
      <c r="D14" s="318" t="s">
        <v>566</v>
      </c>
      <c r="E14" s="319">
        <f>표준시나리오!Q17</f>
        <v>1.9781670370291202E-5</v>
      </c>
      <c r="F14" s="320">
        <f>표준시나리오!R17</f>
        <v>50551.84831619855</v>
      </c>
    </row>
    <row r="15" spans="1:7" s="310" customFormat="1">
      <c r="A15" s="312"/>
      <c r="B15" s="312" t="s">
        <v>561</v>
      </c>
      <c r="C15" s="312"/>
      <c r="D15" s="316"/>
      <c r="E15" s="313">
        <f>표준시나리오!F23</f>
        <v>1.5632740928000002E-4</v>
      </c>
      <c r="F15" s="314">
        <f>표준시나리오!F24</f>
        <v>6396.830885931764</v>
      </c>
    </row>
    <row r="16" spans="1:7" s="310" customFormat="1">
      <c r="A16" s="312"/>
      <c r="B16" s="312"/>
      <c r="C16" s="317" t="s">
        <v>553</v>
      </c>
      <c r="D16" s="318"/>
      <c r="E16" s="319">
        <f>표준시나리오!K20</f>
        <v>1.532008610944E-4</v>
      </c>
      <c r="F16" s="320">
        <f>표준시나리오!L20</f>
        <v>6527.3784550324126</v>
      </c>
    </row>
    <row r="17" spans="1:6" s="310" customFormat="1">
      <c r="A17" s="312"/>
      <c r="B17" s="312"/>
      <c r="C17" s="317"/>
      <c r="D17" s="318" t="s">
        <v>554</v>
      </c>
      <c r="E17" s="319">
        <f>표준시나리오!Q20</f>
        <v>0</v>
      </c>
      <c r="F17" s="320" t="str">
        <f>표준시나리오!R20</f>
        <v/>
      </c>
    </row>
    <row r="18" spans="1:6" s="310" customFormat="1">
      <c r="A18" s="312"/>
      <c r="B18" s="312"/>
      <c r="C18" s="317"/>
      <c r="D18" s="318" t="s">
        <v>2292</v>
      </c>
      <c r="E18" s="319">
        <f>표준시나리오!Q21</f>
        <v>0</v>
      </c>
      <c r="F18" s="320" t="e">
        <f>1/E18</f>
        <v>#DIV/0!</v>
      </c>
    </row>
    <row r="19" spans="1:6" s="310" customFormat="1">
      <c r="A19" s="312"/>
      <c r="B19" s="312"/>
      <c r="C19" s="317"/>
      <c r="D19" s="318" t="s">
        <v>565</v>
      </c>
      <c r="E19" s="319">
        <f>표준시나리오!Q22</f>
        <v>5.1015886744435203E-5</v>
      </c>
      <c r="F19" s="320">
        <f>표준시나리오!R22</f>
        <v>19601.737102199437</v>
      </c>
    </row>
    <row r="20" spans="1:6" s="310" customFormat="1">
      <c r="A20" s="312"/>
      <c r="B20" s="312"/>
      <c r="C20" s="317" t="s">
        <v>27</v>
      </c>
      <c r="D20" s="318"/>
      <c r="E20" s="319">
        <f>표준시나리오!K25</f>
        <v>3.1265481856000003E-6</v>
      </c>
      <c r="F20" s="320">
        <f>표준시나리오!L25</f>
        <v>319841.54429658822</v>
      </c>
    </row>
    <row r="21" spans="1:6" s="310" customFormat="1">
      <c r="A21" s="312"/>
      <c r="B21" s="312"/>
      <c r="C21" s="317"/>
      <c r="D21" s="318" t="s">
        <v>555</v>
      </c>
      <c r="E21" s="319">
        <f>표준시나리오!Q25</f>
        <v>0</v>
      </c>
      <c r="F21" s="320" t="str">
        <f>표준시나리오!R25</f>
        <v/>
      </c>
    </row>
    <row r="22" spans="1:6" s="310" customFormat="1">
      <c r="A22" s="312"/>
      <c r="B22" s="312"/>
      <c r="C22" s="317"/>
      <c r="D22" s="318" t="s">
        <v>556</v>
      </c>
      <c r="E22" s="319">
        <f>표준시나리오!Q26</f>
        <v>0</v>
      </c>
      <c r="F22" s="320" t="str">
        <f>표준시나리오!R26</f>
        <v/>
      </c>
    </row>
    <row r="23" spans="1:6" s="310" customFormat="1">
      <c r="A23" s="312"/>
      <c r="B23" s="312"/>
      <c r="C23" s="317"/>
      <c r="D23" s="318" t="s">
        <v>566</v>
      </c>
      <c r="E23" s="319">
        <f>표준시나리오!Q27</f>
        <v>1.0411405458048002E-6</v>
      </c>
      <c r="F23" s="320">
        <f>표준시나리오!R27</f>
        <v>960485.11800777237</v>
      </c>
    </row>
    <row r="24" spans="1:6" s="310" customFormat="1">
      <c r="A24" s="312"/>
      <c r="B24" s="312"/>
      <c r="C24" s="312"/>
      <c r="D24" s="316"/>
      <c r="E24" s="313"/>
      <c r="F24" s="314"/>
    </row>
    <row r="25" spans="1:6">
      <c r="A25" s="317" t="str">
        <f>표준시나리오!B31</f>
        <v>BUS</v>
      </c>
      <c r="B25" s="317"/>
      <c r="C25" s="317"/>
      <c r="D25" s="318"/>
      <c r="E25" s="319">
        <f>표준시나리오!$C$33</f>
        <v>4.4949942136000001E-3</v>
      </c>
      <c r="F25" s="320">
        <f>표준시나리오!$C$34</f>
        <v>222.46969684063487</v>
      </c>
    </row>
    <row r="26" spans="1:6">
      <c r="A26" s="317"/>
      <c r="B26" s="317" t="s">
        <v>551</v>
      </c>
      <c r="C26" s="317"/>
      <c r="D26" s="318"/>
      <c r="E26" s="319">
        <f>표준시나리오!$K$28</f>
        <v>3.2476333193259994E-3</v>
      </c>
      <c r="F26" s="320">
        <f>표준시나리오!$L$28</f>
        <v>307.9165354195639</v>
      </c>
    </row>
    <row r="27" spans="1:6">
      <c r="A27" s="317"/>
      <c r="B27" s="317" t="s">
        <v>552</v>
      </c>
      <c r="C27" s="317"/>
      <c r="D27" s="318"/>
      <c r="E27" s="319">
        <f>표준시나리오!$F$33</f>
        <v>3.5760448825999996E-3</v>
      </c>
      <c r="F27" s="320">
        <f>표준시나리오!$F$34</f>
        <v>279.63854840461062</v>
      </c>
    </row>
    <row r="28" spans="1:6">
      <c r="A28" s="317"/>
      <c r="B28" s="317" t="s">
        <v>559</v>
      </c>
      <c r="C28" s="317" t="s">
        <v>553</v>
      </c>
      <c r="D28" s="318"/>
      <c r="E28" s="319">
        <f>표준시나리오!$K$30</f>
        <v>3.5045239849479997E-3</v>
      </c>
      <c r="F28" s="320">
        <f>표준시나리오!$L$30</f>
        <v>285.34545755572509</v>
      </c>
    </row>
    <row r="29" spans="1:6">
      <c r="A29" s="317"/>
      <c r="B29" s="317"/>
      <c r="C29" s="317"/>
      <c r="D29" s="318" t="s">
        <v>554</v>
      </c>
      <c r="E29" s="319">
        <f>표준시나리오!$Q$30</f>
        <v>0</v>
      </c>
      <c r="F29" s="320" t="str">
        <f>표준시나리오!$R$30</f>
        <v/>
      </c>
    </row>
    <row r="30" spans="1:6">
      <c r="A30" s="317"/>
      <c r="B30" s="317"/>
      <c r="C30" s="317"/>
      <c r="D30" s="318" t="s">
        <v>2292</v>
      </c>
      <c r="E30" s="319">
        <f>표준시나리오!Q36</f>
        <v>0</v>
      </c>
      <c r="F30" s="320" t="e">
        <f>1/E30</f>
        <v>#DIV/0!</v>
      </c>
    </row>
    <row r="31" spans="1:6">
      <c r="A31" s="317"/>
      <c r="B31" s="317"/>
      <c r="C31" s="317"/>
      <c r="D31" s="318" t="s">
        <v>565</v>
      </c>
      <c r="E31" s="319">
        <f>표준시나리오!$Q$32</f>
        <v>1.1670064869876841E-3</v>
      </c>
      <c r="F31" s="320">
        <f>표준시나리오!$R$32</f>
        <v>856.8932659331083</v>
      </c>
    </row>
    <row r="32" spans="1:6">
      <c r="A32" s="317"/>
      <c r="B32" s="317"/>
      <c r="C32" s="317" t="s">
        <v>27</v>
      </c>
      <c r="D32" s="318"/>
      <c r="E32" s="319">
        <f>표준시나리오!$K$35</f>
        <v>7.1520897651999993E-5</v>
      </c>
      <c r="F32" s="320">
        <f>표준시나리오!$L$35</f>
        <v>13981.92742023053</v>
      </c>
    </row>
    <row r="33" spans="1:6">
      <c r="A33" s="317"/>
      <c r="B33" s="317"/>
      <c r="C33" s="317"/>
      <c r="D33" s="318" t="s">
        <v>555</v>
      </c>
      <c r="E33" s="319">
        <f>표준시나리오!$Q$35</f>
        <v>0</v>
      </c>
      <c r="F33" s="320" t="str">
        <f>표준시나리오!$R$35</f>
        <v/>
      </c>
    </row>
    <row r="34" spans="1:6">
      <c r="A34" s="317"/>
      <c r="B34" s="317"/>
      <c r="C34" s="317"/>
      <c r="D34" s="318" t="s">
        <v>556</v>
      </c>
      <c r="E34" s="319">
        <f>표준시나리오!$Q$36</f>
        <v>0</v>
      </c>
      <c r="F34" s="320" t="str">
        <f>표준시나리오!$R$36</f>
        <v/>
      </c>
    </row>
    <row r="35" spans="1:6">
      <c r="A35" s="317"/>
      <c r="B35" s="317"/>
      <c r="C35" s="317"/>
      <c r="D35" s="318" t="s">
        <v>566</v>
      </c>
      <c r="E35" s="319">
        <f>표준시나리오!$Q$37</f>
        <v>2.3816458918115999E-5</v>
      </c>
      <c r="F35" s="320">
        <f>표준시나리오!$R$37</f>
        <v>41987.770030722306</v>
      </c>
    </row>
    <row r="36" spans="1:6">
      <c r="A36" s="317"/>
      <c r="B36" s="317"/>
      <c r="C36" s="317"/>
      <c r="D36" s="318"/>
      <c r="E36" s="319"/>
      <c r="F36" s="320"/>
    </row>
    <row r="37" spans="1:6">
      <c r="A37" s="317" t="str">
        <f>표준시나리오!B41</f>
        <v>중대형 화물</v>
      </c>
      <c r="B37" s="317"/>
      <c r="C37" s="317"/>
      <c r="D37" s="318"/>
      <c r="E37" s="319">
        <f>표준시나리오!$C$43</f>
        <v>3.4138773536E-3</v>
      </c>
      <c r="F37" s="320">
        <f>표준시나리오!$C$44</f>
        <v>292.92206380685604</v>
      </c>
    </row>
    <row r="38" spans="1:6">
      <c r="A38" s="317"/>
      <c r="B38" s="317" t="s">
        <v>551</v>
      </c>
      <c r="C38" s="317"/>
      <c r="D38" s="318"/>
      <c r="E38" s="319">
        <f>표준시나리오!$K$38</f>
        <v>2.4665263879759996E-3</v>
      </c>
      <c r="F38" s="320">
        <f>표준시나리오!$L$38</f>
        <v>405.42846201640981</v>
      </c>
    </row>
    <row r="39" spans="1:6">
      <c r="A39" s="317"/>
      <c r="B39" s="317" t="s">
        <v>552</v>
      </c>
      <c r="C39" s="317"/>
      <c r="D39" s="318"/>
      <c r="E39" s="319">
        <f>표준시나리오!$F$43</f>
        <v>5.6049529647999999E-4</v>
      </c>
      <c r="F39" s="320">
        <f>표준시나리오!$F$44</f>
        <v>1784.1362920976496</v>
      </c>
    </row>
    <row r="40" spans="1:6">
      <c r="A40" s="317"/>
      <c r="B40" s="317" t="s">
        <v>559</v>
      </c>
      <c r="C40" s="317" t="s">
        <v>553</v>
      </c>
      <c r="D40" s="318"/>
      <c r="E40" s="319">
        <f>표준시나리오!$K$40</f>
        <v>5.4928539055040001E-4</v>
      </c>
      <c r="F40" s="320">
        <f>표준시나리오!$L$40</f>
        <v>1820.5472368343362</v>
      </c>
    </row>
    <row r="41" spans="1:6">
      <c r="A41" s="317"/>
      <c r="B41" s="317"/>
      <c r="C41" s="317"/>
      <c r="D41" s="318" t="s">
        <v>554</v>
      </c>
      <c r="E41" s="319">
        <f>표준시나리오!$Q$40</f>
        <v>0</v>
      </c>
      <c r="F41" s="320" t="str">
        <f>표준시나리오!$R$40</f>
        <v/>
      </c>
    </row>
    <row r="42" spans="1:6">
      <c r="A42" s="317"/>
      <c r="B42" s="317"/>
      <c r="C42" s="317"/>
      <c r="D42" s="318" t="s">
        <v>2292</v>
      </c>
      <c r="E42" s="319">
        <f>표준시나리오!Q41</f>
        <v>0</v>
      </c>
      <c r="F42" s="320" t="e">
        <f>1/E42</f>
        <v>#DIV/0!</v>
      </c>
    </row>
    <row r="43" spans="1:6">
      <c r="A43" s="317"/>
      <c r="B43" s="317"/>
      <c r="C43" s="317"/>
      <c r="D43" s="318" t="s">
        <v>565</v>
      </c>
      <c r="E43" s="319">
        <f>표준시나리오!$Q$42</f>
        <v>1.8291203505328322E-4</v>
      </c>
      <c r="F43" s="320">
        <f>표준시나리오!$R$42</f>
        <v>5467.1088193223304</v>
      </c>
    </row>
    <row r="44" spans="1:6">
      <c r="A44" s="317"/>
      <c r="B44" s="317"/>
      <c r="C44" s="317" t="s">
        <v>27</v>
      </c>
      <c r="D44" s="318"/>
      <c r="E44" s="319">
        <f>표준시나리오!$K$45</f>
        <v>1.1209905929600001E-5</v>
      </c>
      <c r="F44" s="320">
        <f>표준시나리오!$L$45</f>
        <v>89206.814604882471</v>
      </c>
    </row>
    <row r="45" spans="1:6">
      <c r="A45" s="317"/>
      <c r="B45" s="317"/>
      <c r="C45" s="317"/>
      <c r="D45" s="318" t="s">
        <v>555</v>
      </c>
      <c r="E45" s="319">
        <f>표준시나리오!$Q$45</f>
        <v>0</v>
      </c>
      <c r="F45" s="320" t="str">
        <f>표준시나리오!$R$45</f>
        <v/>
      </c>
    </row>
    <row r="46" spans="1:6">
      <c r="A46" s="317"/>
      <c r="B46" s="317"/>
      <c r="C46" s="317"/>
      <c r="D46" s="318" t="s">
        <v>556</v>
      </c>
      <c r="E46" s="319">
        <f>표준시나리오!$Q$46</f>
        <v>0</v>
      </c>
      <c r="F46" s="320" t="str">
        <f>표준시나리오!$R$46</f>
        <v/>
      </c>
    </row>
    <row r="47" spans="1:6">
      <c r="A47" s="317"/>
      <c r="B47" s="317"/>
      <c r="C47" s="317"/>
      <c r="D47" s="318" t="s">
        <v>566</v>
      </c>
      <c r="E47" s="319">
        <f>표준시나리오!$Q$47</f>
        <v>3.7328986745568004E-6</v>
      </c>
      <c r="F47" s="320">
        <f>표준시나리오!$R$47</f>
        <v>267888.33214679419</v>
      </c>
    </row>
    <row r="48" spans="1:6">
      <c r="A48" s="317"/>
      <c r="B48" s="317"/>
      <c r="C48" s="317"/>
      <c r="D48" s="318"/>
      <c r="E48" s="319"/>
      <c r="F48" s="320"/>
    </row>
    <row r="49" spans="1:6">
      <c r="A49" s="317" t="str">
        <f>표준시나리오!B51</f>
        <v>위험물수송</v>
      </c>
      <c r="B49" s="317"/>
      <c r="C49" s="317"/>
      <c r="D49" s="318"/>
      <c r="E49" s="319">
        <f>표준시나리오!$C$53</f>
        <v>5.6957286399999992E-5</v>
      </c>
      <c r="F49" s="320">
        <f>표준시나리오!$C$54</f>
        <v>17557.016199423437</v>
      </c>
    </row>
    <row r="50" spans="1:6">
      <c r="A50" s="317"/>
      <c r="B50" s="317" t="s">
        <v>551</v>
      </c>
      <c r="C50" s="317"/>
      <c r="D50" s="318"/>
      <c r="E50" s="319">
        <f>표준시나리오!$K$48</f>
        <v>4.8413693439999993E-5</v>
      </c>
      <c r="F50" s="320">
        <f>표준시나리오!$L$48</f>
        <v>20655.313175792278</v>
      </c>
    </row>
    <row r="51" spans="1:6">
      <c r="A51" s="317"/>
      <c r="B51" s="317" t="s">
        <v>552</v>
      </c>
      <c r="C51" s="317"/>
      <c r="D51" s="318"/>
      <c r="E51" s="319">
        <f>표준시나리오!$F$53</f>
        <v>8.5435929599999988E-6</v>
      </c>
      <c r="F51" s="320">
        <f>표준시나리오!$F$54</f>
        <v>117046.77466282291</v>
      </c>
    </row>
    <row r="52" spans="1:6">
      <c r="A52" s="317"/>
      <c r="B52" s="317" t="s">
        <v>559</v>
      </c>
      <c r="C52" s="317" t="s">
        <v>553</v>
      </c>
      <c r="D52" s="318"/>
      <c r="E52" s="319">
        <f>표준시나리오!$K$50</f>
        <v>8.3727211008E-6</v>
      </c>
      <c r="F52" s="320">
        <f>표준시나리오!$L$50</f>
        <v>119435.48434981928</v>
      </c>
    </row>
    <row r="53" spans="1:6">
      <c r="A53" s="317"/>
      <c r="B53" s="317"/>
      <c r="C53" s="317"/>
      <c r="D53" s="318" t="s">
        <v>554</v>
      </c>
      <c r="E53" s="319">
        <f>표준시나리오!$Q$50</f>
        <v>0</v>
      </c>
      <c r="F53" s="320" t="str">
        <f>표준시나리오!$R$50</f>
        <v/>
      </c>
    </row>
    <row r="54" spans="1:6">
      <c r="A54" s="317"/>
      <c r="B54" s="317"/>
      <c r="C54" s="317"/>
      <c r="D54" s="318" t="s">
        <v>556</v>
      </c>
      <c r="E54" s="319">
        <f>표준시나리오!Q51</f>
        <v>0</v>
      </c>
      <c r="F54" s="320" t="e">
        <f>1/E54</f>
        <v>#DIV/0!</v>
      </c>
    </row>
    <row r="55" spans="1:6">
      <c r="A55" s="317"/>
      <c r="B55" s="317"/>
      <c r="C55" s="317"/>
      <c r="D55" s="318" t="s">
        <v>565</v>
      </c>
      <c r="E55" s="319">
        <f>표준시나리오!$Q$52</f>
        <v>2.7881161265664002E-6</v>
      </c>
      <c r="F55" s="320">
        <f>표준시나리오!$R$52</f>
        <v>358665.11816762539</v>
      </c>
    </row>
    <row r="56" spans="1:6">
      <c r="A56" s="317"/>
      <c r="B56" s="317"/>
      <c r="C56" s="317" t="s">
        <v>27</v>
      </c>
      <c r="D56" s="318"/>
      <c r="E56" s="319">
        <f>표준시나리오!K55</f>
        <v>1.7087185919999998E-7</v>
      </c>
      <c r="F56" s="320">
        <f>표준시나리오!L55</f>
        <v>5852338.7331411447</v>
      </c>
    </row>
    <row r="57" spans="1:6">
      <c r="A57" s="317"/>
      <c r="B57" s="317"/>
      <c r="C57" s="317"/>
      <c r="D57" s="318" t="s">
        <v>555</v>
      </c>
      <c r="E57" s="319">
        <f>표준시나리오!$Q$55</f>
        <v>0</v>
      </c>
      <c r="F57" s="320" t="str">
        <f>표준시나리오!R55</f>
        <v/>
      </c>
    </row>
    <row r="58" spans="1:6">
      <c r="A58" s="317"/>
      <c r="B58" s="317"/>
      <c r="C58" s="317"/>
      <c r="D58" s="318" t="s">
        <v>556</v>
      </c>
      <c r="E58" s="319">
        <f>표준시나리오!$Q$56</f>
        <v>0</v>
      </c>
      <c r="F58" s="320" t="str">
        <f>표준시나리오!R56</f>
        <v/>
      </c>
    </row>
    <row r="59" spans="1:6">
      <c r="A59" s="317"/>
      <c r="B59" s="317"/>
      <c r="C59" s="317"/>
      <c r="D59" s="318" t="s">
        <v>566</v>
      </c>
      <c r="E59" s="319">
        <f>표준시나리오!$Q$57</f>
        <v>5.6900329113599998E-8</v>
      </c>
      <c r="F59" s="320">
        <f>표준시나리오!R57</f>
        <v>17574590.790213648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filterMode="1"/>
  <dimension ref="A1:AX1787"/>
  <sheetViews>
    <sheetView topLeftCell="A996" zoomScaleNormal="100" workbookViewId="0">
      <selection activeCell="A1090" sqref="A1090:S1270"/>
    </sheetView>
  </sheetViews>
  <sheetFormatPr defaultRowHeight="12"/>
  <cols>
    <col min="1" max="1" width="52.77734375" style="68" bestFit="1" customWidth="1"/>
    <col min="2" max="2" width="4.21875" style="229" bestFit="1" customWidth="1"/>
    <col min="3" max="3" width="5.88671875" style="68" bestFit="1" customWidth="1"/>
    <col min="4" max="4" width="6.109375" style="68" bestFit="1" customWidth="1"/>
    <col min="5" max="5" width="5.5546875" style="68" bestFit="1" customWidth="1"/>
    <col min="6" max="8" width="5.33203125" style="68" bestFit="1" customWidth="1"/>
    <col min="9" max="13" width="5.109375" style="68" bestFit="1" customWidth="1"/>
    <col min="14" max="14" width="5" style="68" bestFit="1" customWidth="1"/>
    <col min="15" max="15" width="5.33203125" style="68" bestFit="1" customWidth="1"/>
    <col min="16" max="19" width="6.77734375" style="68" customWidth="1"/>
    <col min="20" max="20" width="8.88671875" style="68"/>
    <col min="21" max="21" width="8.21875" style="68" customWidth="1"/>
    <col min="22" max="22" width="7.44140625" style="68" customWidth="1"/>
    <col min="23" max="16384" width="8.88671875" style="68"/>
  </cols>
  <sheetData>
    <row r="1" spans="1:36" s="1" customFormat="1">
      <c r="A1" s="392" t="s">
        <v>1392</v>
      </c>
      <c r="B1" s="427" t="s">
        <v>2647</v>
      </c>
      <c r="C1" s="433" t="s">
        <v>4056</v>
      </c>
      <c r="D1" s="433" t="s">
        <v>3710</v>
      </c>
      <c r="E1" s="433" t="s">
        <v>2913</v>
      </c>
      <c r="F1" s="433" t="s">
        <v>2877</v>
      </c>
      <c r="G1" s="433" t="s">
        <v>3036</v>
      </c>
      <c r="H1" s="433" t="s">
        <v>2700</v>
      </c>
      <c r="I1" s="433" t="s">
        <v>2656</v>
      </c>
      <c r="J1" s="433" t="s">
        <v>2654</v>
      </c>
      <c r="K1" s="433" t="s">
        <v>2654</v>
      </c>
      <c r="L1" s="433" t="s">
        <v>2654</v>
      </c>
      <c r="M1" s="433" t="s">
        <v>2654</v>
      </c>
      <c r="N1" s="433" t="s">
        <v>2654</v>
      </c>
      <c r="O1" s="433" t="s">
        <v>2695</v>
      </c>
      <c r="P1" s="433" t="s">
        <v>4057</v>
      </c>
      <c r="Q1" s="431"/>
      <c r="R1" s="431"/>
      <c r="S1" s="426"/>
      <c r="T1" s="426"/>
      <c r="U1" s="426"/>
      <c r="V1" s="426"/>
      <c r="W1" s="426"/>
      <c r="X1" s="426"/>
      <c r="Y1" s="426"/>
      <c r="Z1" s="426"/>
      <c r="AA1" s="426"/>
      <c r="AB1" s="426"/>
      <c r="AC1" s="426"/>
      <c r="AD1" s="426"/>
      <c r="AE1" s="426"/>
      <c r="AF1" s="426"/>
      <c r="AG1" s="426"/>
      <c r="AH1" s="426"/>
      <c r="AI1" s="426"/>
    </row>
    <row r="2" spans="1:36" s="1" customFormat="1" hidden="1">
      <c r="A2" s="392" t="s">
        <v>1393</v>
      </c>
      <c r="B2" s="427" t="s">
        <v>2648</v>
      </c>
      <c r="C2" s="433" t="s">
        <v>4058</v>
      </c>
      <c r="D2" s="433" t="s">
        <v>3364</v>
      </c>
      <c r="E2" s="433" t="s">
        <v>2776</v>
      </c>
      <c r="F2" s="433" t="s">
        <v>2932</v>
      </c>
      <c r="G2" s="433" t="s">
        <v>2676</v>
      </c>
      <c r="H2" s="433" t="s">
        <v>2825</v>
      </c>
      <c r="I2" s="433" t="s">
        <v>2678</v>
      </c>
      <c r="J2" s="433" t="s">
        <v>2654</v>
      </c>
      <c r="K2" s="433" t="s">
        <v>2654</v>
      </c>
      <c r="L2" s="433" t="s">
        <v>2654</v>
      </c>
      <c r="M2" s="433" t="s">
        <v>2654</v>
      </c>
      <c r="N2" s="433" t="s">
        <v>2654</v>
      </c>
      <c r="O2" s="433" t="s">
        <v>3836</v>
      </c>
      <c r="P2" s="433" t="s">
        <v>4059</v>
      </c>
      <c r="Q2" s="431"/>
      <c r="R2" s="431"/>
      <c r="S2" s="426" t="s">
        <v>2655</v>
      </c>
      <c r="T2" s="426" t="s">
        <v>2646</v>
      </c>
      <c r="U2" s="426" t="s">
        <v>2646</v>
      </c>
      <c r="V2" s="426" t="s">
        <v>2646</v>
      </c>
      <c r="W2" s="426" t="s">
        <v>2646</v>
      </c>
      <c r="X2" s="426" t="s">
        <v>2646</v>
      </c>
      <c r="Y2" s="426" t="s">
        <v>2646</v>
      </c>
      <c r="Z2" s="426" t="s">
        <v>2646</v>
      </c>
      <c r="AA2" s="426" t="s">
        <v>2646</v>
      </c>
      <c r="AB2" s="426" t="s">
        <v>2646</v>
      </c>
      <c r="AC2" s="426" t="s">
        <v>2646</v>
      </c>
      <c r="AD2" s="426" t="s">
        <v>2646</v>
      </c>
      <c r="AE2" s="426" t="s">
        <v>2646</v>
      </c>
      <c r="AF2" s="426" t="s">
        <v>2646</v>
      </c>
      <c r="AG2" s="426" t="s">
        <v>2646</v>
      </c>
      <c r="AH2" s="426" t="s">
        <v>2646</v>
      </c>
      <c r="AI2" s="426" t="s">
        <v>2646</v>
      </c>
      <c r="AJ2" s="1" t="s">
        <v>2646</v>
      </c>
    </row>
    <row r="3" spans="1:36" s="1" customFormat="1" hidden="1">
      <c r="A3" s="392" t="s">
        <v>1394</v>
      </c>
      <c r="B3" s="427" t="s">
        <v>2649</v>
      </c>
      <c r="C3" s="433" t="s">
        <v>4060</v>
      </c>
      <c r="D3" s="433" t="s">
        <v>3710</v>
      </c>
      <c r="E3" s="433" t="s">
        <v>3011</v>
      </c>
      <c r="F3" s="433" t="s">
        <v>2932</v>
      </c>
      <c r="G3" s="433" t="s">
        <v>2835</v>
      </c>
      <c r="H3" s="433" t="s">
        <v>2825</v>
      </c>
      <c r="I3" s="433" t="s">
        <v>2724</v>
      </c>
      <c r="J3" s="433" t="s">
        <v>2654</v>
      </c>
      <c r="K3" s="433" t="s">
        <v>2654</v>
      </c>
      <c r="L3" s="433" t="s">
        <v>2654</v>
      </c>
      <c r="M3" s="433" t="s">
        <v>2654</v>
      </c>
      <c r="N3" s="433" t="s">
        <v>2654</v>
      </c>
      <c r="O3" s="433" t="s">
        <v>2921</v>
      </c>
      <c r="P3" s="433" t="s">
        <v>4061</v>
      </c>
      <c r="Q3" s="431"/>
      <c r="R3" s="431"/>
      <c r="S3" s="426" t="s">
        <v>2655</v>
      </c>
      <c r="T3" s="426" t="s">
        <v>2646</v>
      </c>
      <c r="U3" s="426" t="s">
        <v>2646</v>
      </c>
      <c r="V3" s="426" t="s">
        <v>2646</v>
      </c>
      <c r="W3" s="426" t="s">
        <v>2646</v>
      </c>
      <c r="X3" s="426" t="s">
        <v>2646</v>
      </c>
      <c r="Y3" s="426" t="s">
        <v>2646</v>
      </c>
      <c r="Z3" s="426" t="s">
        <v>2646</v>
      </c>
      <c r="AA3" s="426" t="s">
        <v>2646</v>
      </c>
      <c r="AB3" s="426" t="s">
        <v>2646</v>
      </c>
      <c r="AC3" s="426" t="s">
        <v>2646</v>
      </c>
      <c r="AD3" s="426" t="s">
        <v>2646</v>
      </c>
      <c r="AE3" s="426" t="s">
        <v>2646</v>
      </c>
      <c r="AF3" s="426" t="s">
        <v>2646</v>
      </c>
      <c r="AG3" s="426" t="s">
        <v>2646</v>
      </c>
      <c r="AH3" s="426" t="s">
        <v>2646</v>
      </c>
      <c r="AI3" s="426" t="s">
        <v>2646</v>
      </c>
      <c r="AJ3" s="1" t="s">
        <v>2646</v>
      </c>
    </row>
    <row r="4" spans="1:36" hidden="1">
      <c r="A4" s="392" t="s">
        <v>1395</v>
      </c>
      <c r="B4" s="427" t="s">
        <v>2650</v>
      </c>
      <c r="C4" s="433" t="s">
        <v>4062</v>
      </c>
      <c r="D4" s="433" t="s">
        <v>3686</v>
      </c>
      <c r="E4" s="433" t="s">
        <v>2848</v>
      </c>
      <c r="F4" s="433" t="s">
        <v>2935</v>
      </c>
      <c r="G4" s="433" t="s">
        <v>2921</v>
      </c>
      <c r="H4" s="433" t="s">
        <v>2687</v>
      </c>
      <c r="I4" s="433" t="s">
        <v>2680</v>
      </c>
      <c r="J4" s="433" t="s">
        <v>2654</v>
      </c>
      <c r="K4" s="433" t="s">
        <v>2654</v>
      </c>
      <c r="L4" s="433" t="s">
        <v>2654</v>
      </c>
      <c r="M4" s="433" t="s">
        <v>2654</v>
      </c>
      <c r="N4" s="433" t="s">
        <v>2654</v>
      </c>
      <c r="O4" s="433" t="s">
        <v>4063</v>
      </c>
      <c r="P4" s="433" t="s">
        <v>4059</v>
      </c>
      <c r="Q4" s="431"/>
      <c r="R4" s="431"/>
      <c r="S4" s="426" t="s">
        <v>2657</v>
      </c>
      <c r="T4" s="426" t="s">
        <v>2646</v>
      </c>
      <c r="U4" s="426" t="s">
        <v>2646</v>
      </c>
      <c r="V4" s="426" t="s">
        <v>2646</v>
      </c>
      <c r="W4" s="426" t="s">
        <v>2646</v>
      </c>
      <c r="X4" s="426" t="s">
        <v>2646</v>
      </c>
      <c r="Y4" s="426" t="s">
        <v>2646</v>
      </c>
      <c r="Z4" s="426" t="s">
        <v>2646</v>
      </c>
      <c r="AA4" s="426" t="s">
        <v>2646</v>
      </c>
      <c r="AB4" s="426" t="s">
        <v>2646</v>
      </c>
      <c r="AC4" s="426" t="s">
        <v>2646</v>
      </c>
      <c r="AD4" s="426" t="s">
        <v>2646</v>
      </c>
      <c r="AE4" s="426" t="s">
        <v>2646</v>
      </c>
      <c r="AF4" s="426" t="s">
        <v>2646</v>
      </c>
      <c r="AG4" s="426" t="s">
        <v>2646</v>
      </c>
      <c r="AH4" s="426" t="s">
        <v>2646</v>
      </c>
      <c r="AI4" s="426" t="s">
        <v>2646</v>
      </c>
      <c r="AJ4" s="68" t="s">
        <v>2646</v>
      </c>
    </row>
    <row r="5" spans="1:36" s="1" customFormat="1" hidden="1">
      <c r="A5" s="392" t="s">
        <v>1396</v>
      </c>
      <c r="B5" s="427" t="s">
        <v>2651</v>
      </c>
      <c r="C5" s="433" t="s">
        <v>3924</v>
      </c>
      <c r="D5" s="433" t="s">
        <v>3851</v>
      </c>
      <c r="E5" s="433" t="s">
        <v>3513</v>
      </c>
      <c r="F5" s="433" t="s">
        <v>3233</v>
      </c>
      <c r="G5" s="433" t="s">
        <v>2834</v>
      </c>
      <c r="H5" s="433" t="s">
        <v>2766</v>
      </c>
      <c r="I5" s="433" t="s">
        <v>2896</v>
      </c>
      <c r="J5" s="433" t="s">
        <v>2654</v>
      </c>
      <c r="K5" s="433" t="s">
        <v>2654</v>
      </c>
      <c r="L5" s="433" t="s">
        <v>2654</v>
      </c>
      <c r="M5" s="433" t="s">
        <v>2654</v>
      </c>
      <c r="N5" s="433" t="s">
        <v>2654</v>
      </c>
      <c r="O5" s="433" t="s">
        <v>4064</v>
      </c>
      <c r="P5" s="433" t="s">
        <v>2651</v>
      </c>
      <c r="Q5" s="431"/>
      <c r="R5" s="431"/>
      <c r="S5" s="426" t="s">
        <v>2658</v>
      </c>
      <c r="T5" s="426" t="s">
        <v>2646</v>
      </c>
      <c r="U5" s="426" t="s">
        <v>2646</v>
      </c>
      <c r="V5" s="426" t="s">
        <v>2646</v>
      </c>
      <c r="W5" s="426" t="s">
        <v>2646</v>
      </c>
      <c r="X5" s="426" t="s">
        <v>2646</v>
      </c>
      <c r="Y5" s="426" t="s">
        <v>2646</v>
      </c>
      <c r="Z5" s="426" t="s">
        <v>2646</v>
      </c>
      <c r="AA5" s="426" t="s">
        <v>2646</v>
      </c>
      <c r="AB5" s="426" t="s">
        <v>2646</v>
      </c>
      <c r="AC5" s="426" t="s">
        <v>2646</v>
      </c>
      <c r="AD5" s="426" t="s">
        <v>2646</v>
      </c>
      <c r="AE5" s="426" t="s">
        <v>2646</v>
      </c>
      <c r="AF5" s="426" t="s">
        <v>2646</v>
      </c>
      <c r="AG5" s="426" t="s">
        <v>2646</v>
      </c>
      <c r="AH5" s="426" t="s">
        <v>2646</v>
      </c>
      <c r="AI5" s="426" t="s">
        <v>2646</v>
      </c>
      <c r="AJ5" s="1" t="s">
        <v>2646</v>
      </c>
    </row>
    <row r="6" spans="1:36" s="1" customFormat="1">
      <c r="A6" s="392" t="s">
        <v>1396</v>
      </c>
      <c r="B6" s="427" t="s">
        <v>48</v>
      </c>
      <c r="C6" s="433" t="s">
        <v>4065</v>
      </c>
      <c r="D6" s="433" t="s">
        <v>3867</v>
      </c>
      <c r="E6" s="433" t="s">
        <v>4066</v>
      </c>
      <c r="F6" s="433" t="s">
        <v>4067</v>
      </c>
      <c r="G6" s="433" t="s">
        <v>3942</v>
      </c>
      <c r="H6" s="433" t="s">
        <v>2701</v>
      </c>
      <c r="I6" s="433" t="s">
        <v>3004</v>
      </c>
      <c r="J6" s="433" t="s">
        <v>2654</v>
      </c>
      <c r="K6" s="433" t="s">
        <v>2654</v>
      </c>
      <c r="L6" s="433" t="s">
        <v>2654</v>
      </c>
      <c r="M6" s="433" t="s">
        <v>2654</v>
      </c>
      <c r="N6" s="433" t="s">
        <v>2654</v>
      </c>
      <c r="O6" s="433" t="s">
        <v>2686</v>
      </c>
      <c r="P6" s="433" t="s">
        <v>2677</v>
      </c>
      <c r="Q6" s="433" t="s">
        <v>2654</v>
      </c>
      <c r="R6" s="433" t="s">
        <v>2654</v>
      </c>
      <c r="S6" s="426"/>
      <c r="T6" s="426"/>
      <c r="U6" s="426"/>
      <c r="V6" s="426"/>
      <c r="W6" s="426"/>
      <c r="X6" s="426"/>
      <c r="Y6" s="426"/>
      <c r="Z6" s="426"/>
      <c r="AA6" s="426"/>
      <c r="AB6" s="426"/>
      <c r="AC6" s="426"/>
      <c r="AD6" s="426"/>
      <c r="AE6" s="426"/>
      <c r="AF6" s="426"/>
      <c r="AG6" s="426"/>
      <c r="AH6" s="426"/>
      <c r="AI6" s="426"/>
    </row>
    <row r="7" spans="1:36" s="1" customFormat="1" hidden="1">
      <c r="A7" s="392" t="s">
        <v>1397</v>
      </c>
      <c r="B7" s="427" t="s">
        <v>2647</v>
      </c>
      <c r="C7" s="433" t="s">
        <v>4068</v>
      </c>
      <c r="D7" s="433" t="s">
        <v>3851</v>
      </c>
      <c r="E7" s="433" t="s">
        <v>3123</v>
      </c>
      <c r="F7" s="433" t="s">
        <v>2723</v>
      </c>
      <c r="G7" s="433" t="s">
        <v>2791</v>
      </c>
      <c r="H7" s="433" t="s">
        <v>2678</v>
      </c>
      <c r="I7" s="433" t="s">
        <v>2654</v>
      </c>
      <c r="J7" s="433" t="s">
        <v>2654</v>
      </c>
      <c r="K7" s="433" t="s">
        <v>2654</v>
      </c>
      <c r="L7" s="433" t="s">
        <v>2654</v>
      </c>
      <c r="M7" s="433" t="s">
        <v>2654</v>
      </c>
      <c r="N7" s="433" t="s">
        <v>2654</v>
      </c>
      <c r="O7" s="433" t="s">
        <v>4025</v>
      </c>
      <c r="P7" s="433" t="s">
        <v>4061</v>
      </c>
      <c r="Q7" s="431"/>
      <c r="R7" s="431"/>
      <c r="S7" s="426" t="s">
        <v>2660</v>
      </c>
      <c r="T7" s="426" t="s">
        <v>2646</v>
      </c>
      <c r="U7" s="426" t="s">
        <v>2646</v>
      </c>
      <c r="V7" s="426" t="s">
        <v>2646</v>
      </c>
      <c r="W7" s="426" t="s">
        <v>2661</v>
      </c>
      <c r="X7" s="426" t="s">
        <v>2662</v>
      </c>
      <c r="Y7" s="426" t="s">
        <v>2646</v>
      </c>
      <c r="Z7" s="426" t="s">
        <v>2646</v>
      </c>
      <c r="AA7" s="426" t="s">
        <v>2646</v>
      </c>
      <c r="AB7" s="426" t="s">
        <v>2646</v>
      </c>
      <c r="AC7" s="426" t="s">
        <v>2646</v>
      </c>
      <c r="AD7" s="426" t="s">
        <v>2646</v>
      </c>
      <c r="AE7" s="426" t="s">
        <v>2646</v>
      </c>
      <c r="AF7" s="426" t="s">
        <v>2646</v>
      </c>
      <c r="AG7" s="426" t="s">
        <v>2646</v>
      </c>
      <c r="AH7" s="426" t="s">
        <v>2646</v>
      </c>
      <c r="AI7" s="426" t="s">
        <v>2646</v>
      </c>
      <c r="AJ7" s="1" t="s">
        <v>2646</v>
      </c>
    </row>
    <row r="8" spans="1:36" s="1" customFormat="1" hidden="1">
      <c r="A8" s="392" t="s">
        <v>1398</v>
      </c>
      <c r="B8" s="427" t="s">
        <v>2648</v>
      </c>
      <c r="C8" s="433" t="s">
        <v>3757</v>
      </c>
      <c r="D8" s="433" t="s">
        <v>3364</v>
      </c>
      <c r="E8" s="433" t="s">
        <v>2932</v>
      </c>
      <c r="F8" s="433" t="s">
        <v>2777</v>
      </c>
      <c r="G8" s="433" t="s">
        <v>2970</v>
      </c>
      <c r="H8" s="433" t="s">
        <v>2680</v>
      </c>
      <c r="I8" s="433" t="s">
        <v>2654</v>
      </c>
      <c r="J8" s="433" t="s">
        <v>2654</v>
      </c>
      <c r="K8" s="433" t="s">
        <v>2654</v>
      </c>
      <c r="L8" s="433" t="s">
        <v>2654</v>
      </c>
      <c r="M8" s="433" t="s">
        <v>2654</v>
      </c>
      <c r="N8" s="433" t="s">
        <v>2654</v>
      </c>
      <c r="O8" s="433" t="s">
        <v>4069</v>
      </c>
      <c r="P8" s="433" t="s">
        <v>4057</v>
      </c>
      <c r="Q8" s="431"/>
      <c r="R8" s="431"/>
      <c r="S8" s="426" t="s">
        <v>2664</v>
      </c>
      <c r="T8" s="426" t="s">
        <v>2646</v>
      </c>
      <c r="U8" s="426" t="s">
        <v>2646</v>
      </c>
      <c r="V8" s="426" t="s">
        <v>2646</v>
      </c>
      <c r="W8" s="426" t="s">
        <v>2661</v>
      </c>
      <c r="X8" s="426" t="s">
        <v>2662</v>
      </c>
      <c r="Y8" s="426" t="s">
        <v>2646</v>
      </c>
      <c r="Z8" s="426" t="s">
        <v>2646</v>
      </c>
      <c r="AA8" s="426" t="s">
        <v>2646</v>
      </c>
      <c r="AB8" s="426" t="s">
        <v>2646</v>
      </c>
      <c r="AC8" s="426" t="s">
        <v>2646</v>
      </c>
      <c r="AD8" s="426" t="s">
        <v>2646</v>
      </c>
      <c r="AE8" s="426" t="s">
        <v>2646</v>
      </c>
      <c r="AF8" s="426" t="s">
        <v>2646</v>
      </c>
      <c r="AG8" s="426" t="s">
        <v>2646</v>
      </c>
      <c r="AH8" s="426" t="s">
        <v>2646</v>
      </c>
      <c r="AI8" s="426" t="s">
        <v>2646</v>
      </c>
      <c r="AJ8" s="1" t="s">
        <v>2646</v>
      </c>
    </row>
    <row r="9" spans="1:36" s="1" customFormat="1" hidden="1">
      <c r="A9" s="392" t="s">
        <v>1399</v>
      </c>
      <c r="B9" s="427" t="s">
        <v>2649</v>
      </c>
      <c r="C9" s="433" t="s">
        <v>4070</v>
      </c>
      <c r="D9" s="433" t="s">
        <v>3364</v>
      </c>
      <c r="E9" s="433" t="s">
        <v>2932</v>
      </c>
      <c r="F9" s="433" t="s">
        <v>2731</v>
      </c>
      <c r="G9" s="433" t="s">
        <v>2687</v>
      </c>
      <c r="H9" s="433" t="s">
        <v>2708</v>
      </c>
      <c r="I9" s="433" t="s">
        <v>2654</v>
      </c>
      <c r="J9" s="433" t="s">
        <v>2654</v>
      </c>
      <c r="K9" s="433" t="s">
        <v>2654</v>
      </c>
      <c r="L9" s="433" t="s">
        <v>2654</v>
      </c>
      <c r="M9" s="433" t="s">
        <v>2654</v>
      </c>
      <c r="N9" s="433" t="s">
        <v>2654</v>
      </c>
      <c r="O9" s="433" t="s">
        <v>2700</v>
      </c>
      <c r="P9" s="433" t="s">
        <v>4057</v>
      </c>
      <c r="Q9" s="431"/>
      <c r="R9" s="431"/>
      <c r="S9" s="426" t="s">
        <v>2665</v>
      </c>
      <c r="T9" s="426" t="s">
        <v>2646</v>
      </c>
      <c r="U9" s="426" t="s">
        <v>2646</v>
      </c>
      <c r="V9" s="426" t="s">
        <v>2646</v>
      </c>
      <c r="W9" s="426" t="s">
        <v>2661</v>
      </c>
      <c r="X9" s="426" t="s">
        <v>2662</v>
      </c>
      <c r="Y9" s="426" t="s">
        <v>2646</v>
      </c>
      <c r="Z9" s="426" t="s">
        <v>2646</v>
      </c>
      <c r="AA9" s="426" t="s">
        <v>2646</v>
      </c>
      <c r="AB9" s="426" t="s">
        <v>2646</v>
      </c>
      <c r="AC9" s="426" t="s">
        <v>2646</v>
      </c>
      <c r="AD9" s="426" t="s">
        <v>2646</v>
      </c>
      <c r="AE9" s="426" t="s">
        <v>2646</v>
      </c>
      <c r="AF9" s="426" t="s">
        <v>2646</v>
      </c>
      <c r="AG9" s="426" t="s">
        <v>2646</v>
      </c>
      <c r="AH9" s="426" t="s">
        <v>2646</v>
      </c>
      <c r="AI9" s="426" t="s">
        <v>2646</v>
      </c>
      <c r="AJ9" s="1" t="s">
        <v>2646</v>
      </c>
    </row>
    <row r="10" spans="1:36" s="1" customFormat="1" hidden="1">
      <c r="A10" s="392" t="s">
        <v>1400</v>
      </c>
      <c r="B10" s="427" t="s">
        <v>2650</v>
      </c>
      <c r="C10" s="433" t="s">
        <v>4071</v>
      </c>
      <c r="D10" s="433" t="s">
        <v>3364</v>
      </c>
      <c r="E10" s="433" t="s">
        <v>3051</v>
      </c>
      <c r="F10" s="433" t="s">
        <v>2928</v>
      </c>
      <c r="G10" s="433" t="s">
        <v>2899</v>
      </c>
      <c r="H10" s="433" t="s">
        <v>2656</v>
      </c>
      <c r="I10" s="433" t="s">
        <v>2654</v>
      </c>
      <c r="J10" s="433" t="s">
        <v>2654</v>
      </c>
      <c r="K10" s="433" t="s">
        <v>2654</v>
      </c>
      <c r="L10" s="433" t="s">
        <v>2654</v>
      </c>
      <c r="M10" s="433" t="s">
        <v>2654</v>
      </c>
      <c r="N10" s="433" t="s">
        <v>2654</v>
      </c>
      <c r="O10" s="433" t="s">
        <v>3292</v>
      </c>
      <c r="P10" s="433" t="s">
        <v>4059</v>
      </c>
      <c r="Q10" s="431"/>
      <c r="R10" s="431"/>
      <c r="S10" s="426" t="s">
        <v>2655</v>
      </c>
      <c r="T10" s="426" t="s">
        <v>2646</v>
      </c>
      <c r="U10" s="426" t="s">
        <v>2646</v>
      </c>
      <c r="V10" s="426" t="s">
        <v>2646</v>
      </c>
      <c r="W10" s="426" t="s">
        <v>2661</v>
      </c>
      <c r="X10" s="426" t="s">
        <v>2662</v>
      </c>
      <c r="Y10" s="426" t="s">
        <v>2646</v>
      </c>
      <c r="Z10" s="426" t="s">
        <v>2646</v>
      </c>
      <c r="AA10" s="426" t="s">
        <v>2646</v>
      </c>
      <c r="AB10" s="426" t="s">
        <v>2646</v>
      </c>
      <c r="AC10" s="426" t="s">
        <v>2646</v>
      </c>
      <c r="AD10" s="426" t="s">
        <v>2646</v>
      </c>
      <c r="AE10" s="426" t="s">
        <v>2646</v>
      </c>
      <c r="AF10" s="426" t="s">
        <v>2646</v>
      </c>
      <c r="AG10" s="426" t="s">
        <v>2646</v>
      </c>
      <c r="AH10" s="426" t="s">
        <v>2646</v>
      </c>
      <c r="AI10" s="426" t="s">
        <v>2646</v>
      </c>
      <c r="AJ10" s="1" t="s">
        <v>2646</v>
      </c>
    </row>
    <row r="11" spans="1:36" s="1" customFormat="1" hidden="1">
      <c r="A11" s="392" t="s">
        <v>1401</v>
      </c>
      <c r="B11" s="427" t="s">
        <v>2651</v>
      </c>
      <c r="C11" s="433" t="s">
        <v>4072</v>
      </c>
      <c r="D11" s="433" t="s">
        <v>3710</v>
      </c>
      <c r="E11" s="433" t="s">
        <v>2959</v>
      </c>
      <c r="F11" s="433" t="s">
        <v>2819</v>
      </c>
      <c r="G11" s="433" t="s">
        <v>2700</v>
      </c>
      <c r="H11" s="433" t="s">
        <v>2680</v>
      </c>
      <c r="I11" s="433" t="s">
        <v>2654</v>
      </c>
      <c r="J11" s="433" t="s">
        <v>2654</v>
      </c>
      <c r="K11" s="433" t="s">
        <v>2654</v>
      </c>
      <c r="L11" s="433" t="s">
        <v>2654</v>
      </c>
      <c r="M11" s="433" t="s">
        <v>2654</v>
      </c>
      <c r="N11" s="433" t="s">
        <v>2654</v>
      </c>
      <c r="O11" s="433" t="s">
        <v>4073</v>
      </c>
      <c r="P11" s="433" t="s">
        <v>4059</v>
      </c>
      <c r="Q11" s="431"/>
      <c r="R11" s="431"/>
      <c r="S11" s="426" t="s">
        <v>2658</v>
      </c>
      <c r="T11" s="426" t="s">
        <v>2646</v>
      </c>
      <c r="U11" s="426" t="s">
        <v>2646</v>
      </c>
      <c r="V11" s="426" t="s">
        <v>2646</v>
      </c>
      <c r="W11" s="426" t="s">
        <v>2661</v>
      </c>
      <c r="X11" s="426" t="s">
        <v>2662</v>
      </c>
      <c r="Y11" s="426" t="s">
        <v>2646</v>
      </c>
      <c r="Z11" s="426" t="s">
        <v>2646</v>
      </c>
      <c r="AA11" s="426" t="s">
        <v>2646</v>
      </c>
      <c r="AB11" s="426" t="s">
        <v>2646</v>
      </c>
      <c r="AC11" s="426" t="s">
        <v>2646</v>
      </c>
      <c r="AD11" s="426" t="s">
        <v>2646</v>
      </c>
      <c r="AE11" s="426" t="s">
        <v>2646</v>
      </c>
      <c r="AF11" s="426" t="s">
        <v>2646</v>
      </c>
      <c r="AG11" s="426" t="s">
        <v>2646</v>
      </c>
      <c r="AH11" s="426" t="s">
        <v>2646</v>
      </c>
      <c r="AI11" s="426" t="s">
        <v>2646</v>
      </c>
      <c r="AJ11" s="1" t="s">
        <v>2646</v>
      </c>
    </row>
    <row r="12" spans="1:36" s="1" customFormat="1">
      <c r="A12" s="392" t="s">
        <v>1401</v>
      </c>
      <c r="B12" s="427" t="s">
        <v>48</v>
      </c>
      <c r="C12" s="433" t="s">
        <v>4074</v>
      </c>
      <c r="D12" s="433" t="s">
        <v>3867</v>
      </c>
      <c r="E12" s="433" t="s">
        <v>4075</v>
      </c>
      <c r="F12" s="433" t="s">
        <v>3716</v>
      </c>
      <c r="G12" s="433" t="s">
        <v>4076</v>
      </c>
      <c r="H12" s="433" t="s">
        <v>3083</v>
      </c>
      <c r="I12" s="433" t="s">
        <v>2654</v>
      </c>
      <c r="J12" s="433" t="s">
        <v>2654</v>
      </c>
      <c r="K12" s="433" t="s">
        <v>2654</v>
      </c>
      <c r="L12" s="433" t="s">
        <v>2654</v>
      </c>
      <c r="M12" s="433" t="s">
        <v>2654</v>
      </c>
      <c r="N12" s="433" t="s">
        <v>2654</v>
      </c>
      <c r="O12" s="433" t="s">
        <v>4077</v>
      </c>
      <c r="P12" s="433" t="s">
        <v>3380</v>
      </c>
      <c r="Q12" s="433" t="s">
        <v>2654</v>
      </c>
      <c r="R12" s="433" t="s">
        <v>2654</v>
      </c>
      <c r="S12" s="426"/>
      <c r="T12" s="426"/>
      <c r="U12" s="426"/>
      <c r="V12" s="426"/>
      <c r="W12" s="426"/>
      <c r="X12" s="426"/>
      <c r="Y12" s="426"/>
      <c r="Z12" s="426"/>
      <c r="AA12" s="426"/>
      <c r="AB12" s="426"/>
      <c r="AC12" s="426"/>
      <c r="AD12" s="426"/>
      <c r="AE12" s="426"/>
      <c r="AF12" s="426"/>
      <c r="AG12" s="426"/>
      <c r="AH12" s="426"/>
      <c r="AI12" s="426"/>
    </row>
    <row r="13" spans="1:36" s="1" customFormat="1" hidden="1">
      <c r="A13" s="392" t="s">
        <v>1402</v>
      </c>
      <c r="B13" s="427" t="s">
        <v>2647</v>
      </c>
      <c r="C13" s="433" t="s">
        <v>3284</v>
      </c>
      <c r="D13" s="433" t="s">
        <v>3851</v>
      </c>
      <c r="E13" s="433" t="s">
        <v>2700</v>
      </c>
      <c r="F13" s="433" t="s">
        <v>2791</v>
      </c>
      <c r="G13" s="433" t="s">
        <v>2678</v>
      </c>
      <c r="H13" s="433" t="s">
        <v>2654</v>
      </c>
      <c r="I13" s="433" t="s">
        <v>2654</v>
      </c>
      <c r="J13" s="433" t="s">
        <v>2654</v>
      </c>
      <c r="K13" s="433" t="s">
        <v>2654</v>
      </c>
      <c r="L13" s="433" t="s">
        <v>2654</v>
      </c>
      <c r="M13" s="433" t="s">
        <v>2654</v>
      </c>
      <c r="N13" s="433" t="s">
        <v>2654</v>
      </c>
      <c r="O13" s="433" t="s">
        <v>2995</v>
      </c>
      <c r="P13" s="433" t="s">
        <v>4078</v>
      </c>
      <c r="Q13" s="431"/>
      <c r="R13" s="431"/>
      <c r="S13" s="426" t="s">
        <v>2669</v>
      </c>
      <c r="T13" s="426" t="s">
        <v>2646</v>
      </c>
      <c r="U13" s="426" t="s">
        <v>2646</v>
      </c>
      <c r="V13" s="426" t="s">
        <v>2646</v>
      </c>
      <c r="W13" s="426" t="s">
        <v>2670</v>
      </c>
      <c r="X13" s="426" t="s">
        <v>2671</v>
      </c>
      <c r="Y13" s="426" t="s">
        <v>2672</v>
      </c>
      <c r="Z13" s="426" t="s">
        <v>2646</v>
      </c>
      <c r="AA13" s="426" t="s">
        <v>2646</v>
      </c>
      <c r="AB13" s="426" t="s">
        <v>2646</v>
      </c>
      <c r="AC13" s="426" t="s">
        <v>2646</v>
      </c>
      <c r="AD13" s="426" t="s">
        <v>2646</v>
      </c>
      <c r="AE13" s="426" t="s">
        <v>2646</v>
      </c>
      <c r="AF13" s="426" t="s">
        <v>2646</v>
      </c>
      <c r="AG13" s="426" t="s">
        <v>2646</v>
      </c>
      <c r="AH13" s="426" t="s">
        <v>2646</v>
      </c>
      <c r="AI13" s="426" t="s">
        <v>2646</v>
      </c>
      <c r="AJ13" s="1" t="s">
        <v>2646</v>
      </c>
    </row>
    <row r="14" spans="1:36" s="1" customFormat="1" hidden="1">
      <c r="A14" s="392" t="s">
        <v>1403</v>
      </c>
      <c r="B14" s="427" t="s">
        <v>2648</v>
      </c>
      <c r="C14" s="433" t="s">
        <v>3709</v>
      </c>
      <c r="D14" s="433" t="s">
        <v>3364</v>
      </c>
      <c r="E14" s="433" t="s">
        <v>2948</v>
      </c>
      <c r="F14" s="433" t="s">
        <v>2700</v>
      </c>
      <c r="G14" s="433" t="s">
        <v>2654</v>
      </c>
      <c r="H14" s="433" t="s">
        <v>2654</v>
      </c>
      <c r="I14" s="433" t="s">
        <v>2654</v>
      </c>
      <c r="J14" s="433" t="s">
        <v>2654</v>
      </c>
      <c r="K14" s="433" t="s">
        <v>2654</v>
      </c>
      <c r="L14" s="433" t="s">
        <v>2654</v>
      </c>
      <c r="M14" s="433" t="s">
        <v>2654</v>
      </c>
      <c r="N14" s="433" t="s">
        <v>2654</v>
      </c>
      <c r="O14" s="433" t="s">
        <v>2979</v>
      </c>
      <c r="P14" s="433" t="s">
        <v>4078</v>
      </c>
      <c r="Q14" s="431"/>
      <c r="R14" s="431"/>
      <c r="S14" s="426" t="s">
        <v>2673</v>
      </c>
      <c r="T14" s="426" t="s">
        <v>2646</v>
      </c>
      <c r="U14" s="426" t="s">
        <v>2646</v>
      </c>
      <c r="V14" s="426" t="s">
        <v>2646</v>
      </c>
      <c r="W14" s="426" t="s">
        <v>2670</v>
      </c>
      <c r="X14" s="426" t="s">
        <v>2671</v>
      </c>
      <c r="Y14" s="426" t="s">
        <v>2672</v>
      </c>
      <c r="Z14" s="426" t="s">
        <v>2646</v>
      </c>
      <c r="AA14" s="426" t="s">
        <v>2646</v>
      </c>
      <c r="AB14" s="426" t="s">
        <v>2646</v>
      </c>
      <c r="AC14" s="426" t="s">
        <v>2646</v>
      </c>
      <c r="AD14" s="426" t="s">
        <v>2646</v>
      </c>
      <c r="AE14" s="426" t="s">
        <v>2646</v>
      </c>
      <c r="AF14" s="426" t="s">
        <v>2646</v>
      </c>
      <c r="AG14" s="426" t="s">
        <v>2646</v>
      </c>
      <c r="AH14" s="426" t="s">
        <v>2646</v>
      </c>
      <c r="AI14" s="426" t="s">
        <v>2646</v>
      </c>
      <c r="AJ14" s="1" t="s">
        <v>2646</v>
      </c>
    </row>
    <row r="15" spans="1:36" hidden="1">
      <c r="A15" s="392" t="s">
        <v>1404</v>
      </c>
      <c r="B15" s="427" t="s">
        <v>2649</v>
      </c>
      <c r="C15" s="433" t="s">
        <v>3921</v>
      </c>
      <c r="D15" s="433" t="s">
        <v>3872</v>
      </c>
      <c r="E15" s="433" t="s">
        <v>2875</v>
      </c>
      <c r="F15" s="433" t="s">
        <v>2773</v>
      </c>
      <c r="G15" s="433" t="s">
        <v>2680</v>
      </c>
      <c r="H15" s="433" t="s">
        <v>2654</v>
      </c>
      <c r="I15" s="433" t="s">
        <v>2654</v>
      </c>
      <c r="J15" s="433" t="s">
        <v>2654</v>
      </c>
      <c r="K15" s="433" t="s">
        <v>2654</v>
      </c>
      <c r="L15" s="433" t="s">
        <v>2654</v>
      </c>
      <c r="M15" s="433" t="s">
        <v>2654</v>
      </c>
      <c r="N15" s="433" t="s">
        <v>2654</v>
      </c>
      <c r="O15" s="433" t="s">
        <v>4079</v>
      </c>
      <c r="P15" s="433" t="s">
        <v>4080</v>
      </c>
      <c r="Q15" s="431"/>
      <c r="R15" s="431"/>
      <c r="S15" s="426" t="s">
        <v>2658</v>
      </c>
      <c r="T15" s="426" t="s">
        <v>2646</v>
      </c>
      <c r="U15" s="426" t="s">
        <v>2646</v>
      </c>
      <c r="V15" s="426" t="s">
        <v>2646</v>
      </c>
      <c r="W15" s="426" t="s">
        <v>2670</v>
      </c>
      <c r="X15" s="426" t="s">
        <v>2671</v>
      </c>
      <c r="Y15" s="426" t="s">
        <v>2672</v>
      </c>
      <c r="Z15" s="426" t="s">
        <v>2646</v>
      </c>
      <c r="AA15" s="426" t="s">
        <v>2646</v>
      </c>
      <c r="AB15" s="426" t="s">
        <v>2646</v>
      </c>
      <c r="AC15" s="426" t="s">
        <v>2646</v>
      </c>
      <c r="AD15" s="426" t="s">
        <v>2646</v>
      </c>
      <c r="AE15" s="426" t="s">
        <v>2646</v>
      </c>
      <c r="AF15" s="426" t="s">
        <v>2646</v>
      </c>
      <c r="AG15" s="426" t="s">
        <v>2646</v>
      </c>
      <c r="AH15" s="426" t="s">
        <v>2646</v>
      </c>
      <c r="AI15" s="426" t="s">
        <v>2646</v>
      </c>
      <c r="AJ15" s="68" t="s">
        <v>2646</v>
      </c>
    </row>
    <row r="16" spans="1:36" s="1" customFormat="1" hidden="1">
      <c r="A16" s="392" t="s">
        <v>1405</v>
      </c>
      <c r="B16" s="427" t="s">
        <v>2650</v>
      </c>
      <c r="C16" s="433" t="s">
        <v>3689</v>
      </c>
      <c r="D16" s="433" t="s">
        <v>3710</v>
      </c>
      <c r="E16" s="433" t="s">
        <v>2700</v>
      </c>
      <c r="F16" s="433" t="s">
        <v>2791</v>
      </c>
      <c r="G16" s="433" t="s">
        <v>2654</v>
      </c>
      <c r="H16" s="433" t="s">
        <v>2654</v>
      </c>
      <c r="I16" s="433" t="s">
        <v>2654</v>
      </c>
      <c r="J16" s="433" t="s">
        <v>2654</v>
      </c>
      <c r="K16" s="433" t="s">
        <v>2654</v>
      </c>
      <c r="L16" s="433" t="s">
        <v>2654</v>
      </c>
      <c r="M16" s="433" t="s">
        <v>2654</v>
      </c>
      <c r="N16" s="433" t="s">
        <v>2654</v>
      </c>
      <c r="O16" s="433" t="s">
        <v>2934</v>
      </c>
      <c r="P16" s="433" t="s">
        <v>4080</v>
      </c>
      <c r="Q16" s="431"/>
      <c r="R16" s="431"/>
      <c r="S16" s="426" t="s">
        <v>2669</v>
      </c>
      <c r="T16" s="426" t="s">
        <v>2646</v>
      </c>
      <c r="U16" s="426" t="s">
        <v>2679</v>
      </c>
      <c r="V16" s="426" t="s">
        <v>2646</v>
      </c>
      <c r="W16" s="426" t="s">
        <v>2670</v>
      </c>
      <c r="X16" s="426" t="s">
        <v>2671</v>
      </c>
      <c r="Y16" s="426" t="s">
        <v>2672</v>
      </c>
      <c r="Z16" s="426" t="s">
        <v>2646</v>
      </c>
      <c r="AA16" s="426" t="s">
        <v>2646</v>
      </c>
      <c r="AB16" s="426" t="s">
        <v>2646</v>
      </c>
      <c r="AC16" s="426" t="s">
        <v>2646</v>
      </c>
      <c r="AD16" s="426" t="s">
        <v>2646</v>
      </c>
      <c r="AE16" s="426" t="s">
        <v>2646</v>
      </c>
      <c r="AF16" s="426" t="s">
        <v>2646</v>
      </c>
      <c r="AG16" s="426" t="s">
        <v>2646</v>
      </c>
      <c r="AH16" s="426" t="s">
        <v>2646</v>
      </c>
      <c r="AI16" s="426" t="s">
        <v>2646</v>
      </c>
      <c r="AJ16" s="1" t="s">
        <v>2646</v>
      </c>
    </row>
    <row r="17" spans="1:36" s="1" customFormat="1" hidden="1">
      <c r="A17" s="392" t="s">
        <v>1406</v>
      </c>
      <c r="B17" s="427" t="s">
        <v>2651</v>
      </c>
      <c r="C17" s="433" t="s">
        <v>3735</v>
      </c>
      <c r="D17" s="433" t="s">
        <v>3710</v>
      </c>
      <c r="E17" s="433" t="s">
        <v>2921</v>
      </c>
      <c r="F17" s="433" t="s">
        <v>2746</v>
      </c>
      <c r="G17" s="433" t="s">
        <v>2654</v>
      </c>
      <c r="H17" s="433" t="s">
        <v>2654</v>
      </c>
      <c r="I17" s="433" t="s">
        <v>2654</v>
      </c>
      <c r="J17" s="433" t="s">
        <v>2654</v>
      </c>
      <c r="K17" s="433" t="s">
        <v>2654</v>
      </c>
      <c r="L17" s="433" t="s">
        <v>2654</v>
      </c>
      <c r="M17" s="433" t="s">
        <v>2654</v>
      </c>
      <c r="N17" s="433" t="s">
        <v>2654</v>
      </c>
      <c r="O17" s="433" t="s">
        <v>2866</v>
      </c>
      <c r="P17" s="433" t="s">
        <v>4080</v>
      </c>
      <c r="Q17" s="431"/>
      <c r="R17" s="431"/>
      <c r="S17" s="426" t="s">
        <v>2655</v>
      </c>
      <c r="T17" s="426" t="s">
        <v>2646</v>
      </c>
      <c r="U17" s="426" t="s">
        <v>2646</v>
      </c>
      <c r="V17" s="426" t="s">
        <v>2646</v>
      </c>
      <c r="W17" s="426" t="s">
        <v>2670</v>
      </c>
      <c r="X17" s="426" t="s">
        <v>2671</v>
      </c>
      <c r="Y17" s="426" t="s">
        <v>2672</v>
      </c>
      <c r="Z17" s="426" t="s">
        <v>2646</v>
      </c>
      <c r="AA17" s="426" t="s">
        <v>2646</v>
      </c>
      <c r="AB17" s="426" t="s">
        <v>2646</v>
      </c>
      <c r="AC17" s="426" t="s">
        <v>2646</v>
      </c>
      <c r="AD17" s="426" t="s">
        <v>2646</v>
      </c>
      <c r="AE17" s="426" t="s">
        <v>2646</v>
      </c>
      <c r="AF17" s="426" t="s">
        <v>2646</v>
      </c>
      <c r="AG17" s="426" t="s">
        <v>2646</v>
      </c>
      <c r="AH17" s="426" t="s">
        <v>2646</v>
      </c>
      <c r="AI17" s="426" t="s">
        <v>2646</v>
      </c>
      <c r="AJ17" s="1" t="s">
        <v>2646</v>
      </c>
    </row>
    <row r="18" spans="1:36" s="1" customFormat="1">
      <c r="A18" s="392" t="s">
        <v>1406</v>
      </c>
      <c r="B18" s="427" t="s">
        <v>48</v>
      </c>
      <c r="C18" s="433" t="s">
        <v>4081</v>
      </c>
      <c r="D18" s="433" t="s">
        <v>3932</v>
      </c>
      <c r="E18" s="433" t="s">
        <v>4082</v>
      </c>
      <c r="F18" s="433" t="s">
        <v>2870</v>
      </c>
      <c r="G18" s="433" t="s">
        <v>2659</v>
      </c>
      <c r="H18" s="433" t="s">
        <v>2654</v>
      </c>
      <c r="I18" s="433" t="s">
        <v>2654</v>
      </c>
      <c r="J18" s="433" t="s">
        <v>2654</v>
      </c>
      <c r="K18" s="433" t="s">
        <v>2654</v>
      </c>
      <c r="L18" s="433" t="s">
        <v>2654</v>
      </c>
      <c r="M18" s="433" t="s">
        <v>2654</v>
      </c>
      <c r="N18" s="433" t="s">
        <v>2654</v>
      </c>
      <c r="O18" s="433" t="s">
        <v>2795</v>
      </c>
      <c r="P18" s="433" t="s">
        <v>2993</v>
      </c>
      <c r="Q18" s="433" t="s">
        <v>2654</v>
      </c>
      <c r="R18" s="433" t="s">
        <v>2654</v>
      </c>
      <c r="S18" s="426"/>
      <c r="T18" s="426"/>
      <c r="U18" s="426"/>
      <c r="V18" s="426"/>
      <c r="W18" s="426"/>
      <c r="X18" s="426"/>
      <c r="Y18" s="426"/>
      <c r="Z18" s="426"/>
      <c r="AA18" s="426"/>
      <c r="AB18" s="426"/>
      <c r="AC18" s="426"/>
      <c r="AD18" s="426"/>
      <c r="AE18" s="426"/>
      <c r="AF18" s="426"/>
      <c r="AG18" s="426"/>
      <c r="AH18" s="426"/>
      <c r="AI18" s="426"/>
    </row>
    <row r="19" spans="1:36" s="1" customFormat="1" hidden="1">
      <c r="A19" s="392" t="s">
        <v>1407</v>
      </c>
      <c r="B19" s="427" t="s">
        <v>2647</v>
      </c>
      <c r="C19" s="433" t="s">
        <v>3640</v>
      </c>
      <c r="D19" s="433" t="s">
        <v>3364</v>
      </c>
      <c r="E19" s="433" t="s">
        <v>2680</v>
      </c>
      <c r="F19" s="433" t="s">
        <v>2654</v>
      </c>
      <c r="G19" s="433" t="s">
        <v>2654</v>
      </c>
      <c r="H19" s="433" t="s">
        <v>2654</v>
      </c>
      <c r="I19" s="433" t="s">
        <v>2654</v>
      </c>
      <c r="J19" s="433" t="s">
        <v>2654</v>
      </c>
      <c r="K19" s="433" t="s">
        <v>2654</v>
      </c>
      <c r="L19" s="433" t="s">
        <v>2654</v>
      </c>
      <c r="M19" s="433" t="s">
        <v>2654</v>
      </c>
      <c r="N19" s="433" t="s">
        <v>2654</v>
      </c>
      <c r="O19" s="433" t="s">
        <v>2654</v>
      </c>
      <c r="P19" s="433" t="s">
        <v>4059</v>
      </c>
      <c r="Q19" s="431"/>
      <c r="R19" s="431"/>
      <c r="S19" s="426" t="s">
        <v>2688</v>
      </c>
      <c r="T19" s="426" t="s">
        <v>2689</v>
      </c>
      <c r="U19" s="426" t="s">
        <v>2690</v>
      </c>
      <c r="V19" s="426" t="s">
        <v>2691</v>
      </c>
      <c r="W19" s="426" t="s">
        <v>2670</v>
      </c>
      <c r="X19" s="426" t="s">
        <v>2692</v>
      </c>
      <c r="Y19" s="426" t="s">
        <v>2693</v>
      </c>
      <c r="Z19" s="426" t="s">
        <v>2646</v>
      </c>
      <c r="AA19" s="426" t="s">
        <v>2646</v>
      </c>
      <c r="AB19" s="426" t="s">
        <v>2646</v>
      </c>
      <c r="AC19" s="426" t="s">
        <v>2646</v>
      </c>
      <c r="AD19" s="426" t="s">
        <v>2646</v>
      </c>
      <c r="AE19" s="426" t="s">
        <v>2646</v>
      </c>
      <c r="AF19" s="426" t="s">
        <v>2646</v>
      </c>
      <c r="AG19" s="426" t="s">
        <v>2646</v>
      </c>
      <c r="AH19" s="426" t="s">
        <v>2646</v>
      </c>
      <c r="AI19" s="426" t="s">
        <v>2646</v>
      </c>
      <c r="AJ19" s="1" t="s">
        <v>2646</v>
      </c>
    </row>
    <row r="20" spans="1:36" s="1" customFormat="1" hidden="1">
      <c r="A20" s="392" t="s">
        <v>1408</v>
      </c>
      <c r="B20" s="427" t="s">
        <v>2648</v>
      </c>
      <c r="C20" s="433" t="s">
        <v>3618</v>
      </c>
      <c r="D20" s="433" t="s">
        <v>3710</v>
      </c>
      <c r="E20" s="433" t="s">
        <v>2656</v>
      </c>
      <c r="F20" s="433" t="s">
        <v>2654</v>
      </c>
      <c r="G20" s="433" t="s">
        <v>2654</v>
      </c>
      <c r="H20" s="433" t="s">
        <v>2654</v>
      </c>
      <c r="I20" s="433" t="s">
        <v>2654</v>
      </c>
      <c r="J20" s="433" t="s">
        <v>2654</v>
      </c>
      <c r="K20" s="433" t="s">
        <v>2654</v>
      </c>
      <c r="L20" s="433" t="s">
        <v>2654</v>
      </c>
      <c r="M20" s="433" t="s">
        <v>2654</v>
      </c>
      <c r="N20" s="433" t="s">
        <v>2654</v>
      </c>
      <c r="O20" s="433" t="s">
        <v>2654</v>
      </c>
      <c r="P20" s="433" t="s">
        <v>4083</v>
      </c>
      <c r="Q20" s="431"/>
      <c r="R20" s="431"/>
      <c r="S20" s="426" t="s">
        <v>2669</v>
      </c>
      <c r="T20" s="426" t="s">
        <v>2696</v>
      </c>
      <c r="U20" s="426" t="s">
        <v>2697</v>
      </c>
      <c r="V20" s="426" t="s">
        <v>2696</v>
      </c>
      <c r="W20" s="426" t="s">
        <v>2670</v>
      </c>
      <c r="X20" s="426" t="s">
        <v>2692</v>
      </c>
      <c r="Y20" s="426" t="s">
        <v>2693</v>
      </c>
      <c r="Z20" s="426" t="s">
        <v>2646</v>
      </c>
      <c r="AA20" s="426" t="s">
        <v>2646</v>
      </c>
      <c r="AB20" s="426" t="s">
        <v>2646</v>
      </c>
      <c r="AC20" s="426" t="s">
        <v>2646</v>
      </c>
      <c r="AD20" s="426" t="s">
        <v>2646</v>
      </c>
      <c r="AE20" s="426" t="s">
        <v>2646</v>
      </c>
      <c r="AF20" s="426" t="s">
        <v>2646</v>
      </c>
      <c r="AG20" s="426" t="s">
        <v>2646</v>
      </c>
      <c r="AH20" s="426" t="s">
        <v>2646</v>
      </c>
      <c r="AI20" s="426" t="s">
        <v>2646</v>
      </c>
      <c r="AJ20" s="1" t="s">
        <v>2646</v>
      </c>
    </row>
    <row r="21" spans="1:36" s="1" customFormat="1" hidden="1">
      <c r="A21" s="392" t="s">
        <v>1409</v>
      </c>
      <c r="B21" s="427" t="s">
        <v>2649</v>
      </c>
      <c r="C21" s="433" t="s">
        <v>4084</v>
      </c>
      <c r="D21" s="433" t="s">
        <v>3364</v>
      </c>
      <c r="E21" s="433" t="s">
        <v>2678</v>
      </c>
      <c r="F21" s="433" t="s">
        <v>2654</v>
      </c>
      <c r="G21" s="433" t="s">
        <v>2654</v>
      </c>
      <c r="H21" s="433" t="s">
        <v>2654</v>
      </c>
      <c r="I21" s="433" t="s">
        <v>2654</v>
      </c>
      <c r="J21" s="433" t="s">
        <v>2654</v>
      </c>
      <c r="K21" s="433" t="s">
        <v>2654</v>
      </c>
      <c r="L21" s="433" t="s">
        <v>2654</v>
      </c>
      <c r="M21" s="433" t="s">
        <v>2654</v>
      </c>
      <c r="N21" s="433" t="s">
        <v>2654</v>
      </c>
      <c r="O21" s="433" t="s">
        <v>2654</v>
      </c>
      <c r="P21" s="433" t="s">
        <v>4061</v>
      </c>
      <c r="Q21" s="431"/>
      <c r="R21" s="431"/>
      <c r="S21" s="426" t="s">
        <v>2658</v>
      </c>
      <c r="T21" s="426" t="s">
        <v>2702</v>
      </c>
      <c r="U21" s="426" t="s">
        <v>2703</v>
      </c>
      <c r="V21" s="426" t="s">
        <v>2704</v>
      </c>
      <c r="W21" s="426" t="s">
        <v>2670</v>
      </c>
      <c r="X21" s="426" t="s">
        <v>2692</v>
      </c>
      <c r="Y21" s="426" t="s">
        <v>2693</v>
      </c>
      <c r="Z21" s="426" t="s">
        <v>2646</v>
      </c>
      <c r="AA21" s="426" t="s">
        <v>2646</v>
      </c>
      <c r="AB21" s="426" t="s">
        <v>2646</v>
      </c>
      <c r="AC21" s="426" t="s">
        <v>2646</v>
      </c>
      <c r="AD21" s="426" t="s">
        <v>2646</v>
      </c>
      <c r="AE21" s="426" t="s">
        <v>2646</v>
      </c>
      <c r="AF21" s="426" t="s">
        <v>2646</v>
      </c>
      <c r="AG21" s="426" t="s">
        <v>2646</v>
      </c>
      <c r="AH21" s="426" t="s">
        <v>2646</v>
      </c>
      <c r="AI21" s="426" t="s">
        <v>2646</v>
      </c>
      <c r="AJ21" s="1" t="s">
        <v>2646</v>
      </c>
    </row>
    <row r="22" spans="1:36" s="1" customFormat="1" hidden="1">
      <c r="A22" s="392" t="s">
        <v>1410</v>
      </c>
      <c r="B22" s="427" t="s">
        <v>2650</v>
      </c>
      <c r="C22" s="433" t="s">
        <v>3864</v>
      </c>
      <c r="D22" s="433" t="s">
        <v>3851</v>
      </c>
      <c r="E22" s="433" t="s">
        <v>2678</v>
      </c>
      <c r="F22" s="433" t="s">
        <v>2654</v>
      </c>
      <c r="G22" s="433" t="s">
        <v>2654</v>
      </c>
      <c r="H22" s="433" t="s">
        <v>2654</v>
      </c>
      <c r="I22" s="433" t="s">
        <v>2654</v>
      </c>
      <c r="J22" s="433" t="s">
        <v>2654</v>
      </c>
      <c r="K22" s="433" t="s">
        <v>2654</v>
      </c>
      <c r="L22" s="433" t="s">
        <v>2654</v>
      </c>
      <c r="M22" s="433" t="s">
        <v>2654</v>
      </c>
      <c r="N22" s="433" t="s">
        <v>2654</v>
      </c>
      <c r="O22" s="433" t="s">
        <v>2654</v>
      </c>
      <c r="P22" s="433" t="s">
        <v>4057</v>
      </c>
      <c r="Q22" s="431"/>
      <c r="R22" s="431"/>
      <c r="S22" s="426" t="s">
        <v>2709</v>
      </c>
      <c r="T22" s="426" t="s">
        <v>2710</v>
      </c>
      <c r="U22" s="426" t="s">
        <v>2711</v>
      </c>
      <c r="V22" s="426" t="s">
        <v>2712</v>
      </c>
      <c r="W22" s="426" t="s">
        <v>2670</v>
      </c>
      <c r="X22" s="426" t="s">
        <v>2692</v>
      </c>
      <c r="Y22" s="426" t="s">
        <v>2693</v>
      </c>
      <c r="Z22" s="426" t="s">
        <v>2646</v>
      </c>
      <c r="AA22" s="426" t="s">
        <v>2646</v>
      </c>
      <c r="AB22" s="426" t="s">
        <v>2646</v>
      </c>
      <c r="AC22" s="426" t="s">
        <v>2646</v>
      </c>
      <c r="AD22" s="426" t="s">
        <v>2646</v>
      </c>
      <c r="AE22" s="426" t="s">
        <v>2646</v>
      </c>
      <c r="AF22" s="426" t="s">
        <v>2646</v>
      </c>
      <c r="AG22" s="426" t="s">
        <v>2646</v>
      </c>
      <c r="AH22" s="426" t="s">
        <v>2646</v>
      </c>
      <c r="AI22" s="426" t="s">
        <v>2646</v>
      </c>
      <c r="AJ22" s="1" t="s">
        <v>2646</v>
      </c>
    </row>
    <row r="23" spans="1:36" s="1" customFormat="1" hidden="1">
      <c r="A23" s="392" t="s">
        <v>1411</v>
      </c>
      <c r="B23" s="427" t="s">
        <v>2651</v>
      </c>
      <c r="C23" s="433" t="s">
        <v>3668</v>
      </c>
      <c r="D23" s="433" t="s">
        <v>3686</v>
      </c>
      <c r="E23" s="433" t="s">
        <v>2708</v>
      </c>
      <c r="F23" s="433" t="s">
        <v>2654</v>
      </c>
      <c r="G23" s="433" t="s">
        <v>2654</v>
      </c>
      <c r="H23" s="433" t="s">
        <v>2654</v>
      </c>
      <c r="I23" s="433" t="s">
        <v>2654</v>
      </c>
      <c r="J23" s="433" t="s">
        <v>2654</v>
      </c>
      <c r="K23" s="433" t="s">
        <v>2654</v>
      </c>
      <c r="L23" s="433" t="s">
        <v>2654</v>
      </c>
      <c r="M23" s="433" t="s">
        <v>2654</v>
      </c>
      <c r="N23" s="433" t="s">
        <v>2654</v>
      </c>
      <c r="O23" s="433" t="s">
        <v>2654</v>
      </c>
      <c r="P23" s="433" t="s">
        <v>4085</v>
      </c>
      <c r="Q23" s="431"/>
      <c r="R23" s="431"/>
      <c r="S23" s="426" t="s">
        <v>2673</v>
      </c>
      <c r="T23" s="426" t="s">
        <v>2715</v>
      </c>
      <c r="U23" s="426" t="s">
        <v>2716</v>
      </c>
      <c r="V23" s="426" t="s">
        <v>2717</v>
      </c>
      <c r="W23" s="426" t="s">
        <v>2670</v>
      </c>
      <c r="X23" s="426" t="s">
        <v>2692</v>
      </c>
      <c r="Y23" s="426" t="s">
        <v>2693</v>
      </c>
      <c r="Z23" s="426" t="s">
        <v>2646</v>
      </c>
      <c r="AA23" s="426" t="s">
        <v>2646</v>
      </c>
      <c r="AB23" s="426" t="s">
        <v>2646</v>
      </c>
      <c r="AC23" s="426" t="s">
        <v>2646</v>
      </c>
      <c r="AD23" s="426" t="s">
        <v>2646</v>
      </c>
      <c r="AE23" s="426" t="s">
        <v>2646</v>
      </c>
      <c r="AF23" s="426" t="s">
        <v>2646</v>
      </c>
      <c r="AG23" s="426" t="s">
        <v>2646</v>
      </c>
      <c r="AH23" s="426" t="s">
        <v>2646</v>
      </c>
      <c r="AI23" s="426" t="s">
        <v>2646</v>
      </c>
      <c r="AJ23" s="1" t="s">
        <v>2646</v>
      </c>
    </row>
    <row r="24" spans="1:36" s="1" customFormat="1">
      <c r="A24" s="392" t="s">
        <v>1411</v>
      </c>
      <c r="B24" s="427" t="s">
        <v>48</v>
      </c>
      <c r="C24" s="433" t="s">
        <v>4086</v>
      </c>
      <c r="D24" s="433" t="s">
        <v>3856</v>
      </c>
      <c r="E24" s="433" t="s">
        <v>2832</v>
      </c>
      <c r="F24" s="433" t="s">
        <v>2654</v>
      </c>
      <c r="G24" s="433" t="s">
        <v>2654</v>
      </c>
      <c r="H24" s="433" t="s">
        <v>2654</v>
      </c>
      <c r="I24" s="433" t="s">
        <v>2654</v>
      </c>
      <c r="J24" s="433" t="s">
        <v>2654</v>
      </c>
      <c r="K24" s="433" t="s">
        <v>2654</v>
      </c>
      <c r="L24" s="433" t="s">
        <v>2654</v>
      </c>
      <c r="M24" s="433" t="s">
        <v>2654</v>
      </c>
      <c r="N24" s="433" t="s">
        <v>2654</v>
      </c>
      <c r="O24" s="433" t="s">
        <v>2654</v>
      </c>
      <c r="P24" s="433" t="s">
        <v>3887</v>
      </c>
      <c r="Q24" s="433" t="s">
        <v>2654</v>
      </c>
      <c r="R24" s="433" t="s">
        <v>2654</v>
      </c>
      <c r="S24" s="426"/>
      <c r="T24" s="426"/>
      <c r="U24" s="426"/>
      <c r="V24" s="426"/>
      <c r="W24" s="426"/>
      <c r="X24" s="426"/>
      <c r="Y24" s="426"/>
      <c r="Z24" s="426"/>
      <c r="AA24" s="426"/>
      <c r="AB24" s="426"/>
      <c r="AC24" s="426"/>
      <c r="AD24" s="426"/>
      <c r="AE24" s="426"/>
      <c r="AF24" s="426"/>
      <c r="AG24" s="426"/>
      <c r="AH24" s="426"/>
      <c r="AI24" s="426"/>
    </row>
    <row r="25" spans="1:36" s="1" customFormat="1" hidden="1">
      <c r="A25" s="392" t="s">
        <v>1412</v>
      </c>
      <c r="B25" s="427" t="s">
        <v>2647</v>
      </c>
      <c r="C25" s="433" t="s">
        <v>4050</v>
      </c>
      <c r="D25" s="433" t="s">
        <v>3851</v>
      </c>
      <c r="E25" s="433" t="s">
        <v>2654</v>
      </c>
      <c r="F25" s="433" t="s">
        <v>2654</v>
      </c>
      <c r="G25" s="433" t="s">
        <v>2654</v>
      </c>
      <c r="H25" s="433" t="s">
        <v>2654</v>
      </c>
      <c r="I25" s="433" t="s">
        <v>2654</v>
      </c>
      <c r="J25" s="433" t="s">
        <v>2654</v>
      </c>
      <c r="K25" s="433" t="s">
        <v>2654</v>
      </c>
      <c r="L25" s="433" t="s">
        <v>2654</v>
      </c>
      <c r="M25" s="433" t="s">
        <v>2654</v>
      </c>
      <c r="N25" s="433" t="s">
        <v>2654</v>
      </c>
      <c r="O25" s="433" t="s">
        <v>2654</v>
      </c>
      <c r="P25" s="433" t="s">
        <v>4080</v>
      </c>
      <c r="Q25" s="431"/>
      <c r="R25" s="431"/>
      <c r="S25" s="426" t="s">
        <v>2655</v>
      </c>
      <c r="T25" s="426" t="s">
        <v>2725</v>
      </c>
      <c r="U25" s="426" t="s">
        <v>2711</v>
      </c>
      <c r="V25" s="426" t="s">
        <v>2726</v>
      </c>
      <c r="W25" s="426" t="s">
        <v>2670</v>
      </c>
      <c r="X25" s="426" t="s">
        <v>2727</v>
      </c>
      <c r="Y25" s="426" t="s">
        <v>2728</v>
      </c>
      <c r="Z25" s="426" t="s">
        <v>2646</v>
      </c>
      <c r="AA25" s="426" t="s">
        <v>2646</v>
      </c>
      <c r="AB25" s="426" t="s">
        <v>2646</v>
      </c>
      <c r="AC25" s="426" t="s">
        <v>2646</v>
      </c>
      <c r="AD25" s="426" t="s">
        <v>2646</v>
      </c>
      <c r="AE25" s="426" t="s">
        <v>2646</v>
      </c>
      <c r="AF25" s="426" t="s">
        <v>2646</v>
      </c>
      <c r="AG25" s="426" t="s">
        <v>2646</v>
      </c>
      <c r="AH25" s="426" t="s">
        <v>2646</v>
      </c>
      <c r="AI25" s="426" t="s">
        <v>2646</v>
      </c>
      <c r="AJ25" s="1" t="s">
        <v>2646</v>
      </c>
    </row>
    <row r="26" spans="1:36" hidden="1">
      <c r="A26" s="392" t="s">
        <v>1413</v>
      </c>
      <c r="B26" s="427" t="s">
        <v>2648</v>
      </c>
      <c r="C26" s="433" t="s">
        <v>3588</v>
      </c>
      <c r="D26" s="433" t="s">
        <v>3710</v>
      </c>
      <c r="E26" s="433" t="s">
        <v>2654</v>
      </c>
      <c r="F26" s="433" t="s">
        <v>2654</v>
      </c>
      <c r="G26" s="433" t="s">
        <v>2654</v>
      </c>
      <c r="H26" s="433" t="s">
        <v>2654</v>
      </c>
      <c r="I26" s="433" t="s">
        <v>2654</v>
      </c>
      <c r="J26" s="433" t="s">
        <v>2654</v>
      </c>
      <c r="K26" s="433" t="s">
        <v>2654</v>
      </c>
      <c r="L26" s="433" t="s">
        <v>2654</v>
      </c>
      <c r="M26" s="433" t="s">
        <v>2654</v>
      </c>
      <c r="N26" s="433" t="s">
        <v>2654</v>
      </c>
      <c r="O26" s="433" t="s">
        <v>2654</v>
      </c>
      <c r="P26" s="433" t="s">
        <v>4080</v>
      </c>
      <c r="Q26" s="431"/>
      <c r="R26" s="431"/>
      <c r="S26" s="426" t="s">
        <v>2660</v>
      </c>
      <c r="T26" s="426" t="s">
        <v>2734</v>
      </c>
      <c r="U26" s="426" t="s">
        <v>2711</v>
      </c>
      <c r="V26" s="426" t="s">
        <v>2735</v>
      </c>
      <c r="W26" s="426" t="s">
        <v>2670</v>
      </c>
      <c r="X26" s="426" t="s">
        <v>2727</v>
      </c>
      <c r="Y26" s="426" t="s">
        <v>2728</v>
      </c>
      <c r="Z26" s="426" t="s">
        <v>2736</v>
      </c>
      <c r="AA26" s="426" t="s">
        <v>2646</v>
      </c>
      <c r="AB26" s="426" t="s">
        <v>2646</v>
      </c>
      <c r="AC26" s="426" t="s">
        <v>2646</v>
      </c>
      <c r="AD26" s="426" t="s">
        <v>2646</v>
      </c>
      <c r="AE26" s="426" t="s">
        <v>2646</v>
      </c>
      <c r="AF26" s="426" t="s">
        <v>2646</v>
      </c>
      <c r="AG26" s="426" t="s">
        <v>2646</v>
      </c>
      <c r="AH26" s="426" t="s">
        <v>2646</v>
      </c>
      <c r="AI26" s="426" t="s">
        <v>2646</v>
      </c>
      <c r="AJ26" s="68" t="s">
        <v>2646</v>
      </c>
    </row>
    <row r="27" spans="1:36" s="1" customFormat="1" hidden="1">
      <c r="A27" s="392" t="s">
        <v>1414</v>
      </c>
      <c r="B27" s="427" t="s">
        <v>2649</v>
      </c>
      <c r="C27" s="433" t="s">
        <v>3590</v>
      </c>
      <c r="D27" s="433" t="s">
        <v>3364</v>
      </c>
      <c r="E27" s="433" t="s">
        <v>2654</v>
      </c>
      <c r="F27" s="433" t="s">
        <v>2654</v>
      </c>
      <c r="G27" s="433" t="s">
        <v>2654</v>
      </c>
      <c r="H27" s="433" t="s">
        <v>2654</v>
      </c>
      <c r="I27" s="433" t="s">
        <v>2654</v>
      </c>
      <c r="J27" s="433" t="s">
        <v>2654</v>
      </c>
      <c r="K27" s="433" t="s">
        <v>2654</v>
      </c>
      <c r="L27" s="433" t="s">
        <v>2654</v>
      </c>
      <c r="M27" s="433" t="s">
        <v>2654</v>
      </c>
      <c r="N27" s="433" t="s">
        <v>2654</v>
      </c>
      <c r="O27" s="433" t="s">
        <v>2654</v>
      </c>
      <c r="P27" s="433" t="s">
        <v>4087</v>
      </c>
      <c r="Q27" s="431"/>
      <c r="R27" s="431"/>
      <c r="S27" s="426" t="s">
        <v>2673</v>
      </c>
      <c r="T27" s="426" t="s">
        <v>2739</v>
      </c>
      <c r="U27" s="426" t="s">
        <v>2711</v>
      </c>
      <c r="V27" s="426" t="s">
        <v>2740</v>
      </c>
      <c r="W27" s="426" t="s">
        <v>2670</v>
      </c>
      <c r="X27" s="426" t="s">
        <v>2727</v>
      </c>
      <c r="Y27" s="426" t="s">
        <v>2728</v>
      </c>
      <c r="Z27" s="426" t="s">
        <v>2646</v>
      </c>
      <c r="AA27" s="426" t="s">
        <v>2646</v>
      </c>
      <c r="AB27" s="426" t="s">
        <v>2646</v>
      </c>
      <c r="AC27" s="426" t="s">
        <v>2646</v>
      </c>
      <c r="AD27" s="426" t="s">
        <v>2646</v>
      </c>
      <c r="AE27" s="426" t="s">
        <v>2646</v>
      </c>
      <c r="AF27" s="426" t="s">
        <v>2646</v>
      </c>
      <c r="AG27" s="426" t="s">
        <v>2646</v>
      </c>
      <c r="AH27" s="426" t="s">
        <v>2646</v>
      </c>
      <c r="AI27" s="426" t="s">
        <v>2646</v>
      </c>
      <c r="AJ27" s="1" t="s">
        <v>2646</v>
      </c>
    </row>
    <row r="28" spans="1:36" s="1" customFormat="1" hidden="1">
      <c r="A28" s="392" t="s">
        <v>1415</v>
      </c>
      <c r="B28" s="427" t="s">
        <v>2650</v>
      </c>
      <c r="C28" s="433" t="s">
        <v>4050</v>
      </c>
      <c r="D28" s="433" t="s">
        <v>3710</v>
      </c>
      <c r="E28" s="433" t="s">
        <v>2654</v>
      </c>
      <c r="F28" s="433" t="s">
        <v>2654</v>
      </c>
      <c r="G28" s="433" t="s">
        <v>2654</v>
      </c>
      <c r="H28" s="433" t="s">
        <v>2654</v>
      </c>
      <c r="I28" s="433" t="s">
        <v>2654</v>
      </c>
      <c r="J28" s="433" t="s">
        <v>2654</v>
      </c>
      <c r="K28" s="433" t="s">
        <v>2654</v>
      </c>
      <c r="L28" s="433" t="s">
        <v>2654</v>
      </c>
      <c r="M28" s="433" t="s">
        <v>2654</v>
      </c>
      <c r="N28" s="433" t="s">
        <v>2654</v>
      </c>
      <c r="O28" s="433" t="s">
        <v>2654</v>
      </c>
      <c r="P28" s="433" t="s">
        <v>4080</v>
      </c>
      <c r="Q28" s="431"/>
      <c r="R28" s="431"/>
      <c r="S28" s="426" t="s">
        <v>316</v>
      </c>
      <c r="T28" s="426" t="s">
        <v>2742</v>
      </c>
      <c r="U28" s="426" t="s">
        <v>2711</v>
      </c>
      <c r="V28" s="426" t="s">
        <v>2743</v>
      </c>
      <c r="W28" s="426" t="s">
        <v>2670</v>
      </c>
      <c r="X28" s="426" t="s">
        <v>2727</v>
      </c>
      <c r="Y28" s="426" t="s">
        <v>2728</v>
      </c>
      <c r="Z28" s="426" t="s">
        <v>2744</v>
      </c>
      <c r="AA28" s="426" t="s">
        <v>2646</v>
      </c>
      <c r="AB28" s="426" t="s">
        <v>2646</v>
      </c>
      <c r="AC28" s="426" t="s">
        <v>2646</v>
      </c>
      <c r="AD28" s="426" t="s">
        <v>2646</v>
      </c>
      <c r="AE28" s="426" t="s">
        <v>2646</v>
      </c>
      <c r="AF28" s="426" t="s">
        <v>2646</v>
      </c>
      <c r="AG28" s="426" t="s">
        <v>2646</v>
      </c>
      <c r="AH28" s="426" t="s">
        <v>2646</v>
      </c>
      <c r="AI28" s="426" t="s">
        <v>2646</v>
      </c>
      <c r="AJ28" s="1" t="s">
        <v>2646</v>
      </c>
    </row>
    <row r="29" spans="1:36" s="1" customFormat="1" hidden="1">
      <c r="A29" s="392" t="s">
        <v>1416</v>
      </c>
      <c r="B29" s="427" t="s">
        <v>2651</v>
      </c>
      <c r="C29" s="433" t="s">
        <v>3695</v>
      </c>
      <c r="D29" s="433" t="s">
        <v>3686</v>
      </c>
      <c r="E29" s="433" t="s">
        <v>2654</v>
      </c>
      <c r="F29" s="433" t="s">
        <v>2654</v>
      </c>
      <c r="G29" s="433" t="s">
        <v>2654</v>
      </c>
      <c r="H29" s="433" t="s">
        <v>2654</v>
      </c>
      <c r="I29" s="433" t="s">
        <v>2654</v>
      </c>
      <c r="J29" s="433" t="s">
        <v>2654</v>
      </c>
      <c r="K29" s="433" t="s">
        <v>2654</v>
      </c>
      <c r="L29" s="433" t="s">
        <v>2654</v>
      </c>
      <c r="M29" s="433" t="s">
        <v>2654</v>
      </c>
      <c r="N29" s="433" t="s">
        <v>2654</v>
      </c>
      <c r="O29" s="433" t="s">
        <v>2654</v>
      </c>
      <c r="P29" s="433" t="s">
        <v>4088</v>
      </c>
      <c r="Q29" s="431"/>
      <c r="R29" s="431"/>
      <c r="S29" s="426" t="s">
        <v>2657</v>
      </c>
      <c r="T29" s="426" t="s">
        <v>2747</v>
      </c>
      <c r="U29" s="426" t="s">
        <v>2703</v>
      </c>
      <c r="V29" s="426" t="s">
        <v>2748</v>
      </c>
      <c r="W29" s="426" t="s">
        <v>2670</v>
      </c>
      <c r="X29" s="426" t="s">
        <v>2727</v>
      </c>
      <c r="Y29" s="426" t="s">
        <v>2728</v>
      </c>
      <c r="Z29" s="426" t="s">
        <v>2749</v>
      </c>
      <c r="AA29" s="426" t="s">
        <v>2646</v>
      </c>
      <c r="AB29" s="426" t="s">
        <v>2646</v>
      </c>
      <c r="AC29" s="426" t="s">
        <v>2646</v>
      </c>
      <c r="AD29" s="426" t="s">
        <v>2646</v>
      </c>
      <c r="AE29" s="426" t="s">
        <v>2646</v>
      </c>
      <c r="AF29" s="426" t="s">
        <v>2646</v>
      </c>
      <c r="AG29" s="426" t="s">
        <v>2646</v>
      </c>
      <c r="AH29" s="426" t="s">
        <v>2646</v>
      </c>
      <c r="AI29" s="426" t="s">
        <v>2646</v>
      </c>
      <c r="AJ29" s="1" t="s">
        <v>2646</v>
      </c>
    </row>
    <row r="30" spans="1:36" s="1" customFormat="1">
      <c r="A30" s="392" t="s">
        <v>1416</v>
      </c>
      <c r="B30" s="427" t="s">
        <v>48</v>
      </c>
      <c r="C30" s="433" t="s">
        <v>3363</v>
      </c>
      <c r="D30" s="433" t="s">
        <v>3867</v>
      </c>
      <c r="E30" s="433" t="s">
        <v>2654</v>
      </c>
      <c r="F30" s="433" t="s">
        <v>2654</v>
      </c>
      <c r="G30" s="433" t="s">
        <v>2654</v>
      </c>
      <c r="H30" s="433" t="s">
        <v>2654</v>
      </c>
      <c r="I30" s="433" t="s">
        <v>2654</v>
      </c>
      <c r="J30" s="433" t="s">
        <v>2654</v>
      </c>
      <c r="K30" s="433" t="s">
        <v>2654</v>
      </c>
      <c r="L30" s="433" t="s">
        <v>2654</v>
      </c>
      <c r="M30" s="433" t="s">
        <v>2654</v>
      </c>
      <c r="N30" s="433" t="s">
        <v>2654</v>
      </c>
      <c r="O30" s="433" t="s">
        <v>2654</v>
      </c>
      <c r="P30" s="433" t="s">
        <v>3095</v>
      </c>
      <c r="Q30" s="433" t="s">
        <v>2654</v>
      </c>
      <c r="R30" s="433" t="s">
        <v>2654</v>
      </c>
      <c r="S30" s="426"/>
      <c r="T30" s="426"/>
      <c r="U30" s="426"/>
      <c r="V30" s="426"/>
      <c r="W30" s="426"/>
      <c r="X30" s="426"/>
      <c r="Y30" s="426"/>
      <c r="Z30" s="426"/>
      <c r="AA30" s="426"/>
      <c r="AB30" s="426"/>
      <c r="AC30" s="426"/>
      <c r="AD30" s="426"/>
      <c r="AE30" s="426"/>
      <c r="AF30" s="426"/>
      <c r="AG30" s="426"/>
      <c r="AH30" s="426"/>
      <c r="AI30" s="426"/>
    </row>
    <row r="31" spans="1:36" s="1" customFormat="1" hidden="1">
      <c r="A31" s="392" t="s">
        <v>1417</v>
      </c>
      <c r="B31" s="427" t="s">
        <v>2647</v>
      </c>
      <c r="C31" s="433" t="s">
        <v>2675</v>
      </c>
      <c r="D31" s="433" t="s">
        <v>3364</v>
      </c>
      <c r="E31" s="433" t="s">
        <v>2654</v>
      </c>
      <c r="F31" s="433" t="s">
        <v>2654</v>
      </c>
      <c r="G31" s="433" t="s">
        <v>2654</v>
      </c>
      <c r="H31" s="433" t="s">
        <v>2654</v>
      </c>
      <c r="I31" s="433" t="s">
        <v>2654</v>
      </c>
      <c r="J31" s="433" t="s">
        <v>2654</v>
      </c>
      <c r="K31" s="433" t="s">
        <v>2654</v>
      </c>
      <c r="L31" s="433" t="s">
        <v>2654</v>
      </c>
      <c r="M31" s="433" t="s">
        <v>2654</v>
      </c>
      <c r="N31" s="433" t="s">
        <v>2654</v>
      </c>
      <c r="O31" s="433" t="s">
        <v>2654</v>
      </c>
      <c r="P31" s="433" t="s">
        <v>4059</v>
      </c>
      <c r="Q31" s="431"/>
      <c r="R31" s="431"/>
      <c r="S31" s="426" t="s">
        <v>2658</v>
      </c>
      <c r="T31" s="426" t="s">
        <v>2755</v>
      </c>
      <c r="U31" s="426" t="s">
        <v>2756</v>
      </c>
      <c r="V31" s="426" t="s">
        <v>2757</v>
      </c>
      <c r="W31" s="426" t="s">
        <v>2670</v>
      </c>
      <c r="X31" s="426" t="s">
        <v>2758</v>
      </c>
      <c r="Y31" s="426" t="s">
        <v>2692</v>
      </c>
      <c r="Z31" s="426" t="s">
        <v>2759</v>
      </c>
      <c r="AA31" s="426" t="s">
        <v>2646</v>
      </c>
      <c r="AB31" s="426" t="s">
        <v>2646</v>
      </c>
      <c r="AC31" s="426" t="s">
        <v>2646</v>
      </c>
      <c r="AD31" s="426" t="s">
        <v>2646</v>
      </c>
      <c r="AE31" s="426" t="s">
        <v>2646</v>
      </c>
      <c r="AF31" s="426" t="s">
        <v>2646</v>
      </c>
      <c r="AG31" s="426" t="s">
        <v>2646</v>
      </c>
      <c r="AH31" s="426" t="s">
        <v>2646</v>
      </c>
      <c r="AI31" s="426" t="s">
        <v>2646</v>
      </c>
      <c r="AJ31" s="1" t="s">
        <v>2646</v>
      </c>
    </row>
    <row r="32" spans="1:36" s="1" customFormat="1" hidden="1">
      <c r="A32" s="392" t="s">
        <v>1418</v>
      </c>
      <c r="B32" s="427" t="s">
        <v>2648</v>
      </c>
      <c r="C32" s="433" t="s">
        <v>3289</v>
      </c>
      <c r="D32" s="433" t="s">
        <v>3364</v>
      </c>
      <c r="E32" s="433" t="s">
        <v>2654</v>
      </c>
      <c r="F32" s="433" t="s">
        <v>2654</v>
      </c>
      <c r="G32" s="433" t="s">
        <v>2654</v>
      </c>
      <c r="H32" s="433" t="s">
        <v>2654</v>
      </c>
      <c r="I32" s="433" t="s">
        <v>2654</v>
      </c>
      <c r="J32" s="433" t="s">
        <v>2654</v>
      </c>
      <c r="K32" s="433" t="s">
        <v>2654</v>
      </c>
      <c r="L32" s="433" t="s">
        <v>2654</v>
      </c>
      <c r="M32" s="433" t="s">
        <v>2654</v>
      </c>
      <c r="N32" s="433" t="s">
        <v>2654</v>
      </c>
      <c r="O32" s="433" t="s">
        <v>2654</v>
      </c>
      <c r="P32" s="433" t="s">
        <v>4059</v>
      </c>
      <c r="Q32" s="431"/>
      <c r="R32" s="431"/>
      <c r="S32" s="426" t="s">
        <v>2673</v>
      </c>
      <c r="T32" s="426" t="s">
        <v>2762</v>
      </c>
      <c r="U32" s="426" t="s">
        <v>2763</v>
      </c>
      <c r="V32" s="426" t="s">
        <v>2764</v>
      </c>
      <c r="W32" s="426" t="s">
        <v>2670</v>
      </c>
      <c r="X32" s="426" t="s">
        <v>2758</v>
      </c>
      <c r="Y32" s="426" t="s">
        <v>2692</v>
      </c>
      <c r="Z32" s="426" t="s">
        <v>2749</v>
      </c>
      <c r="AA32" s="426" t="s">
        <v>2646</v>
      </c>
      <c r="AB32" s="426" t="s">
        <v>2646</v>
      </c>
      <c r="AC32" s="426" t="s">
        <v>2646</v>
      </c>
      <c r="AD32" s="426" t="s">
        <v>2646</v>
      </c>
      <c r="AE32" s="426" t="s">
        <v>2646</v>
      </c>
      <c r="AF32" s="426" t="s">
        <v>2646</v>
      </c>
      <c r="AG32" s="426" t="s">
        <v>2646</v>
      </c>
      <c r="AH32" s="426" t="s">
        <v>2646</v>
      </c>
      <c r="AI32" s="426" t="s">
        <v>2646</v>
      </c>
      <c r="AJ32" s="1" t="s">
        <v>2646</v>
      </c>
    </row>
    <row r="33" spans="1:36" s="1" customFormat="1" hidden="1">
      <c r="A33" s="392" t="s">
        <v>1419</v>
      </c>
      <c r="B33" s="427" t="s">
        <v>2649</v>
      </c>
      <c r="C33" s="433" t="s">
        <v>3625</v>
      </c>
      <c r="D33" s="433" t="s">
        <v>3710</v>
      </c>
      <c r="E33" s="433" t="s">
        <v>2654</v>
      </c>
      <c r="F33" s="433" t="s">
        <v>2654</v>
      </c>
      <c r="G33" s="433" t="s">
        <v>2654</v>
      </c>
      <c r="H33" s="433" t="s">
        <v>2654</v>
      </c>
      <c r="I33" s="433" t="s">
        <v>2654</v>
      </c>
      <c r="J33" s="433" t="s">
        <v>2654</v>
      </c>
      <c r="K33" s="433" t="s">
        <v>2654</v>
      </c>
      <c r="L33" s="433" t="s">
        <v>2654</v>
      </c>
      <c r="M33" s="433" t="s">
        <v>2654</v>
      </c>
      <c r="N33" s="433" t="s">
        <v>2654</v>
      </c>
      <c r="O33" s="433" t="s">
        <v>2654</v>
      </c>
      <c r="P33" s="433" t="s">
        <v>2651</v>
      </c>
      <c r="Q33" s="431"/>
      <c r="R33" s="431"/>
      <c r="S33" s="426" t="s">
        <v>2768</v>
      </c>
      <c r="T33" s="426" t="s">
        <v>2764</v>
      </c>
      <c r="U33" s="426" t="s">
        <v>2703</v>
      </c>
      <c r="V33" s="426" t="s">
        <v>2769</v>
      </c>
      <c r="W33" s="426" t="s">
        <v>2670</v>
      </c>
      <c r="X33" s="426" t="s">
        <v>2758</v>
      </c>
      <c r="Y33" s="426" t="s">
        <v>2692</v>
      </c>
      <c r="Z33" s="426" t="s">
        <v>2770</v>
      </c>
      <c r="AA33" s="426" t="s">
        <v>2646</v>
      </c>
      <c r="AB33" s="426" t="s">
        <v>2646</v>
      </c>
      <c r="AC33" s="426" t="s">
        <v>2646</v>
      </c>
      <c r="AD33" s="426" t="s">
        <v>2646</v>
      </c>
      <c r="AE33" s="426" t="s">
        <v>2646</v>
      </c>
      <c r="AF33" s="426" t="s">
        <v>2646</v>
      </c>
      <c r="AG33" s="426" t="s">
        <v>2646</v>
      </c>
      <c r="AH33" s="426" t="s">
        <v>2646</v>
      </c>
      <c r="AI33" s="426" t="s">
        <v>2646</v>
      </c>
      <c r="AJ33" s="1" t="s">
        <v>2646</v>
      </c>
    </row>
    <row r="34" spans="1:36" s="1" customFormat="1" hidden="1">
      <c r="A34" s="392" t="s">
        <v>1420</v>
      </c>
      <c r="B34" s="427" t="s">
        <v>2650</v>
      </c>
      <c r="C34" s="433" t="s">
        <v>3704</v>
      </c>
      <c r="D34" s="433" t="s">
        <v>3364</v>
      </c>
      <c r="E34" s="433" t="s">
        <v>2654</v>
      </c>
      <c r="F34" s="433" t="s">
        <v>2654</v>
      </c>
      <c r="G34" s="433" t="s">
        <v>2654</v>
      </c>
      <c r="H34" s="433" t="s">
        <v>2654</v>
      </c>
      <c r="I34" s="433" t="s">
        <v>2654</v>
      </c>
      <c r="J34" s="433" t="s">
        <v>2654</v>
      </c>
      <c r="K34" s="433" t="s">
        <v>2654</v>
      </c>
      <c r="L34" s="433" t="s">
        <v>2654</v>
      </c>
      <c r="M34" s="433" t="s">
        <v>2654</v>
      </c>
      <c r="N34" s="433" t="s">
        <v>2654</v>
      </c>
      <c r="O34" s="433" t="s">
        <v>2654</v>
      </c>
      <c r="P34" s="433" t="s">
        <v>4059</v>
      </c>
      <c r="Q34" s="431"/>
      <c r="R34" s="431"/>
      <c r="S34" s="426" t="s">
        <v>2660</v>
      </c>
      <c r="T34" s="426" t="s">
        <v>2762</v>
      </c>
      <c r="U34" s="426" t="s">
        <v>2703</v>
      </c>
      <c r="V34" s="426" t="s">
        <v>2774</v>
      </c>
      <c r="W34" s="426" t="s">
        <v>2670</v>
      </c>
      <c r="X34" s="426" t="s">
        <v>2758</v>
      </c>
      <c r="Y34" s="426" t="s">
        <v>2692</v>
      </c>
      <c r="Z34" s="426" t="s">
        <v>2759</v>
      </c>
      <c r="AA34" s="426" t="s">
        <v>2646</v>
      </c>
      <c r="AB34" s="426" t="s">
        <v>2646</v>
      </c>
      <c r="AC34" s="426" t="s">
        <v>2646</v>
      </c>
      <c r="AD34" s="426" t="s">
        <v>2646</v>
      </c>
      <c r="AE34" s="426" t="s">
        <v>2646</v>
      </c>
      <c r="AF34" s="426" t="s">
        <v>2646</v>
      </c>
      <c r="AG34" s="426" t="s">
        <v>2646</v>
      </c>
      <c r="AH34" s="426" t="s">
        <v>2646</v>
      </c>
      <c r="AI34" s="426" t="s">
        <v>2646</v>
      </c>
      <c r="AJ34" s="1" t="s">
        <v>2646</v>
      </c>
    </row>
    <row r="35" spans="1:36" s="1" customFormat="1" hidden="1">
      <c r="A35" s="392" t="s">
        <v>1421</v>
      </c>
      <c r="B35" s="427" t="s">
        <v>2651</v>
      </c>
      <c r="C35" s="433" t="s">
        <v>3627</v>
      </c>
      <c r="D35" s="433" t="s">
        <v>3141</v>
      </c>
      <c r="E35" s="433" t="s">
        <v>2654</v>
      </c>
      <c r="F35" s="433" t="s">
        <v>2654</v>
      </c>
      <c r="G35" s="433" t="s">
        <v>2654</v>
      </c>
      <c r="H35" s="433" t="s">
        <v>2654</v>
      </c>
      <c r="I35" s="433" t="s">
        <v>2654</v>
      </c>
      <c r="J35" s="433" t="s">
        <v>2654</v>
      </c>
      <c r="K35" s="433" t="s">
        <v>2654</v>
      </c>
      <c r="L35" s="433" t="s">
        <v>2654</v>
      </c>
      <c r="M35" s="433" t="s">
        <v>2654</v>
      </c>
      <c r="N35" s="433" t="s">
        <v>2654</v>
      </c>
      <c r="O35" s="433" t="s">
        <v>2654</v>
      </c>
      <c r="P35" s="433" t="s">
        <v>4061</v>
      </c>
      <c r="Q35" s="431"/>
      <c r="R35" s="431"/>
      <c r="S35" s="426" t="s">
        <v>2778</v>
      </c>
      <c r="T35" s="426" t="s">
        <v>2725</v>
      </c>
      <c r="U35" s="426" t="s">
        <v>2711</v>
      </c>
      <c r="V35" s="426" t="s">
        <v>2779</v>
      </c>
      <c r="W35" s="426" t="s">
        <v>2670</v>
      </c>
      <c r="X35" s="426" t="s">
        <v>2758</v>
      </c>
      <c r="Y35" s="426" t="s">
        <v>2692</v>
      </c>
      <c r="Z35" s="426" t="s">
        <v>2780</v>
      </c>
      <c r="AA35" s="426" t="s">
        <v>2646</v>
      </c>
      <c r="AB35" s="426" t="s">
        <v>2646</v>
      </c>
      <c r="AC35" s="426" t="s">
        <v>2646</v>
      </c>
      <c r="AD35" s="426" t="s">
        <v>2646</v>
      </c>
      <c r="AE35" s="426" t="s">
        <v>2646</v>
      </c>
      <c r="AF35" s="426" t="s">
        <v>2646</v>
      </c>
      <c r="AG35" s="426" t="s">
        <v>2646</v>
      </c>
      <c r="AH35" s="426" t="s">
        <v>2646</v>
      </c>
      <c r="AI35" s="426" t="s">
        <v>2646</v>
      </c>
      <c r="AJ35" s="1" t="s">
        <v>2646</v>
      </c>
    </row>
    <row r="36" spans="1:36" s="1" customFormat="1">
      <c r="A36" s="392" t="s">
        <v>1421</v>
      </c>
      <c r="B36" s="427" t="s">
        <v>48</v>
      </c>
      <c r="C36" s="433" t="s">
        <v>3626</v>
      </c>
      <c r="D36" s="433" t="s">
        <v>3891</v>
      </c>
      <c r="E36" s="433" t="s">
        <v>2654</v>
      </c>
      <c r="F36" s="433" t="s">
        <v>2654</v>
      </c>
      <c r="G36" s="433" t="s">
        <v>2654</v>
      </c>
      <c r="H36" s="433" t="s">
        <v>2654</v>
      </c>
      <c r="I36" s="433" t="s">
        <v>2654</v>
      </c>
      <c r="J36" s="433" t="s">
        <v>2654</v>
      </c>
      <c r="K36" s="433" t="s">
        <v>2654</v>
      </c>
      <c r="L36" s="433" t="s">
        <v>2654</v>
      </c>
      <c r="M36" s="433" t="s">
        <v>2654</v>
      </c>
      <c r="N36" s="433" t="s">
        <v>2654</v>
      </c>
      <c r="O36" s="433" t="s">
        <v>2654</v>
      </c>
      <c r="P36" s="433" t="s">
        <v>4089</v>
      </c>
      <c r="Q36" s="433" t="s">
        <v>2654</v>
      </c>
      <c r="R36" s="433" t="s">
        <v>2654</v>
      </c>
      <c r="S36" s="426"/>
      <c r="T36" s="426"/>
      <c r="U36" s="426"/>
      <c r="V36" s="426"/>
      <c r="W36" s="426"/>
      <c r="X36" s="426"/>
      <c r="Y36" s="426"/>
      <c r="Z36" s="426"/>
      <c r="AA36" s="426"/>
      <c r="AB36" s="426"/>
      <c r="AC36" s="426"/>
      <c r="AD36" s="426"/>
      <c r="AE36" s="426"/>
      <c r="AF36" s="426"/>
      <c r="AG36" s="426"/>
      <c r="AH36" s="426"/>
      <c r="AI36" s="426"/>
    </row>
    <row r="37" spans="1:36" hidden="1">
      <c r="A37" s="392" t="s">
        <v>1422</v>
      </c>
      <c r="B37" s="427" t="s">
        <v>2647</v>
      </c>
      <c r="C37" s="433" t="s">
        <v>3691</v>
      </c>
      <c r="D37" s="433" t="s">
        <v>3662</v>
      </c>
      <c r="E37" s="433" t="s">
        <v>2766</v>
      </c>
      <c r="F37" s="433" t="s">
        <v>2767</v>
      </c>
      <c r="G37" s="433" t="s">
        <v>2870</v>
      </c>
      <c r="H37" s="433" t="s">
        <v>2654</v>
      </c>
      <c r="I37" s="433" t="s">
        <v>2654</v>
      </c>
      <c r="J37" s="433" t="s">
        <v>2654</v>
      </c>
      <c r="K37" s="433" t="s">
        <v>2654</v>
      </c>
      <c r="L37" s="433" t="s">
        <v>2654</v>
      </c>
      <c r="M37" s="433" t="s">
        <v>2654</v>
      </c>
      <c r="N37" s="433" t="s">
        <v>2654</v>
      </c>
      <c r="O37" s="433" t="s">
        <v>3888</v>
      </c>
      <c r="P37" s="433" t="s">
        <v>4061</v>
      </c>
      <c r="Q37" s="431"/>
      <c r="R37" s="431"/>
      <c r="S37" s="426" t="s">
        <v>2673</v>
      </c>
      <c r="T37" s="426" t="s">
        <v>2646</v>
      </c>
      <c r="U37" s="426" t="s">
        <v>2646</v>
      </c>
      <c r="V37" s="426" t="s">
        <v>2646</v>
      </c>
      <c r="W37" s="426" t="s">
        <v>2646</v>
      </c>
      <c r="X37" s="426" t="s">
        <v>2646</v>
      </c>
      <c r="Y37" s="426" t="s">
        <v>2646</v>
      </c>
      <c r="Z37" s="426" t="s">
        <v>2646</v>
      </c>
      <c r="AA37" s="426" t="s">
        <v>2646</v>
      </c>
      <c r="AB37" s="426" t="s">
        <v>2646</v>
      </c>
      <c r="AC37" s="426" t="s">
        <v>2646</v>
      </c>
      <c r="AD37" s="426" t="s">
        <v>2646</v>
      </c>
      <c r="AE37" s="426" t="s">
        <v>2646</v>
      </c>
      <c r="AF37" s="426" t="s">
        <v>2646</v>
      </c>
      <c r="AG37" s="426" t="s">
        <v>2646</v>
      </c>
      <c r="AH37" s="426" t="s">
        <v>2646</v>
      </c>
      <c r="AI37" s="426" t="s">
        <v>2646</v>
      </c>
      <c r="AJ37" s="68" t="s">
        <v>2646</v>
      </c>
    </row>
    <row r="38" spans="1:36" s="1" customFormat="1" hidden="1">
      <c r="A38" s="392" t="s">
        <v>1423</v>
      </c>
      <c r="B38" s="427" t="s">
        <v>2648</v>
      </c>
      <c r="C38" s="433" t="s">
        <v>3892</v>
      </c>
      <c r="D38" s="433" t="s">
        <v>3851</v>
      </c>
      <c r="E38" s="433" t="s">
        <v>2766</v>
      </c>
      <c r="F38" s="433" t="s">
        <v>2994</v>
      </c>
      <c r="G38" s="433" t="s">
        <v>2899</v>
      </c>
      <c r="H38" s="433" t="s">
        <v>2654</v>
      </c>
      <c r="I38" s="433" t="s">
        <v>2654</v>
      </c>
      <c r="J38" s="433" t="s">
        <v>2654</v>
      </c>
      <c r="K38" s="433" t="s">
        <v>2654</v>
      </c>
      <c r="L38" s="433" t="s">
        <v>2654</v>
      </c>
      <c r="M38" s="433" t="s">
        <v>2654</v>
      </c>
      <c r="N38" s="433" t="s">
        <v>2654</v>
      </c>
      <c r="O38" s="433" t="s">
        <v>3388</v>
      </c>
      <c r="P38" s="433" t="s">
        <v>4059</v>
      </c>
      <c r="Q38" s="431"/>
      <c r="R38" s="431"/>
      <c r="S38" s="426" t="s">
        <v>2785</v>
      </c>
      <c r="T38" s="426" t="s">
        <v>2646</v>
      </c>
      <c r="U38" s="426" t="s">
        <v>2646</v>
      </c>
      <c r="V38" s="426" t="s">
        <v>2646</v>
      </c>
      <c r="W38" s="426" t="s">
        <v>2646</v>
      </c>
      <c r="X38" s="426" t="s">
        <v>2646</v>
      </c>
      <c r="Y38" s="426" t="s">
        <v>2646</v>
      </c>
      <c r="Z38" s="426" t="s">
        <v>2646</v>
      </c>
      <c r="AA38" s="426" t="s">
        <v>2646</v>
      </c>
      <c r="AB38" s="426" t="s">
        <v>2646</v>
      </c>
      <c r="AC38" s="426" t="s">
        <v>2646</v>
      </c>
      <c r="AD38" s="426" t="s">
        <v>2646</v>
      </c>
      <c r="AE38" s="426" t="s">
        <v>2646</v>
      </c>
      <c r="AF38" s="426" t="s">
        <v>2646</v>
      </c>
      <c r="AG38" s="426" t="s">
        <v>2646</v>
      </c>
      <c r="AH38" s="426" t="s">
        <v>2646</v>
      </c>
      <c r="AI38" s="426" t="s">
        <v>2646</v>
      </c>
      <c r="AJ38" s="1" t="s">
        <v>2646</v>
      </c>
    </row>
    <row r="39" spans="1:36" s="1" customFormat="1" hidden="1">
      <c r="A39" s="392" t="s">
        <v>1424</v>
      </c>
      <c r="B39" s="427" t="s">
        <v>2649</v>
      </c>
      <c r="C39" s="433" t="s">
        <v>4090</v>
      </c>
      <c r="D39" s="433" t="s">
        <v>3710</v>
      </c>
      <c r="E39" s="433" t="s">
        <v>2875</v>
      </c>
      <c r="F39" s="433" t="s">
        <v>2676</v>
      </c>
      <c r="G39" s="433" t="s">
        <v>2773</v>
      </c>
      <c r="H39" s="433" t="s">
        <v>2654</v>
      </c>
      <c r="I39" s="433" t="s">
        <v>2654</v>
      </c>
      <c r="J39" s="433" t="s">
        <v>2654</v>
      </c>
      <c r="K39" s="433" t="s">
        <v>2654</v>
      </c>
      <c r="L39" s="433" t="s">
        <v>2654</v>
      </c>
      <c r="M39" s="433" t="s">
        <v>2654</v>
      </c>
      <c r="N39" s="433" t="s">
        <v>2654</v>
      </c>
      <c r="O39" s="433" t="s">
        <v>3396</v>
      </c>
      <c r="P39" s="433" t="s">
        <v>4057</v>
      </c>
      <c r="Q39" s="431"/>
      <c r="R39" s="431"/>
      <c r="S39" s="426" t="s">
        <v>316</v>
      </c>
      <c r="T39" s="426" t="s">
        <v>2646</v>
      </c>
      <c r="U39" s="426" t="s">
        <v>2646</v>
      </c>
      <c r="V39" s="426" t="s">
        <v>2646</v>
      </c>
      <c r="W39" s="426" t="s">
        <v>2646</v>
      </c>
      <c r="X39" s="426" t="s">
        <v>2646</v>
      </c>
      <c r="Y39" s="426" t="s">
        <v>2646</v>
      </c>
      <c r="Z39" s="426" t="s">
        <v>2646</v>
      </c>
      <c r="AA39" s="426" t="s">
        <v>2646</v>
      </c>
      <c r="AB39" s="426" t="s">
        <v>2646</v>
      </c>
      <c r="AC39" s="426" t="s">
        <v>2646</v>
      </c>
      <c r="AD39" s="426" t="s">
        <v>2646</v>
      </c>
      <c r="AE39" s="426" t="s">
        <v>2646</v>
      </c>
      <c r="AF39" s="426" t="s">
        <v>2646</v>
      </c>
      <c r="AG39" s="426" t="s">
        <v>2646</v>
      </c>
      <c r="AH39" s="426" t="s">
        <v>2646</v>
      </c>
      <c r="AI39" s="426" t="s">
        <v>2646</v>
      </c>
      <c r="AJ39" s="1" t="s">
        <v>2646</v>
      </c>
    </row>
    <row r="40" spans="1:36" s="1" customFormat="1" hidden="1">
      <c r="A40" s="392" t="s">
        <v>1425</v>
      </c>
      <c r="B40" s="427" t="s">
        <v>2650</v>
      </c>
      <c r="C40" s="433" t="s">
        <v>3881</v>
      </c>
      <c r="D40" s="433" t="s">
        <v>3851</v>
      </c>
      <c r="E40" s="433" t="s">
        <v>2676</v>
      </c>
      <c r="F40" s="433" t="s">
        <v>2667</v>
      </c>
      <c r="G40" s="433" t="s">
        <v>2724</v>
      </c>
      <c r="H40" s="433" t="s">
        <v>2654</v>
      </c>
      <c r="I40" s="433" t="s">
        <v>2654</v>
      </c>
      <c r="J40" s="433" t="s">
        <v>2654</v>
      </c>
      <c r="K40" s="433" t="s">
        <v>2654</v>
      </c>
      <c r="L40" s="433" t="s">
        <v>2654</v>
      </c>
      <c r="M40" s="433" t="s">
        <v>2654</v>
      </c>
      <c r="N40" s="433" t="s">
        <v>2654</v>
      </c>
      <c r="O40" s="433" t="s">
        <v>3552</v>
      </c>
      <c r="P40" s="433" t="s">
        <v>4059</v>
      </c>
      <c r="Q40" s="431"/>
      <c r="R40" s="431"/>
      <c r="S40" s="426" t="s">
        <v>2669</v>
      </c>
      <c r="T40" s="426" t="s">
        <v>2646</v>
      </c>
      <c r="U40" s="426" t="s">
        <v>2646</v>
      </c>
      <c r="V40" s="426" t="s">
        <v>2646</v>
      </c>
      <c r="W40" s="426" t="s">
        <v>2646</v>
      </c>
      <c r="X40" s="426" t="s">
        <v>2646</v>
      </c>
      <c r="Y40" s="426" t="s">
        <v>2646</v>
      </c>
      <c r="Z40" s="426" t="s">
        <v>2646</v>
      </c>
      <c r="AA40" s="426" t="s">
        <v>2646</v>
      </c>
      <c r="AB40" s="426" t="s">
        <v>2646</v>
      </c>
      <c r="AC40" s="426" t="s">
        <v>2646</v>
      </c>
      <c r="AD40" s="426" t="s">
        <v>2646</v>
      </c>
      <c r="AE40" s="426" t="s">
        <v>2646</v>
      </c>
      <c r="AF40" s="426" t="s">
        <v>2646</v>
      </c>
      <c r="AG40" s="426" t="s">
        <v>2646</v>
      </c>
      <c r="AH40" s="426" t="s">
        <v>2646</v>
      </c>
      <c r="AI40" s="426" t="s">
        <v>2646</v>
      </c>
      <c r="AJ40" s="1" t="s">
        <v>2646</v>
      </c>
    </row>
    <row r="41" spans="1:36" s="1" customFormat="1" hidden="1">
      <c r="A41" s="392" t="s">
        <v>1426</v>
      </c>
      <c r="B41" s="427" t="s">
        <v>2651</v>
      </c>
      <c r="C41" s="433" t="s">
        <v>3868</v>
      </c>
      <c r="D41" s="433" t="s">
        <v>3686</v>
      </c>
      <c r="E41" s="433" t="s">
        <v>2917</v>
      </c>
      <c r="F41" s="433" t="s">
        <v>2700</v>
      </c>
      <c r="G41" s="433" t="s">
        <v>2896</v>
      </c>
      <c r="H41" s="433" t="s">
        <v>2654</v>
      </c>
      <c r="I41" s="433" t="s">
        <v>2654</v>
      </c>
      <c r="J41" s="433" t="s">
        <v>2654</v>
      </c>
      <c r="K41" s="433" t="s">
        <v>2654</v>
      </c>
      <c r="L41" s="433" t="s">
        <v>2654</v>
      </c>
      <c r="M41" s="433" t="s">
        <v>2654</v>
      </c>
      <c r="N41" s="433" t="s">
        <v>2654</v>
      </c>
      <c r="O41" s="433" t="s">
        <v>4091</v>
      </c>
      <c r="P41" s="433" t="s">
        <v>2651</v>
      </c>
      <c r="Q41" s="431"/>
      <c r="R41" s="431"/>
      <c r="S41" s="426" t="s">
        <v>2655</v>
      </c>
      <c r="T41" s="426" t="s">
        <v>2646</v>
      </c>
      <c r="U41" s="426" t="s">
        <v>2646</v>
      </c>
      <c r="V41" s="426" t="s">
        <v>2646</v>
      </c>
      <c r="W41" s="426" t="s">
        <v>2646</v>
      </c>
      <c r="X41" s="426" t="s">
        <v>2646</v>
      </c>
      <c r="Y41" s="426" t="s">
        <v>2646</v>
      </c>
      <c r="Z41" s="426" t="s">
        <v>2646</v>
      </c>
      <c r="AA41" s="426" t="s">
        <v>2646</v>
      </c>
      <c r="AB41" s="426" t="s">
        <v>2646</v>
      </c>
      <c r="AC41" s="426" t="s">
        <v>2646</v>
      </c>
      <c r="AD41" s="426" t="s">
        <v>2646</v>
      </c>
      <c r="AE41" s="426" t="s">
        <v>2646</v>
      </c>
      <c r="AF41" s="426" t="s">
        <v>2646</v>
      </c>
      <c r="AG41" s="426" t="s">
        <v>2646</v>
      </c>
      <c r="AH41" s="426" t="s">
        <v>2646</v>
      </c>
      <c r="AI41" s="426" t="s">
        <v>2646</v>
      </c>
      <c r="AJ41" s="1" t="s">
        <v>2646</v>
      </c>
    </row>
    <row r="42" spans="1:36" s="1" customFormat="1">
      <c r="A42" s="392" t="s">
        <v>1426</v>
      </c>
      <c r="B42" s="427" t="s">
        <v>48</v>
      </c>
      <c r="C42" s="433" t="s">
        <v>4092</v>
      </c>
      <c r="D42" s="433" t="s">
        <v>4007</v>
      </c>
      <c r="E42" s="433" t="s">
        <v>3942</v>
      </c>
      <c r="F42" s="433" t="s">
        <v>3667</v>
      </c>
      <c r="G42" s="433" t="s">
        <v>3095</v>
      </c>
      <c r="H42" s="433" t="s">
        <v>2654</v>
      </c>
      <c r="I42" s="433" t="s">
        <v>2654</v>
      </c>
      <c r="J42" s="433" t="s">
        <v>2654</v>
      </c>
      <c r="K42" s="433" t="s">
        <v>2654</v>
      </c>
      <c r="L42" s="433" t="s">
        <v>2654</v>
      </c>
      <c r="M42" s="433" t="s">
        <v>2654</v>
      </c>
      <c r="N42" s="433" t="s">
        <v>2654</v>
      </c>
      <c r="O42" s="433" t="s">
        <v>2899</v>
      </c>
      <c r="P42" s="433" t="s">
        <v>2677</v>
      </c>
      <c r="Q42" s="433" t="s">
        <v>2654</v>
      </c>
      <c r="R42" s="433" t="s">
        <v>2654</v>
      </c>
      <c r="S42" s="426"/>
      <c r="T42" s="426"/>
      <c r="U42" s="426"/>
      <c r="V42" s="426"/>
      <c r="W42" s="426"/>
      <c r="X42" s="426"/>
      <c r="Y42" s="426"/>
      <c r="Z42" s="426"/>
      <c r="AA42" s="426"/>
      <c r="AB42" s="426"/>
      <c r="AC42" s="426"/>
      <c r="AD42" s="426"/>
      <c r="AE42" s="426"/>
      <c r="AF42" s="426"/>
      <c r="AG42" s="426"/>
      <c r="AH42" s="426"/>
      <c r="AI42" s="426"/>
    </row>
    <row r="43" spans="1:36" s="1" customFormat="1" hidden="1">
      <c r="A43" s="392" t="s">
        <v>1427</v>
      </c>
      <c r="B43" s="427" t="s">
        <v>2647</v>
      </c>
      <c r="C43" s="433" t="s">
        <v>3889</v>
      </c>
      <c r="D43" s="433" t="s">
        <v>3686</v>
      </c>
      <c r="E43" s="433" t="s">
        <v>2807</v>
      </c>
      <c r="F43" s="433" t="s">
        <v>2724</v>
      </c>
      <c r="G43" s="433" t="s">
        <v>2654</v>
      </c>
      <c r="H43" s="433" t="s">
        <v>2654</v>
      </c>
      <c r="I43" s="433" t="s">
        <v>2654</v>
      </c>
      <c r="J43" s="433" t="s">
        <v>2654</v>
      </c>
      <c r="K43" s="433" t="s">
        <v>2654</v>
      </c>
      <c r="L43" s="433" t="s">
        <v>2654</v>
      </c>
      <c r="M43" s="433" t="s">
        <v>2654</v>
      </c>
      <c r="N43" s="433" t="s">
        <v>2654</v>
      </c>
      <c r="O43" s="433" t="s">
        <v>2659</v>
      </c>
      <c r="P43" s="433" t="s">
        <v>4080</v>
      </c>
      <c r="Q43" s="431"/>
      <c r="R43" s="431"/>
      <c r="S43" s="426" t="s">
        <v>2786</v>
      </c>
      <c r="T43" s="426" t="s">
        <v>2646</v>
      </c>
      <c r="U43" s="426" t="s">
        <v>2646</v>
      </c>
      <c r="V43" s="426" t="s">
        <v>2646</v>
      </c>
      <c r="W43" s="426" t="s">
        <v>2787</v>
      </c>
      <c r="X43" s="426" t="s">
        <v>2662</v>
      </c>
      <c r="Y43" s="426" t="s">
        <v>2788</v>
      </c>
      <c r="Z43" s="426" t="s">
        <v>2646</v>
      </c>
      <c r="AA43" s="426" t="s">
        <v>2646</v>
      </c>
      <c r="AB43" s="426" t="s">
        <v>2646</v>
      </c>
      <c r="AC43" s="426" t="s">
        <v>2646</v>
      </c>
      <c r="AD43" s="426" t="s">
        <v>2646</v>
      </c>
      <c r="AE43" s="426" t="s">
        <v>2646</v>
      </c>
      <c r="AF43" s="426" t="s">
        <v>2646</v>
      </c>
      <c r="AG43" s="426" t="s">
        <v>2646</v>
      </c>
      <c r="AH43" s="426" t="s">
        <v>2646</v>
      </c>
      <c r="AI43" s="426" t="s">
        <v>2646</v>
      </c>
      <c r="AJ43" s="1" t="s">
        <v>2646</v>
      </c>
    </row>
    <row r="44" spans="1:36" s="1" customFormat="1" hidden="1">
      <c r="A44" s="392" t="s">
        <v>1428</v>
      </c>
      <c r="B44" s="427" t="s">
        <v>2648</v>
      </c>
      <c r="C44" s="433" t="s">
        <v>3945</v>
      </c>
      <c r="D44" s="433" t="s">
        <v>3364</v>
      </c>
      <c r="E44" s="433" t="s">
        <v>2746</v>
      </c>
      <c r="F44" s="433" t="s">
        <v>2708</v>
      </c>
      <c r="G44" s="433" t="s">
        <v>2654</v>
      </c>
      <c r="H44" s="433" t="s">
        <v>2654</v>
      </c>
      <c r="I44" s="433" t="s">
        <v>2654</v>
      </c>
      <c r="J44" s="433" t="s">
        <v>2654</v>
      </c>
      <c r="K44" s="433" t="s">
        <v>2654</v>
      </c>
      <c r="L44" s="433" t="s">
        <v>2654</v>
      </c>
      <c r="M44" s="433" t="s">
        <v>2654</v>
      </c>
      <c r="N44" s="433" t="s">
        <v>2654</v>
      </c>
      <c r="O44" s="433" t="s">
        <v>2985</v>
      </c>
      <c r="P44" s="433" t="s">
        <v>4078</v>
      </c>
      <c r="Q44" s="431"/>
      <c r="R44" s="431"/>
      <c r="S44" s="426" t="s">
        <v>2673</v>
      </c>
      <c r="T44" s="426" t="s">
        <v>2646</v>
      </c>
      <c r="U44" s="426" t="s">
        <v>2646</v>
      </c>
      <c r="V44" s="426" t="s">
        <v>2646</v>
      </c>
      <c r="W44" s="426" t="s">
        <v>2787</v>
      </c>
      <c r="X44" s="426" t="s">
        <v>2662</v>
      </c>
      <c r="Y44" s="426" t="s">
        <v>2788</v>
      </c>
      <c r="Z44" s="426" t="s">
        <v>2646</v>
      </c>
      <c r="AA44" s="426" t="s">
        <v>2646</v>
      </c>
      <c r="AB44" s="426" t="s">
        <v>2646</v>
      </c>
      <c r="AC44" s="426" t="s">
        <v>2646</v>
      </c>
      <c r="AD44" s="426" t="s">
        <v>2646</v>
      </c>
      <c r="AE44" s="426" t="s">
        <v>2646</v>
      </c>
      <c r="AF44" s="426" t="s">
        <v>2646</v>
      </c>
      <c r="AG44" s="426" t="s">
        <v>2646</v>
      </c>
      <c r="AH44" s="426" t="s">
        <v>2646</v>
      </c>
      <c r="AI44" s="426" t="s">
        <v>2646</v>
      </c>
      <c r="AJ44" s="1" t="s">
        <v>2646</v>
      </c>
    </row>
    <row r="45" spans="1:36" s="1" customFormat="1" hidden="1">
      <c r="A45" s="392" t="s">
        <v>1429</v>
      </c>
      <c r="B45" s="427" t="s">
        <v>2649</v>
      </c>
      <c r="C45" s="433" t="s">
        <v>3718</v>
      </c>
      <c r="D45" s="433" t="s">
        <v>3364</v>
      </c>
      <c r="E45" s="433" t="s">
        <v>2674</v>
      </c>
      <c r="F45" s="433" t="s">
        <v>2732</v>
      </c>
      <c r="G45" s="433" t="s">
        <v>2654</v>
      </c>
      <c r="H45" s="433" t="s">
        <v>2654</v>
      </c>
      <c r="I45" s="433" t="s">
        <v>2654</v>
      </c>
      <c r="J45" s="433" t="s">
        <v>2654</v>
      </c>
      <c r="K45" s="433" t="s">
        <v>2654</v>
      </c>
      <c r="L45" s="433" t="s">
        <v>2654</v>
      </c>
      <c r="M45" s="433" t="s">
        <v>2654</v>
      </c>
      <c r="N45" s="433" t="s">
        <v>2654</v>
      </c>
      <c r="O45" s="433" t="s">
        <v>2800</v>
      </c>
      <c r="P45" s="433" t="s">
        <v>4080</v>
      </c>
      <c r="Q45" s="431"/>
      <c r="R45" s="431"/>
      <c r="S45" s="426" t="s">
        <v>2655</v>
      </c>
      <c r="T45" s="426" t="s">
        <v>2646</v>
      </c>
      <c r="U45" s="426" t="s">
        <v>2646</v>
      </c>
      <c r="V45" s="426" t="s">
        <v>2646</v>
      </c>
      <c r="W45" s="426" t="s">
        <v>2787</v>
      </c>
      <c r="X45" s="426" t="s">
        <v>2662</v>
      </c>
      <c r="Y45" s="426" t="s">
        <v>2788</v>
      </c>
      <c r="Z45" s="426" t="s">
        <v>2646</v>
      </c>
      <c r="AA45" s="426" t="s">
        <v>2646</v>
      </c>
      <c r="AB45" s="426" t="s">
        <v>2646</v>
      </c>
      <c r="AC45" s="426" t="s">
        <v>2646</v>
      </c>
      <c r="AD45" s="426" t="s">
        <v>2646</v>
      </c>
      <c r="AE45" s="426" t="s">
        <v>2646</v>
      </c>
      <c r="AF45" s="426" t="s">
        <v>2646</v>
      </c>
      <c r="AG45" s="426" t="s">
        <v>2646</v>
      </c>
      <c r="AH45" s="426" t="s">
        <v>2646</v>
      </c>
      <c r="AI45" s="426" t="s">
        <v>2646</v>
      </c>
      <c r="AJ45" s="1" t="s">
        <v>2646</v>
      </c>
    </row>
    <row r="46" spans="1:36" s="1" customFormat="1" hidden="1">
      <c r="A46" s="392" t="s">
        <v>1430</v>
      </c>
      <c r="B46" s="427" t="s">
        <v>2650</v>
      </c>
      <c r="C46" s="433" t="s">
        <v>3658</v>
      </c>
      <c r="D46" s="433" t="s">
        <v>3364</v>
      </c>
      <c r="E46" s="433" t="s">
        <v>2677</v>
      </c>
      <c r="F46" s="433" t="s">
        <v>2678</v>
      </c>
      <c r="G46" s="433" t="s">
        <v>2654</v>
      </c>
      <c r="H46" s="433" t="s">
        <v>2654</v>
      </c>
      <c r="I46" s="433" t="s">
        <v>2654</v>
      </c>
      <c r="J46" s="433" t="s">
        <v>2654</v>
      </c>
      <c r="K46" s="433" t="s">
        <v>2654</v>
      </c>
      <c r="L46" s="433" t="s">
        <v>2654</v>
      </c>
      <c r="M46" s="433" t="s">
        <v>2654</v>
      </c>
      <c r="N46" s="433" t="s">
        <v>2654</v>
      </c>
      <c r="O46" s="433" t="s">
        <v>2668</v>
      </c>
      <c r="P46" s="433" t="s">
        <v>4057</v>
      </c>
      <c r="Q46" s="431"/>
      <c r="R46" s="431"/>
      <c r="S46" s="426" t="s">
        <v>2669</v>
      </c>
      <c r="T46" s="426" t="s">
        <v>2646</v>
      </c>
      <c r="U46" s="426" t="s">
        <v>2646</v>
      </c>
      <c r="V46" s="426" t="s">
        <v>2646</v>
      </c>
      <c r="W46" s="426" t="s">
        <v>2787</v>
      </c>
      <c r="X46" s="426" t="s">
        <v>2662</v>
      </c>
      <c r="Y46" s="426" t="s">
        <v>2788</v>
      </c>
      <c r="Z46" s="426" t="s">
        <v>2646</v>
      </c>
      <c r="AA46" s="426" t="s">
        <v>2646</v>
      </c>
      <c r="AB46" s="426" t="s">
        <v>2646</v>
      </c>
      <c r="AC46" s="426" t="s">
        <v>2646</v>
      </c>
      <c r="AD46" s="426" t="s">
        <v>2646</v>
      </c>
      <c r="AE46" s="426" t="s">
        <v>2646</v>
      </c>
      <c r="AF46" s="426" t="s">
        <v>2646</v>
      </c>
      <c r="AG46" s="426" t="s">
        <v>2646</v>
      </c>
      <c r="AH46" s="426" t="s">
        <v>2646</v>
      </c>
      <c r="AI46" s="426" t="s">
        <v>2646</v>
      </c>
      <c r="AJ46" s="1" t="s">
        <v>2646</v>
      </c>
    </row>
    <row r="47" spans="1:36" s="1" customFormat="1" hidden="1">
      <c r="A47" s="392" t="s">
        <v>1431</v>
      </c>
      <c r="B47" s="427" t="s">
        <v>2651</v>
      </c>
      <c r="C47" s="433" t="s">
        <v>3859</v>
      </c>
      <c r="D47" s="433" t="s">
        <v>3686</v>
      </c>
      <c r="E47" s="433" t="s">
        <v>2732</v>
      </c>
      <c r="F47" s="433" t="s">
        <v>2680</v>
      </c>
      <c r="G47" s="433" t="s">
        <v>2654</v>
      </c>
      <c r="H47" s="433" t="s">
        <v>2654</v>
      </c>
      <c r="I47" s="433" t="s">
        <v>2654</v>
      </c>
      <c r="J47" s="433" t="s">
        <v>2654</v>
      </c>
      <c r="K47" s="433" t="s">
        <v>2654</v>
      </c>
      <c r="L47" s="433" t="s">
        <v>2654</v>
      </c>
      <c r="M47" s="433" t="s">
        <v>2654</v>
      </c>
      <c r="N47" s="433" t="s">
        <v>2654</v>
      </c>
      <c r="O47" s="433" t="s">
        <v>2668</v>
      </c>
      <c r="P47" s="433" t="s">
        <v>2651</v>
      </c>
      <c r="Q47" s="431"/>
      <c r="R47" s="431"/>
      <c r="S47" s="426" t="s">
        <v>2658</v>
      </c>
      <c r="T47" s="426" t="s">
        <v>2646</v>
      </c>
      <c r="U47" s="426" t="s">
        <v>2646</v>
      </c>
      <c r="V47" s="426" t="s">
        <v>2646</v>
      </c>
      <c r="W47" s="426" t="s">
        <v>2787</v>
      </c>
      <c r="X47" s="426" t="s">
        <v>2662</v>
      </c>
      <c r="Y47" s="426" t="s">
        <v>2788</v>
      </c>
      <c r="Z47" s="426" t="s">
        <v>2646</v>
      </c>
      <c r="AA47" s="426" t="s">
        <v>2646</v>
      </c>
      <c r="AB47" s="426" t="s">
        <v>2646</v>
      </c>
      <c r="AC47" s="426" t="s">
        <v>2646</v>
      </c>
      <c r="AD47" s="426" t="s">
        <v>2646</v>
      </c>
      <c r="AE47" s="426" t="s">
        <v>2646</v>
      </c>
      <c r="AF47" s="426" t="s">
        <v>2646</v>
      </c>
      <c r="AG47" s="426" t="s">
        <v>2646</v>
      </c>
      <c r="AH47" s="426" t="s">
        <v>2646</v>
      </c>
      <c r="AI47" s="426" t="s">
        <v>2646</v>
      </c>
      <c r="AJ47" s="1" t="s">
        <v>2646</v>
      </c>
    </row>
    <row r="48" spans="1:36">
      <c r="A48" s="392" t="s">
        <v>1431</v>
      </c>
      <c r="B48" s="427" t="s">
        <v>48</v>
      </c>
      <c r="C48" s="433" t="s">
        <v>3953</v>
      </c>
      <c r="D48" s="433" t="s">
        <v>3967</v>
      </c>
      <c r="E48" s="433" t="s">
        <v>2896</v>
      </c>
      <c r="F48" s="433" t="s">
        <v>2933</v>
      </c>
      <c r="G48" s="433" t="s">
        <v>2654</v>
      </c>
      <c r="H48" s="433" t="s">
        <v>2654</v>
      </c>
      <c r="I48" s="433" t="s">
        <v>2654</v>
      </c>
      <c r="J48" s="433" t="s">
        <v>2654</v>
      </c>
      <c r="K48" s="433" t="s">
        <v>2654</v>
      </c>
      <c r="L48" s="433" t="s">
        <v>2654</v>
      </c>
      <c r="M48" s="433" t="s">
        <v>2654</v>
      </c>
      <c r="N48" s="433" t="s">
        <v>2654</v>
      </c>
      <c r="O48" s="433" t="s">
        <v>2683</v>
      </c>
      <c r="P48" s="433" t="s">
        <v>3474</v>
      </c>
      <c r="Q48" s="433" t="s">
        <v>2654</v>
      </c>
      <c r="R48" s="433" t="s">
        <v>2654</v>
      </c>
      <c r="S48" s="426"/>
      <c r="T48" s="426"/>
      <c r="U48" s="426"/>
      <c r="V48" s="426"/>
      <c r="W48" s="426"/>
      <c r="X48" s="426"/>
      <c r="Y48" s="426"/>
      <c r="Z48" s="426"/>
      <c r="AA48" s="426"/>
      <c r="AB48" s="426"/>
      <c r="AC48" s="426"/>
      <c r="AD48" s="426"/>
      <c r="AE48" s="426"/>
      <c r="AF48" s="426"/>
      <c r="AG48" s="426"/>
      <c r="AH48" s="426"/>
      <c r="AI48" s="426"/>
    </row>
    <row r="49" spans="1:36" s="1" customFormat="1" hidden="1">
      <c r="A49" s="392" t="s">
        <v>1432</v>
      </c>
      <c r="B49" s="427" t="s">
        <v>2647</v>
      </c>
      <c r="C49" s="433" t="s">
        <v>3656</v>
      </c>
      <c r="D49" s="433" t="s">
        <v>3710</v>
      </c>
      <c r="E49" s="433" t="s">
        <v>2654</v>
      </c>
      <c r="F49" s="433" t="s">
        <v>2654</v>
      </c>
      <c r="G49" s="433" t="s">
        <v>2654</v>
      </c>
      <c r="H49" s="433" t="s">
        <v>2654</v>
      </c>
      <c r="I49" s="433" t="s">
        <v>2654</v>
      </c>
      <c r="J49" s="433" t="s">
        <v>2654</v>
      </c>
      <c r="K49" s="433" t="s">
        <v>2654</v>
      </c>
      <c r="L49" s="433" t="s">
        <v>2654</v>
      </c>
      <c r="M49" s="433" t="s">
        <v>2654</v>
      </c>
      <c r="N49" s="433" t="s">
        <v>2654</v>
      </c>
      <c r="O49" s="433" t="s">
        <v>2654</v>
      </c>
      <c r="P49" s="433" t="s">
        <v>4083</v>
      </c>
      <c r="Q49" s="431"/>
      <c r="R49" s="431"/>
      <c r="S49" s="426" t="s">
        <v>2796</v>
      </c>
      <c r="T49" s="426" t="s">
        <v>2646</v>
      </c>
      <c r="U49" s="426" t="s">
        <v>2797</v>
      </c>
      <c r="V49" s="426" t="s">
        <v>2797</v>
      </c>
      <c r="W49" s="426" t="s">
        <v>2787</v>
      </c>
      <c r="X49" s="426" t="s">
        <v>2671</v>
      </c>
      <c r="Y49" s="426" t="s">
        <v>2798</v>
      </c>
      <c r="Z49" s="426" t="s">
        <v>2646</v>
      </c>
      <c r="AA49" s="426" t="s">
        <v>2646</v>
      </c>
      <c r="AB49" s="426" t="s">
        <v>2646</v>
      </c>
      <c r="AC49" s="426" t="s">
        <v>2646</v>
      </c>
      <c r="AD49" s="426" t="s">
        <v>2646</v>
      </c>
      <c r="AE49" s="426" t="s">
        <v>2646</v>
      </c>
      <c r="AF49" s="426" t="s">
        <v>2646</v>
      </c>
      <c r="AG49" s="426" t="s">
        <v>2646</v>
      </c>
      <c r="AH49" s="426" t="s">
        <v>2646</v>
      </c>
      <c r="AI49" s="426" t="s">
        <v>2646</v>
      </c>
      <c r="AJ49" s="1" t="s">
        <v>2646</v>
      </c>
    </row>
    <row r="50" spans="1:36" s="1" customFormat="1" hidden="1">
      <c r="A50" s="392" t="s">
        <v>1433</v>
      </c>
      <c r="B50" s="427" t="s">
        <v>2648</v>
      </c>
      <c r="C50" s="433" t="s">
        <v>3664</v>
      </c>
      <c r="D50" s="433" t="s">
        <v>3364</v>
      </c>
      <c r="E50" s="433" t="s">
        <v>2654</v>
      </c>
      <c r="F50" s="433" t="s">
        <v>2654</v>
      </c>
      <c r="G50" s="433" t="s">
        <v>2654</v>
      </c>
      <c r="H50" s="433" t="s">
        <v>2654</v>
      </c>
      <c r="I50" s="433" t="s">
        <v>2654</v>
      </c>
      <c r="J50" s="433" t="s">
        <v>2654</v>
      </c>
      <c r="K50" s="433" t="s">
        <v>2654</v>
      </c>
      <c r="L50" s="433" t="s">
        <v>2654</v>
      </c>
      <c r="M50" s="433" t="s">
        <v>2654</v>
      </c>
      <c r="N50" s="433" t="s">
        <v>2654</v>
      </c>
      <c r="O50" s="433" t="s">
        <v>2654</v>
      </c>
      <c r="P50" s="433" t="s">
        <v>4087</v>
      </c>
      <c r="Q50" s="431"/>
      <c r="R50" s="431"/>
      <c r="S50" s="426" t="s">
        <v>2709</v>
      </c>
      <c r="T50" s="426" t="s">
        <v>2646</v>
      </c>
      <c r="U50" s="426" t="s">
        <v>2646</v>
      </c>
      <c r="V50" s="426" t="s">
        <v>2646</v>
      </c>
      <c r="W50" s="426" t="s">
        <v>2787</v>
      </c>
      <c r="X50" s="426" t="s">
        <v>2671</v>
      </c>
      <c r="Y50" s="426" t="s">
        <v>2798</v>
      </c>
      <c r="Z50" s="426" t="s">
        <v>2646</v>
      </c>
      <c r="AA50" s="426" t="s">
        <v>2646</v>
      </c>
      <c r="AB50" s="426" t="s">
        <v>2646</v>
      </c>
      <c r="AC50" s="426" t="s">
        <v>2646</v>
      </c>
      <c r="AD50" s="426" t="s">
        <v>2646</v>
      </c>
      <c r="AE50" s="426" t="s">
        <v>2646</v>
      </c>
      <c r="AF50" s="426" t="s">
        <v>2646</v>
      </c>
      <c r="AG50" s="426" t="s">
        <v>2646</v>
      </c>
      <c r="AH50" s="426" t="s">
        <v>2646</v>
      </c>
      <c r="AI50" s="426" t="s">
        <v>2646</v>
      </c>
      <c r="AJ50" s="1" t="s">
        <v>2646</v>
      </c>
    </row>
    <row r="51" spans="1:36" s="1" customFormat="1" hidden="1">
      <c r="A51" s="392" t="s">
        <v>1434</v>
      </c>
      <c r="B51" s="427" t="s">
        <v>2649</v>
      </c>
      <c r="C51" s="433" t="s">
        <v>3633</v>
      </c>
      <c r="D51" s="433" t="s">
        <v>3686</v>
      </c>
      <c r="E51" s="433" t="s">
        <v>2654</v>
      </c>
      <c r="F51" s="433" t="s">
        <v>2654</v>
      </c>
      <c r="G51" s="433" t="s">
        <v>2654</v>
      </c>
      <c r="H51" s="433" t="s">
        <v>2654</v>
      </c>
      <c r="I51" s="433" t="s">
        <v>2654</v>
      </c>
      <c r="J51" s="433" t="s">
        <v>2654</v>
      </c>
      <c r="K51" s="433" t="s">
        <v>2654</v>
      </c>
      <c r="L51" s="433" t="s">
        <v>2654</v>
      </c>
      <c r="M51" s="433" t="s">
        <v>2654</v>
      </c>
      <c r="N51" s="433" t="s">
        <v>2654</v>
      </c>
      <c r="O51" s="433" t="s">
        <v>2654</v>
      </c>
      <c r="P51" s="433" t="s">
        <v>4087</v>
      </c>
      <c r="Q51" s="431"/>
      <c r="R51" s="431"/>
      <c r="S51" s="426" t="s">
        <v>2785</v>
      </c>
      <c r="T51" s="426" t="s">
        <v>2802</v>
      </c>
      <c r="U51" s="426" t="s">
        <v>2803</v>
      </c>
      <c r="V51" s="426" t="s">
        <v>2804</v>
      </c>
      <c r="W51" s="426" t="s">
        <v>2805</v>
      </c>
      <c r="X51" s="426" t="s">
        <v>2671</v>
      </c>
      <c r="Y51" s="426" t="s">
        <v>2806</v>
      </c>
      <c r="Z51" s="426" t="s">
        <v>2646</v>
      </c>
      <c r="AA51" s="426" t="s">
        <v>2646</v>
      </c>
      <c r="AB51" s="426" t="s">
        <v>2646</v>
      </c>
      <c r="AC51" s="426" t="s">
        <v>2646</v>
      </c>
      <c r="AD51" s="426" t="s">
        <v>2646</v>
      </c>
      <c r="AE51" s="426" t="s">
        <v>2646</v>
      </c>
      <c r="AF51" s="426" t="s">
        <v>2646</v>
      </c>
      <c r="AG51" s="426" t="s">
        <v>2646</v>
      </c>
      <c r="AH51" s="426" t="s">
        <v>2646</v>
      </c>
      <c r="AI51" s="426" t="s">
        <v>2646</v>
      </c>
      <c r="AJ51" s="1" t="s">
        <v>2646</v>
      </c>
    </row>
    <row r="52" spans="1:36" s="1" customFormat="1" hidden="1">
      <c r="A52" s="392" t="s">
        <v>1435</v>
      </c>
      <c r="B52" s="427" t="s">
        <v>2650</v>
      </c>
      <c r="C52" s="433" t="s">
        <v>3688</v>
      </c>
      <c r="D52" s="433" t="s">
        <v>3710</v>
      </c>
      <c r="E52" s="433" t="s">
        <v>2654</v>
      </c>
      <c r="F52" s="433" t="s">
        <v>2654</v>
      </c>
      <c r="G52" s="433" t="s">
        <v>2654</v>
      </c>
      <c r="H52" s="433" t="s">
        <v>2654</v>
      </c>
      <c r="I52" s="433" t="s">
        <v>2654</v>
      </c>
      <c r="J52" s="433" t="s">
        <v>2654</v>
      </c>
      <c r="K52" s="433" t="s">
        <v>2654</v>
      </c>
      <c r="L52" s="433" t="s">
        <v>2654</v>
      </c>
      <c r="M52" s="433" t="s">
        <v>2654</v>
      </c>
      <c r="N52" s="433" t="s">
        <v>2654</v>
      </c>
      <c r="O52" s="433" t="s">
        <v>2654</v>
      </c>
      <c r="P52" s="433" t="s">
        <v>4080</v>
      </c>
      <c r="Q52" s="431"/>
      <c r="R52" s="431"/>
      <c r="S52" s="426" t="s">
        <v>2660</v>
      </c>
      <c r="T52" s="426" t="s">
        <v>2646</v>
      </c>
      <c r="U52" s="426" t="s">
        <v>2646</v>
      </c>
      <c r="V52" s="426" t="s">
        <v>2646</v>
      </c>
      <c r="W52" s="426" t="s">
        <v>2787</v>
      </c>
      <c r="X52" s="426" t="s">
        <v>2671</v>
      </c>
      <c r="Y52" s="426" t="s">
        <v>2798</v>
      </c>
      <c r="Z52" s="426" t="s">
        <v>2646</v>
      </c>
      <c r="AA52" s="426" t="s">
        <v>2646</v>
      </c>
      <c r="AB52" s="426" t="s">
        <v>2646</v>
      </c>
      <c r="AC52" s="426" t="s">
        <v>2646</v>
      </c>
      <c r="AD52" s="426" t="s">
        <v>2646</v>
      </c>
      <c r="AE52" s="426" t="s">
        <v>2646</v>
      </c>
      <c r="AF52" s="426" t="s">
        <v>2646</v>
      </c>
      <c r="AG52" s="426" t="s">
        <v>2646</v>
      </c>
      <c r="AH52" s="426" t="s">
        <v>2646</v>
      </c>
      <c r="AI52" s="426" t="s">
        <v>2646</v>
      </c>
      <c r="AJ52" s="1" t="s">
        <v>2646</v>
      </c>
    </row>
    <row r="53" spans="1:36" s="1" customFormat="1" hidden="1">
      <c r="A53" s="392" t="s">
        <v>1436</v>
      </c>
      <c r="B53" s="427" t="s">
        <v>2651</v>
      </c>
      <c r="C53" s="433" t="s">
        <v>3146</v>
      </c>
      <c r="D53" s="433" t="s">
        <v>3710</v>
      </c>
      <c r="E53" s="433" t="s">
        <v>2654</v>
      </c>
      <c r="F53" s="433" t="s">
        <v>2654</v>
      </c>
      <c r="G53" s="433" t="s">
        <v>2654</v>
      </c>
      <c r="H53" s="433" t="s">
        <v>2654</v>
      </c>
      <c r="I53" s="433" t="s">
        <v>2654</v>
      </c>
      <c r="J53" s="433" t="s">
        <v>2654</v>
      </c>
      <c r="K53" s="433" t="s">
        <v>2654</v>
      </c>
      <c r="L53" s="433" t="s">
        <v>2654</v>
      </c>
      <c r="M53" s="433" t="s">
        <v>2654</v>
      </c>
      <c r="N53" s="433" t="s">
        <v>2654</v>
      </c>
      <c r="O53" s="433" t="s">
        <v>2654</v>
      </c>
      <c r="P53" s="433" t="s">
        <v>4059</v>
      </c>
      <c r="Q53" s="431"/>
      <c r="R53" s="431"/>
      <c r="S53" s="426" t="s">
        <v>2778</v>
      </c>
      <c r="T53" s="426" t="s">
        <v>2646</v>
      </c>
      <c r="U53" s="426" t="s">
        <v>2646</v>
      </c>
      <c r="V53" s="426" t="s">
        <v>2646</v>
      </c>
      <c r="W53" s="426" t="s">
        <v>2787</v>
      </c>
      <c r="X53" s="426" t="s">
        <v>2671</v>
      </c>
      <c r="Y53" s="426" t="s">
        <v>2798</v>
      </c>
      <c r="Z53" s="426" t="s">
        <v>2646</v>
      </c>
      <c r="AA53" s="426" t="s">
        <v>2646</v>
      </c>
      <c r="AB53" s="426" t="s">
        <v>2646</v>
      </c>
      <c r="AC53" s="426" t="s">
        <v>2646</v>
      </c>
      <c r="AD53" s="426" t="s">
        <v>2646</v>
      </c>
      <c r="AE53" s="426" t="s">
        <v>2646</v>
      </c>
      <c r="AF53" s="426" t="s">
        <v>2646</v>
      </c>
      <c r="AG53" s="426" t="s">
        <v>2646</v>
      </c>
      <c r="AH53" s="426" t="s">
        <v>2646</v>
      </c>
      <c r="AI53" s="426" t="s">
        <v>2646</v>
      </c>
      <c r="AJ53" s="1" t="s">
        <v>2646</v>
      </c>
    </row>
    <row r="54" spans="1:36" s="1" customFormat="1">
      <c r="A54" s="392" t="s">
        <v>1436</v>
      </c>
      <c r="B54" s="427" t="s">
        <v>48</v>
      </c>
      <c r="C54" s="433" t="s">
        <v>3954</v>
      </c>
      <c r="D54" s="433" t="s">
        <v>3856</v>
      </c>
      <c r="E54" s="433" t="s">
        <v>2654</v>
      </c>
      <c r="F54" s="433" t="s">
        <v>2654</v>
      </c>
      <c r="G54" s="433" t="s">
        <v>2654</v>
      </c>
      <c r="H54" s="433" t="s">
        <v>2654</v>
      </c>
      <c r="I54" s="433" t="s">
        <v>2654</v>
      </c>
      <c r="J54" s="433" t="s">
        <v>2654</v>
      </c>
      <c r="K54" s="433" t="s">
        <v>2654</v>
      </c>
      <c r="L54" s="433" t="s">
        <v>2654</v>
      </c>
      <c r="M54" s="433" t="s">
        <v>2654</v>
      </c>
      <c r="N54" s="433" t="s">
        <v>2654</v>
      </c>
      <c r="O54" s="433" t="s">
        <v>2654</v>
      </c>
      <c r="P54" s="433" t="s">
        <v>2993</v>
      </c>
      <c r="Q54" s="433" t="s">
        <v>2654</v>
      </c>
      <c r="R54" s="433" t="s">
        <v>2654</v>
      </c>
      <c r="S54" s="426"/>
      <c r="T54" s="426"/>
      <c r="U54" s="426"/>
      <c r="V54" s="426"/>
      <c r="W54" s="426"/>
      <c r="X54" s="426"/>
      <c r="Y54" s="426"/>
      <c r="Z54" s="426"/>
      <c r="AA54" s="426"/>
      <c r="AB54" s="426"/>
      <c r="AC54" s="426"/>
      <c r="AD54" s="426"/>
      <c r="AE54" s="426"/>
      <c r="AF54" s="426"/>
      <c r="AG54" s="426"/>
      <c r="AH54" s="426"/>
      <c r="AI54" s="426"/>
    </row>
    <row r="55" spans="1:36" s="1" customFormat="1" hidden="1">
      <c r="A55" s="392" t="s">
        <v>1437</v>
      </c>
      <c r="B55" s="427" t="s">
        <v>2647</v>
      </c>
      <c r="C55" s="433" t="s">
        <v>3482</v>
      </c>
      <c r="D55" s="433" t="s">
        <v>3686</v>
      </c>
      <c r="E55" s="433" t="s">
        <v>2654</v>
      </c>
      <c r="F55" s="433" t="s">
        <v>2654</v>
      </c>
      <c r="G55" s="433" t="s">
        <v>2654</v>
      </c>
      <c r="H55" s="433" t="s">
        <v>2654</v>
      </c>
      <c r="I55" s="433" t="s">
        <v>2654</v>
      </c>
      <c r="J55" s="433" t="s">
        <v>2654</v>
      </c>
      <c r="K55" s="433" t="s">
        <v>2654</v>
      </c>
      <c r="L55" s="433" t="s">
        <v>2654</v>
      </c>
      <c r="M55" s="433" t="s">
        <v>2654</v>
      </c>
      <c r="N55" s="433" t="s">
        <v>2654</v>
      </c>
      <c r="O55" s="433" t="s">
        <v>2654</v>
      </c>
      <c r="P55" s="433" t="s">
        <v>4078</v>
      </c>
      <c r="Q55" s="431"/>
      <c r="R55" s="431"/>
      <c r="S55" s="426" t="s">
        <v>2655</v>
      </c>
      <c r="T55" s="426" t="s">
        <v>2810</v>
      </c>
      <c r="U55" s="426" t="s">
        <v>2811</v>
      </c>
      <c r="V55" s="426" t="s">
        <v>2812</v>
      </c>
      <c r="W55" s="426" t="s">
        <v>2787</v>
      </c>
      <c r="X55" s="426" t="s">
        <v>2813</v>
      </c>
      <c r="Y55" s="426" t="s">
        <v>2814</v>
      </c>
      <c r="Z55" s="426" t="s">
        <v>2646</v>
      </c>
      <c r="AA55" s="426" t="s">
        <v>2646</v>
      </c>
      <c r="AB55" s="426" t="s">
        <v>2646</v>
      </c>
      <c r="AC55" s="426" t="s">
        <v>2646</v>
      </c>
      <c r="AD55" s="426" t="s">
        <v>2646</v>
      </c>
      <c r="AE55" s="426" t="s">
        <v>2646</v>
      </c>
      <c r="AF55" s="426" t="s">
        <v>2646</v>
      </c>
      <c r="AG55" s="426" t="s">
        <v>2646</v>
      </c>
      <c r="AH55" s="426" t="s">
        <v>2646</v>
      </c>
      <c r="AI55" s="426" t="s">
        <v>2646</v>
      </c>
      <c r="AJ55" s="1" t="s">
        <v>2646</v>
      </c>
    </row>
    <row r="56" spans="1:36" s="1" customFormat="1" hidden="1">
      <c r="A56" s="392" t="s">
        <v>1438</v>
      </c>
      <c r="B56" s="427" t="s">
        <v>2648</v>
      </c>
      <c r="C56" s="433" t="s">
        <v>3632</v>
      </c>
      <c r="D56" s="433" t="s">
        <v>3851</v>
      </c>
      <c r="E56" s="433" t="s">
        <v>2654</v>
      </c>
      <c r="F56" s="433" t="s">
        <v>2654</v>
      </c>
      <c r="G56" s="433" t="s">
        <v>2654</v>
      </c>
      <c r="H56" s="433" t="s">
        <v>2654</v>
      </c>
      <c r="I56" s="433" t="s">
        <v>2654</v>
      </c>
      <c r="J56" s="433" t="s">
        <v>2654</v>
      </c>
      <c r="K56" s="433" t="s">
        <v>2654</v>
      </c>
      <c r="L56" s="433" t="s">
        <v>2654</v>
      </c>
      <c r="M56" s="433" t="s">
        <v>2654</v>
      </c>
      <c r="N56" s="433" t="s">
        <v>2654</v>
      </c>
      <c r="O56" s="433" t="s">
        <v>2654</v>
      </c>
      <c r="P56" s="433" t="s">
        <v>4061</v>
      </c>
      <c r="Q56" s="431"/>
      <c r="R56" s="431"/>
      <c r="S56" s="426" t="s">
        <v>2669</v>
      </c>
      <c r="T56" s="426" t="s">
        <v>2816</v>
      </c>
      <c r="U56" s="426" t="s">
        <v>2817</v>
      </c>
      <c r="V56" s="426" t="s">
        <v>2817</v>
      </c>
      <c r="W56" s="426" t="s">
        <v>2787</v>
      </c>
      <c r="X56" s="426" t="s">
        <v>2813</v>
      </c>
      <c r="Y56" s="426" t="s">
        <v>2814</v>
      </c>
      <c r="Z56" s="426" t="s">
        <v>2646</v>
      </c>
      <c r="AA56" s="426" t="s">
        <v>2646</v>
      </c>
      <c r="AB56" s="426" t="s">
        <v>2646</v>
      </c>
      <c r="AC56" s="426" t="s">
        <v>2646</v>
      </c>
      <c r="AD56" s="426" t="s">
        <v>2646</v>
      </c>
      <c r="AE56" s="426" t="s">
        <v>2646</v>
      </c>
      <c r="AF56" s="426" t="s">
        <v>2646</v>
      </c>
      <c r="AG56" s="426" t="s">
        <v>2646</v>
      </c>
      <c r="AH56" s="426" t="s">
        <v>2646</v>
      </c>
      <c r="AI56" s="426" t="s">
        <v>2646</v>
      </c>
      <c r="AJ56" s="1" t="s">
        <v>2646</v>
      </c>
    </row>
    <row r="57" spans="1:36" s="1" customFormat="1" hidden="1">
      <c r="A57" s="392" t="s">
        <v>1439</v>
      </c>
      <c r="B57" s="427" t="s">
        <v>2649</v>
      </c>
      <c r="C57" s="433" t="s">
        <v>3363</v>
      </c>
      <c r="D57" s="433" t="s">
        <v>3851</v>
      </c>
      <c r="E57" s="433" t="s">
        <v>2654</v>
      </c>
      <c r="F57" s="433" t="s">
        <v>2654</v>
      </c>
      <c r="G57" s="433" t="s">
        <v>2654</v>
      </c>
      <c r="H57" s="433" t="s">
        <v>2654</v>
      </c>
      <c r="I57" s="433" t="s">
        <v>2654</v>
      </c>
      <c r="J57" s="433" t="s">
        <v>2654</v>
      </c>
      <c r="K57" s="433" t="s">
        <v>2654</v>
      </c>
      <c r="L57" s="433" t="s">
        <v>2654</v>
      </c>
      <c r="M57" s="433" t="s">
        <v>2654</v>
      </c>
      <c r="N57" s="433" t="s">
        <v>2654</v>
      </c>
      <c r="O57" s="433" t="s">
        <v>2654</v>
      </c>
      <c r="P57" s="433" t="s">
        <v>2651</v>
      </c>
      <c r="Q57" s="431"/>
      <c r="R57" s="431"/>
      <c r="S57" s="426" t="s">
        <v>2709</v>
      </c>
      <c r="T57" s="426" t="s">
        <v>2820</v>
      </c>
      <c r="U57" s="426" t="s">
        <v>2821</v>
      </c>
      <c r="V57" s="426" t="s">
        <v>2679</v>
      </c>
      <c r="W57" s="426" t="s">
        <v>2787</v>
      </c>
      <c r="X57" s="426" t="s">
        <v>2813</v>
      </c>
      <c r="Y57" s="426" t="s">
        <v>2814</v>
      </c>
      <c r="Z57" s="426" t="s">
        <v>2646</v>
      </c>
      <c r="AA57" s="426" t="s">
        <v>2646</v>
      </c>
      <c r="AB57" s="426" t="s">
        <v>2646</v>
      </c>
      <c r="AC57" s="426" t="s">
        <v>2646</v>
      </c>
      <c r="AD57" s="426" t="s">
        <v>2646</v>
      </c>
      <c r="AE57" s="426" t="s">
        <v>2646</v>
      </c>
      <c r="AF57" s="426" t="s">
        <v>2646</v>
      </c>
      <c r="AG57" s="426" t="s">
        <v>2646</v>
      </c>
      <c r="AH57" s="426" t="s">
        <v>2646</v>
      </c>
      <c r="AI57" s="426" t="s">
        <v>2646</v>
      </c>
      <c r="AJ57" s="1" t="s">
        <v>2646</v>
      </c>
    </row>
    <row r="58" spans="1:36" s="1" customFormat="1" hidden="1">
      <c r="A58" s="392" t="s">
        <v>1440</v>
      </c>
      <c r="B58" s="427" t="s">
        <v>2650</v>
      </c>
      <c r="C58" s="433" t="s">
        <v>3475</v>
      </c>
      <c r="D58" s="433" t="s">
        <v>3851</v>
      </c>
      <c r="E58" s="433" t="s">
        <v>2654</v>
      </c>
      <c r="F58" s="433" t="s">
        <v>2654</v>
      </c>
      <c r="G58" s="433" t="s">
        <v>2654</v>
      </c>
      <c r="H58" s="433" t="s">
        <v>2654</v>
      </c>
      <c r="I58" s="433" t="s">
        <v>2654</v>
      </c>
      <c r="J58" s="433" t="s">
        <v>2654</v>
      </c>
      <c r="K58" s="433" t="s">
        <v>2654</v>
      </c>
      <c r="L58" s="433" t="s">
        <v>2654</v>
      </c>
      <c r="M58" s="433" t="s">
        <v>2654</v>
      </c>
      <c r="N58" s="433" t="s">
        <v>2654</v>
      </c>
      <c r="O58" s="433" t="s">
        <v>2654</v>
      </c>
      <c r="P58" s="433" t="s">
        <v>4093</v>
      </c>
      <c r="Q58" s="431"/>
      <c r="R58" s="431"/>
      <c r="S58" s="426" t="s">
        <v>2673</v>
      </c>
      <c r="T58" s="426" t="s">
        <v>2822</v>
      </c>
      <c r="U58" s="426" t="s">
        <v>2823</v>
      </c>
      <c r="V58" s="426" t="s">
        <v>2822</v>
      </c>
      <c r="W58" s="426" t="s">
        <v>2787</v>
      </c>
      <c r="X58" s="426" t="s">
        <v>2813</v>
      </c>
      <c r="Y58" s="426" t="s">
        <v>2814</v>
      </c>
      <c r="Z58" s="426" t="s">
        <v>2646</v>
      </c>
      <c r="AA58" s="426" t="s">
        <v>2646</v>
      </c>
      <c r="AB58" s="426" t="s">
        <v>2646</v>
      </c>
      <c r="AC58" s="426" t="s">
        <v>2646</v>
      </c>
      <c r="AD58" s="426" t="s">
        <v>2646</v>
      </c>
      <c r="AE58" s="426" t="s">
        <v>2646</v>
      </c>
      <c r="AF58" s="426" t="s">
        <v>2646</v>
      </c>
      <c r="AG58" s="426" t="s">
        <v>2646</v>
      </c>
      <c r="AH58" s="426" t="s">
        <v>2646</v>
      </c>
      <c r="AI58" s="426" t="s">
        <v>2646</v>
      </c>
      <c r="AJ58" s="1" t="s">
        <v>2646</v>
      </c>
    </row>
    <row r="59" spans="1:36" hidden="1">
      <c r="A59" s="392" t="s">
        <v>1441</v>
      </c>
      <c r="B59" s="427" t="s">
        <v>2651</v>
      </c>
      <c r="C59" s="433" t="s">
        <v>3509</v>
      </c>
      <c r="D59" s="433" t="s">
        <v>3686</v>
      </c>
      <c r="E59" s="433" t="s">
        <v>2654</v>
      </c>
      <c r="F59" s="433" t="s">
        <v>2654</v>
      </c>
      <c r="G59" s="433" t="s">
        <v>2654</v>
      </c>
      <c r="H59" s="433" t="s">
        <v>2654</v>
      </c>
      <c r="I59" s="433" t="s">
        <v>2654</v>
      </c>
      <c r="J59" s="433" t="s">
        <v>2654</v>
      </c>
      <c r="K59" s="433" t="s">
        <v>2654</v>
      </c>
      <c r="L59" s="433" t="s">
        <v>2654</v>
      </c>
      <c r="M59" s="433" t="s">
        <v>2654</v>
      </c>
      <c r="N59" s="433" t="s">
        <v>2654</v>
      </c>
      <c r="O59" s="433" t="s">
        <v>2654</v>
      </c>
      <c r="P59" s="433" t="s">
        <v>4078</v>
      </c>
      <c r="Q59" s="431"/>
      <c r="R59" s="431"/>
      <c r="S59" s="426" t="s">
        <v>2673</v>
      </c>
      <c r="T59" s="426" t="s">
        <v>2827</v>
      </c>
      <c r="U59" s="426" t="s">
        <v>2828</v>
      </c>
      <c r="V59" s="426" t="s">
        <v>2828</v>
      </c>
      <c r="W59" s="426" t="s">
        <v>2829</v>
      </c>
      <c r="X59" s="426" t="s">
        <v>2813</v>
      </c>
      <c r="Y59" s="426" t="s">
        <v>2830</v>
      </c>
      <c r="Z59" s="426" t="s">
        <v>2646</v>
      </c>
      <c r="AA59" s="426" t="s">
        <v>2646</v>
      </c>
      <c r="AB59" s="426" t="s">
        <v>2646</v>
      </c>
      <c r="AC59" s="426" t="s">
        <v>2646</v>
      </c>
      <c r="AD59" s="426" t="s">
        <v>2646</v>
      </c>
      <c r="AE59" s="426" t="s">
        <v>2646</v>
      </c>
      <c r="AF59" s="426" t="s">
        <v>2646</v>
      </c>
      <c r="AG59" s="426" t="s">
        <v>2646</v>
      </c>
      <c r="AH59" s="426" t="s">
        <v>2646</v>
      </c>
      <c r="AI59" s="426" t="s">
        <v>2646</v>
      </c>
      <c r="AJ59" s="68" t="s">
        <v>2646</v>
      </c>
    </row>
    <row r="60" spans="1:36" s="1" customFormat="1">
      <c r="A60" s="392" t="s">
        <v>1441</v>
      </c>
      <c r="B60" s="427" t="s">
        <v>48</v>
      </c>
      <c r="C60" s="433" t="s">
        <v>4094</v>
      </c>
      <c r="D60" s="433" t="s">
        <v>3874</v>
      </c>
      <c r="E60" s="433" t="s">
        <v>2654</v>
      </c>
      <c r="F60" s="433" t="s">
        <v>2654</v>
      </c>
      <c r="G60" s="433" t="s">
        <v>2654</v>
      </c>
      <c r="H60" s="433" t="s">
        <v>2654</v>
      </c>
      <c r="I60" s="433" t="s">
        <v>2654</v>
      </c>
      <c r="J60" s="433" t="s">
        <v>2654</v>
      </c>
      <c r="K60" s="433" t="s">
        <v>2654</v>
      </c>
      <c r="L60" s="433" t="s">
        <v>2654</v>
      </c>
      <c r="M60" s="433" t="s">
        <v>2654</v>
      </c>
      <c r="N60" s="433" t="s">
        <v>2654</v>
      </c>
      <c r="O60" s="433" t="s">
        <v>2654</v>
      </c>
      <c r="P60" s="433" t="s">
        <v>3280</v>
      </c>
      <c r="Q60" s="433" t="s">
        <v>2654</v>
      </c>
      <c r="R60" s="433" t="s">
        <v>2654</v>
      </c>
      <c r="S60" s="426"/>
      <c r="T60" s="426"/>
      <c r="U60" s="426"/>
      <c r="V60" s="426"/>
      <c r="W60" s="426"/>
      <c r="X60" s="426"/>
      <c r="Y60" s="426"/>
      <c r="Z60" s="426"/>
      <c r="AA60" s="426"/>
      <c r="AB60" s="426"/>
      <c r="AC60" s="426"/>
      <c r="AD60" s="426"/>
      <c r="AE60" s="426"/>
      <c r="AF60" s="426"/>
      <c r="AG60" s="426"/>
      <c r="AH60" s="426"/>
      <c r="AI60" s="426"/>
    </row>
    <row r="61" spans="1:36" s="1" customFormat="1" hidden="1">
      <c r="A61" s="392" t="s">
        <v>1442</v>
      </c>
      <c r="B61" s="427" t="s">
        <v>2647</v>
      </c>
      <c r="C61" s="433" t="s">
        <v>3781</v>
      </c>
      <c r="D61" s="433" t="s">
        <v>3710</v>
      </c>
      <c r="E61" s="433" t="s">
        <v>2654</v>
      </c>
      <c r="F61" s="433" t="s">
        <v>2654</v>
      </c>
      <c r="G61" s="433" t="s">
        <v>2654</v>
      </c>
      <c r="H61" s="433" t="s">
        <v>2654</v>
      </c>
      <c r="I61" s="433" t="s">
        <v>2654</v>
      </c>
      <c r="J61" s="433" t="s">
        <v>2654</v>
      </c>
      <c r="K61" s="433" t="s">
        <v>2654</v>
      </c>
      <c r="L61" s="433" t="s">
        <v>2654</v>
      </c>
      <c r="M61" s="433" t="s">
        <v>2654</v>
      </c>
      <c r="N61" s="433" t="s">
        <v>2654</v>
      </c>
      <c r="O61" s="433" t="s">
        <v>2654</v>
      </c>
      <c r="P61" s="433" t="s">
        <v>4059</v>
      </c>
      <c r="Q61" s="431"/>
      <c r="R61" s="431"/>
      <c r="S61" s="426" t="s">
        <v>2836</v>
      </c>
      <c r="T61" s="426" t="s">
        <v>2837</v>
      </c>
      <c r="U61" s="426" t="s">
        <v>2838</v>
      </c>
      <c r="V61" s="426" t="s">
        <v>2839</v>
      </c>
      <c r="W61" s="426" t="s">
        <v>2787</v>
      </c>
      <c r="X61" s="426" t="s">
        <v>2840</v>
      </c>
      <c r="Y61" s="426" t="s">
        <v>2841</v>
      </c>
      <c r="Z61" s="426" t="s">
        <v>2646</v>
      </c>
      <c r="AA61" s="426" t="s">
        <v>2646</v>
      </c>
      <c r="AB61" s="426" t="s">
        <v>2646</v>
      </c>
      <c r="AC61" s="426" t="s">
        <v>2646</v>
      </c>
      <c r="AD61" s="426" t="s">
        <v>2646</v>
      </c>
      <c r="AE61" s="426" t="s">
        <v>2646</v>
      </c>
      <c r="AF61" s="426" t="s">
        <v>2646</v>
      </c>
      <c r="AG61" s="426" t="s">
        <v>2646</v>
      </c>
      <c r="AH61" s="426" t="s">
        <v>2646</v>
      </c>
      <c r="AI61" s="426" t="s">
        <v>2646</v>
      </c>
      <c r="AJ61" s="1" t="s">
        <v>2646</v>
      </c>
    </row>
    <row r="62" spans="1:36" s="1" customFormat="1" hidden="1">
      <c r="A62" s="392" t="s">
        <v>1443</v>
      </c>
      <c r="B62" s="427" t="s">
        <v>2648</v>
      </c>
      <c r="C62" s="433" t="s">
        <v>3735</v>
      </c>
      <c r="D62" s="433" t="s">
        <v>3686</v>
      </c>
      <c r="E62" s="433" t="s">
        <v>2654</v>
      </c>
      <c r="F62" s="433" t="s">
        <v>2654</v>
      </c>
      <c r="G62" s="433" t="s">
        <v>2654</v>
      </c>
      <c r="H62" s="433" t="s">
        <v>2654</v>
      </c>
      <c r="I62" s="433" t="s">
        <v>2654</v>
      </c>
      <c r="J62" s="433" t="s">
        <v>2654</v>
      </c>
      <c r="K62" s="433" t="s">
        <v>2654</v>
      </c>
      <c r="L62" s="433" t="s">
        <v>2654</v>
      </c>
      <c r="M62" s="433" t="s">
        <v>2654</v>
      </c>
      <c r="N62" s="433" t="s">
        <v>2654</v>
      </c>
      <c r="O62" s="433" t="s">
        <v>2654</v>
      </c>
      <c r="P62" s="433" t="s">
        <v>4078</v>
      </c>
      <c r="Q62" s="431"/>
      <c r="R62" s="431"/>
      <c r="S62" s="426" t="s">
        <v>2844</v>
      </c>
      <c r="T62" s="426" t="s">
        <v>2845</v>
      </c>
      <c r="U62" s="426" t="s">
        <v>2846</v>
      </c>
      <c r="V62" s="426" t="s">
        <v>2847</v>
      </c>
      <c r="W62" s="426" t="s">
        <v>2787</v>
      </c>
      <c r="X62" s="426" t="s">
        <v>2840</v>
      </c>
      <c r="Y62" s="426" t="s">
        <v>2841</v>
      </c>
      <c r="Z62" s="426" t="s">
        <v>2646</v>
      </c>
      <c r="AA62" s="426" t="s">
        <v>2646</v>
      </c>
      <c r="AB62" s="426" t="s">
        <v>2646</v>
      </c>
      <c r="AC62" s="426" t="s">
        <v>2646</v>
      </c>
      <c r="AD62" s="426" t="s">
        <v>2646</v>
      </c>
      <c r="AE62" s="426" t="s">
        <v>2646</v>
      </c>
      <c r="AF62" s="426" t="s">
        <v>2646</v>
      </c>
      <c r="AG62" s="426" t="s">
        <v>2646</v>
      </c>
      <c r="AH62" s="426" t="s">
        <v>2646</v>
      </c>
      <c r="AI62" s="426" t="s">
        <v>2646</v>
      </c>
      <c r="AJ62" s="1" t="s">
        <v>2646</v>
      </c>
    </row>
    <row r="63" spans="1:36" s="1" customFormat="1" hidden="1">
      <c r="A63" s="392" t="s">
        <v>1444</v>
      </c>
      <c r="B63" s="427" t="s">
        <v>2649</v>
      </c>
      <c r="C63" s="433" t="s">
        <v>2986</v>
      </c>
      <c r="D63" s="433" t="s">
        <v>3851</v>
      </c>
      <c r="E63" s="433" t="s">
        <v>2654</v>
      </c>
      <c r="F63" s="433" t="s">
        <v>2654</v>
      </c>
      <c r="G63" s="433" t="s">
        <v>2654</v>
      </c>
      <c r="H63" s="433" t="s">
        <v>2654</v>
      </c>
      <c r="I63" s="433" t="s">
        <v>2654</v>
      </c>
      <c r="J63" s="433" t="s">
        <v>2654</v>
      </c>
      <c r="K63" s="433" t="s">
        <v>2654</v>
      </c>
      <c r="L63" s="433" t="s">
        <v>2654</v>
      </c>
      <c r="M63" s="433" t="s">
        <v>2654</v>
      </c>
      <c r="N63" s="433" t="s">
        <v>2654</v>
      </c>
      <c r="O63" s="433" t="s">
        <v>2654</v>
      </c>
      <c r="P63" s="433" t="s">
        <v>4061</v>
      </c>
      <c r="Q63" s="431"/>
      <c r="R63" s="431"/>
      <c r="S63" s="426" t="s">
        <v>2665</v>
      </c>
      <c r="T63" s="426" t="s">
        <v>2851</v>
      </c>
      <c r="U63" s="426" t="s">
        <v>2852</v>
      </c>
      <c r="V63" s="426" t="s">
        <v>2853</v>
      </c>
      <c r="W63" s="426" t="s">
        <v>2854</v>
      </c>
      <c r="X63" s="426" t="s">
        <v>2840</v>
      </c>
      <c r="Y63" s="426" t="s">
        <v>2855</v>
      </c>
      <c r="Z63" s="426" t="s">
        <v>2646</v>
      </c>
      <c r="AA63" s="426" t="s">
        <v>2646</v>
      </c>
      <c r="AB63" s="426" t="s">
        <v>2646</v>
      </c>
      <c r="AC63" s="426" t="s">
        <v>2646</v>
      </c>
      <c r="AD63" s="426" t="s">
        <v>2646</v>
      </c>
      <c r="AE63" s="426" t="s">
        <v>2646</v>
      </c>
      <c r="AF63" s="426" t="s">
        <v>2646</v>
      </c>
      <c r="AG63" s="426" t="s">
        <v>2646</v>
      </c>
      <c r="AH63" s="426" t="s">
        <v>2646</v>
      </c>
      <c r="AI63" s="426" t="s">
        <v>2646</v>
      </c>
      <c r="AJ63" s="1" t="s">
        <v>2646</v>
      </c>
    </row>
    <row r="64" spans="1:36" s="1" customFormat="1" hidden="1">
      <c r="A64" s="392" t="s">
        <v>1445</v>
      </c>
      <c r="B64" s="427" t="s">
        <v>2650</v>
      </c>
      <c r="C64" s="433" t="s">
        <v>3626</v>
      </c>
      <c r="D64" s="433" t="s">
        <v>3710</v>
      </c>
      <c r="E64" s="433" t="s">
        <v>2654</v>
      </c>
      <c r="F64" s="433" t="s">
        <v>2654</v>
      </c>
      <c r="G64" s="433" t="s">
        <v>2654</v>
      </c>
      <c r="H64" s="433" t="s">
        <v>2654</v>
      </c>
      <c r="I64" s="433" t="s">
        <v>2654</v>
      </c>
      <c r="J64" s="433" t="s">
        <v>2654</v>
      </c>
      <c r="K64" s="433" t="s">
        <v>2654</v>
      </c>
      <c r="L64" s="433" t="s">
        <v>2654</v>
      </c>
      <c r="M64" s="433" t="s">
        <v>2654</v>
      </c>
      <c r="N64" s="433" t="s">
        <v>2654</v>
      </c>
      <c r="O64" s="433" t="s">
        <v>2654</v>
      </c>
      <c r="P64" s="433" t="s">
        <v>4061</v>
      </c>
      <c r="Q64" s="431"/>
      <c r="R64" s="431"/>
      <c r="S64" s="426" t="s">
        <v>2658</v>
      </c>
      <c r="T64" s="426" t="s">
        <v>2812</v>
      </c>
      <c r="U64" s="426" t="s">
        <v>2856</v>
      </c>
      <c r="V64" s="426" t="s">
        <v>2857</v>
      </c>
      <c r="W64" s="426" t="s">
        <v>2787</v>
      </c>
      <c r="X64" s="426" t="s">
        <v>2840</v>
      </c>
      <c r="Y64" s="426" t="s">
        <v>2841</v>
      </c>
      <c r="Z64" s="426" t="s">
        <v>2646</v>
      </c>
      <c r="AA64" s="426" t="s">
        <v>2646</v>
      </c>
      <c r="AB64" s="426" t="s">
        <v>2646</v>
      </c>
      <c r="AC64" s="426" t="s">
        <v>2646</v>
      </c>
      <c r="AD64" s="426" t="s">
        <v>2646</v>
      </c>
      <c r="AE64" s="426" t="s">
        <v>2646</v>
      </c>
      <c r="AF64" s="426" t="s">
        <v>2646</v>
      </c>
      <c r="AG64" s="426" t="s">
        <v>2646</v>
      </c>
      <c r="AH64" s="426" t="s">
        <v>2646</v>
      </c>
      <c r="AI64" s="426" t="s">
        <v>2646</v>
      </c>
      <c r="AJ64" s="1" t="s">
        <v>2646</v>
      </c>
    </row>
    <row r="65" spans="1:36" s="1" customFormat="1" hidden="1">
      <c r="A65" s="392" t="s">
        <v>1446</v>
      </c>
      <c r="B65" s="427" t="s">
        <v>2651</v>
      </c>
      <c r="C65" s="433" t="s">
        <v>3761</v>
      </c>
      <c r="D65" s="433" t="s">
        <v>3851</v>
      </c>
      <c r="E65" s="433" t="s">
        <v>2654</v>
      </c>
      <c r="F65" s="433" t="s">
        <v>2654</v>
      </c>
      <c r="G65" s="433" t="s">
        <v>2654</v>
      </c>
      <c r="H65" s="433" t="s">
        <v>2654</v>
      </c>
      <c r="I65" s="433" t="s">
        <v>2654</v>
      </c>
      <c r="J65" s="433" t="s">
        <v>2654</v>
      </c>
      <c r="K65" s="433" t="s">
        <v>2654</v>
      </c>
      <c r="L65" s="433" t="s">
        <v>2654</v>
      </c>
      <c r="M65" s="433" t="s">
        <v>2654</v>
      </c>
      <c r="N65" s="433" t="s">
        <v>2654</v>
      </c>
      <c r="O65" s="433" t="s">
        <v>2654</v>
      </c>
      <c r="P65" s="433" t="s">
        <v>4083</v>
      </c>
      <c r="Q65" s="431"/>
      <c r="R65" s="431"/>
      <c r="S65" s="426" t="s">
        <v>2860</v>
      </c>
      <c r="T65" s="426" t="s">
        <v>2861</v>
      </c>
      <c r="U65" s="426" t="s">
        <v>2703</v>
      </c>
      <c r="V65" s="426" t="s">
        <v>2862</v>
      </c>
      <c r="W65" s="426" t="s">
        <v>2787</v>
      </c>
      <c r="X65" s="426" t="s">
        <v>2840</v>
      </c>
      <c r="Y65" s="426" t="s">
        <v>2841</v>
      </c>
      <c r="Z65" s="426" t="s">
        <v>2646</v>
      </c>
      <c r="AA65" s="426" t="s">
        <v>2646</v>
      </c>
      <c r="AB65" s="426" t="s">
        <v>2646</v>
      </c>
      <c r="AC65" s="426" t="s">
        <v>2646</v>
      </c>
      <c r="AD65" s="426" t="s">
        <v>2646</v>
      </c>
      <c r="AE65" s="426" t="s">
        <v>2646</v>
      </c>
      <c r="AF65" s="426" t="s">
        <v>2646</v>
      </c>
      <c r="AG65" s="426" t="s">
        <v>2646</v>
      </c>
      <c r="AH65" s="426" t="s">
        <v>2646</v>
      </c>
      <c r="AI65" s="426" t="s">
        <v>2646</v>
      </c>
      <c r="AJ65" s="1" t="s">
        <v>2646</v>
      </c>
    </row>
    <row r="66" spans="1:36" s="1" customFormat="1">
      <c r="A66" s="392" t="s">
        <v>1446</v>
      </c>
      <c r="B66" s="427" t="s">
        <v>48</v>
      </c>
      <c r="C66" s="433" t="s">
        <v>4095</v>
      </c>
      <c r="D66" s="433" t="s">
        <v>3710</v>
      </c>
      <c r="E66" s="433" t="s">
        <v>2654</v>
      </c>
      <c r="F66" s="433" t="s">
        <v>2654</v>
      </c>
      <c r="G66" s="433" t="s">
        <v>2654</v>
      </c>
      <c r="H66" s="433" t="s">
        <v>2654</v>
      </c>
      <c r="I66" s="433" t="s">
        <v>2654</v>
      </c>
      <c r="J66" s="433" t="s">
        <v>2654</v>
      </c>
      <c r="K66" s="433" t="s">
        <v>2654</v>
      </c>
      <c r="L66" s="433" t="s">
        <v>2654</v>
      </c>
      <c r="M66" s="433" t="s">
        <v>2654</v>
      </c>
      <c r="N66" s="433" t="s">
        <v>2654</v>
      </c>
      <c r="O66" s="433" t="s">
        <v>2654</v>
      </c>
      <c r="P66" s="433" t="s">
        <v>4089</v>
      </c>
      <c r="Q66" s="433" t="s">
        <v>2654</v>
      </c>
      <c r="R66" s="433" t="s">
        <v>2654</v>
      </c>
      <c r="S66" s="426"/>
      <c r="T66" s="426"/>
      <c r="U66" s="426"/>
      <c r="V66" s="426"/>
      <c r="W66" s="426"/>
      <c r="X66" s="426"/>
      <c r="Y66" s="426"/>
      <c r="Z66" s="426"/>
      <c r="AA66" s="426"/>
      <c r="AB66" s="426"/>
      <c r="AC66" s="426"/>
      <c r="AD66" s="426"/>
      <c r="AE66" s="426"/>
      <c r="AF66" s="426"/>
      <c r="AG66" s="426"/>
      <c r="AH66" s="426"/>
      <c r="AI66" s="426"/>
    </row>
    <row r="67" spans="1:36" s="1" customFormat="1" hidden="1">
      <c r="A67" s="392" t="s">
        <v>1447</v>
      </c>
      <c r="B67" s="427" t="s">
        <v>2647</v>
      </c>
      <c r="C67" s="433" t="s">
        <v>2789</v>
      </c>
      <c r="D67" s="433" t="s">
        <v>3851</v>
      </c>
      <c r="E67" s="433" t="s">
        <v>2654</v>
      </c>
      <c r="F67" s="433" t="s">
        <v>2654</v>
      </c>
      <c r="G67" s="433" t="s">
        <v>2654</v>
      </c>
      <c r="H67" s="433" t="s">
        <v>2654</v>
      </c>
      <c r="I67" s="433" t="s">
        <v>2654</v>
      </c>
      <c r="J67" s="433" t="s">
        <v>2654</v>
      </c>
      <c r="K67" s="433" t="s">
        <v>2654</v>
      </c>
      <c r="L67" s="433" t="s">
        <v>2654</v>
      </c>
      <c r="M67" s="433" t="s">
        <v>2654</v>
      </c>
      <c r="N67" s="433" t="s">
        <v>2654</v>
      </c>
      <c r="O67" s="433" t="s">
        <v>2654</v>
      </c>
      <c r="P67" s="433" t="s">
        <v>4093</v>
      </c>
      <c r="Q67" s="431"/>
      <c r="R67" s="431"/>
      <c r="S67" s="426" t="s">
        <v>2660</v>
      </c>
      <c r="T67" s="426" t="s">
        <v>2871</v>
      </c>
      <c r="U67" s="426" t="s">
        <v>2697</v>
      </c>
      <c r="V67" s="426" t="s">
        <v>2872</v>
      </c>
      <c r="W67" s="426" t="s">
        <v>2787</v>
      </c>
      <c r="X67" s="426" t="s">
        <v>2873</v>
      </c>
      <c r="Y67" s="426" t="s">
        <v>2874</v>
      </c>
      <c r="Z67" s="426" t="s">
        <v>2646</v>
      </c>
      <c r="AA67" s="426" t="s">
        <v>2646</v>
      </c>
      <c r="AB67" s="426" t="s">
        <v>2646</v>
      </c>
      <c r="AC67" s="426" t="s">
        <v>2646</v>
      </c>
      <c r="AD67" s="426" t="s">
        <v>2646</v>
      </c>
      <c r="AE67" s="426" t="s">
        <v>2646</v>
      </c>
      <c r="AF67" s="426" t="s">
        <v>2646</v>
      </c>
      <c r="AG67" s="426" t="s">
        <v>2646</v>
      </c>
      <c r="AH67" s="426" t="s">
        <v>2646</v>
      </c>
      <c r="AI67" s="426" t="s">
        <v>2646</v>
      </c>
      <c r="AJ67" s="1" t="s">
        <v>2646</v>
      </c>
    </row>
    <row r="68" spans="1:36" s="1" customFormat="1" hidden="1">
      <c r="A68" s="392" t="s">
        <v>1448</v>
      </c>
      <c r="B68" s="427" t="s">
        <v>2648</v>
      </c>
      <c r="C68" s="433" t="s">
        <v>3714</v>
      </c>
      <c r="D68" s="433" t="s">
        <v>3710</v>
      </c>
      <c r="E68" s="433" t="s">
        <v>2654</v>
      </c>
      <c r="F68" s="433" t="s">
        <v>2654</v>
      </c>
      <c r="G68" s="433" t="s">
        <v>2654</v>
      </c>
      <c r="H68" s="433" t="s">
        <v>2654</v>
      </c>
      <c r="I68" s="433" t="s">
        <v>2654</v>
      </c>
      <c r="J68" s="433" t="s">
        <v>2654</v>
      </c>
      <c r="K68" s="433" t="s">
        <v>2654</v>
      </c>
      <c r="L68" s="433" t="s">
        <v>2654</v>
      </c>
      <c r="M68" s="433" t="s">
        <v>2654</v>
      </c>
      <c r="N68" s="433" t="s">
        <v>2654</v>
      </c>
      <c r="O68" s="433" t="s">
        <v>2654</v>
      </c>
      <c r="P68" s="433" t="s">
        <v>4080</v>
      </c>
      <c r="Q68" s="431"/>
      <c r="R68" s="431"/>
      <c r="S68" s="426" t="s">
        <v>316</v>
      </c>
      <c r="T68" s="426" t="s">
        <v>2748</v>
      </c>
      <c r="U68" s="426" t="s">
        <v>2876</v>
      </c>
      <c r="V68" s="426" t="s">
        <v>2872</v>
      </c>
      <c r="W68" s="426" t="s">
        <v>2787</v>
      </c>
      <c r="X68" s="426" t="s">
        <v>2873</v>
      </c>
      <c r="Y68" s="426" t="s">
        <v>2874</v>
      </c>
      <c r="Z68" s="426" t="s">
        <v>2646</v>
      </c>
      <c r="AA68" s="426" t="s">
        <v>2646</v>
      </c>
      <c r="AB68" s="426" t="s">
        <v>2646</v>
      </c>
      <c r="AC68" s="426" t="s">
        <v>2646</v>
      </c>
      <c r="AD68" s="426" t="s">
        <v>2646</v>
      </c>
      <c r="AE68" s="426" t="s">
        <v>2646</v>
      </c>
      <c r="AF68" s="426" t="s">
        <v>2646</v>
      </c>
      <c r="AG68" s="426" t="s">
        <v>2646</v>
      </c>
      <c r="AH68" s="426" t="s">
        <v>2646</v>
      </c>
      <c r="AI68" s="426" t="s">
        <v>2646</v>
      </c>
      <c r="AJ68" s="1" t="s">
        <v>2646</v>
      </c>
    </row>
    <row r="69" spans="1:36" s="1" customFormat="1" hidden="1">
      <c r="A69" s="392" t="s">
        <v>1449</v>
      </c>
      <c r="B69" s="427" t="s">
        <v>2649</v>
      </c>
      <c r="C69" s="433" t="s">
        <v>3697</v>
      </c>
      <c r="D69" s="433" t="s">
        <v>3710</v>
      </c>
      <c r="E69" s="433" t="s">
        <v>2654</v>
      </c>
      <c r="F69" s="433" t="s">
        <v>2654</v>
      </c>
      <c r="G69" s="433" t="s">
        <v>2654</v>
      </c>
      <c r="H69" s="433" t="s">
        <v>2654</v>
      </c>
      <c r="I69" s="433" t="s">
        <v>2654</v>
      </c>
      <c r="J69" s="433" t="s">
        <v>2654</v>
      </c>
      <c r="K69" s="433" t="s">
        <v>2654</v>
      </c>
      <c r="L69" s="433" t="s">
        <v>2654</v>
      </c>
      <c r="M69" s="433" t="s">
        <v>2654</v>
      </c>
      <c r="N69" s="433" t="s">
        <v>2654</v>
      </c>
      <c r="O69" s="433" t="s">
        <v>2654</v>
      </c>
      <c r="P69" s="433" t="s">
        <v>4059</v>
      </c>
      <c r="Q69" s="431"/>
      <c r="R69" s="431"/>
      <c r="S69" s="426" t="s">
        <v>2768</v>
      </c>
      <c r="T69" s="426" t="s">
        <v>2857</v>
      </c>
      <c r="U69" s="426" t="s">
        <v>2878</v>
      </c>
      <c r="V69" s="426" t="s">
        <v>2811</v>
      </c>
      <c r="W69" s="426" t="s">
        <v>2787</v>
      </c>
      <c r="X69" s="426" t="s">
        <v>2873</v>
      </c>
      <c r="Y69" s="426" t="s">
        <v>2874</v>
      </c>
      <c r="Z69" s="426" t="s">
        <v>2646</v>
      </c>
      <c r="AA69" s="426" t="s">
        <v>2646</v>
      </c>
      <c r="AB69" s="426" t="s">
        <v>2646</v>
      </c>
      <c r="AC69" s="426" t="s">
        <v>2646</v>
      </c>
      <c r="AD69" s="426" t="s">
        <v>2646</v>
      </c>
      <c r="AE69" s="426" t="s">
        <v>2646</v>
      </c>
      <c r="AF69" s="426" t="s">
        <v>2646</v>
      </c>
      <c r="AG69" s="426" t="s">
        <v>2646</v>
      </c>
      <c r="AH69" s="426" t="s">
        <v>2646</v>
      </c>
      <c r="AI69" s="426" t="s">
        <v>2646</v>
      </c>
      <c r="AJ69" s="1" t="s">
        <v>2646</v>
      </c>
    </row>
    <row r="70" spans="1:36" hidden="1">
      <c r="A70" s="392" t="s">
        <v>1450</v>
      </c>
      <c r="B70" s="427" t="s">
        <v>2650</v>
      </c>
      <c r="C70" s="433" t="s">
        <v>3723</v>
      </c>
      <c r="D70" s="433" t="s">
        <v>3364</v>
      </c>
      <c r="E70" s="433" t="s">
        <v>2654</v>
      </c>
      <c r="F70" s="433" t="s">
        <v>2654</v>
      </c>
      <c r="G70" s="433" t="s">
        <v>2654</v>
      </c>
      <c r="H70" s="433" t="s">
        <v>2654</v>
      </c>
      <c r="I70" s="433" t="s">
        <v>2654</v>
      </c>
      <c r="J70" s="433" t="s">
        <v>2654</v>
      </c>
      <c r="K70" s="433" t="s">
        <v>2654</v>
      </c>
      <c r="L70" s="433" t="s">
        <v>2654</v>
      </c>
      <c r="M70" s="433" t="s">
        <v>2654</v>
      </c>
      <c r="N70" s="433" t="s">
        <v>2654</v>
      </c>
      <c r="O70" s="433" t="s">
        <v>2654</v>
      </c>
      <c r="P70" s="433" t="s">
        <v>4061</v>
      </c>
      <c r="Q70" s="431"/>
      <c r="R70" s="431"/>
      <c r="S70" s="426" t="s">
        <v>2768</v>
      </c>
      <c r="T70" s="426" t="s">
        <v>2880</v>
      </c>
      <c r="U70" s="426" t="s">
        <v>2881</v>
      </c>
      <c r="V70" s="426" t="s">
        <v>2881</v>
      </c>
      <c r="W70" s="426" t="s">
        <v>2805</v>
      </c>
      <c r="X70" s="426" t="s">
        <v>2873</v>
      </c>
      <c r="Y70" s="426" t="s">
        <v>2882</v>
      </c>
      <c r="Z70" s="426" t="s">
        <v>2646</v>
      </c>
      <c r="AA70" s="426" t="s">
        <v>2646</v>
      </c>
      <c r="AB70" s="426" t="s">
        <v>2646</v>
      </c>
      <c r="AC70" s="426" t="s">
        <v>2646</v>
      </c>
      <c r="AD70" s="426" t="s">
        <v>2646</v>
      </c>
      <c r="AE70" s="426" t="s">
        <v>2646</v>
      </c>
      <c r="AF70" s="426" t="s">
        <v>2646</v>
      </c>
      <c r="AG70" s="426" t="s">
        <v>2646</v>
      </c>
      <c r="AH70" s="426" t="s">
        <v>2646</v>
      </c>
      <c r="AI70" s="426" t="s">
        <v>2646</v>
      </c>
      <c r="AJ70" s="68" t="s">
        <v>2646</v>
      </c>
    </row>
    <row r="71" spans="1:36" s="1" customFormat="1" hidden="1">
      <c r="A71" s="392" t="s">
        <v>1451</v>
      </c>
      <c r="B71" s="427" t="s">
        <v>2651</v>
      </c>
      <c r="C71" s="433" t="s">
        <v>3218</v>
      </c>
      <c r="D71" s="433" t="s">
        <v>3710</v>
      </c>
      <c r="E71" s="433" t="s">
        <v>2654</v>
      </c>
      <c r="F71" s="433" t="s">
        <v>2654</v>
      </c>
      <c r="G71" s="433" t="s">
        <v>2654</v>
      </c>
      <c r="H71" s="433" t="s">
        <v>2654</v>
      </c>
      <c r="I71" s="433" t="s">
        <v>2654</v>
      </c>
      <c r="J71" s="433" t="s">
        <v>2654</v>
      </c>
      <c r="K71" s="433" t="s">
        <v>2654</v>
      </c>
      <c r="L71" s="433" t="s">
        <v>2654</v>
      </c>
      <c r="M71" s="433" t="s">
        <v>2654</v>
      </c>
      <c r="N71" s="433" t="s">
        <v>2654</v>
      </c>
      <c r="O71" s="433" t="s">
        <v>2654</v>
      </c>
      <c r="P71" s="433" t="s">
        <v>4061</v>
      </c>
      <c r="Q71" s="431"/>
      <c r="R71" s="431"/>
      <c r="S71" s="426" t="s">
        <v>2660</v>
      </c>
      <c r="T71" s="426" t="s">
        <v>2871</v>
      </c>
      <c r="U71" s="426" t="s">
        <v>2697</v>
      </c>
      <c r="V71" s="426" t="s">
        <v>2872</v>
      </c>
      <c r="W71" s="426" t="s">
        <v>2787</v>
      </c>
      <c r="X71" s="426" t="s">
        <v>2873</v>
      </c>
      <c r="Y71" s="426" t="s">
        <v>2874</v>
      </c>
      <c r="Z71" s="426" t="s">
        <v>2646</v>
      </c>
      <c r="AA71" s="426" t="s">
        <v>2646</v>
      </c>
      <c r="AB71" s="426" t="s">
        <v>2646</v>
      </c>
      <c r="AC71" s="426" t="s">
        <v>2646</v>
      </c>
      <c r="AD71" s="426" t="s">
        <v>2646</v>
      </c>
      <c r="AE71" s="426" t="s">
        <v>2646</v>
      </c>
      <c r="AF71" s="426" t="s">
        <v>2646</v>
      </c>
      <c r="AG71" s="426" t="s">
        <v>2646</v>
      </c>
      <c r="AH71" s="426" t="s">
        <v>2646</v>
      </c>
      <c r="AI71" s="426" t="s">
        <v>2646</v>
      </c>
      <c r="AJ71" s="1" t="s">
        <v>2646</v>
      </c>
    </row>
    <row r="72" spans="1:36" s="1" customFormat="1">
      <c r="A72" s="392" t="s">
        <v>1451</v>
      </c>
      <c r="B72" s="427" t="s">
        <v>48</v>
      </c>
      <c r="C72" s="433" t="s">
        <v>4096</v>
      </c>
      <c r="D72" s="433" t="s">
        <v>3710</v>
      </c>
      <c r="E72" s="433" t="s">
        <v>2654</v>
      </c>
      <c r="F72" s="433" t="s">
        <v>2654</v>
      </c>
      <c r="G72" s="433" t="s">
        <v>2654</v>
      </c>
      <c r="H72" s="433" t="s">
        <v>2654</v>
      </c>
      <c r="I72" s="433" t="s">
        <v>2654</v>
      </c>
      <c r="J72" s="433" t="s">
        <v>2654</v>
      </c>
      <c r="K72" s="433" t="s">
        <v>2654</v>
      </c>
      <c r="L72" s="433" t="s">
        <v>2654</v>
      </c>
      <c r="M72" s="433" t="s">
        <v>2654</v>
      </c>
      <c r="N72" s="433" t="s">
        <v>2654</v>
      </c>
      <c r="O72" s="433" t="s">
        <v>2654</v>
      </c>
      <c r="P72" s="433" t="s">
        <v>3280</v>
      </c>
      <c r="Q72" s="433" t="s">
        <v>2654</v>
      </c>
      <c r="R72" s="433" t="s">
        <v>2654</v>
      </c>
      <c r="S72" s="426"/>
      <c r="T72" s="426"/>
      <c r="U72" s="426"/>
      <c r="V72" s="426"/>
      <c r="W72" s="426"/>
      <c r="X72" s="426"/>
      <c r="Y72" s="426"/>
      <c r="Z72" s="426"/>
      <c r="AA72" s="426"/>
      <c r="AB72" s="426"/>
      <c r="AC72" s="426"/>
      <c r="AD72" s="426"/>
      <c r="AE72" s="426"/>
      <c r="AF72" s="426"/>
      <c r="AG72" s="426"/>
      <c r="AH72" s="426"/>
      <c r="AI72" s="426"/>
    </row>
    <row r="73" spans="1:36" s="1" customFormat="1" hidden="1">
      <c r="A73" s="392" t="s">
        <v>1452</v>
      </c>
      <c r="B73" s="427" t="s">
        <v>2647</v>
      </c>
      <c r="C73" s="433" t="s">
        <v>4097</v>
      </c>
      <c r="D73" s="433" t="s">
        <v>3710</v>
      </c>
      <c r="E73" s="433" t="s">
        <v>3233</v>
      </c>
      <c r="F73" s="433" t="s">
        <v>3171</v>
      </c>
      <c r="G73" s="433" t="s">
        <v>2731</v>
      </c>
      <c r="H73" s="433" t="s">
        <v>2791</v>
      </c>
      <c r="I73" s="433" t="s">
        <v>2654</v>
      </c>
      <c r="J73" s="433" t="s">
        <v>2654</v>
      </c>
      <c r="K73" s="433" t="s">
        <v>2654</v>
      </c>
      <c r="L73" s="433" t="s">
        <v>2654</v>
      </c>
      <c r="M73" s="433" t="s">
        <v>2654</v>
      </c>
      <c r="N73" s="433" t="s">
        <v>2654</v>
      </c>
      <c r="O73" s="433" t="s">
        <v>4098</v>
      </c>
      <c r="P73" s="433" t="s">
        <v>4059</v>
      </c>
      <c r="Q73" s="431"/>
      <c r="R73" s="431"/>
      <c r="S73" s="426" t="s">
        <v>2885</v>
      </c>
      <c r="T73" s="426" t="s">
        <v>2646</v>
      </c>
      <c r="U73" s="426" t="s">
        <v>2646</v>
      </c>
      <c r="V73" s="426" t="s">
        <v>2646</v>
      </c>
      <c r="W73" s="426" t="s">
        <v>2886</v>
      </c>
      <c r="X73" s="426" t="s">
        <v>2887</v>
      </c>
      <c r="Y73" s="426" t="s">
        <v>2888</v>
      </c>
      <c r="Z73" s="426" t="s">
        <v>2646</v>
      </c>
      <c r="AA73" s="426" t="s">
        <v>2646</v>
      </c>
      <c r="AB73" s="426" t="s">
        <v>2646</v>
      </c>
      <c r="AC73" s="426" t="s">
        <v>2646</v>
      </c>
      <c r="AD73" s="426" t="s">
        <v>2646</v>
      </c>
      <c r="AE73" s="426" t="s">
        <v>2646</v>
      </c>
      <c r="AF73" s="426" t="s">
        <v>2646</v>
      </c>
      <c r="AG73" s="426" t="s">
        <v>2646</v>
      </c>
      <c r="AH73" s="426" t="s">
        <v>2646</v>
      </c>
      <c r="AI73" s="426" t="s">
        <v>2646</v>
      </c>
      <c r="AJ73" s="1" t="s">
        <v>2646</v>
      </c>
    </row>
    <row r="74" spans="1:36" s="1" customFormat="1" hidden="1">
      <c r="A74" s="392" t="s">
        <v>1453</v>
      </c>
      <c r="B74" s="427" t="s">
        <v>2648</v>
      </c>
      <c r="C74" s="433" t="s">
        <v>4099</v>
      </c>
      <c r="D74" s="433" t="s">
        <v>3710</v>
      </c>
      <c r="E74" s="433" t="s">
        <v>3752</v>
      </c>
      <c r="F74" s="433" t="s">
        <v>2752</v>
      </c>
      <c r="G74" s="433" t="s">
        <v>2903</v>
      </c>
      <c r="H74" s="433" t="s">
        <v>2791</v>
      </c>
      <c r="I74" s="433" t="s">
        <v>2654</v>
      </c>
      <c r="J74" s="433" t="s">
        <v>2654</v>
      </c>
      <c r="K74" s="433" t="s">
        <v>2654</v>
      </c>
      <c r="L74" s="433" t="s">
        <v>2654</v>
      </c>
      <c r="M74" s="433" t="s">
        <v>2654</v>
      </c>
      <c r="N74" s="433" t="s">
        <v>2654</v>
      </c>
      <c r="O74" s="433" t="s">
        <v>3843</v>
      </c>
      <c r="P74" s="433" t="s">
        <v>4083</v>
      </c>
      <c r="Q74" s="431"/>
      <c r="R74" s="431"/>
      <c r="S74" s="426" t="s">
        <v>2658</v>
      </c>
      <c r="T74" s="426" t="s">
        <v>2646</v>
      </c>
      <c r="U74" s="426" t="s">
        <v>2646</v>
      </c>
      <c r="V74" s="426" t="s">
        <v>2646</v>
      </c>
      <c r="W74" s="426" t="s">
        <v>2889</v>
      </c>
      <c r="X74" s="426" t="s">
        <v>2890</v>
      </c>
      <c r="Y74" s="426" t="s">
        <v>2888</v>
      </c>
      <c r="Z74" s="426" t="s">
        <v>2646</v>
      </c>
      <c r="AA74" s="426" t="s">
        <v>2646</v>
      </c>
      <c r="AB74" s="426" t="s">
        <v>2646</v>
      </c>
      <c r="AC74" s="426" t="s">
        <v>2646</v>
      </c>
      <c r="AD74" s="426" t="s">
        <v>2646</v>
      </c>
      <c r="AE74" s="426" t="s">
        <v>2646</v>
      </c>
      <c r="AF74" s="426" t="s">
        <v>2646</v>
      </c>
      <c r="AG74" s="426" t="s">
        <v>2646</v>
      </c>
      <c r="AH74" s="426" t="s">
        <v>2646</v>
      </c>
      <c r="AI74" s="426" t="s">
        <v>2646</v>
      </c>
      <c r="AJ74" s="1" t="s">
        <v>2646</v>
      </c>
    </row>
    <row r="75" spans="1:36" s="1" customFormat="1" hidden="1">
      <c r="A75" s="392" t="s">
        <v>1454</v>
      </c>
      <c r="B75" s="427" t="s">
        <v>2649</v>
      </c>
      <c r="C75" s="433" t="s">
        <v>4100</v>
      </c>
      <c r="D75" s="433" t="s">
        <v>3710</v>
      </c>
      <c r="E75" s="433" t="s">
        <v>2808</v>
      </c>
      <c r="F75" s="433" t="s">
        <v>3371</v>
      </c>
      <c r="G75" s="433" t="s">
        <v>2777</v>
      </c>
      <c r="H75" s="433" t="s">
        <v>2896</v>
      </c>
      <c r="I75" s="433" t="s">
        <v>2680</v>
      </c>
      <c r="J75" s="433" t="s">
        <v>2654</v>
      </c>
      <c r="K75" s="433" t="s">
        <v>2654</v>
      </c>
      <c r="L75" s="433" t="s">
        <v>2654</v>
      </c>
      <c r="M75" s="433" t="s">
        <v>2654</v>
      </c>
      <c r="N75" s="433" t="s">
        <v>2654</v>
      </c>
      <c r="O75" s="433" t="s">
        <v>2731</v>
      </c>
      <c r="P75" s="433" t="s">
        <v>4078</v>
      </c>
      <c r="Q75" s="431"/>
      <c r="R75" s="431"/>
      <c r="S75" s="426" t="s">
        <v>2885</v>
      </c>
      <c r="T75" s="426" t="s">
        <v>2646</v>
      </c>
      <c r="U75" s="426" t="s">
        <v>2646</v>
      </c>
      <c r="V75" s="426" t="s">
        <v>2646</v>
      </c>
      <c r="W75" s="426" t="s">
        <v>2891</v>
      </c>
      <c r="X75" s="426" t="s">
        <v>2662</v>
      </c>
      <c r="Y75" s="426" t="s">
        <v>2888</v>
      </c>
      <c r="Z75" s="426" t="s">
        <v>2646</v>
      </c>
      <c r="AA75" s="426" t="s">
        <v>2646</v>
      </c>
      <c r="AB75" s="426" t="s">
        <v>2646</v>
      </c>
      <c r="AC75" s="426" t="s">
        <v>2646</v>
      </c>
      <c r="AD75" s="426" t="s">
        <v>2646</v>
      </c>
      <c r="AE75" s="426" t="s">
        <v>2646</v>
      </c>
      <c r="AF75" s="426" t="s">
        <v>2646</v>
      </c>
      <c r="AG75" s="426" t="s">
        <v>2646</v>
      </c>
      <c r="AH75" s="426" t="s">
        <v>2646</v>
      </c>
      <c r="AI75" s="426" t="s">
        <v>2646</v>
      </c>
      <c r="AJ75" s="1" t="s">
        <v>2646</v>
      </c>
    </row>
    <row r="76" spans="1:36" s="1" customFormat="1" hidden="1">
      <c r="A76" s="392" t="s">
        <v>1455</v>
      </c>
      <c r="B76" s="427" t="s">
        <v>2650</v>
      </c>
      <c r="C76" s="433" t="s">
        <v>3962</v>
      </c>
      <c r="D76" s="433" t="s">
        <v>3710</v>
      </c>
      <c r="E76" s="433" t="s">
        <v>2776</v>
      </c>
      <c r="F76" s="433" t="s">
        <v>3371</v>
      </c>
      <c r="G76" s="433" t="s">
        <v>2773</v>
      </c>
      <c r="H76" s="433" t="s">
        <v>2724</v>
      </c>
      <c r="I76" s="433" t="s">
        <v>2654</v>
      </c>
      <c r="J76" s="433" t="s">
        <v>2654</v>
      </c>
      <c r="K76" s="433" t="s">
        <v>2654</v>
      </c>
      <c r="L76" s="433" t="s">
        <v>2654</v>
      </c>
      <c r="M76" s="433" t="s">
        <v>2654</v>
      </c>
      <c r="N76" s="433" t="s">
        <v>2654</v>
      </c>
      <c r="O76" s="433" t="s">
        <v>4101</v>
      </c>
      <c r="P76" s="433" t="s">
        <v>4080</v>
      </c>
      <c r="Q76" s="431"/>
      <c r="R76" s="431"/>
      <c r="S76" s="426" t="s">
        <v>2673</v>
      </c>
      <c r="T76" s="426" t="s">
        <v>2646</v>
      </c>
      <c r="U76" s="426" t="s">
        <v>2646</v>
      </c>
      <c r="V76" s="426" t="s">
        <v>2646</v>
      </c>
      <c r="W76" s="426" t="s">
        <v>2892</v>
      </c>
      <c r="X76" s="426" t="s">
        <v>2893</v>
      </c>
      <c r="Y76" s="426" t="s">
        <v>2888</v>
      </c>
      <c r="Z76" s="426" t="s">
        <v>2646</v>
      </c>
      <c r="AA76" s="426" t="s">
        <v>2646</v>
      </c>
      <c r="AB76" s="426" t="s">
        <v>2646</v>
      </c>
      <c r="AC76" s="426" t="s">
        <v>2646</v>
      </c>
      <c r="AD76" s="426" t="s">
        <v>2646</v>
      </c>
      <c r="AE76" s="426" t="s">
        <v>2646</v>
      </c>
      <c r="AF76" s="426" t="s">
        <v>2646</v>
      </c>
      <c r="AG76" s="426" t="s">
        <v>2646</v>
      </c>
      <c r="AH76" s="426" t="s">
        <v>2646</v>
      </c>
      <c r="AI76" s="426" t="s">
        <v>2646</v>
      </c>
      <c r="AJ76" s="1" t="s">
        <v>2646</v>
      </c>
    </row>
    <row r="77" spans="1:36" s="1" customFormat="1" hidden="1">
      <c r="A77" s="392" t="s">
        <v>1456</v>
      </c>
      <c r="B77" s="427" t="s">
        <v>2651</v>
      </c>
      <c r="C77" s="433" t="s">
        <v>4062</v>
      </c>
      <c r="D77" s="433" t="s">
        <v>3364</v>
      </c>
      <c r="E77" s="433" t="s">
        <v>2915</v>
      </c>
      <c r="F77" s="433" t="s">
        <v>2954</v>
      </c>
      <c r="G77" s="433" t="s">
        <v>2835</v>
      </c>
      <c r="H77" s="433" t="s">
        <v>2680</v>
      </c>
      <c r="I77" s="433" t="s">
        <v>2654</v>
      </c>
      <c r="J77" s="433" t="s">
        <v>2654</v>
      </c>
      <c r="K77" s="433" t="s">
        <v>2654</v>
      </c>
      <c r="L77" s="433" t="s">
        <v>2654</v>
      </c>
      <c r="M77" s="433" t="s">
        <v>2654</v>
      </c>
      <c r="N77" s="433" t="s">
        <v>2654</v>
      </c>
      <c r="O77" s="433" t="s">
        <v>3941</v>
      </c>
      <c r="P77" s="433" t="s">
        <v>4083</v>
      </c>
      <c r="Q77" s="431"/>
      <c r="R77" s="431"/>
      <c r="S77" s="426" t="s">
        <v>2885</v>
      </c>
      <c r="T77" s="426" t="s">
        <v>2646</v>
      </c>
      <c r="U77" s="426" t="s">
        <v>2646</v>
      </c>
      <c r="V77" s="426" t="s">
        <v>2646</v>
      </c>
      <c r="W77" s="426" t="s">
        <v>2886</v>
      </c>
      <c r="X77" s="426" t="s">
        <v>2887</v>
      </c>
      <c r="Y77" s="426" t="s">
        <v>2888</v>
      </c>
      <c r="Z77" s="426" t="s">
        <v>2646</v>
      </c>
      <c r="AA77" s="426" t="s">
        <v>2646</v>
      </c>
      <c r="AB77" s="426" t="s">
        <v>2646</v>
      </c>
      <c r="AC77" s="426" t="s">
        <v>2646</v>
      </c>
      <c r="AD77" s="426" t="s">
        <v>2646</v>
      </c>
      <c r="AE77" s="426" t="s">
        <v>2646</v>
      </c>
      <c r="AF77" s="426" t="s">
        <v>2646</v>
      </c>
      <c r="AG77" s="426" t="s">
        <v>2646</v>
      </c>
      <c r="AH77" s="426" t="s">
        <v>2646</v>
      </c>
      <c r="AI77" s="426" t="s">
        <v>2646</v>
      </c>
      <c r="AJ77" s="1" t="s">
        <v>2646</v>
      </c>
    </row>
    <row r="78" spans="1:36" s="1" customFormat="1">
      <c r="A78" s="392" t="s">
        <v>1456</v>
      </c>
      <c r="B78" s="427" t="s">
        <v>48</v>
      </c>
      <c r="C78" s="433" t="s">
        <v>4102</v>
      </c>
      <c r="D78" s="433" t="s">
        <v>3874</v>
      </c>
      <c r="E78" s="433" t="s">
        <v>2894</v>
      </c>
      <c r="F78" s="433" t="s">
        <v>4022</v>
      </c>
      <c r="G78" s="433" t="s">
        <v>3209</v>
      </c>
      <c r="H78" s="433" t="s">
        <v>3552</v>
      </c>
      <c r="I78" s="433" t="s">
        <v>2683</v>
      </c>
      <c r="J78" s="433" t="s">
        <v>2654</v>
      </c>
      <c r="K78" s="433" t="s">
        <v>2654</v>
      </c>
      <c r="L78" s="433" t="s">
        <v>2654</v>
      </c>
      <c r="M78" s="433" t="s">
        <v>2654</v>
      </c>
      <c r="N78" s="433" t="s">
        <v>2654</v>
      </c>
      <c r="O78" s="433" t="s">
        <v>4103</v>
      </c>
      <c r="P78" s="433" t="s">
        <v>3380</v>
      </c>
      <c r="Q78" s="433" t="s">
        <v>2654</v>
      </c>
      <c r="R78" s="433" t="s">
        <v>2654</v>
      </c>
      <c r="S78" s="426"/>
      <c r="T78" s="426"/>
      <c r="U78" s="426"/>
      <c r="V78" s="426"/>
      <c r="W78" s="426"/>
      <c r="X78" s="426"/>
      <c r="Y78" s="426"/>
      <c r="Z78" s="426"/>
      <c r="AA78" s="426"/>
      <c r="AB78" s="426"/>
      <c r="AC78" s="426"/>
      <c r="AD78" s="426"/>
      <c r="AE78" s="426"/>
      <c r="AF78" s="426"/>
      <c r="AG78" s="426"/>
      <c r="AH78" s="426"/>
      <c r="AI78" s="426"/>
    </row>
    <row r="79" spans="1:36" s="1" customFormat="1" hidden="1">
      <c r="A79" s="392" t="s">
        <v>1457</v>
      </c>
      <c r="B79" s="427" t="s">
        <v>2647</v>
      </c>
      <c r="C79" s="433" t="s">
        <v>3705</v>
      </c>
      <c r="D79" s="433" t="s">
        <v>3860</v>
      </c>
      <c r="E79" s="433" t="s">
        <v>3029</v>
      </c>
      <c r="F79" s="433" t="s">
        <v>2859</v>
      </c>
      <c r="G79" s="433" t="s">
        <v>2731</v>
      </c>
      <c r="H79" s="433" t="s">
        <v>2677</v>
      </c>
      <c r="I79" s="433" t="s">
        <v>2654</v>
      </c>
      <c r="J79" s="433" t="s">
        <v>2654</v>
      </c>
      <c r="K79" s="433" t="s">
        <v>2654</v>
      </c>
      <c r="L79" s="433" t="s">
        <v>2654</v>
      </c>
      <c r="M79" s="433" t="s">
        <v>2654</v>
      </c>
      <c r="N79" s="433" t="s">
        <v>2654</v>
      </c>
      <c r="O79" s="433" t="s">
        <v>4104</v>
      </c>
      <c r="P79" s="433" t="s">
        <v>4057</v>
      </c>
      <c r="Q79" s="431"/>
      <c r="R79" s="431"/>
      <c r="S79" s="426" t="s">
        <v>2658</v>
      </c>
      <c r="T79" s="426" t="s">
        <v>2646</v>
      </c>
      <c r="U79" s="426" t="s">
        <v>2646</v>
      </c>
      <c r="V79" s="426" t="s">
        <v>2646</v>
      </c>
      <c r="W79" s="426" t="s">
        <v>2892</v>
      </c>
      <c r="X79" s="426" t="s">
        <v>2895</v>
      </c>
      <c r="Y79" s="426" t="s">
        <v>2662</v>
      </c>
      <c r="Z79" s="426" t="s">
        <v>2646</v>
      </c>
      <c r="AA79" s="426" t="s">
        <v>2646</v>
      </c>
      <c r="AB79" s="426" t="s">
        <v>2646</v>
      </c>
      <c r="AC79" s="426" t="s">
        <v>2646</v>
      </c>
      <c r="AD79" s="426" t="s">
        <v>2646</v>
      </c>
      <c r="AE79" s="426" t="s">
        <v>2646</v>
      </c>
      <c r="AF79" s="426" t="s">
        <v>2646</v>
      </c>
      <c r="AG79" s="426" t="s">
        <v>2646</v>
      </c>
      <c r="AH79" s="426" t="s">
        <v>2646</v>
      </c>
      <c r="AI79" s="426" t="s">
        <v>2646</v>
      </c>
      <c r="AJ79" s="1" t="s">
        <v>2646</v>
      </c>
    </row>
    <row r="80" spans="1:36" s="1" customFormat="1" hidden="1">
      <c r="A80" s="392" t="s">
        <v>1458</v>
      </c>
      <c r="B80" s="427" t="s">
        <v>2648</v>
      </c>
      <c r="C80" s="433" t="s">
        <v>4105</v>
      </c>
      <c r="D80" s="433" t="s">
        <v>3710</v>
      </c>
      <c r="E80" s="433" t="s">
        <v>2730</v>
      </c>
      <c r="F80" s="433" t="s">
        <v>2731</v>
      </c>
      <c r="G80" s="433" t="s">
        <v>2825</v>
      </c>
      <c r="H80" s="433" t="s">
        <v>2678</v>
      </c>
      <c r="I80" s="433" t="s">
        <v>2654</v>
      </c>
      <c r="J80" s="433" t="s">
        <v>2654</v>
      </c>
      <c r="K80" s="433" t="s">
        <v>2654</v>
      </c>
      <c r="L80" s="433" t="s">
        <v>2654</v>
      </c>
      <c r="M80" s="433" t="s">
        <v>2654</v>
      </c>
      <c r="N80" s="433" t="s">
        <v>2654</v>
      </c>
      <c r="O80" s="433" t="s">
        <v>2831</v>
      </c>
      <c r="P80" s="433" t="s">
        <v>4061</v>
      </c>
      <c r="Q80" s="431"/>
      <c r="R80" s="431"/>
      <c r="S80" s="426" t="s">
        <v>2885</v>
      </c>
      <c r="T80" s="426" t="s">
        <v>2646</v>
      </c>
      <c r="U80" s="426" t="s">
        <v>2646</v>
      </c>
      <c r="V80" s="426" t="s">
        <v>2646</v>
      </c>
      <c r="W80" s="426" t="s">
        <v>2892</v>
      </c>
      <c r="X80" s="426" t="s">
        <v>2895</v>
      </c>
      <c r="Y80" s="426" t="s">
        <v>2662</v>
      </c>
      <c r="Z80" s="426" t="s">
        <v>2646</v>
      </c>
      <c r="AA80" s="426" t="s">
        <v>2646</v>
      </c>
      <c r="AB80" s="426" t="s">
        <v>2646</v>
      </c>
      <c r="AC80" s="426" t="s">
        <v>2646</v>
      </c>
      <c r="AD80" s="426" t="s">
        <v>2646</v>
      </c>
      <c r="AE80" s="426" t="s">
        <v>2646</v>
      </c>
      <c r="AF80" s="426" t="s">
        <v>2646</v>
      </c>
      <c r="AG80" s="426" t="s">
        <v>2646</v>
      </c>
      <c r="AH80" s="426" t="s">
        <v>2646</v>
      </c>
      <c r="AI80" s="426" t="s">
        <v>2646</v>
      </c>
      <c r="AJ80" s="1" t="s">
        <v>2646</v>
      </c>
    </row>
    <row r="81" spans="1:36" hidden="1">
      <c r="A81" s="392" t="s">
        <v>1459</v>
      </c>
      <c r="B81" s="427" t="s">
        <v>2649</v>
      </c>
      <c r="C81" s="433" t="s">
        <v>4106</v>
      </c>
      <c r="D81" s="433" t="s">
        <v>3710</v>
      </c>
      <c r="E81" s="433" t="s">
        <v>2752</v>
      </c>
      <c r="F81" s="433" t="s">
        <v>3123</v>
      </c>
      <c r="G81" s="433" t="s">
        <v>2676</v>
      </c>
      <c r="H81" s="433" t="s">
        <v>2870</v>
      </c>
      <c r="I81" s="433" t="s">
        <v>2654</v>
      </c>
      <c r="J81" s="433" t="s">
        <v>2654</v>
      </c>
      <c r="K81" s="433" t="s">
        <v>2654</v>
      </c>
      <c r="L81" s="433" t="s">
        <v>2654</v>
      </c>
      <c r="M81" s="433" t="s">
        <v>2654</v>
      </c>
      <c r="N81" s="433" t="s">
        <v>2654</v>
      </c>
      <c r="O81" s="433" t="s">
        <v>3937</v>
      </c>
      <c r="P81" s="433" t="s">
        <v>4107</v>
      </c>
      <c r="Q81" s="431"/>
      <c r="R81" s="431"/>
      <c r="S81" s="426" t="s">
        <v>2673</v>
      </c>
      <c r="T81" s="426" t="s">
        <v>2646</v>
      </c>
      <c r="U81" s="426" t="s">
        <v>2646</v>
      </c>
      <c r="V81" s="426" t="s">
        <v>2646</v>
      </c>
      <c r="W81" s="426" t="s">
        <v>2892</v>
      </c>
      <c r="X81" s="426" t="s">
        <v>2895</v>
      </c>
      <c r="Y81" s="426" t="s">
        <v>2662</v>
      </c>
      <c r="Z81" s="426" t="s">
        <v>2646</v>
      </c>
      <c r="AA81" s="426" t="s">
        <v>2646</v>
      </c>
      <c r="AB81" s="426" t="s">
        <v>2646</v>
      </c>
      <c r="AC81" s="426" t="s">
        <v>2646</v>
      </c>
      <c r="AD81" s="426" t="s">
        <v>2646</v>
      </c>
      <c r="AE81" s="426" t="s">
        <v>2646</v>
      </c>
      <c r="AF81" s="426" t="s">
        <v>2646</v>
      </c>
      <c r="AG81" s="426" t="s">
        <v>2646</v>
      </c>
      <c r="AH81" s="426" t="s">
        <v>2646</v>
      </c>
      <c r="AI81" s="426" t="s">
        <v>2646</v>
      </c>
      <c r="AJ81" s="68" t="s">
        <v>2646</v>
      </c>
    </row>
    <row r="82" spans="1:36" s="1" customFormat="1" hidden="1">
      <c r="A82" s="392" t="s">
        <v>1460</v>
      </c>
      <c r="B82" s="427" t="s">
        <v>2650</v>
      </c>
      <c r="C82" s="433" t="s">
        <v>3702</v>
      </c>
      <c r="D82" s="433" t="s">
        <v>3710</v>
      </c>
      <c r="E82" s="433" t="s">
        <v>2935</v>
      </c>
      <c r="F82" s="433" t="s">
        <v>3047</v>
      </c>
      <c r="G82" s="433" t="s">
        <v>2746</v>
      </c>
      <c r="H82" s="433" t="s">
        <v>2678</v>
      </c>
      <c r="I82" s="433" t="s">
        <v>2654</v>
      </c>
      <c r="J82" s="433" t="s">
        <v>2654</v>
      </c>
      <c r="K82" s="433" t="s">
        <v>2654</v>
      </c>
      <c r="L82" s="433" t="s">
        <v>2654</v>
      </c>
      <c r="M82" s="433" t="s">
        <v>2654</v>
      </c>
      <c r="N82" s="433" t="s">
        <v>2654</v>
      </c>
      <c r="O82" s="433" t="s">
        <v>3809</v>
      </c>
      <c r="P82" s="433" t="s">
        <v>4083</v>
      </c>
      <c r="Q82" s="431"/>
      <c r="R82" s="431"/>
      <c r="S82" s="426" t="s">
        <v>316</v>
      </c>
      <c r="T82" s="426" t="s">
        <v>2646</v>
      </c>
      <c r="U82" s="426" t="s">
        <v>2646</v>
      </c>
      <c r="V82" s="426" t="s">
        <v>2646</v>
      </c>
      <c r="W82" s="426" t="s">
        <v>2891</v>
      </c>
      <c r="X82" s="426" t="s">
        <v>2671</v>
      </c>
      <c r="Y82" s="426" t="s">
        <v>2662</v>
      </c>
      <c r="Z82" s="426" t="s">
        <v>2646</v>
      </c>
      <c r="AA82" s="426" t="s">
        <v>2646</v>
      </c>
      <c r="AB82" s="426" t="s">
        <v>2646</v>
      </c>
      <c r="AC82" s="426" t="s">
        <v>2646</v>
      </c>
      <c r="AD82" s="426" t="s">
        <v>2646</v>
      </c>
      <c r="AE82" s="426" t="s">
        <v>2646</v>
      </c>
      <c r="AF82" s="426" t="s">
        <v>2646</v>
      </c>
      <c r="AG82" s="426" t="s">
        <v>2646</v>
      </c>
      <c r="AH82" s="426" t="s">
        <v>2646</v>
      </c>
      <c r="AI82" s="426" t="s">
        <v>2646</v>
      </c>
      <c r="AJ82" s="1" t="s">
        <v>2646</v>
      </c>
    </row>
    <row r="83" spans="1:36" s="1" customFormat="1" hidden="1">
      <c r="A83" s="392" t="s">
        <v>1461</v>
      </c>
      <c r="B83" s="427" t="s">
        <v>2651</v>
      </c>
      <c r="C83" s="433" t="s">
        <v>4108</v>
      </c>
      <c r="D83" s="433" t="s">
        <v>3686</v>
      </c>
      <c r="E83" s="433" t="s">
        <v>2959</v>
      </c>
      <c r="F83" s="433" t="s">
        <v>3371</v>
      </c>
      <c r="G83" s="433" t="s">
        <v>2732</v>
      </c>
      <c r="H83" s="433" t="s">
        <v>2654</v>
      </c>
      <c r="I83" s="433" t="s">
        <v>2654</v>
      </c>
      <c r="J83" s="433" t="s">
        <v>2654</v>
      </c>
      <c r="K83" s="433" t="s">
        <v>2654</v>
      </c>
      <c r="L83" s="433" t="s">
        <v>2654</v>
      </c>
      <c r="M83" s="433" t="s">
        <v>2654</v>
      </c>
      <c r="N83" s="433" t="s">
        <v>2654</v>
      </c>
      <c r="O83" s="433" t="s">
        <v>4109</v>
      </c>
      <c r="P83" s="433" t="s">
        <v>4061</v>
      </c>
      <c r="Q83" s="431"/>
      <c r="R83" s="431"/>
      <c r="S83" s="426" t="s">
        <v>2658</v>
      </c>
      <c r="T83" s="426" t="s">
        <v>2646</v>
      </c>
      <c r="U83" s="426" t="s">
        <v>2646</v>
      </c>
      <c r="V83" s="426" t="s">
        <v>2646</v>
      </c>
      <c r="W83" s="426" t="s">
        <v>2892</v>
      </c>
      <c r="X83" s="426" t="s">
        <v>2895</v>
      </c>
      <c r="Y83" s="426" t="s">
        <v>2662</v>
      </c>
      <c r="Z83" s="426" t="s">
        <v>2646</v>
      </c>
      <c r="AA83" s="426" t="s">
        <v>2646</v>
      </c>
      <c r="AB83" s="426" t="s">
        <v>2646</v>
      </c>
      <c r="AC83" s="426" t="s">
        <v>2646</v>
      </c>
      <c r="AD83" s="426" t="s">
        <v>2646</v>
      </c>
      <c r="AE83" s="426" t="s">
        <v>2646</v>
      </c>
      <c r="AF83" s="426" t="s">
        <v>2646</v>
      </c>
      <c r="AG83" s="426" t="s">
        <v>2646</v>
      </c>
      <c r="AH83" s="426" t="s">
        <v>2646</v>
      </c>
      <c r="AI83" s="426" t="s">
        <v>2646</v>
      </c>
      <c r="AJ83" s="1" t="s">
        <v>2646</v>
      </c>
    </row>
    <row r="84" spans="1:36" s="1" customFormat="1">
      <c r="A84" s="392" t="s">
        <v>1461</v>
      </c>
      <c r="B84" s="427" t="s">
        <v>48</v>
      </c>
      <c r="C84" s="433" t="s">
        <v>4110</v>
      </c>
      <c r="D84" s="433" t="s">
        <v>3891</v>
      </c>
      <c r="E84" s="433" t="s">
        <v>3844</v>
      </c>
      <c r="F84" s="433" t="s">
        <v>2699</v>
      </c>
      <c r="G84" s="433" t="s">
        <v>2682</v>
      </c>
      <c r="H84" s="433" t="s">
        <v>2865</v>
      </c>
      <c r="I84" s="433" t="s">
        <v>2654</v>
      </c>
      <c r="J84" s="433" t="s">
        <v>2654</v>
      </c>
      <c r="K84" s="433" t="s">
        <v>2654</v>
      </c>
      <c r="L84" s="433" t="s">
        <v>2654</v>
      </c>
      <c r="M84" s="433" t="s">
        <v>2654</v>
      </c>
      <c r="N84" s="433" t="s">
        <v>2654</v>
      </c>
      <c r="O84" s="433" t="s">
        <v>4111</v>
      </c>
      <c r="P84" s="433" t="s">
        <v>3095</v>
      </c>
      <c r="Q84" s="433" t="s">
        <v>2654</v>
      </c>
      <c r="R84" s="433" t="s">
        <v>2654</v>
      </c>
      <c r="S84" s="426"/>
      <c r="T84" s="426"/>
      <c r="U84" s="426"/>
      <c r="V84" s="426"/>
      <c r="W84" s="426"/>
      <c r="X84" s="426"/>
      <c r="Y84" s="426"/>
      <c r="Z84" s="426"/>
      <c r="AA84" s="426"/>
      <c r="AB84" s="426"/>
      <c r="AC84" s="426"/>
      <c r="AD84" s="426"/>
      <c r="AE84" s="426"/>
      <c r="AF84" s="426"/>
      <c r="AG84" s="426"/>
      <c r="AH84" s="426"/>
      <c r="AI84" s="426"/>
    </row>
    <row r="85" spans="1:36" s="1" customFormat="1" hidden="1">
      <c r="A85" s="392" t="s">
        <v>1462</v>
      </c>
      <c r="B85" s="427" t="s">
        <v>2647</v>
      </c>
      <c r="C85" s="433" t="s">
        <v>4112</v>
      </c>
      <c r="D85" s="433" t="s">
        <v>3364</v>
      </c>
      <c r="E85" s="433" t="s">
        <v>2714</v>
      </c>
      <c r="F85" s="433" t="s">
        <v>2656</v>
      </c>
      <c r="G85" s="433" t="s">
        <v>2654</v>
      </c>
      <c r="H85" s="433" t="s">
        <v>2654</v>
      </c>
      <c r="I85" s="433" t="s">
        <v>2654</v>
      </c>
      <c r="J85" s="433" t="s">
        <v>2654</v>
      </c>
      <c r="K85" s="433" t="s">
        <v>2654</v>
      </c>
      <c r="L85" s="433" t="s">
        <v>2654</v>
      </c>
      <c r="M85" s="433" t="s">
        <v>2654</v>
      </c>
      <c r="N85" s="433" t="s">
        <v>2654</v>
      </c>
      <c r="O85" s="433" t="s">
        <v>2985</v>
      </c>
      <c r="P85" s="433" t="s">
        <v>4057</v>
      </c>
      <c r="Q85" s="431"/>
      <c r="R85" s="431"/>
      <c r="S85" s="426" t="s">
        <v>2885</v>
      </c>
      <c r="T85" s="426" t="s">
        <v>2646</v>
      </c>
      <c r="U85" s="426" t="s">
        <v>2646</v>
      </c>
      <c r="V85" s="426" t="s">
        <v>2646</v>
      </c>
      <c r="W85" s="426" t="s">
        <v>2897</v>
      </c>
      <c r="X85" s="426" t="s">
        <v>2898</v>
      </c>
      <c r="Y85" s="426" t="s">
        <v>2671</v>
      </c>
      <c r="Z85" s="426" t="s">
        <v>2646</v>
      </c>
      <c r="AA85" s="426" t="s">
        <v>2646</v>
      </c>
      <c r="AB85" s="426" t="s">
        <v>2646</v>
      </c>
      <c r="AC85" s="426" t="s">
        <v>2646</v>
      </c>
      <c r="AD85" s="426" t="s">
        <v>2646</v>
      </c>
      <c r="AE85" s="426" t="s">
        <v>2646</v>
      </c>
      <c r="AF85" s="426" t="s">
        <v>2646</v>
      </c>
      <c r="AG85" s="426" t="s">
        <v>2646</v>
      </c>
      <c r="AH85" s="426" t="s">
        <v>2646</v>
      </c>
      <c r="AI85" s="426" t="s">
        <v>2646</v>
      </c>
      <c r="AJ85" s="1" t="s">
        <v>2646</v>
      </c>
    </row>
    <row r="86" spans="1:36" s="1" customFormat="1" hidden="1">
      <c r="A86" s="392" t="s">
        <v>1463</v>
      </c>
      <c r="B86" s="427" t="s">
        <v>2648</v>
      </c>
      <c r="C86" s="433" t="s">
        <v>3289</v>
      </c>
      <c r="D86" s="433" t="s">
        <v>3364</v>
      </c>
      <c r="E86" s="433" t="s">
        <v>3007</v>
      </c>
      <c r="F86" s="433" t="s">
        <v>2724</v>
      </c>
      <c r="G86" s="433" t="s">
        <v>2654</v>
      </c>
      <c r="H86" s="433" t="s">
        <v>2654</v>
      </c>
      <c r="I86" s="433" t="s">
        <v>2654</v>
      </c>
      <c r="J86" s="433" t="s">
        <v>2654</v>
      </c>
      <c r="K86" s="433" t="s">
        <v>2654</v>
      </c>
      <c r="L86" s="433" t="s">
        <v>2654</v>
      </c>
      <c r="M86" s="433" t="s">
        <v>2654</v>
      </c>
      <c r="N86" s="433" t="s">
        <v>2654</v>
      </c>
      <c r="O86" s="433" t="s">
        <v>2800</v>
      </c>
      <c r="P86" s="433" t="s">
        <v>4057</v>
      </c>
      <c r="Q86" s="431"/>
      <c r="R86" s="431"/>
      <c r="S86" s="426" t="s">
        <v>2778</v>
      </c>
      <c r="T86" s="426" t="s">
        <v>2646</v>
      </c>
      <c r="U86" s="426" t="s">
        <v>2646</v>
      </c>
      <c r="V86" s="426" t="s">
        <v>2646</v>
      </c>
      <c r="W86" s="426" t="s">
        <v>2892</v>
      </c>
      <c r="X86" s="426" t="s">
        <v>2900</v>
      </c>
      <c r="Y86" s="426" t="s">
        <v>2671</v>
      </c>
      <c r="Z86" s="426" t="s">
        <v>2646</v>
      </c>
      <c r="AA86" s="426" t="s">
        <v>2646</v>
      </c>
      <c r="AB86" s="426" t="s">
        <v>2646</v>
      </c>
      <c r="AC86" s="426" t="s">
        <v>2646</v>
      </c>
      <c r="AD86" s="426" t="s">
        <v>2646</v>
      </c>
      <c r="AE86" s="426" t="s">
        <v>2646</v>
      </c>
      <c r="AF86" s="426" t="s">
        <v>2646</v>
      </c>
      <c r="AG86" s="426" t="s">
        <v>2646</v>
      </c>
      <c r="AH86" s="426" t="s">
        <v>2646</v>
      </c>
      <c r="AI86" s="426" t="s">
        <v>2646</v>
      </c>
      <c r="AJ86" s="1" t="s">
        <v>2646</v>
      </c>
    </row>
    <row r="87" spans="1:36" s="1" customFormat="1" hidden="1">
      <c r="A87" s="392" t="s">
        <v>1464</v>
      </c>
      <c r="B87" s="427" t="s">
        <v>2649</v>
      </c>
      <c r="C87" s="433" t="s">
        <v>3651</v>
      </c>
      <c r="D87" s="433" t="s">
        <v>3364</v>
      </c>
      <c r="E87" s="433" t="s">
        <v>2731</v>
      </c>
      <c r="F87" s="433" t="s">
        <v>2677</v>
      </c>
      <c r="G87" s="433" t="s">
        <v>2654</v>
      </c>
      <c r="H87" s="433" t="s">
        <v>2654</v>
      </c>
      <c r="I87" s="433" t="s">
        <v>2654</v>
      </c>
      <c r="J87" s="433" t="s">
        <v>2654</v>
      </c>
      <c r="K87" s="433" t="s">
        <v>2654</v>
      </c>
      <c r="L87" s="433" t="s">
        <v>2654</v>
      </c>
      <c r="M87" s="433" t="s">
        <v>2654</v>
      </c>
      <c r="N87" s="433" t="s">
        <v>2654</v>
      </c>
      <c r="O87" s="433" t="s">
        <v>3596</v>
      </c>
      <c r="P87" s="433" t="s">
        <v>4059</v>
      </c>
      <c r="Q87" s="431"/>
      <c r="R87" s="431"/>
      <c r="S87" s="426" t="s">
        <v>2901</v>
      </c>
      <c r="T87" s="426" t="s">
        <v>2646</v>
      </c>
      <c r="U87" s="426" t="s">
        <v>2646</v>
      </c>
      <c r="V87" s="426" t="s">
        <v>2646</v>
      </c>
      <c r="W87" s="426" t="s">
        <v>2891</v>
      </c>
      <c r="X87" s="426" t="s">
        <v>2813</v>
      </c>
      <c r="Y87" s="426" t="s">
        <v>2671</v>
      </c>
      <c r="Z87" s="426" t="s">
        <v>2646</v>
      </c>
      <c r="AA87" s="426" t="s">
        <v>2646</v>
      </c>
      <c r="AB87" s="426" t="s">
        <v>2646</v>
      </c>
      <c r="AC87" s="426" t="s">
        <v>2646</v>
      </c>
      <c r="AD87" s="426" t="s">
        <v>2646</v>
      </c>
      <c r="AE87" s="426" t="s">
        <v>2646</v>
      </c>
      <c r="AF87" s="426" t="s">
        <v>2646</v>
      </c>
      <c r="AG87" s="426" t="s">
        <v>2646</v>
      </c>
      <c r="AH87" s="426" t="s">
        <v>2646</v>
      </c>
      <c r="AI87" s="426" t="s">
        <v>2646</v>
      </c>
      <c r="AJ87" s="1" t="s">
        <v>2646</v>
      </c>
    </row>
    <row r="88" spans="1:36" s="1" customFormat="1" hidden="1">
      <c r="A88" s="392" t="s">
        <v>1465</v>
      </c>
      <c r="B88" s="427" t="s">
        <v>2650</v>
      </c>
      <c r="C88" s="433" t="s">
        <v>3704</v>
      </c>
      <c r="D88" s="433" t="s">
        <v>3851</v>
      </c>
      <c r="E88" s="433" t="s">
        <v>2928</v>
      </c>
      <c r="F88" s="433" t="s">
        <v>2807</v>
      </c>
      <c r="G88" s="433" t="s">
        <v>2654</v>
      </c>
      <c r="H88" s="433" t="s">
        <v>2654</v>
      </c>
      <c r="I88" s="433" t="s">
        <v>2654</v>
      </c>
      <c r="J88" s="433" t="s">
        <v>2654</v>
      </c>
      <c r="K88" s="433" t="s">
        <v>2654</v>
      </c>
      <c r="L88" s="433" t="s">
        <v>2654</v>
      </c>
      <c r="M88" s="433" t="s">
        <v>2654</v>
      </c>
      <c r="N88" s="433" t="s">
        <v>2654</v>
      </c>
      <c r="O88" s="433" t="s">
        <v>2991</v>
      </c>
      <c r="P88" s="433" t="s">
        <v>4078</v>
      </c>
      <c r="Q88" s="431"/>
      <c r="R88" s="431"/>
      <c r="S88" s="426" t="s">
        <v>2658</v>
      </c>
      <c r="T88" s="426" t="s">
        <v>2646</v>
      </c>
      <c r="U88" s="426" t="s">
        <v>2646</v>
      </c>
      <c r="V88" s="426" t="s">
        <v>2646</v>
      </c>
      <c r="W88" s="426" t="s">
        <v>2892</v>
      </c>
      <c r="X88" s="426" t="s">
        <v>2900</v>
      </c>
      <c r="Y88" s="426" t="s">
        <v>2671</v>
      </c>
      <c r="Z88" s="426" t="s">
        <v>2646</v>
      </c>
      <c r="AA88" s="426" t="s">
        <v>2646</v>
      </c>
      <c r="AB88" s="426" t="s">
        <v>2646</v>
      </c>
      <c r="AC88" s="426" t="s">
        <v>2646</v>
      </c>
      <c r="AD88" s="426" t="s">
        <v>2646</v>
      </c>
      <c r="AE88" s="426" t="s">
        <v>2646</v>
      </c>
      <c r="AF88" s="426" t="s">
        <v>2646</v>
      </c>
      <c r="AG88" s="426" t="s">
        <v>2646</v>
      </c>
      <c r="AH88" s="426" t="s">
        <v>2646</v>
      </c>
      <c r="AI88" s="426" t="s">
        <v>2646</v>
      </c>
      <c r="AJ88" s="1" t="s">
        <v>2646</v>
      </c>
    </row>
    <row r="89" spans="1:36" s="1" customFormat="1" hidden="1">
      <c r="A89" s="392" t="s">
        <v>1466</v>
      </c>
      <c r="B89" s="427" t="s">
        <v>2651</v>
      </c>
      <c r="C89" s="433" t="s">
        <v>3204</v>
      </c>
      <c r="D89" s="433" t="s">
        <v>3710</v>
      </c>
      <c r="E89" s="433" t="s">
        <v>2767</v>
      </c>
      <c r="F89" s="433" t="s">
        <v>2896</v>
      </c>
      <c r="G89" s="433" t="s">
        <v>2654</v>
      </c>
      <c r="H89" s="433" t="s">
        <v>2654</v>
      </c>
      <c r="I89" s="433" t="s">
        <v>2654</v>
      </c>
      <c r="J89" s="433" t="s">
        <v>2654</v>
      </c>
      <c r="K89" s="433" t="s">
        <v>2654</v>
      </c>
      <c r="L89" s="433" t="s">
        <v>2654</v>
      </c>
      <c r="M89" s="433" t="s">
        <v>2654</v>
      </c>
      <c r="N89" s="433" t="s">
        <v>2654</v>
      </c>
      <c r="O89" s="433" t="s">
        <v>2866</v>
      </c>
      <c r="P89" s="433" t="s">
        <v>4057</v>
      </c>
      <c r="Q89" s="431"/>
      <c r="R89" s="431"/>
      <c r="S89" s="426" t="s">
        <v>2885</v>
      </c>
      <c r="T89" s="426" t="s">
        <v>2646</v>
      </c>
      <c r="U89" s="426" t="s">
        <v>2646</v>
      </c>
      <c r="V89" s="426" t="s">
        <v>2646</v>
      </c>
      <c r="W89" s="426" t="s">
        <v>2897</v>
      </c>
      <c r="X89" s="426" t="s">
        <v>2898</v>
      </c>
      <c r="Y89" s="426" t="s">
        <v>2671</v>
      </c>
      <c r="Z89" s="426" t="s">
        <v>2646</v>
      </c>
      <c r="AA89" s="426" t="s">
        <v>2646</v>
      </c>
      <c r="AB89" s="426" t="s">
        <v>2646</v>
      </c>
      <c r="AC89" s="426" t="s">
        <v>2646</v>
      </c>
      <c r="AD89" s="426" t="s">
        <v>2646</v>
      </c>
      <c r="AE89" s="426" t="s">
        <v>2646</v>
      </c>
      <c r="AF89" s="426" t="s">
        <v>2646</v>
      </c>
      <c r="AG89" s="426" t="s">
        <v>2646</v>
      </c>
      <c r="AH89" s="426" t="s">
        <v>2646</v>
      </c>
      <c r="AI89" s="426" t="s">
        <v>2646</v>
      </c>
      <c r="AJ89" s="1" t="s">
        <v>2646</v>
      </c>
    </row>
    <row r="90" spans="1:36" s="1" customFormat="1">
      <c r="A90" s="392" t="s">
        <v>1466</v>
      </c>
      <c r="B90" s="427" t="s">
        <v>48</v>
      </c>
      <c r="C90" s="433" t="s">
        <v>4113</v>
      </c>
      <c r="D90" s="433" t="s">
        <v>3867</v>
      </c>
      <c r="E90" s="433" t="s">
        <v>3243</v>
      </c>
      <c r="F90" s="433" t="s">
        <v>2909</v>
      </c>
      <c r="G90" s="433" t="s">
        <v>2654</v>
      </c>
      <c r="H90" s="433" t="s">
        <v>2654</v>
      </c>
      <c r="I90" s="433" t="s">
        <v>2654</v>
      </c>
      <c r="J90" s="433" t="s">
        <v>2654</v>
      </c>
      <c r="K90" s="433" t="s">
        <v>2654</v>
      </c>
      <c r="L90" s="433" t="s">
        <v>2654</v>
      </c>
      <c r="M90" s="433" t="s">
        <v>2654</v>
      </c>
      <c r="N90" s="433" t="s">
        <v>2654</v>
      </c>
      <c r="O90" s="433" t="s">
        <v>2678</v>
      </c>
      <c r="P90" s="433" t="s">
        <v>3380</v>
      </c>
      <c r="Q90" s="433" t="s">
        <v>2654</v>
      </c>
      <c r="R90" s="433" t="s">
        <v>2654</v>
      </c>
      <c r="S90" s="426"/>
      <c r="T90" s="426"/>
      <c r="U90" s="426"/>
      <c r="V90" s="426"/>
      <c r="W90" s="426"/>
      <c r="X90" s="426"/>
      <c r="Y90" s="426"/>
      <c r="Z90" s="426"/>
      <c r="AA90" s="426"/>
      <c r="AB90" s="426"/>
      <c r="AC90" s="426"/>
      <c r="AD90" s="426"/>
      <c r="AE90" s="426"/>
      <c r="AF90" s="426"/>
      <c r="AG90" s="426"/>
      <c r="AH90" s="426"/>
      <c r="AI90" s="426"/>
    </row>
    <row r="91" spans="1:36" hidden="1">
      <c r="A91" s="392" t="s">
        <v>1467</v>
      </c>
      <c r="B91" s="427" t="s">
        <v>2647</v>
      </c>
      <c r="C91" s="433" t="s">
        <v>3668</v>
      </c>
      <c r="D91" s="433" t="s">
        <v>3710</v>
      </c>
      <c r="E91" s="433" t="s">
        <v>2732</v>
      </c>
      <c r="F91" s="433" t="s">
        <v>2654</v>
      </c>
      <c r="G91" s="433" t="s">
        <v>2654</v>
      </c>
      <c r="H91" s="433" t="s">
        <v>2654</v>
      </c>
      <c r="I91" s="433" t="s">
        <v>2654</v>
      </c>
      <c r="J91" s="433" t="s">
        <v>2654</v>
      </c>
      <c r="K91" s="433" t="s">
        <v>2654</v>
      </c>
      <c r="L91" s="433" t="s">
        <v>2654</v>
      </c>
      <c r="M91" s="433" t="s">
        <v>2654</v>
      </c>
      <c r="N91" s="433" t="s">
        <v>2654</v>
      </c>
      <c r="O91" s="433" t="s">
        <v>2793</v>
      </c>
      <c r="P91" s="433" t="s">
        <v>4078</v>
      </c>
      <c r="Q91" s="431"/>
      <c r="R91" s="431"/>
      <c r="S91" s="426" t="s">
        <v>2660</v>
      </c>
      <c r="T91" s="426" t="s">
        <v>2904</v>
      </c>
      <c r="U91" s="426" t="s">
        <v>2827</v>
      </c>
      <c r="V91" s="426" t="s">
        <v>2747</v>
      </c>
      <c r="W91" s="426" t="s">
        <v>2905</v>
      </c>
      <c r="X91" s="426" t="s">
        <v>2906</v>
      </c>
      <c r="Y91" s="426" t="s">
        <v>2813</v>
      </c>
      <c r="Z91" s="426" t="s">
        <v>2646</v>
      </c>
      <c r="AA91" s="426" t="s">
        <v>2646</v>
      </c>
      <c r="AB91" s="426" t="s">
        <v>2646</v>
      </c>
      <c r="AC91" s="426" t="s">
        <v>2646</v>
      </c>
      <c r="AD91" s="426" t="s">
        <v>2646</v>
      </c>
      <c r="AE91" s="426" t="s">
        <v>2646</v>
      </c>
      <c r="AF91" s="426" t="s">
        <v>2646</v>
      </c>
      <c r="AG91" s="426" t="s">
        <v>2646</v>
      </c>
      <c r="AH91" s="426" t="s">
        <v>2646</v>
      </c>
      <c r="AI91" s="426" t="s">
        <v>2646</v>
      </c>
      <c r="AJ91" s="68" t="s">
        <v>2646</v>
      </c>
    </row>
    <row r="92" spans="1:36" s="1" customFormat="1" hidden="1">
      <c r="A92" s="392" t="s">
        <v>1468</v>
      </c>
      <c r="B92" s="427" t="s">
        <v>2648</v>
      </c>
      <c r="C92" s="433" t="s">
        <v>3990</v>
      </c>
      <c r="D92" s="433" t="s">
        <v>3710</v>
      </c>
      <c r="E92" s="433" t="s">
        <v>2724</v>
      </c>
      <c r="F92" s="433" t="s">
        <v>2654</v>
      </c>
      <c r="G92" s="433" t="s">
        <v>2654</v>
      </c>
      <c r="H92" s="433" t="s">
        <v>2654</v>
      </c>
      <c r="I92" s="433" t="s">
        <v>2654</v>
      </c>
      <c r="J92" s="433" t="s">
        <v>2654</v>
      </c>
      <c r="K92" s="433" t="s">
        <v>2654</v>
      </c>
      <c r="L92" s="433" t="s">
        <v>2654</v>
      </c>
      <c r="M92" s="433" t="s">
        <v>2654</v>
      </c>
      <c r="N92" s="433" t="s">
        <v>2654</v>
      </c>
      <c r="O92" s="433" t="s">
        <v>2793</v>
      </c>
      <c r="P92" s="433" t="s">
        <v>4057</v>
      </c>
      <c r="Q92" s="431"/>
      <c r="R92" s="431"/>
      <c r="S92" s="426" t="s">
        <v>2664</v>
      </c>
      <c r="T92" s="426" t="s">
        <v>2779</v>
      </c>
      <c r="U92" s="426" t="s">
        <v>2820</v>
      </c>
      <c r="V92" s="426" t="s">
        <v>2861</v>
      </c>
      <c r="W92" s="426" t="s">
        <v>2905</v>
      </c>
      <c r="X92" s="426" t="s">
        <v>2906</v>
      </c>
      <c r="Y92" s="426" t="s">
        <v>2813</v>
      </c>
      <c r="Z92" s="426" t="s">
        <v>2646</v>
      </c>
      <c r="AA92" s="426" t="s">
        <v>2646</v>
      </c>
      <c r="AB92" s="426" t="s">
        <v>2646</v>
      </c>
      <c r="AC92" s="426" t="s">
        <v>2646</v>
      </c>
      <c r="AD92" s="426" t="s">
        <v>2646</v>
      </c>
      <c r="AE92" s="426" t="s">
        <v>2646</v>
      </c>
      <c r="AF92" s="426" t="s">
        <v>2646</v>
      </c>
      <c r="AG92" s="426" t="s">
        <v>2646</v>
      </c>
      <c r="AH92" s="426" t="s">
        <v>2646</v>
      </c>
      <c r="AI92" s="426" t="s">
        <v>2646</v>
      </c>
      <c r="AJ92" s="1" t="s">
        <v>2646</v>
      </c>
    </row>
    <row r="93" spans="1:36" s="1" customFormat="1" hidden="1">
      <c r="A93" s="392" t="s">
        <v>1469</v>
      </c>
      <c r="B93" s="427" t="s">
        <v>2649</v>
      </c>
      <c r="C93" s="433" t="s">
        <v>3059</v>
      </c>
      <c r="D93" s="433" t="s">
        <v>3851</v>
      </c>
      <c r="E93" s="433" t="s">
        <v>2680</v>
      </c>
      <c r="F93" s="433" t="s">
        <v>2654</v>
      </c>
      <c r="G93" s="433" t="s">
        <v>2654</v>
      </c>
      <c r="H93" s="433" t="s">
        <v>2654</v>
      </c>
      <c r="I93" s="433" t="s">
        <v>2654</v>
      </c>
      <c r="J93" s="433" t="s">
        <v>2654</v>
      </c>
      <c r="K93" s="433" t="s">
        <v>2654</v>
      </c>
      <c r="L93" s="433" t="s">
        <v>2654</v>
      </c>
      <c r="M93" s="433" t="s">
        <v>2654</v>
      </c>
      <c r="N93" s="433" t="s">
        <v>2654</v>
      </c>
      <c r="O93" s="433" t="s">
        <v>2654</v>
      </c>
      <c r="P93" s="433" t="s">
        <v>4080</v>
      </c>
      <c r="Q93" s="431"/>
      <c r="R93" s="431"/>
      <c r="S93" s="426" t="s">
        <v>2658</v>
      </c>
      <c r="T93" s="426" t="s">
        <v>2748</v>
      </c>
      <c r="U93" s="426" t="s">
        <v>2827</v>
      </c>
      <c r="V93" s="426" t="s">
        <v>2837</v>
      </c>
      <c r="W93" s="426" t="s">
        <v>2905</v>
      </c>
      <c r="X93" s="426" t="s">
        <v>2906</v>
      </c>
      <c r="Y93" s="426" t="s">
        <v>2813</v>
      </c>
      <c r="Z93" s="426" t="s">
        <v>2646</v>
      </c>
      <c r="AA93" s="426" t="s">
        <v>2646</v>
      </c>
      <c r="AB93" s="426" t="s">
        <v>2646</v>
      </c>
      <c r="AC93" s="426" t="s">
        <v>2646</v>
      </c>
      <c r="AD93" s="426" t="s">
        <v>2646</v>
      </c>
      <c r="AE93" s="426" t="s">
        <v>2646</v>
      </c>
      <c r="AF93" s="426" t="s">
        <v>2646</v>
      </c>
      <c r="AG93" s="426" t="s">
        <v>2646</v>
      </c>
      <c r="AH93" s="426" t="s">
        <v>2646</v>
      </c>
      <c r="AI93" s="426" t="s">
        <v>2646</v>
      </c>
      <c r="AJ93" s="1" t="s">
        <v>2646</v>
      </c>
    </row>
    <row r="94" spans="1:36" s="1" customFormat="1" hidden="1">
      <c r="A94" s="392" t="s">
        <v>1470</v>
      </c>
      <c r="B94" s="427" t="s">
        <v>2650</v>
      </c>
      <c r="C94" s="433" t="s">
        <v>3863</v>
      </c>
      <c r="D94" s="433" t="s">
        <v>3851</v>
      </c>
      <c r="E94" s="433" t="s">
        <v>2680</v>
      </c>
      <c r="F94" s="433" t="s">
        <v>2654</v>
      </c>
      <c r="G94" s="433" t="s">
        <v>2654</v>
      </c>
      <c r="H94" s="433" t="s">
        <v>2654</v>
      </c>
      <c r="I94" s="433" t="s">
        <v>2654</v>
      </c>
      <c r="J94" s="433" t="s">
        <v>2654</v>
      </c>
      <c r="K94" s="433" t="s">
        <v>2654</v>
      </c>
      <c r="L94" s="433" t="s">
        <v>2654</v>
      </c>
      <c r="M94" s="433" t="s">
        <v>2654</v>
      </c>
      <c r="N94" s="433" t="s">
        <v>2654</v>
      </c>
      <c r="O94" s="433" t="s">
        <v>2654</v>
      </c>
      <c r="P94" s="433" t="s">
        <v>4083</v>
      </c>
      <c r="Q94" s="431"/>
      <c r="R94" s="431"/>
      <c r="S94" s="426" t="s">
        <v>2768</v>
      </c>
      <c r="T94" s="426" t="s">
        <v>2712</v>
      </c>
      <c r="U94" s="426" t="s">
        <v>2910</v>
      </c>
      <c r="V94" s="426" t="s">
        <v>2910</v>
      </c>
      <c r="W94" s="426" t="s">
        <v>2891</v>
      </c>
      <c r="X94" s="426" t="s">
        <v>2840</v>
      </c>
      <c r="Y94" s="426" t="s">
        <v>2813</v>
      </c>
      <c r="Z94" s="426" t="s">
        <v>2646</v>
      </c>
      <c r="AA94" s="426" t="s">
        <v>2646</v>
      </c>
      <c r="AB94" s="426" t="s">
        <v>2646</v>
      </c>
      <c r="AC94" s="426" t="s">
        <v>2646</v>
      </c>
      <c r="AD94" s="426" t="s">
        <v>2646</v>
      </c>
      <c r="AE94" s="426" t="s">
        <v>2646</v>
      </c>
      <c r="AF94" s="426" t="s">
        <v>2646</v>
      </c>
      <c r="AG94" s="426" t="s">
        <v>2646</v>
      </c>
      <c r="AH94" s="426" t="s">
        <v>2646</v>
      </c>
      <c r="AI94" s="426" t="s">
        <v>2646</v>
      </c>
      <c r="AJ94" s="1" t="s">
        <v>2646</v>
      </c>
    </row>
    <row r="95" spans="1:36" s="1" customFormat="1" hidden="1">
      <c r="A95" s="392" t="s">
        <v>1471</v>
      </c>
      <c r="B95" s="427" t="s">
        <v>2651</v>
      </c>
      <c r="C95" s="433" t="s">
        <v>3642</v>
      </c>
      <c r="D95" s="433" t="s">
        <v>3676</v>
      </c>
      <c r="E95" s="433" t="s">
        <v>2680</v>
      </c>
      <c r="F95" s="433" t="s">
        <v>2654</v>
      </c>
      <c r="G95" s="433" t="s">
        <v>2654</v>
      </c>
      <c r="H95" s="433" t="s">
        <v>2654</v>
      </c>
      <c r="I95" s="433" t="s">
        <v>2654</v>
      </c>
      <c r="J95" s="433" t="s">
        <v>2654</v>
      </c>
      <c r="K95" s="433" t="s">
        <v>2654</v>
      </c>
      <c r="L95" s="433" t="s">
        <v>2654</v>
      </c>
      <c r="M95" s="433" t="s">
        <v>2654</v>
      </c>
      <c r="N95" s="433" t="s">
        <v>2654</v>
      </c>
      <c r="O95" s="433" t="s">
        <v>2654</v>
      </c>
      <c r="P95" s="433" t="s">
        <v>4059</v>
      </c>
      <c r="Q95" s="431"/>
      <c r="R95" s="431"/>
      <c r="S95" s="426" t="s">
        <v>2660</v>
      </c>
      <c r="T95" s="426" t="s">
        <v>2904</v>
      </c>
      <c r="U95" s="426" t="s">
        <v>2827</v>
      </c>
      <c r="V95" s="426" t="s">
        <v>2747</v>
      </c>
      <c r="W95" s="426" t="s">
        <v>2905</v>
      </c>
      <c r="X95" s="426" t="s">
        <v>2906</v>
      </c>
      <c r="Y95" s="426" t="s">
        <v>2813</v>
      </c>
      <c r="Z95" s="426" t="s">
        <v>2646</v>
      </c>
      <c r="AA95" s="426" t="s">
        <v>2646</v>
      </c>
      <c r="AB95" s="426" t="s">
        <v>2646</v>
      </c>
      <c r="AC95" s="426" t="s">
        <v>2646</v>
      </c>
      <c r="AD95" s="426" t="s">
        <v>2646</v>
      </c>
      <c r="AE95" s="426" t="s">
        <v>2646</v>
      </c>
      <c r="AF95" s="426" t="s">
        <v>2646</v>
      </c>
      <c r="AG95" s="426" t="s">
        <v>2646</v>
      </c>
      <c r="AH95" s="426" t="s">
        <v>2646</v>
      </c>
      <c r="AI95" s="426" t="s">
        <v>2646</v>
      </c>
      <c r="AJ95" s="1" t="s">
        <v>2646</v>
      </c>
    </row>
    <row r="96" spans="1:36" s="1" customFormat="1">
      <c r="A96" s="392" t="s">
        <v>1471</v>
      </c>
      <c r="B96" s="427" t="s">
        <v>48</v>
      </c>
      <c r="C96" s="433" t="s">
        <v>3883</v>
      </c>
      <c r="D96" s="433" t="s">
        <v>3364</v>
      </c>
      <c r="E96" s="433" t="s">
        <v>3145</v>
      </c>
      <c r="F96" s="433" t="s">
        <v>2654</v>
      </c>
      <c r="G96" s="433" t="s">
        <v>2654</v>
      </c>
      <c r="H96" s="433" t="s">
        <v>2654</v>
      </c>
      <c r="I96" s="433" t="s">
        <v>2654</v>
      </c>
      <c r="J96" s="433" t="s">
        <v>2654</v>
      </c>
      <c r="K96" s="433" t="s">
        <v>2654</v>
      </c>
      <c r="L96" s="433" t="s">
        <v>2654</v>
      </c>
      <c r="M96" s="433" t="s">
        <v>2654</v>
      </c>
      <c r="N96" s="433" t="s">
        <v>2654</v>
      </c>
      <c r="O96" s="433" t="s">
        <v>2654</v>
      </c>
      <c r="P96" s="433" t="s">
        <v>4089</v>
      </c>
      <c r="Q96" s="433" t="s">
        <v>2654</v>
      </c>
      <c r="R96" s="433" t="s">
        <v>2654</v>
      </c>
      <c r="S96" s="426"/>
      <c r="T96" s="426"/>
      <c r="U96" s="426"/>
      <c r="V96" s="426"/>
      <c r="W96" s="426"/>
      <c r="X96" s="426"/>
      <c r="Y96" s="426"/>
      <c r="Z96" s="426"/>
      <c r="AA96" s="426"/>
      <c r="AB96" s="426"/>
      <c r="AC96" s="426"/>
      <c r="AD96" s="426"/>
      <c r="AE96" s="426"/>
      <c r="AF96" s="426"/>
      <c r="AG96" s="426"/>
      <c r="AH96" s="426"/>
      <c r="AI96" s="426"/>
    </row>
    <row r="97" spans="1:36" s="1" customFormat="1" hidden="1">
      <c r="A97" s="392" t="s">
        <v>1472</v>
      </c>
      <c r="B97" s="427" t="s">
        <v>2647</v>
      </c>
      <c r="C97" s="433" t="s">
        <v>3244</v>
      </c>
      <c r="D97" s="433" t="s">
        <v>3686</v>
      </c>
      <c r="E97" s="433" t="s">
        <v>2654</v>
      </c>
      <c r="F97" s="433" t="s">
        <v>2654</v>
      </c>
      <c r="G97" s="433" t="s">
        <v>2654</v>
      </c>
      <c r="H97" s="433" t="s">
        <v>2654</v>
      </c>
      <c r="I97" s="433" t="s">
        <v>2654</v>
      </c>
      <c r="J97" s="433" t="s">
        <v>2654</v>
      </c>
      <c r="K97" s="433" t="s">
        <v>2654</v>
      </c>
      <c r="L97" s="433" t="s">
        <v>2654</v>
      </c>
      <c r="M97" s="433" t="s">
        <v>2654</v>
      </c>
      <c r="N97" s="433" t="s">
        <v>2654</v>
      </c>
      <c r="O97" s="433" t="s">
        <v>2654</v>
      </c>
      <c r="P97" s="433" t="s">
        <v>4061</v>
      </c>
      <c r="Q97" s="431"/>
      <c r="R97" s="431"/>
      <c r="S97" s="426" t="s">
        <v>2665</v>
      </c>
      <c r="T97" s="426" t="s">
        <v>2918</v>
      </c>
      <c r="U97" s="426" t="s">
        <v>2711</v>
      </c>
      <c r="V97" s="426" t="s">
        <v>2919</v>
      </c>
      <c r="W97" s="426" t="s">
        <v>2905</v>
      </c>
      <c r="X97" s="426" t="s">
        <v>2920</v>
      </c>
      <c r="Y97" s="426" t="s">
        <v>2727</v>
      </c>
      <c r="Z97" s="426" t="s">
        <v>2646</v>
      </c>
      <c r="AA97" s="426" t="s">
        <v>2646</v>
      </c>
      <c r="AB97" s="426" t="s">
        <v>2646</v>
      </c>
      <c r="AC97" s="426" t="s">
        <v>2646</v>
      </c>
      <c r="AD97" s="426" t="s">
        <v>2646</v>
      </c>
      <c r="AE97" s="426" t="s">
        <v>2646</v>
      </c>
      <c r="AF97" s="426" t="s">
        <v>2646</v>
      </c>
      <c r="AG97" s="426" t="s">
        <v>2646</v>
      </c>
      <c r="AH97" s="426" t="s">
        <v>2646</v>
      </c>
      <c r="AI97" s="426" t="s">
        <v>2646</v>
      </c>
      <c r="AJ97" s="1" t="s">
        <v>2646</v>
      </c>
    </row>
    <row r="98" spans="1:36" s="1" customFormat="1" hidden="1">
      <c r="A98" s="392" t="s">
        <v>1473</v>
      </c>
      <c r="B98" s="427" t="s">
        <v>2648</v>
      </c>
      <c r="C98" s="433" t="s">
        <v>3708</v>
      </c>
      <c r="D98" s="433" t="s">
        <v>3710</v>
      </c>
      <c r="E98" s="433" t="s">
        <v>2654</v>
      </c>
      <c r="F98" s="433" t="s">
        <v>2654</v>
      </c>
      <c r="G98" s="433" t="s">
        <v>2654</v>
      </c>
      <c r="H98" s="433" t="s">
        <v>2654</v>
      </c>
      <c r="I98" s="433" t="s">
        <v>2654</v>
      </c>
      <c r="J98" s="433" t="s">
        <v>2654</v>
      </c>
      <c r="K98" s="433" t="s">
        <v>2654</v>
      </c>
      <c r="L98" s="433" t="s">
        <v>2654</v>
      </c>
      <c r="M98" s="433" t="s">
        <v>2654</v>
      </c>
      <c r="N98" s="433" t="s">
        <v>2654</v>
      </c>
      <c r="O98" s="433" t="s">
        <v>2654</v>
      </c>
      <c r="P98" s="433" t="s">
        <v>4057</v>
      </c>
      <c r="Q98" s="431"/>
      <c r="R98" s="431"/>
      <c r="S98" s="426" t="s">
        <v>2658</v>
      </c>
      <c r="T98" s="426" t="s">
        <v>2922</v>
      </c>
      <c r="U98" s="426" t="s">
        <v>2923</v>
      </c>
      <c r="V98" s="426" t="s">
        <v>2924</v>
      </c>
      <c r="W98" s="426" t="s">
        <v>2925</v>
      </c>
      <c r="X98" s="426" t="s">
        <v>2926</v>
      </c>
      <c r="Y98" s="426" t="s">
        <v>2727</v>
      </c>
      <c r="Z98" s="426" t="s">
        <v>2646</v>
      </c>
      <c r="AA98" s="426" t="s">
        <v>2646</v>
      </c>
      <c r="AB98" s="426" t="s">
        <v>2646</v>
      </c>
      <c r="AC98" s="426" t="s">
        <v>2646</v>
      </c>
      <c r="AD98" s="426" t="s">
        <v>2646</v>
      </c>
      <c r="AE98" s="426" t="s">
        <v>2646</v>
      </c>
      <c r="AF98" s="426" t="s">
        <v>2646</v>
      </c>
      <c r="AG98" s="426" t="s">
        <v>2646</v>
      </c>
      <c r="AH98" s="426" t="s">
        <v>2646</v>
      </c>
      <c r="AI98" s="426" t="s">
        <v>2646</v>
      </c>
      <c r="AJ98" s="1" t="s">
        <v>2646</v>
      </c>
    </row>
    <row r="99" spans="1:36" s="1" customFormat="1" hidden="1">
      <c r="A99" s="392" t="s">
        <v>1474</v>
      </c>
      <c r="B99" s="427" t="s">
        <v>2649</v>
      </c>
      <c r="C99" s="433" t="s">
        <v>3244</v>
      </c>
      <c r="D99" s="433" t="s">
        <v>3710</v>
      </c>
      <c r="E99" s="433" t="s">
        <v>2654</v>
      </c>
      <c r="F99" s="433" t="s">
        <v>2654</v>
      </c>
      <c r="G99" s="433" t="s">
        <v>2654</v>
      </c>
      <c r="H99" s="433" t="s">
        <v>2654</v>
      </c>
      <c r="I99" s="433" t="s">
        <v>2654</v>
      </c>
      <c r="J99" s="433" t="s">
        <v>2654</v>
      </c>
      <c r="K99" s="433" t="s">
        <v>2654</v>
      </c>
      <c r="L99" s="433" t="s">
        <v>2654</v>
      </c>
      <c r="M99" s="433" t="s">
        <v>2654</v>
      </c>
      <c r="N99" s="433" t="s">
        <v>2654</v>
      </c>
      <c r="O99" s="433" t="s">
        <v>2654</v>
      </c>
      <c r="P99" s="433" t="s">
        <v>4059</v>
      </c>
      <c r="Q99" s="431"/>
      <c r="R99" s="431"/>
      <c r="S99" s="426" t="s">
        <v>2860</v>
      </c>
      <c r="T99" s="426" t="s">
        <v>2929</v>
      </c>
      <c r="U99" s="426" t="s">
        <v>2930</v>
      </c>
      <c r="V99" s="426" t="s">
        <v>2931</v>
      </c>
      <c r="W99" s="426" t="s">
        <v>2905</v>
      </c>
      <c r="X99" s="426" t="s">
        <v>2920</v>
      </c>
      <c r="Y99" s="426" t="s">
        <v>2727</v>
      </c>
      <c r="Z99" s="426" t="s">
        <v>2646</v>
      </c>
      <c r="AA99" s="426" t="s">
        <v>2646</v>
      </c>
      <c r="AB99" s="426" t="s">
        <v>2646</v>
      </c>
      <c r="AC99" s="426" t="s">
        <v>2646</v>
      </c>
      <c r="AD99" s="426" t="s">
        <v>2646</v>
      </c>
      <c r="AE99" s="426" t="s">
        <v>2646</v>
      </c>
      <c r="AF99" s="426" t="s">
        <v>2646</v>
      </c>
      <c r="AG99" s="426" t="s">
        <v>2646</v>
      </c>
      <c r="AH99" s="426" t="s">
        <v>2646</v>
      </c>
      <c r="AI99" s="426" t="s">
        <v>2646</v>
      </c>
      <c r="AJ99" s="1" t="s">
        <v>2646</v>
      </c>
    </row>
    <row r="100" spans="1:36" s="1" customFormat="1" hidden="1">
      <c r="A100" s="392" t="s">
        <v>1475</v>
      </c>
      <c r="B100" s="427" t="s">
        <v>2650</v>
      </c>
      <c r="C100" s="433" t="s">
        <v>3482</v>
      </c>
      <c r="D100" s="433" t="s">
        <v>3851</v>
      </c>
      <c r="E100" s="433" t="s">
        <v>2654</v>
      </c>
      <c r="F100" s="433" t="s">
        <v>2654</v>
      </c>
      <c r="G100" s="433" t="s">
        <v>2654</v>
      </c>
      <c r="H100" s="433" t="s">
        <v>2654</v>
      </c>
      <c r="I100" s="433" t="s">
        <v>2654</v>
      </c>
      <c r="J100" s="433" t="s">
        <v>2654</v>
      </c>
      <c r="K100" s="433" t="s">
        <v>2654</v>
      </c>
      <c r="L100" s="433" t="s">
        <v>2654</v>
      </c>
      <c r="M100" s="433" t="s">
        <v>2654</v>
      </c>
      <c r="N100" s="433" t="s">
        <v>2654</v>
      </c>
      <c r="O100" s="433" t="s">
        <v>2654</v>
      </c>
      <c r="P100" s="433" t="s">
        <v>4061</v>
      </c>
      <c r="Q100" s="431"/>
      <c r="R100" s="431"/>
      <c r="S100" s="426" t="s">
        <v>2844</v>
      </c>
      <c r="T100" s="426" t="s">
        <v>2691</v>
      </c>
      <c r="U100" s="426" t="s">
        <v>2845</v>
      </c>
      <c r="V100" s="426" t="s">
        <v>2755</v>
      </c>
      <c r="W100" s="426" t="s">
        <v>2891</v>
      </c>
      <c r="X100" s="426" t="s">
        <v>2873</v>
      </c>
      <c r="Y100" s="426" t="s">
        <v>2727</v>
      </c>
      <c r="Z100" s="426" t="s">
        <v>2646</v>
      </c>
      <c r="AA100" s="426" t="s">
        <v>2646</v>
      </c>
      <c r="AB100" s="426" t="s">
        <v>2646</v>
      </c>
      <c r="AC100" s="426" t="s">
        <v>2646</v>
      </c>
      <c r="AD100" s="426" t="s">
        <v>2646</v>
      </c>
      <c r="AE100" s="426" t="s">
        <v>2646</v>
      </c>
      <c r="AF100" s="426" t="s">
        <v>2646</v>
      </c>
      <c r="AG100" s="426" t="s">
        <v>2646</v>
      </c>
      <c r="AH100" s="426" t="s">
        <v>2646</v>
      </c>
      <c r="AI100" s="426" t="s">
        <v>2646</v>
      </c>
      <c r="AJ100" s="1" t="s">
        <v>2646</v>
      </c>
    </row>
    <row r="101" spans="1:36" hidden="1">
      <c r="A101" s="392" t="s">
        <v>1476</v>
      </c>
      <c r="B101" s="427" t="s">
        <v>2651</v>
      </c>
      <c r="C101" s="433" t="s">
        <v>3708</v>
      </c>
      <c r="D101" s="433" t="s">
        <v>3364</v>
      </c>
      <c r="E101" s="433" t="s">
        <v>2654</v>
      </c>
      <c r="F101" s="433" t="s">
        <v>2654</v>
      </c>
      <c r="G101" s="433" t="s">
        <v>2654</v>
      </c>
      <c r="H101" s="433" t="s">
        <v>2654</v>
      </c>
      <c r="I101" s="433" t="s">
        <v>2654</v>
      </c>
      <c r="J101" s="433" t="s">
        <v>2654</v>
      </c>
      <c r="K101" s="433" t="s">
        <v>2654</v>
      </c>
      <c r="L101" s="433" t="s">
        <v>2654</v>
      </c>
      <c r="M101" s="433" t="s">
        <v>2654</v>
      </c>
      <c r="N101" s="433" t="s">
        <v>2654</v>
      </c>
      <c r="O101" s="433" t="s">
        <v>2654</v>
      </c>
      <c r="P101" s="433" t="s">
        <v>4080</v>
      </c>
      <c r="Q101" s="431"/>
      <c r="R101" s="431"/>
      <c r="S101" s="426" t="s">
        <v>2665</v>
      </c>
      <c r="T101" s="426" t="s">
        <v>2918</v>
      </c>
      <c r="U101" s="426" t="s">
        <v>2711</v>
      </c>
      <c r="V101" s="426" t="s">
        <v>2919</v>
      </c>
      <c r="W101" s="426" t="s">
        <v>2905</v>
      </c>
      <c r="X101" s="426" t="s">
        <v>2920</v>
      </c>
      <c r="Y101" s="426" t="s">
        <v>2727</v>
      </c>
      <c r="Z101" s="426" t="s">
        <v>2646</v>
      </c>
      <c r="AA101" s="426" t="s">
        <v>2646</v>
      </c>
      <c r="AB101" s="426" t="s">
        <v>2646</v>
      </c>
      <c r="AC101" s="426" t="s">
        <v>2646</v>
      </c>
      <c r="AD101" s="426" t="s">
        <v>2646</v>
      </c>
      <c r="AE101" s="426" t="s">
        <v>2646</v>
      </c>
      <c r="AF101" s="426" t="s">
        <v>2646</v>
      </c>
      <c r="AG101" s="426" t="s">
        <v>2646</v>
      </c>
      <c r="AH101" s="426" t="s">
        <v>2646</v>
      </c>
      <c r="AI101" s="426" t="s">
        <v>2646</v>
      </c>
      <c r="AJ101" s="68" t="s">
        <v>2646</v>
      </c>
    </row>
    <row r="102" spans="1:36" s="1" customFormat="1">
      <c r="A102" s="392" t="s">
        <v>1476</v>
      </c>
      <c r="B102" s="427" t="s">
        <v>48</v>
      </c>
      <c r="C102" s="433" t="s">
        <v>4114</v>
      </c>
      <c r="D102" s="433" t="s">
        <v>3867</v>
      </c>
      <c r="E102" s="433" t="s">
        <v>2654</v>
      </c>
      <c r="F102" s="433" t="s">
        <v>2654</v>
      </c>
      <c r="G102" s="433" t="s">
        <v>2654</v>
      </c>
      <c r="H102" s="433" t="s">
        <v>2654</v>
      </c>
      <c r="I102" s="433" t="s">
        <v>2654</v>
      </c>
      <c r="J102" s="433" t="s">
        <v>2654</v>
      </c>
      <c r="K102" s="433" t="s">
        <v>2654</v>
      </c>
      <c r="L102" s="433" t="s">
        <v>2654</v>
      </c>
      <c r="M102" s="433" t="s">
        <v>2654</v>
      </c>
      <c r="N102" s="433" t="s">
        <v>2654</v>
      </c>
      <c r="O102" s="433" t="s">
        <v>2654</v>
      </c>
      <c r="P102" s="433" t="s">
        <v>3380</v>
      </c>
      <c r="Q102" s="433" t="s">
        <v>2654</v>
      </c>
      <c r="R102" s="433" t="s">
        <v>2654</v>
      </c>
      <c r="S102" s="426"/>
      <c r="T102" s="426"/>
      <c r="U102" s="426"/>
      <c r="V102" s="426"/>
      <c r="W102" s="426"/>
      <c r="X102" s="426"/>
      <c r="Y102" s="426"/>
      <c r="Z102" s="426"/>
      <c r="AA102" s="426"/>
      <c r="AB102" s="426"/>
      <c r="AC102" s="426"/>
      <c r="AD102" s="426"/>
      <c r="AE102" s="426"/>
      <c r="AF102" s="426"/>
      <c r="AG102" s="426"/>
      <c r="AH102" s="426"/>
      <c r="AI102" s="426"/>
    </row>
    <row r="103" spans="1:36" s="1" customFormat="1" hidden="1">
      <c r="A103" s="392" t="s">
        <v>1477</v>
      </c>
      <c r="B103" s="427" t="s">
        <v>2647</v>
      </c>
      <c r="C103" s="433" t="s">
        <v>3696</v>
      </c>
      <c r="D103" s="433" t="s">
        <v>3710</v>
      </c>
      <c r="E103" s="433" t="s">
        <v>2654</v>
      </c>
      <c r="F103" s="433" t="s">
        <v>2654</v>
      </c>
      <c r="G103" s="433" t="s">
        <v>2654</v>
      </c>
      <c r="H103" s="433" t="s">
        <v>2654</v>
      </c>
      <c r="I103" s="433" t="s">
        <v>2654</v>
      </c>
      <c r="J103" s="433" t="s">
        <v>2654</v>
      </c>
      <c r="K103" s="433" t="s">
        <v>2654</v>
      </c>
      <c r="L103" s="433" t="s">
        <v>2654</v>
      </c>
      <c r="M103" s="433" t="s">
        <v>2654</v>
      </c>
      <c r="N103" s="433" t="s">
        <v>2654</v>
      </c>
      <c r="O103" s="433" t="s">
        <v>2654</v>
      </c>
      <c r="P103" s="433" t="s">
        <v>4078</v>
      </c>
      <c r="Q103" s="431"/>
      <c r="R103" s="431"/>
      <c r="S103" s="426" t="s">
        <v>2768</v>
      </c>
      <c r="T103" s="426" t="s">
        <v>2936</v>
      </c>
      <c r="U103" s="426" t="s">
        <v>2937</v>
      </c>
      <c r="V103" s="426" t="s">
        <v>2735</v>
      </c>
      <c r="W103" s="426" t="s">
        <v>2938</v>
      </c>
      <c r="X103" s="426" t="s">
        <v>2939</v>
      </c>
      <c r="Y103" s="426" t="s">
        <v>2940</v>
      </c>
      <c r="Z103" s="426" t="s">
        <v>2646</v>
      </c>
      <c r="AA103" s="426" t="s">
        <v>2646</v>
      </c>
      <c r="AB103" s="426" t="s">
        <v>2646</v>
      </c>
      <c r="AC103" s="426" t="s">
        <v>2646</v>
      </c>
      <c r="AD103" s="426" t="s">
        <v>2646</v>
      </c>
      <c r="AE103" s="426" t="s">
        <v>2646</v>
      </c>
      <c r="AF103" s="426" t="s">
        <v>2646</v>
      </c>
      <c r="AG103" s="426" t="s">
        <v>2646</v>
      </c>
      <c r="AH103" s="426" t="s">
        <v>2646</v>
      </c>
      <c r="AI103" s="426" t="s">
        <v>2646</v>
      </c>
      <c r="AJ103" s="1" t="s">
        <v>2646</v>
      </c>
    </row>
    <row r="104" spans="1:36" s="1" customFormat="1" hidden="1">
      <c r="A104" s="392" t="s">
        <v>1478</v>
      </c>
      <c r="B104" s="427" t="s">
        <v>2648</v>
      </c>
      <c r="C104" s="433" t="s">
        <v>3627</v>
      </c>
      <c r="D104" s="433" t="s">
        <v>3364</v>
      </c>
      <c r="E104" s="433" t="s">
        <v>2654</v>
      </c>
      <c r="F104" s="433" t="s">
        <v>2654</v>
      </c>
      <c r="G104" s="433" t="s">
        <v>2654</v>
      </c>
      <c r="H104" s="433" t="s">
        <v>2654</v>
      </c>
      <c r="I104" s="433" t="s">
        <v>2654</v>
      </c>
      <c r="J104" s="433" t="s">
        <v>2654</v>
      </c>
      <c r="K104" s="433" t="s">
        <v>2654</v>
      </c>
      <c r="L104" s="433" t="s">
        <v>2654</v>
      </c>
      <c r="M104" s="433" t="s">
        <v>2654</v>
      </c>
      <c r="N104" s="433" t="s">
        <v>2654</v>
      </c>
      <c r="O104" s="433" t="s">
        <v>2654</v>
      </c>
      <c r="P104" s="433" t="s">
        <v>4087</v>
      </c>
      <c r="Q104" s="431"/>
      <c r="R104" s="431"/>
      <c r="S104" s="426" t="s">
        <v>2768</v>
      </c>
      <c r="T104" s="426" t="s">
        <v>2861</v>
      </c>
      <c r="U104" s="426" t="s">
        <v>2941</v>
      </c>
      <c r="V104" s="426" t="s">
        <v>2941</v>
      </c>
      <c r="W104" s="426" t="s">
        <v>2942</v>
      </c>
      <c r="X104" s="426" t="s">
        <v>2939</v>
      </c>
      <c r="Y104" s="426" t="s">
        <v>2900</v>
      </c>
      <c r="Z104" s="426" t="s">
        <v>2646</v>
      </c>
      <c r="AA104" s="426" t="s">
        <v>2646</v>
      </c>
      <c r="AB104" s="426" t="s">
        <v>2646</v>
      </c>
      <c r="AC104" s="426" t="s">
        <v>2646</v>
      </c>
      <c r="AD104" s="426" t="s">
        <v>2646</v>
      </c>
      <c r="AE104" s="426" t="s">
        <v>2646</v>
      </c>
      <c r="AF104" s="426" t="s">
        <v>2646</v>
      </c>
      <c r="AG104" s="426" t="s">
        <v>2646</v>
      </c>
      <c r="AH104" s="426" t="s">
        <v>2646</v>
      </c>
      <c r="AI104" s="426" t="s">
        <v>2646</v>
      </c>
      <c r="AJ104" s="1" t="s">
        <v>2646</v>
      </c>
    </row>
    <row r="105" spans="1:36" s="1" customFormat="1" hidden="1">
      <c r="A105" s="392" t="s">
        <v>1479</v>
      </c>
      <c r="B105" s="427" t="s">
        <v>2649</v>
      </c>
      <c r="C105" s="433" t="s">
        <v>3735</v>
      </c>
      <c r="D105" s="433" t="s">
        <v>3364</v>
      </c>
      <c r="E105" s="433" t="s">
        <v>2654</v>
      </c>
      <c r="F105" s="433" t="s">
        <v>2654</v>
      </c>
      <c r="G105" s="433" t="s">
        <v>2654</v>
      </c>
      <c r="H105" s="433" t="s">
        <v>2654</v>
      </c>
      <c r="I105" s="433" t="s">
        <v>2654</v>
      </c>
      <c r="J105" s="433" t="s">
        <v>2654</v>
      </c>
      <c r="K105" s="433" t="s">
        <v>2654</v>
      </c>
      <c r="L105" s="433" t="s">
        <v>2654</v>
      </c>
      <c r="M105" s="433" t="s">
        <v>2654</v>
      </c>
      <c r="N105" s="433" t="s">
        <v>2654</v>
      </c>
      <c r="O105" s="433" t="s">
        <v>2654</v>
      </c>
      <c r="P105" s="433" t="s">
        <v>4078</v>
      </c>
      <c r="Q105" s="431"/>
      <c r="R105" s="431"/>
      <c r="S105" s="426" t="s">
        <v>2660</v>
      </c>
      <c r="T105" s="426" t="s">
        <v>2734</v>
      </c>
      <c r="U105" s="426" t="s">
        <v>2944</v>
      </c>
      <c r="V105" s="426" t="s">
        <v>2774</v>
      </c>
      <c r="W105" s="426" t="s">
        <v>2945</v>
      </c>
      <c r="X105" s="426" t="s">
        <v>2939</v>
      </c>
      <c r="Y105" s="426" t="s">
        <v>2946</v>
      </c>
      <c r="Z105" s="426" t="s">
        <v>2646</v>
      </c>
      <c r="AA105" s="426" t="s">
        <v>2646</v>
      </c>
      <c r="AB105" s="426" t="s">
        <v>2646</v>
      </c>
      <c r="AC105" s="426" t="s">
        <v>2646</v>
      </c>
      <c r="AD105" s="426" t="s">
        <v>2646</v>
      </c>
      <c r="AE105" s="426" t="s">
        <v>2646</v>
      </c>
      <c r="AF105" s="426" t="s">
        <v>2646</v>
      </c>
      <c r="AG105" s="426" t="s">
        <v>2646</v>
      </c>
      <c r="AH105" s="426" t="s">
        <v>2646</v>
      </c>
      <c r="AI105" s="426" t="s">
        <v>2646</v>
      </c>
      <c r="AJ105" s="1" t="s">
        <v>2646</v>
      </c>
    </row>
    <row r="106" spans="1:36" s="1" customFormat="1" hidden="1">
      <c r="A106" s="392" t="s">
        <v>1480</v>
      </c>
      <c r="B106" s="427" t="s">
        <v>2650</v>
      </c>
      <c r="C106" s="433" t="s">
        <v>2675</v>
      </c>
      <c r="D106" s="433" t="s">
        <v>3364</v>
      </c>
      <c r="E106" s="433" t="s">
        <v>2654</v>
      </c>
      <c r="F106" s="433" t="s">
        <v>2654</v>
      </c>
      <c r="G106" s="433" t="s">
        <v>2654</v>
      </c>
      <c r="H106" s="433" t="s">
        <v>2654</v>
      </c>
      <c r="I106" s="433" t="s">
        <v>2654</v>
      </c>
      <c r="J106" s="433" t="s">
        <v>2654</v>
      </c>
      <c r="K106" s="433" t="s">
        <v>2654</v>
      </c>
      <c r="L106" s="433" t="s">
        <v>2654</v>
      </c>
      <c r="M106" s="433" t="s">
        <v>2654</v>
      </c>
      <c r="N106" s="433" t="s">
        <v>2654</v>
      </c>
      <c r="O106" s="433" t="s">
        <v>2654</v>
      </c>
      <c r="P106" s="433" t="s">
        <v>4078</v>
      </c>
      <c r="Q106" s="431"/>
      <c r="R106" s="431"/>
      <c r="S106" s="426" t="s">
        <v>316</v>
      </c>
      <c r="T106" s="426" t="s">
        <v>2949</v>
      </c>
      <c r="U106" s="426" t="s">
        <v>2937</v>
      </c>
      <c r="V106" s="426" t="s">
        <v>2740</v>
      </c>
      <c r="W106" s="426" t="s">
        <v>2950</v>
      </c>
      <c r="X106" s="426" t="s">
        <v>2939</v>
      </c>
      <c r="Y106" s="426" t="s">
        <v>2951</v>
      </c>
      <c r="Z106" s="426" t="s">
        <v>2646</v>
      </c>
      <c r="AA106" s="426" t="s">
        <v>2646</v>
      </c>
      <c r="AB106" s="426" t="s">
        <v>2646</v>
      </c>
      <c r="AC106" s="426" t="s">
        <v>2646</v>
      </c>
      <c r="AD106" s="426" t="s">
        <v>2646</v>
      </c>
      <c r="AE106" s="426" t="s">
        <v>2646</v>
      </c>
      <c r="AF106" s="426" t="s">
        <v>2646</v>
      </c>
      <c r="AG106" s="426" t="s">
        <v>2646</v>
      </c>
      <c r="AH106" s="426" t="s">
        <v>2646</v>
      </c>
      <c r="AI106" s="426" t="s">
        <v>2646</v>
      </c>
      <c r="AJ106" s="1" t="s">
        <v>2646</v>
      </c>
    </row>
    <row r="107" spans="1:36" s="1" customFormat="1" hidden="1">
      <c r="A107" s="392" t="s">
        <v>1481</v>
      </c>
      <c r="B107" s="427" t="s">
        <v>2651</v>
      </c>
      <c r="C107" s="433" t="s">
        <v>4112</v>
      </c>
      <c r="D107" s="433" t="s">
        <v>3710</v>
      </c>
      <c r="E107" s="433" t="s">
        <v>2654</v>
      </c>
      <c r="F107" s="433" t="s">
        <v>2654</v>
      </c>
      <c r="G107" s="433" t="s">
        <v>2654</v>
      </c>
      <c r="H107" s="433" t="s">
        <v>2654</v>
      </c>
      <c r="I107" s="433" t="s">
        <v>2654</v>
      </c>
      <c r="J107" s="433" t="s">
        <v>2654</v>
      </c>
      <c r="K107" s="433" t="s">
        <v>2654</v>
      </c>
      <c r="L107" s="433" t="s">
        <v>2654</v>
      </c>
      <c r="M107" s="433" t="s">
        <v>2654</v>
      </c>
      <c r="N107" s="433" t="s">
        <v>2654</v>
      </c>
      <c r="O107" s="433" t="s">
        <v>2654</v>
      </c>
      <c r="P107" s="433" t="s">
        <v>4080</v>
      </c>
      <c r="Q107" s="431"/>
      <c r="R107" s="431"/>
      <c r="S107" s="426" t="s">
        <v>2768</v>
      </c>
      <c r="T107" s="426" t="s">
        <v>2936</v>
      </c>
      <c r="U107" s="426" t="s">
        <v>2937</v>
      </c>
      <c r="V107" s="426" t="s">
        <v>2735</v>
      </c>
      <c r="W107" s="426" t="s">
        <v>2938</v>
      </c>
      <c r="X107" s="426" t="s">
        <v>2939</v>
      </c>
      <c r="Y107" s="426" t="s">
        <v>2940</v>
      </c>
      <c r="Z107" s="426" t="s">
        <v>2646</v>
      </c>
      <c r="AA107" s="426" t="s">
        <v>2646</v>
      </c>
      <c r="AB107" s="426" t="s">
        <v>2646</v>
      </c>
      <c r="AC107" s="426" t="s">
        <v>2646</v>
      </c>
      <c r="AD107" s="426" t="s">
        <v>2646</v>
      </c>
      <c r="AE107" s="426" t="s">
        <v>2646</v>
      </c>
      <c r="AF107" s="426" t="s">
        <v>2646</v>
      </c>
      <c r="AG107" s="426" t="s">
        <v>2646</v>
      </c>
      <c r="AH107" s="426" t="s">
        <v>2646</v>
      </c>
      <c r="AI107" s="426" t="s">
        <v>2646</v>
      </c>
      <c r="AJ107" s="1" t="s">
        <v>2646</v>
      </c>
    </row>
    <row r="108" spans="1:36" s="1" customFormat="1">
      <c r="A108" s="392" t="s">
        <v>1481</v>
      </c>
      <c r="B108" s="427" t="s">
        <v>48</v>
      </c>
      <c r="C108" s="433" t="s">
        <v>4115</v>
      </c>
      <c r="D108" s="433" t="s">
        <v>3856</v>
      </c>
      <c r="E108" s="433" t="s">
        <v>2654</v>
      </c>
      <c r="F108" s="433" t="s">
        <v>2654</v>
      </c>
      <c r="G108" s="433" t="s">
        <v>2654</v>
      </c>
      <c r="H108" s="433" t="s">
        <v>2654</v>
      </c>
      <c r="I108" s="433" t="s">
        <v>2654</v>
      </c>
      <c r="J108" s="433" t="s">
        <v>2654</v>
      </c>
      <c r="K108" s="433" t="s">
        <v>2654</v>
      </c>
      <c r="L108" s="433" t="s">
        <v>2654</v>
      </c>
      <c r="M108" s="433" t="s">
        <v>2654</v>
      </c>
      <c r="N108" s="433" t="s">
        <v>2654</v>
      </c>
      <c r="O108" s="433" t="s">
        <v>2654</v>
      </c>
      <c r="P108" s="433" t="s">
        <v>3457</v>
      </c>
      <c r="Q108" s="433" t="s">
        <v>2654</v>
      </c>
      <c r="R108" s="433" t="s">
        <v>2654</v>
      </c>
      <c r="S108" s="426"/>
      <c r="T108" s="426"/>
      <c r="U108" s="426"/>
      <c r="V108" s="426"/>
      <c r="W108" s="426"/>
      <c r="X108" s="426"/>
      <c r="Y108" s="426"/>
      <c r="Z108" s="426"/>
      <c r="AA108" s="426"/>
      <c r="AB108" s="426"/>
      <c r="AC108" s="426"/>
      <c r="AD108" s="426"/>
      <c r="AE108" s="426"/>
      <c r="AF108" s="426"/>
      <c r="AG108" s="426"/>
      <c r="AH108" s="426"/>
      <c r="AI108" s="426"/>
    </row>
    <row r="109" spans="1:36" s="1" customFormat="1" hidden="1">
      <c r="A109" s="392" t="s">
        <v>1482</v>
      </c>
      <c r="B109" s="427" t="s">
        <v>2647</v>
      </c>
      <c r="C109" s="433" t="s">
        <v>3886</v>
      </c>
      <c r="D109" s="433" t="s">
        <v>3710</v>
      </c>
      <c r="E109" s="433" t="s">
        <v>2921</v>
      </c>
      <c r="F109" s="433" t="s">
        <v>2700</v>
      </c>
      <c r="G109" s="433" t="s">
        <v>2680</v>
      </c>
      <c r="H109" s="433" t="s">
        <v>2654</v>
      </c>
      <c r="I109" s="433" t="s">
        <v>2654</v>
      </c>
      <c r="J109" s="433" t="s">
        <v>2654</v>
      </c>
      <c r="K109" s="433" t="s">
        <v>2654</v>
      </c>
      <c r="L109" s="433" t="s">
        <v>2654</v>
      </c>
      <c r="M109" s="433" t="s">
        <v>2654</v>
      </c>
      <c r="N109" s="433" t="s">
        <v>2654</v>
      </c>
      <c r="O109" s="433" t="s">
        <v>4079</v>
      </c>
      <c r="P109" s="433" t="s">
        <v>4083</v>
      </c>
      <c r="Q109" s="431"/>
      <c r="R109" s="431"/>
      <c r="S109" s="426" t="s">
        <v>2885</v>
      </c>
      <c r="T109" s="426" t="s">
        <v>2955</v>
      </c>
      <c r="U109" s="426" t="s">
        <v>2956</v>
      </c>
      <c r="V109" s="426" t="s">
        <v>2957</v>
      </c>
      <c r="W109" s="426" t="s">
        <v>2958</v>
      </c>
      <c r="X109" s="426" t="s">
        <v>2813</v>
      </c>
      <c r="Y109" s="426" t="s">
        <v>2646</v>
      </c>
      <c r="Z109" s="426" t="s">
        <v>2646</v>
      </c>
      <c r="AA109" s="426" t="s">
        <v>2646</v>
      </c>
      <c r="AB109" s="426" t="s">
        <v>2646</v>
      </c>
      <c r="AC109" s="426" t="s">
        <v>2646</v>
      </c>
      <c r="AD109" s="426" t="s">
        <v>2646</v>
      </c>
      <c r="AE109" s="426" t="s">
        <v>2646</v>
      </c>
      <c r="AF109" s="426" t="s">
        <v>2646</v>
      </c>
      <c r="AG109" s="426" t="s">
        <v>2646</v>
      </c>
      <c r="AH109" s="426" t="s">
        <v>2646</v>
      </c>
      <c r="AI109" s="426" t="s">
        <v>2646</v>
      </c>
      <c r="AJ109" s="1" t="s">
        <v>2646</v>
      </c>
    </row>
    <row r="110" spans="1:36" s="1" customFormat="1" hidden="1">
      <c r="A110" s="392" t="s">
        <v>1483</v>
      </c>
      <c r="B110" s="427" t="s">
        <v>2648</v>
      </c>
      <c r="C110" s="433" t="s">
        <v>3881</v>
      </c>
      <c r="D110" s="433" t="s">
        <v>3710</v>
      </c>
      <c r="E110" s="433" t="s">
        <v>2835</v>
      </c>
      <c r="F110" s="433" t="s">
        <v>2807</v>
      </c>
      <c r="G110" s="433" t="s">
        <v>2708</v>
      </c>
      <c r="H110" s="433" t="s">
        <v>2654</v>
      </c>
      <c r="I110" s="433" t="s">
        <v>2654</v>
      </c>
      <c r="J110" s="433" t="s">
        <v>2654</v>
      </c>
      <c r="K110" s="433" t="s">
        <v>2654</v>
      </c>
      <c r="L110" s="433" t="s">
        <v>2654</v>
      </c>
      <c r="M110" s="433" t="s">
        <v>2654</v>
      </c>
      <c r="N110" s="433" t="s">
        <v>2654</v>
      </c>
      <c r="O110" s="433" t="s">
        <v>4116</v>
      </c>
      <c r="P110" s="433" t="s">
        <v>4059</v>
      </c>
      <c r="Q110" s="431"/>
      <c r="R110" s="431"/>
      <c r="S110" s="426" t="s">
        <v>2673</v>
      </c>
      <c r="T110" s="426" t="s">
        <v>2960</v>
      </c>
      <c r="U110" s="426" t="s">
        <v>2961</v>
      </c>
      <c r="V110" s="426" t="s">
        <v>2960</v>
      </c>
      <c r="W110" s="426" t="s">
        <v>2958</v>
      </c>
      <c r="X110" s="426" t="s">
        <v>2813</v>
      </c>
      <c r="Y110" s="426" t="s">
        <v>2646</v>
      </c>
      <c r="Z110" s="426" t="s">
        <v>2646</v>
      </c>
      <c r="AA110" s="426" t="s">
        <v>2646</v>
      </c>
      <c r="AB110" s="426" t="s">
        <v>2646</v>
      </c>
      <c r="AC110" s="426" t="s">
        <v>2646</v>
      </c>
      <c r="AD110" s="426" t="s">
        <v>2646</v>
      </c>
      <c r="AE110" s="426" t="s">
        <v>2646</v>
      </c>
      <c r="AF110" s="426" t="s">
        <v>2646</v>
      </c>
      <c r="AG110" s="426" t="s">
        <v>2646</v>
      </c>
      <c r="AH110" s="426" t="s">
        <v>2646</v>
      </c>
      <c r="AI110" s="426" t="s">
        <v>2646</v>
      </c>
      <c r="AJ110" s="1" t="s">
        <v>2646</v>
      </c>
    </row>
    <row r="111" spans="1:36" s="1" customFormat="1" hidden="1">
      <c r="A111" s="392" t="s">
        <v>1484</v>
      </c>
      <c r="B111" s="427" t="s">
        <v>2649</v>
      </c>
      <c r="C111" s="433" t="s">
        <v>4110</v>
      </c>
      <c r="D111" s="433" t="s">
        <v>3872</v>
      </c>
      <c r="E111" s="433" t="s">
        <v>2767</v>
      </c>
      <c r="F111" s="433" t="s">
        <v>2674</v>
      </c>
      <c r="G111" s="433" t="s">
        <v>2791</v>
      </c>
      <c r="H111" s="433" t="s">
        <v>2654</v>
      </c>
      <c r="I111" s="433" t="s">
        <v>2654</v>
      </c>
      <c r="J111" s="433" t="s">
        <v>2654</v>
      </c>
      <c r="K111" s="433" t="s">
        <v>2654</v>
      </c>
      <c r="L111" s="433" t="s">
        <v>2654</v>
      </c>
      <c r="M111" s="433" t="s">
        <v>2654</v>
      </c>
      <c r="N111" s="433" t="s">
        <v>2654</v>
      </c>
      <c r="O111" s="433" t="s">
        <v>2677</v>
      </c>
      <c r="P111" s="433" t="s">
        <v>4080</v>
      </c>
      <c r="Q111" s="431"/>
      <c r="R111" s="431"/>
      <c r="S111" s="426" t="s">
        <v>2885</v>
      </c>
      <c r="T111" s="426" t="s">
        <v>2963</v>
      </c>
      <c r="U111" s="426" t="s">
        <v>2964</v>
      </c>
      <c r="V111" s="426" t="s">
        <v>2965</v>
      </c>
      <c r="W111" s="426" t="s">
        <v>2958</v>
      </c>
      <c r="X111" s="426" t="s">
        <v>2813</v>
      </c>
      <c r="Y111" s="426" t="s">
        <v>2646</v>
      </c>
      <c r="Z111" s="426" t="s">
        <v>2646</v>
      </c>
      <c r="AA111" s="426" t="s">
        <v>2646</v>
      </c>
      <c r="AB111" s="426" t="s">
        <v>2646</v>
      </c>
      <c r="AC111" s="426" t="s">
        <v>2646</v>
      </c>
      <c r="AD111" s="426" t="s">
        <v>2646</v>
      </c>
      <c r="AE111" s="426" t="s">
        <v>2646</v>
      </c>
      <c r="AF111" s="426" t="s">
        <v>2646</v>
      </c>
      <c r="AG111" s="426" t="s">
        <v>2646</v>
      </c>
      <c r="AH111" s="426" t="s">
        <v>2646</v>
      </c>
      <c r="AI111" s="426" t="s">
        <v>2646</v>
      </c>
      <c r="AJ111" s="1" t="s">
        <v>2646</v>
      </c>
    </row>
    <row r="112" spans="1:36" hidden="1">
      <c r="A112" s="392" t="s">
        <v>1485</v>
      </c>
      <c r="B112" s="427" t="s">
        <v>2650</v>
      </c>
      <c r="C112" s="433" t="s">
        <v>4117</v>
      </c>
      <c r="D112" s="433" t="s">
        <v>3686</v>
      </c>
      <c r="E112" s="433" t="s">
        <v>2699</v>
      </c>
      <c r="F112" s="433" t="s">
        <v>2754</v>
      </c>
      <c r="G112" s="433" t="s">
        <v>2674</v>
      </c>
      <c r="H112" s="433" t="s">
        <v>2708</v>
      </c>
      <c r="I112" s="433" t="s">
        <v>2654</v>
      </c>
      <c r="J112" s="433" t="s">
        <v>2654</v>
      </c>
      <c r="K112" s="433" t="s">
        <v>2654</v>
      </c>
      <c r="L112" s="433" t="s">
        <v>2654</v>
      </c>
      <c r="M112" s="433" t="s">
        <v>2654</v>
      </c>
      <c r="N112" s="433" t="s">
        <v>2654</v>
      </c>
      <c r="O112" s="433" t="s">
        <v>4118</v>
      </c>
      <c r="P112" s="433" t="s">
        <v>4119</v>
      </c>
      <c r="Q112" s="431"/>
      <c r="R112" s="431"/>
      <c r="S112" s="426" t="s">
        <v>2658</v>
      </c>
      <c r="T112" s="426" t="s">
        <v>2967</v>
      </c>
      <c r="U112" s="426" t="s">
        <v>2968</v>
      </c>
      <c r="V112" s="426" t="s">
        <v>2969</v>
      </c>
      <c r="W112" s="426" t="s">
        <v>2958</v>
      </c>
      <c r="X112" s="426" t="s">
        <v>2813</v>
      </c>
      <c r="Y112" s="426" t="s">
        <v>2646</v>
      </c>
      <c r="Z112" s="426" t="s">
        <v>2646</v>
      </c>
      <c r="AA112" s="426" t="s">
        <v>2646</v>
      </c>
      <c r="AB112" s="426" t="s">
        <v>2646</v>
      </c>
      <c r="AC112" s="426" t="s">
        <v>2646</v>
      </c>
      <c r="AD112" s="426" t="s">
        <v>2646</v>
      </c>
      <c r="AE112" s="426" t="s">
        <v>2646</v>
      </c>
      <c r="AF112" s="426" t="s">
        <v>2646</v>
      </c>
      <c r="AG112" s="426" t="s">
        <v>2646</v>
      </c>
      <c r="AH112" s="426" t="s">
        <v>2646</v>
      </c>
      <c r="AI112" s="426" t="s">
        <v>2646</v>
      </c>
      <c r="AJ112" s="68" t="s">
        <v>2646</v>
      </c>
    </row>
    <row r="113" spans="1:36" s="1" customFormat="1" hidden="1">
      <c r="A113" s="392" t="s">
        <v>1486</v>
      </c>
      <c r="B113" s="427" t="s">
        <v>2651</v>
      </c>
      <c r="C113" s="433" t="s">
        <v>4120</v>
      </c>
      <c r="D113" s="433" t="s">
        <v>3364</v>
      </c>
      <c r="E113" s="433" t="s">
        <v>2723</v>
      </c>
      <c r="F113" s="433" t="s">
        <v>2687</v>
      </c>
      <c r="G113" s="433" t="s">
        <v>2791</v>
      </c>
      <c r="H113" s="433" t="s">
        <v>2654</v>
      </c>
      <c r="I113" s="433" t="s">
        <v>2654</v>
      </c>
      <c r="J113" s="433" t="s">
        <v>2654</v>
      </c>
      <c r="K113" s="433" t="s">
        <v>2654</v>
      </c>
      <c r="L113" s="433" t="s">
        <v>2654</v>
      </c>
      <c r="M113" s="433" t="s">
        <v>2654</v>
      </c>
      <c r="N113" s="433" t="s">
        <v>2654</v>
      </c>
      <c r="O113" s="433" t="s">
        <v>3715</v>
      </c>
      <c r="P113" s="433" t="s">
        <v>4057</v>
      </c>
      <c r="Q113" s="431"/>
      <c r="R113" s="431"/>
      <c r="S113" s="426" t="s">
        <v>2885</v>
      </c>
      <c r="T113" s="426" t="s">
        <v>2955</v>
      </c>
      <c r="U113" s="426" t="s">
        <v>2956</v>
      </c>
      <c r="V113" s="426" t="s">
        <v>2957</v>
      </c>
      <c r="W113" s="426" t="s">
        <v>2958</v>
      </c>
      <c r="X113" s="426" t="s">
        <v>2813</v>
      </c>
      <c r="Y113" s="426" t="s">
        <v>2646</v>
      </c>
      <c r="Z113" s="426" t="s">
        <v>2646</v>
      </c>
      <c r="AA113" s="426" t="s">
        <v>2646</v>
      </c>
      <c r="AB113" s="426" t="s">
        <v>2646</v>
      </c>
      <c r="AC113" s="426" t="s">
        <v>2646</v>
      </c>
      <c r="AD113" s="426" t="s">
        <v>2646</v>
      </c>
      <c r="AE113" s="426" t="s">
        <v>2646</v>
      </c>
      <c r="AF113" s="426" t="s">
        <v>2646</v>
      </c>
      <c r="AG113" s="426" t="s">
        <v>2646</v>
      </c>
      <c r="AH113" s="426" t="s">
        <v>2646</v>
      </c>
      <c r="AI113" s="426" t="s">
        <v>2646</v>
      </c>
      <c r="AJ113" s="1" t="s">
        <v>2646</v>
      </c>
    </row>
    <row r="114" spans="1:36" s="1" customFormat="1">
      <c r="A114" s="392" t="s">
        <v>1486</v>
      </c>
      <c r="B114" s="427" t="s">
        <v>48</v>
      </c>
      <c r="C114" s="433" t="s">
        <v>4121</v>
      </c>
      <c r="D114" s="433" t="s">
        <v>3874</v>
      </c>
      <c r="E114" s="433" t="s">
        <v>2907</v>
      </c>
      <c r="F114" s="433" t="s">
        <v>2773</v>
      </c>
      <c r="G114" s="433" t="s">
        <v>3666</v>
      </c>
      <c r="H114" s="433" t="s">
        <v>2934</v>
      </c>
      <c r="I114" s="433" t="s">
        <v>2654</v>
      </c>
      <c r="J114" s="433" t="s">
        <v>2654</v>
      </c>
      <c r="K114" s="433" t="s">
        <v>2654</v>
      </c>
      <c r="L114" s="433" t="s">
        <v>2654</v>
      </c>
      <c r="M114" s="433" t="s">
        <v>2654</v>
      </c>
      <c r="N114" s="433" t="s">
        <v>2654</v>
      </c>
      <c r="O114" s="433" t="s">
        <v>3380</v>
      </c>
      <c r="P114" s="433" t="s">
        <v>3649</v>
      </c>
      <c r="Q114" s="433" t="s">
        <v>2654</v>
      </c>
      <c r="R114" s="433" t="s">
        <v>2654</v>
      </c>
      <c r="S114" s="426"/>
      <c r="T114" s="426"/>
      <c r="U114" s="426"/>
      <c r="V114" s="426"/>
      <c r="W114" s="426"/>
      <c r="X114" s="426"/>
      <c r="Y114" s="426"/>
      <c r="Z114" s="426"/>
      <c r="AA114" s="426"/>
      <c r="AB114" s="426"/>
      <c r="AC114" s="426"/>
      <c r="AD114" s="426"/>
      <c r="AE114" s="426"/>
      <c r="AF114" s="426"/>
      <c r="AG114" s="426"/>
      <c r="AH114" s="426"/>
      <c r="AI114" s="426"/>
    </row>
    <row r="115" spans="1:36" s="1" customFormat="1" hidden="1">
      <c r="A115" s="392" t="s">
        <v>1487</v>
      </c>
      <c r="B115" s="427" t="s">
        <v>2647</v>
      </c>
      <c r="C115" s="433" t="s">
        <v>3713</v>
      </c>
      <c r="D115" s="433" t="s">
        <v>3851</v>
      </c>
      <c r="E115" s="433" t="s">
        <v>2676</v>
      </c>
      <c r="F115" s="433" t="s">
        <v>2896</v>
      </c>
      <c r="G115" s="433" t="s">
        <v>2654</v>
      </c>
      <c r="H115" s="433" t="s">
        <v>2654</v>
      </c>
      <c r="I115" s="433" t="s">
        <v>2654</v>
      </c>
      <c r="J115" s="433" t="s">
        <v>2654</v>
      </c>
      <c r="K115" s="433" t="s">
        <v>2654</v>
      </c>
      <c r="L115" s="433" t="s">
        <v>2654</v>
      </c>
      <c r="M115" s="433" t="s">
        <v>2654</v>
      </c>
      <c r="N115" s="433" t="s">
        <v>2654</v>
      </c>
      <c r="O115" s="433" t="s">
        <v>2866</v>
      </c>
      <c r="P115" s="433" t="s">
        <v>4083</v>
      </c>
      <c r="Q115" s="431"/>
      <c r="R115" s="431"/>
      <c r="S115" s="426" t="s">
        <v>2673</v>
      </c>
      <c r="T115" s="426" t="s">
        <v>2971</v>
      </c>
      <c r="U115" s="426" t="s">
        <v>2972</v>
      </c>
      <c r="V115" s="426" t="s">
        <v>2973</v>
      </c>
      <c r="W115" s="426" t="s">
        <v>2974</v>
      </c>
      <c r="X115" s="426" t="s">
        <v>2662</v>
      </c>
      <c r="Y115" s="426" t="s">
        <v>2975</v>
      </c>
      <c r="Z115" s="426" t="s">
        <v>2646</v>
      </c>
      <c r="AA115" s="426" t="s">
        <v>2646</v>
      </c>
      <c r="AB115" s="426" t="s">
        <v>2646</v>
      </c>
      <c r="AC115" s="426" t="s">
        <v>2646</v>
      </c>
      <c r="AD115" s="426" t="s">
        <v>2646</v>
      </c>
      <c r="AE115" s="426" t="s">
        <v>2646</v>
      </c>
      <c r="AF115" s="426" t="s">
        <v>2646</v>
      </c>
      <c r="AG115" s="426" t="s">
        <v>2646</v>
      </c>
      <c r="AH115" s="426" t="s">
        <v>2646</v>
      </c>
      <c r="AI115" s="426" t="s">
        <v>2646</v>
      </c>
      <c r="AJ115" s="1" t="s">
        <v>2646</v>
      </c>
    </row>
    <row r="116" spans="1:36" s="1" customFormat="1" hidden="1">
      <c r="A116" s="392" t="s">
        <v>1488</v>
      </c>
      <c r="B116" s="427" t="s">
        <v>2648</v>
      </c>
      <c r="C116" s="433" t="s">
        <v>3839</v>
      </c>
      <c r="D116" s="433" t="s">
        <v>3710</v>
      </c>
      <c r="E116" s="433" t="s">
        <v>2807</v>
      </c>
      <c r="F116" s="433" t="s">
        <v>2708</v>
      </c>
      <c r="G116" s="433" t="s">
        <v>2680</v>
      </c>
      <c r="H116" s="433" t="s">
        <v>2654</v>
      </c>
      <c r="I116" s="433" t="s">
        <v>2654</v>
      </c>
      <c r="J116" s="433" t="s">
        <v>2654</v>
      </c>
      <c r="K116" s="433" t="s">
        <v>2654</v>
      </c>
      <c r="L116" s="433" t="s">
        <v>2654</v>
      </c>
      <c r="M116" s="433" t="s">
        <v>2654</v>
      </c>
      <c r="N116" s="433" t="s">
        <v>2654</v>
      </c>
      <c r="O116" s="433" t="s">
        <v>3230</v>
      </c>
      <c r="P116" s="433" t="s">
        <v>4080</v>
      </c>
      <c r="Q116" s="431"/>
      <c r="R116" s="431"/>
      <c r="S116" s="426" t="s">
        <v>316</v>
      </c>
      <c r="T116" s="426" t="s">
        <v>2646</v>
      </c>
      <c r="U116" s="426" t="s">
        <v>2972</v>
      </c>
      <c r="V116" s="426" t="s">
        <v>2749</v>
      </c>
      <c r="W116" s="426" t="s">
        <v>2661</v>
      </c>
      <c r="X116" s="426" t="s">
        <v>2662</v>
      </c>
      <c r="Y116" s="426" t="s">
        <v>2788</v>
      </c>
      <c r="Z116" s="426" t="s">
        <v>2646</v>
      </c>
      <c r="AA116" s="426" t="s">
        <v>2646</v>
      </c>
      <c r="AB116" s="426" t="s">
        <v>2646</v>
      </c>
      <c r="AC116" s="426" t="s">
        <v>2646</v>
      </c>
      <c r="AD116" s="426" t="s">
        <v>2646</v>
      </c>
      <c r="AE116" s="426" t="s">
        <v>2646</v>
      </c>
      <c r="AF116" s="426" t="s">
        <v>2646</v>
      </c>
      <c r="AG116" s="426" t="s">
        <v>2646</v>
      </c>
      <c r="AH116" s="426" t="s">
        <v>2646</v>
      </c>
      <c r="AI116" s="426" t="s">
        <v>2646</v>
      </c>
      <c r="AJ116" s="1" t="s">
        <v>2646</v>
      </c>
    </row>
    <row r="117" spans="1:36" s="1" customFormat="1" hidden="1">
      <c r="A117" s="392" t="s">
        <v>1489</v>
      </c>
      <c r="B117" s="427" t="s">
        <v>2649</v>
      </c>
      <c r="C117" s="433" t="s">
        <v>4122</v>
      </c>
      <c r="D117" s="433" t="s">
        <v>3860</v>
      </c>
      <c r="E117" s="433" t="s">
        <v>2825</v>
      </c>
      <c r="F117" s="433" t="s">
        <v>2708</v>
      </c>
      <c r="G117" s="433" t="s">
        <v>2654</v>
      </c>
      <c r="H117" s="433" t="s">
        <v>2654</v>
      </c>
      <c r="I117" s="433" t="s">
        <v>2654</v>
      </c>
      <c r="J117" s="433" t="s">
        <v>2654</v>
      </c>
      <c r="K117" s="433" t="s">
        <v>2654</v>
      </c>
      <c r="L117" s="433" t="s">
        <v>2654</v>
      </c>
      <c r="M117" s="433" t="s">
        <v>2654</v>
      </c>
      <c r="N117" s="433" t="s">
        <v>2654</v>
      </c>
      <c r="O117" s="433" t="s">
        <v>2985</v>
      </c>
      <c r="P117" s="433" t="s">
        <v>4061</v>
      </c>
      <c r="Q117" s="431"/>
      <c r="R117" s="431"/>
      <c r="S117" s="426" t="s">
        <v>2658</v>
      </c>
      <c r="T117" s="426" t="s">
        <v>2976</v>
      </c>
      <c r="U117" s="426" t="s">
        <v>2977</v>
      </c>
      <c r="V117" s="426" t="s">
        <v>2977</v>
      </c>
      <c r="W117" s="426" t="s">
        <v>2974</v>
      </c>
      <c r="X117" s="426" t="s">
        <v>2662</v>
      </c>
      <c r="Y117" s="426" t="s">
        <v>2975</v>
      </c>
      <c r="Z117" s="426" t="s">
        <v>2646</v>
      </c>
      <c r="AA117" s="426" t="s">
        <v>2646</v>
      </c>
      <c r="AB117" s="426" t="s">
        <v>2646</v>
      </c>
      <c r="AC117" s="426" t="s">
        <v>2646</v>
      </c>
      <c r="AD117" s="426" t="s">
        <v>2646</v>
      </c>
      <c r="AE117" s="426" t="s">
        <v>2646</v>
      </c>
      <c r="AF117" s="426" t="s">
        <v>2646</v>
      </c>
      <c r="AG117" s="426" t="s">
        <v>2646</v>
      </c>
      <c r="AH117" s="426" t="s">
        <v>2646</v>
      </c>
      <c r="AI117" s="426" t="s">
        <v>2646</v>
      </c>
      <c r="AJ117" s="1" t="s">
        <v>2646</v>
      </c>
    </row>
    <row r="118" spans="1:36" s="1" customFormat="1" hidden="1">
      <c r="A118" s="392" t="s">
        <v>1490</v>
      </c>
      <c r="B118" s="427" t="s">
        <v>2650</v>
      </c>
      <c r="C118" s="433" t="s">
        <v>4123</v>
      </c>
      <c r="D118" s="433" t="s">
        <v>3710</v>
      </c>
      <c r="E118" s="433" t="s">
        <v>2791</v>
      </c>
      <c r="F118" s="433" t="s">
        <v>2678</v>
      </c>
      <c r="G118" s="433" t="s">
        <v>2654</v>
      </c>
      <c r="H118" s="433" t="s">
        <v>2654</v>
      </c>
      <c r="I118" s="433" t="s">
        <v>2654</v>
      </c>
      <c r="J118" s="433" t="s">
        <v>2654</v>
      </c>
      <c r="K118" s="433" t="s">
        <v>2654</v>
      </c>
      <c r="L118" s="433" t="s">
        <v>2654</v>
      </c>
      <c r="M118" s="433" t="s">
        <v>2654</v>
      </c>
      <c r="N118" s="433" t="s">
        <v>2654</v>
      </c>
      <c r="O118" s="433" t="s">
        <v>2668</v>
      </c>
      <c r="P118" s="433" t="s">
        <v>4059</v>
      </c>
      <c r="Q118" s="431"/>
      <c r="R118" s="431"/>
      <c r="S118" s="426" t="s">
        <v>2885</v>
      </c>
      <c r="T118" s="426" t="s">
        <v>2646</v>
      </c>
      <c r="U118" s="426" t="s">
        <v>2980</v>
      </c>
      <c r="V118" s="426" t="s">
        <v>2646</v>
      </c>
      <c r="W118" s="426" t="s">
        <v>2981</v>
      </c>
      <c r="X118" s="426" t="s">
        <v>2662</v>
      </c>
      <c r="Y118" s="426" t="s">
        <v>2982</v>
      </c>
      <c r="Z118" s="426" t="s">
        <v>2646</v>
      </c>
      <c r="AA118" s="426" t="s">
        <v>2646</v>
      </c>
      <c r="AB118" s="426" t="s">
        <v>2646</v>
      </c>
      <c r="AC118" s="426" t="s">
        <v>2646</v>
      </c>
      <c r="AD118" s="426" t="s">
        <v>2646</v>
      </c>
      <c r="AE118" s="426" t="s">
        <v>2646</v>
      </c>
      <c r="AF118" s="426" t="s">
        <v>2646</v>
      </c>
      <c r="AG118" s="426" t="s">
        <v>2646</v>
      </c>
      <c r="AH118" s="426" t="s">
        <v>2646</v>
      </c>
      <c r="AI118" s="426" t="s">
        <v>2646</v>
      </c>
      <c r="AJ118" s="1" t="s">
        <v>2646</v>
      </c>
    </row>
    <row r="119" spans="1:36" s="1" customFormat="1" hidden="1">
      <c r="A119" s="392" t="s">
        <v>1491</v>
      </c>
      <c r="B119" s="427" t="s">
        <v>2651</v>
      </c>
      <c r="C119" s="433" t="s">
        <v>4124</v>
      </c>
      <c r="D119" s="433" t="s">
        <v>3686</v>
      </c>
      <c r="E119" s="433" t="s">
        <v>2791</v>
      </c>
      <c r="F119" s="433" t="s">
        <v>2680</v>
      </c>
      <c r="G119" s="433" t="s">
        <v>2654</v>
      </c>
      <c r="H119" s="433" t="s">
        <v>2654</v>
      </c>
      <c r="I119" s="433" t="s">
        <v>2654</v>
      </c>
      <c r="J119" s="433" t="s">
        <v>2654</v>
      </c>
      <c r="K119" s="433" t="s">
        <v>2654</v>
      </c>
      <c r="L119" s="433" t="s">
        <v>2654</v>
      </c>
      <c r="M119" s="433" t="s">
        <v>2654</v>
      </c>
      <c r="N119" s="433" t="s">
        <v>2654</v>
      </c>
      <c r="O119" s="433" t="s">
        <v>2681</v>
      </c>
      <c r="P119" s="433" t="s">
        <v>4061</v>
      </c>
      <c r="Q119" s="431"/>
      <c r="R119" s="431"/>
      <c r="S119" s="426" t="s">
        <v>2673</v>
      </c>
      <c r="T119" s="426" t="s">
        <v>2971</v>
      </c>
      <c r="U119" s="426" t="s">
        <v>2972</v>
      </c>
      <c r="V119" s="426" t="s">
        <v>2973</v>
      </c>
      <c r="W119" s="426" t="s">
        <v>2974</v>
      </c>
      <c r="X119" s="426" t="s">
        <v>2662</v>
      </c>
      <c r="Y119" s="426" t="s">
        <v>2975</v>
      </c>
      <c r="Z119" s="426" t="s">
        <v>2646</v>
      </c>
      <c r="AA119" s="426" t="s">
        <v>2646</v>
      </c>
      <c r="AB119" s="426" t="s">
        <v>2646</v>
      </c>
      <c r="AC119" s="426" t="s">
        <v>2646</v>
      </c>
      <c r="AD119" s="426" t="s">
        <v>2646</v>
      </c>
      <c r="AE119" s="426" t="s">
        <v>2646</v>
      </c>
      <c r="AF119" s="426" t="s">
        <v>2646</v>
      </c>
      <c r="AG119" s="426" t="s">
        <v>2646</v>
      </c>
      <c r="AH119" s="426" t="s">
        <v>2646</v>
      </c>
      <c r="AI119" s="426" t="s">
        <v>2646</v>
      </c>
      <c r="AJ119" s="1" t="s">
        <v>2646</v>
      </c>
    </row>
    <row r="120" spans="1:36" s="1" customFormat="1">
      <c r="A120" s="392" t="s">
        <v>1491</v>
      </c>
      <c r="B120" s="427" t="s">
        <v>48</v>
      </c>
      <c r="C120" s="433" t="s">
        <v>3698</v>
      </c>
      <c r="D120" s="433" t="s">
        <v>3647</v>
      </c>
      <c r="E120" s="433" t="s">
        <v>2825</v>
      </c>
      <c r="F120" s="433" t="s">
        <v>3004</v>
      </c>
      <c r="G120" s="433" t="s">
        <v>2683</v>
      </c>
      <c r="H120" s="433" t="s">
        <v>2654</v>
      </c>
      <c r="I120" s="433" t="s">
        <v>2654</v>
      </c>
      <c r="J120" s="433" t="s">
        <v>2654</v>
      </c>
      <c r="K120" s="433" t="s">
        <v>2654</v>
      </c>
      <c r="L120" s="433" t="s">
        <v>2654</v>
      </c>
      <c r="M120" s="433" t="s">
        <v>2654</v>
      </c>
      <c r="N120" s="433" t="s">
        <v>2654</v>
      </c>
      <c r="O120" s="433" t="s">
        <v>4125</v>
      </c>
      <c r="P120" s="433" t="s">
        <v>3474</v>
      </c>
      <c r="Q120" s="433" t="s">
        <v>2654</v>
      </c>
      <c r="R120" s="433" t="s">
        <v>2654</v>
      </c>
      <c r="S120" s="426"/>
      <c r="T120" s="426"/>
      <c r="U120" s="426"/>
      <c r="V120" s="426"/>
      <c r="W120" s="426"/>
      <c r="X120" s="426"/>
      <c r="Y120" s="426"/>
      <c r="Z120" s="426"/>
      <c r="AA120" s="426"/>
      <c r="AB120" s="426"/>
      <c r="AC120" s="426"/>
      <c r="AD120" s="426"/>
      <c r="AE120" s="426"/>
      <c r="AF120" s="426"/>
      <c r="AG120" s="426"/>
      <c r="AH120" s="426"/>
      <c r="AI120" s="426"/>
    </row>
    <row r="121" spans="1:36" s="1" customFormat="1" hidden="1">
      <c r="A121" s="392" t="s">
        <v>1492</v>
      </c>
      <c r="B121" s="427" t="s">
        <v>2647</v>
      </c>
      <c r="C121" s="433" t="s">
        <v>3703</v>
      </c>
      <c r="D121" s="433" t="s">
        <v>3364</v>
      </c>
      <c r="E121" s="433" t="s">
        <v>2654</v>
      </c>
      <c r="F121" s="433" t="s">
        <v>2654</v>
      </c>
      <c r="G121" s="433" t="s">
        <v>2654</v>
      </c>
      <c r="H121" s="433" t="s">
        <v>2654</v>
      </c>
      <c r="I121" s="433" t="s">
        <v>2654</v>
      </c>
      <c r="J121" s="433" t="s">
        <v>2654</v>
      </c>
      <c r="K121" s="433" t="s">
        <v>2654</v>
      </c>
      <c r="L121" s="433" t="s">
        <v>2654</v>
      </c>
      <c r="M121" s="433" t="s">
        <v>2654</v>
      </c>
      <c r="N121" s="433" t="s">
        <v>2654</v>
      </c>
      <c r="O121" s="433" t="s">
        <v>2654</v>
      </c>
      <c r="P121" s="433" t="s">
        <v>4059</v>
      </c>
      <c r="Q121" s="431"/>
      <c r="R121" s="431"/>
      <c r="S121" s="426" t="s">
        <v>2901</v>
      </c>
      <c r="T121" s="426" t="s">
        <v>2646</v>
      </c>
      <c r="U121" s="426" t="s">
        <v>2646</v>
      </c>
      <c r="V121" s="426" t="s">
        <v>2646</v>
      </c>
      <c r="W121" s="426" t="s">
        <v>2661</v>
      </c>
      <c r="X121" s="426" t="s">
        <v>2671</v>
      </c>
      <c r="Y121" s="426" t="s">
        <v>2798</v>
      </c>
      <c r="Z121" s="426" t="s">
        <v>2646</v>
      </c>
      <c r="AA121" s="426" t="s">
        <v>2646</v>
      </c>
      <c r="AB121" s="426" t="s">
        <v>2646</v>
      </c>
      <c r="AC121" s="426" t="s">
        <v>2646</v>
      </c>
      <c r="AD121" s="426" t="s">
        <v>2646</v>
      </c>
      <c r="AE121" s="426" t="s">
        <v>2646</v>
      </c>
      <c r="AF121" s="426" t="s">
        <v>2646</v>
      </c>
      <c r="AG121" s="426" t="s">
        <v>2646</v>
      </c>
      <c r="AH121" s="426" t="s">
        <v>2646</v>
      </c>
      <c r="AI121" s="426" t="s">
        <v>2646</v>
      </c>
      <c r="AJ121" s="1" t="s">
        <v>2646</v>
      </c>
    </row>
    <row r="122" spans="1:36" s="1" customFormat="1" hidden="1">
      <c r="A122" s="392" t="s">
        <v>1493</v>
      </c>
      <c r="B122" s="427" t="s">
        <v>2648</v>
      </c>
      <c r="C122" s="433" t="s">
        <v>3633</v>
      </c>
      <c r="D122" s="433" t="s">
        <v>3710</v>
      </c>
      <c r="E122" s="433" t="s">
        <v>2654</v>
      </c>
      <c r="F122" s="433" t="s">
        <v>2654</v>
      </c>
      <c r="G122" s="433" t="s">
        <v>2654</v>
      </c>
      <c r="H122" s="433" t="s">
        <v>2654</v>
      </c>
      <c r="I122" s="433" t="s">
        <v>2654</v>
      </c>
      <c r="J122" s="433" t="s">
        <v>2654</v>
      </c>
      <c r="K122" s="433" t="s">
        <v>2654</v>
      </c>
      <c r="L122" s="433" t="s">
        <v>2654</v>
      </c>
      <c r="M122" s="433" t="s">
        <v>2654</v>
      </c>
      <c r="N122" s="433" t="s">
        <v>2654</v>
      </c>
      <c r="O122" s="433" t="s">
        <v>2654</v>
      </c>
      <c r="P122" s="433" t="s">
        <v>4059</v>
      </c>
      <c r="Q122" s="431"/>
      <c r="R122" s="431"/>
      <c r="S122" s="426" t="s">
        <v>2658</v>
      </c>
      <c r="T122" s="426" t="s">
        <v>2646</v>
      </c>
      <c r="U122" s="426" t="s">
        <v>2646</v>
      </c>
      <c r="V122" s="426" t="s">
        <v>2646</v>
      </c>
      <c r="W122" s="426" t="s">
        <v>2661</v>
      </c>
      <c r="X122" s="426" t="s">
        <v>2671</v>
      </c>
      <c r="Y122" s="426" t="s">
        <v>2798</v>
      </c>
      <c r="Z122" s="426" t="s">
        <v>2646</v>
      </c>
      <c r="AA122" s="426" t="s">
        <v>2646</v>
      </c>
      <c r="AB122" s="426" t="s">
        <v>2646</v>
      </c>
      <c r="AC122" s="426" t="s">
        <v>2646</v>
      </c>
      <c r="AD122" s="426" t="s">
        <v>2646</v>
      </c>
      <c r="AE122" s="426" t="s">
        <v>2646</v>
      </c>
      <c r="AF122" s="426" t="s">
        <v>2646</v>
      </c>
      <c r="AG122" s="426" t="s">
        <v>2646</v>
      </c>
      <c r="AH122" s="426" t="s">
        <v>2646</v>
      </c>
      <c r="AI122" s="426" t="s">
        <v>2646</v>
      </c>
      <c r="AJ122" s="1" t="s">
        <v>2646</v>
      </c>
    </row>
    <row r="123" spans="1:36" hidden="1">
      <c r="A123" s="392" t="s">
        <v>1494</v>
      </c>
      <c r="B123" s="427" t="s">
        <v>2649</v>
      </c>
      <c r="C123" s="433" t="s">
        <v>3689</v>
      </c>
      <c r="D123" s="433" t="s">
        <v>3815</v>
      </c>
      <c r="E123" s="433" t="s">
        <v>2807</v>
      </c>
      <c r="F123" s="433" t="s">
        <v>2654</v>
      </c>
      <c r="G123" s="433" t="s">
        <v>2654</v>
      </c>
      <c r="H123" s="433" t="s">
        <v>2654</v>
      </c>
      <c r="I123" s="433" t="s">
        <v>2654</v>
      </c>
      <c r="J123" s="433" t="s">
        <v>2654</v>
      </c>
      <c r="K123" s="433" t="s">
        <v>2654</v>
      </c>
      <c r="L123" s="433" t="s">
        <v>2654</v>
      </c>
      <c r="M123" s="433" t="s">
        <v>2654</v>
      </c>
      <c r="N123" s="433" t="s">
        <v>2654</v>
      </c>
      <c r="O123" s="433" t="s">
        <v>2793</v>
      </c>
      <c r="P123" s="433" t="s">
        <v>4083</v>
      </c>
      <c r="Q123" s="431"/>
      <c r="R123" s="431"/>
      <c r="S123" s="426" t="s">
        <v>2885</v>
      </c>
      <c r="T123" s="426" t="s">
        <v>2646</v>
      </c>
      <c r="U123" s="426" t="s">
        <v>2646</v>
      </c>
      <c r="V123" s="426" t="s">
        <v>2646</v>
      </c>
      <c r="W123" s="426" t="s">
        <v>2661</v>
      </c>
      <c r="X123" s="426" t="s">
        <v>2671</v>
      </c>
      <c r="Y123" s="426" t="s">
        <v>2798</v>
      </c>
      <c r="Z123" s="426" t="s">
        <v>2646</v>
      </c>
      <c r="AA123" s="426" t="s">
        <v>2646</v>
      </c>
      <c r="AB123" s="426" t="s">
        <v>2646</v>
      </c>
      <c r="AC123" s="426" t="s">
        <v>2646</v>
      </c>
      <c r="AD123" s="426" t="s">
        <v>2646</v>
      </c>
      <c r="AE123" s="426" t="s">
        <v>2646</v>
      </c>
      <c r="AF123" s="426" t="s">
        <v>2646</v>
      </c>
      <c r="AG123" s="426" t="s">
        <v>2646</v>
      </c>
      <c r="AH123" s="426" t="s">
        <v>2646</v>
      </c>
      <c r="AI123" s="426" t="s">
        <v>2646</v>
      </c>
      <c r="AJ123" s="68" t="s">
        <v>2646</v>
      </c>
    </row>
    <row r="124" spans="1:36" s="1" customFormat="1" hidden="1">
      <c r="A124" s="392" t="s">
        <v>1495</v>
      </c>
      <c r="B124" s="427" t="s">
        <v>2650</v>
      </c>
      <c r="C124" s="433" t="s">
        <v>3635</v>
      </c>
      <c r="D124" s="433" t="s">
        <v>3710</v>
      </c>
      <c r="E124" s="433" t="s">
        <v>2678</v>
      </c>
      <c r="F124" s="433" t="s">
        <v>2654</v>
      </c>
      <c r="G124" s="433" t="s">
        <v>2654</v>
      </c>
      <c r="H124" s="433" t="s">
        <v>2654</v>
      </c>
      <c r="I124" s="433" t="s">
        <v>2654</v>
      </c>
      <c r="J124" s="433" t="s">
        <v>2654</v>
      </c>
      <c r="K124" s="433" t="s">
        <v>2654</v>
      </c>
      <c r="L124" s="433" t="s">
        <v>2654</v>
      </c>
      <c r="M124" s="433" t="s">
        <v>2654</v>
      </c>
      <c r="N124" s="433" t="s">
        <v>2654</v>
      </c>
      <c r="O124" s="433" t="s">
        <v>2654</v>
      </c>
      <c r="P124" s="433" t="s">
        <v>4126</v>
      </c>
      <c r="Q124" s="431"/>
      <c r="R124" s="431"/>
      <c r="S124" s="426" t="s">
        <v>2778</v>
      </c>
      <c r="T124" s="426" t="s">
        <v>2646</v>
      </c>
      <c r="U124" s="426" t="s">
        <v>2646</v>
      </c>
      <c r="V124" s="426" t="s">
        <v>2646</v>
      </c>
      <c r="W124" s="426" t="s">
        <v>2661</v>
      </c>
      <c r="X124" s="426" t="s">
        <v>2671</v>
      </c>
      <c r="Y124" s="426" t="s">
        <v>2798</v>
      </c>
      <c r="Z124" s="426" t="s">
        <v>2646</v>
      </c>
      <c r="AA124" s="426" t="s">
        <v>2646</v>
      </c>
      <c r="AB124" s="426" t="s">
        <v>2646</v>
      </c>
      <c r="AC124" s="426" t="s">
        <v>2646</v>
      </c>
      <c r="AD124" s="426" t="s">
        <v>2646</v>
      </c>
      <c r="AE124" s="426" t="s">
        <v>2646</v>
      </c>
      <c r="AF124" s="426" t="s">
        <v>2646</v>
      </c>
      <c r="AG124" s="426" t="s">
        <v>2646</v>
      </c>
      <c r="AH124" s="426" t="s">
        <v>2646</v>
      </c>
      <c r="AI124" s="426" t="s">
        <v>2646</v>
      </c>
      <c r="AJ124" s="1" t="s">
        <v>2646</v>
      </c>
    </row>
    <row r="125" spans="1:36" s="1" customFormat="1" hidden="1">
      <c r="A125" s="392" t="s">
        <v>1496</v>
      </c>
      <c r="B125" s="427" t="s">
        <v>2651</v>
      </c>
      <c r="C125" s="433" t="s">
        <v>3902</v>
      </c>
      <c r="D125" s="433" t="s">
        <v>3710</v>
      </c>
      <c r="E125" s="433" t="s">
        <v>2654</v>
      </c>
      <c r="F125" s="433" t="s">
        <v>2654</v>
      </c>
      <c r="G125" s="433" t="s">
        <v>2654</v>
      </c>
      <c r="H125" s="433" t="s">
        <v>2654</v>
      </c>
      <c r="I125" s="433" t="s">
        <v>2654</v>
      </c>
      <c r="J125" s="433" t="s">
        <v>2654</v>
      </c>
      <c r="K125" s="433" t="s">
        <v>2654</v>
      </c>
      <c r="L125" s="433" t="s">
        <v>2654</v>
      </c>
      <c r="M125" s="433" t="s">
        <v>2654</v>
      </c>
      <c r="N125" s="433" t="s">
        <v>2654</v>
      </c>
      <c r="O125" s="433" t="s">
        <v>2654</v>
      </c>
      <c r="P125" s="433" t="s">
        <v>4083</v>
      </c>
      <c r="Q125" s="431"/>
      <c r="R125" s="431"/>
      <c r="S125" s="426" t="s">
        <v>2901</v>
      </c>
      <c r="T125" s="426" t="s">
        <v>2646</v>
      </c>
      <c r="U125" s="426" t="s">
        <v>2646</v>
      </c>
      <c r="V125" s="426" t="s">
        <v>2646</v>
      </c>
      <c r="W125" s="426" t="s">
        <v>2661</v>
      </c>
      <c r="X125" s="426" t="s">
        <v>2671</v>
      </c>
      <c r="Y125" s="426" t="s">
        <v>2798</v>
      </c>
      <c r="Z125" s="426" t="s">
        <v>2646</v>
      </c>
      <c r="AA125" s="426" t="s">
        <v>2646</v>
      </c>
      <c r="AB125" s="426" t="s">
        <v>2646</v>
      </c>
      <c r="AC125" s="426" t="s">
        <v>2646</v>
      </c>
      <c r="AD125" s="426" t="s">
        <v>2646</v>
      </c>
      <c r="AE125" s="426" t="s">
        <v>2646</v>
      </c>
      <c r="AF125" s="426" t="s">
        <v>2646</v>
      </c>
      <c r="AG125" s="426" t="s">
        <v>2646</v>
      </c>
      <c r="AH125" s="426" t="s">
        <v>2646</v>
      </c>
      <c r="AI125" s="426" t="s">
        <v>2646</v>
      </c>
      <c r="AJ125" s="1" t="s">
        <v>2646</v>
      </c>
    </row>
    <row r="126" spans="1:36" s="1" customFormat="1">
      <c r="A126" s="392" t="s">
        <v>1496</v>
      </c>
      <c r="B126" s="427" t="s">
        <v>48</v>
      </c>
      <c r="C126" s="433" t="s">
        <v>4127</v>
      </c>
      <c r="D126" s="433" t="s">
        <v>4128</v>
      </c>
      <c r="E126" s="433" t="s">
        <v>3083</v>
      </c>
      <c r="F126" s="433" t="s">
        <v>2654</v>
      </c>
      <c r="G126" s="433" t="s">
        <v>2654</v>
      </c>
      <c r="H126" s="433" t="s">
        <v>2654</v>
      </c>
      <c r="I126" s="433" t="s">
        <v>2654</v>
      </c>
      <c r="J126" s="433" t="s">
        <v>2654</v>
      </c>
      <c r="K126" s="433" t="s">
        <v>2654</v>
      </c>
      <c r="L126" s="433" t="s">
        <v>2654</v>
      </c>
      <c r="M126" s="433" t="s">
        <v>2654</v>
      </c>
      <c r="N126" s="433" t="s">
        <v>2654</v>
      </c>
      <c r="O126" s="433" t="s">
        <v>2654</v>
      </c>
      <c r="P126" s="433" t="s">
        <v>4025</v>
      </c>
      <c r="Q126" s="433" t="s">
        <v>2654</v>
      </c>
      <c r="R126" s="433" t="s">
        <v>2654</v>
      </c>
      <c r="S126" s="426"/>
      <c r="T126" s="426"/>
      <c r="U126" s="426"/>
      <c r="V126" s="426"/>
      <c r="W126" s="426"/>
      <c r="X126" s="426"/>
      <c r="Y126" s="426"/>
      <c r="Z126" s="426"/>
      <c r="AA126" s="426"/>
      <c r="AB126" s="426"/>
      <c r="AC126" s="426"/>
      <c r="AD126" s="426"/>
      <c r="AE126" s="426"/>
      <c r="AF126" s="426"/>
      <c r="AG126" s="426"/>
      <c r="AH126" s="426"/>
      <c r="AI126" s="426"/>
    </row>
    <row r="127" spans="1:36" s="1" customFormat="1" hidden="1">
      <c r="A127" s="392" t="s">
        <v>1497</v>
      </c>
      <c r="B127" s="427" t="s">
        <v>2647</v>
      </c>
      <c r="C127" s="433" t="s">
        <v>3749</v>
      </c>
      <c r="D127" s="433" t="s">
        <v>3710</v>
      </c>
      <c r="E127" s="433" t="s">
        <v>2654</v>
      </c>
      <c r="F127" s="433" t="s">
        <v>2654</v>
      </c>
      <c r="G127" s="433" t="s">
        <v>2654</v>
      </c>
      <c r="H127" s="433" t="s">
        <v>2654</v>
      </c>
      <c r="I127" s="433" t="s">
        <v>2654</v>
      </c>
      <c r="J127" s="433" t="s">
        <v>2654</v>
      </c>
      <c r="K127" s="433" t="s">
        <v>2654</v>
      </c>
      <c r="L127" s="433" t="s">
        <v>2654</v>
      </c>
      <c r="M127" s="433" t="s">
        <v>2654</v>
      </c>
      <c r="N127" s="433" t="s">
        <v>2654</v>
      </c>
      <c r="O127" s="433" t="s">
        <v>2654</v>
      </c>
      <c r="P127" s="433" t="s">
        <v>4059</v>
      </c>
      <c r="Q127" s="431"/>
      <c r="R127" s="431"/>
      <c r="S127" s="426" t="s">
        <v>2658</v>
      </c>
      <c r="T127" s="426" t="s">
        <v>2987</v>
      </c>
      <c r="U127" s="426" t="s">
        <v>2988</v>
      </c>
      <c r="V127" s="426" t="s">
        <v>2988</v>
      </c>
      <c r="W127" s="426" t="s">
        <v>2661</v>
      </c>
      <c r="X127" s="426" t="s">
        <v>2692</v>
      </c>
      <c r="Y127" s="426" t="s">
        <v>2989</v>
      </c>
      <c r="Z127" s="426" t="s">
        <v>2646</v>
      </c>
      <c r="AA127" s="426" t="s">
        <v>2646</v>
      </c>
      <c r="AB127" s="426" t="s">
        <v>2646</v>
      </c>
      <c r="AC127" s="426" t="s">
        <v>2646</v>
      </c>
      <c r="AD127" s="426" t="s">
        <v>2646</v>
      </c>
      <c r="AE127" s="426" t="s">
        <v>2646</v>
      </c>
      <c r="AF127" s="426" t="s">
        <v>2646</v>
      </c>
      <c r="AG127" s="426" t="s">
        <v>2646</v>
      </c>
      <c r="AH127" s="426" t="s">
        <v>2646</v>
      </c>
      <c r="AI127" s="426" t="s">
        <v>2646</v>
      </c>
      <c r="AJ127" s="1" t="s">
        <v>2646</v>
      </c>
    </row>
    <row r="128" spans="1:36" s="1" customFormat="1" hidden="1">
      <c r="A128" s="392" t="s">
        <v>1498</v>
      </c>
      <c r="B128" s="427" t="s">
        <v>2648</v>
      </c>
      <c r="C128" s="433" t="s">
        <v>3514</v>
      </c>
      <c r="D128" s="433" t="s">
        <v>3851</v>
      </c>
      <c r="E128" s="433" t="s">
        <v>2654</v>
      </c>
      <c r="F128" s="433" t="s">
        <v>2654</v>
      </c>
      <c r="G128" s="433" t="s">
        <v>2654</v>
      </c>
      <c r="H128" s="433" t="s">
        <v>2654</v>
      </c>
      <c r="I128" s="433" t="s">
        <v>2654</v>
      </c>
      <c r="J128" s="433" t="s">
        <v>2654</v>
      </c>
      <c r="K128" s="433" t="s">
        <v>2654</v>
      </c>
      <c r="L128" s="433" t="s">
        <v>2654</v>
      </c>
      <c r="M128" s="433" t="s">
        <v>2654</v>
      </c>
      <c r="N128" s="433" t="s">
        <v>2654</v>
      </c>
      <c r="O128" s="433" t="s">
        <v>2654</v>
      </c>
      <c r="P128" s="433" t="s">
        <v>4129</v>
      </c>
      <c r="Q128" s="431"/>
      <c r="R128" s="431"/>
      <c r="S128" s="426" t="s">
        <v>2768</v>
      </c>
      <c r="T128" s="426" t="s">
        <v>2646</v>
      </c>
      <c r="U128" s="426" t="s">
        <v>2757</v>
      </c>
      <c r="V128" s="426" t="s">
        <v>2757</v>
      </c>
      <c r="W128" s="426" t="s">
        <v>2974</v>
      </c>
      <c r="X128" s="426" t="s">
        <v>2692</v>
      </c>
      <c r="Y128" s="426" t="s">
        <v>2990</v>
      </c>
      <c r="Z128" s="426" t="s">
        <v>2646</v>
      </c>
      <c r="AA128" s="426" t="s">
        <v>2646</v>
      </c>
      <c r="AB128" s="426" t="s">
        <v>2646</v>
      </c>
      <c r="AC128" s="426" t="s">
        <v>2646</v>
      </c>
      <c r="AD128" s="426" t="s">
        <v>2646</v>
      </c>
      <c r="AE128" s="426" t="s">
        <v>2646</v>
      </c>
      <c r="AF128" s="426" t="s">
        <v>2646</v>
      </c>
      <c r="AG128" s="426" t="s">
        <v>2646</v>
      </c>
      <c r="AH128" s="426" t="s">
        <v>2646</v>
      </c>
      <c r="AI128" s="426" t="s">
        <v>2646</v>
      </c>
      <c r="AJ128" s="1" t="s">
        <v>2646</v>
      </c>
    </row>
    <row r="129" spans="1:36" s="1" customFormat="1" hidden="1">
      <c r="A129" s="392" t="s">
        <v>1499</v>
      </c>
      <c r="B129" s="427" t="s">
        <v>2649</v>
      </c>
      <c r="C129" s="433" t="s">
        <v>3146</v>
      </c>
      <c r="D129" s="433" t="s">
        <v>3710</v>
      </c>
      <c r="E129" s="433" t="s">
        <v>2654</v>
      </c>
      <c r="F129" s="433" t="s">
        <v>2654</v>
      </c>
      <c r="G129" s="433" t="s">
        <v>2654</v>
      </c>
      <c r="H129" s="433" t="s">
        <v>2654</v>
      </c>
      <c r="I129" s="433" t="s">
        <v>2654</v>
      </c>
      <c r="J129" s="433" t="s">
        <v>2654</v>
      </c>
      <c r="K129" s="433" t="s">
        <v>2654</v>
      </c>
      <c r="L129" s="433" t="s">
        <v>2654</v>
      </c>
      <c r="M129" s="433" t="s">
        <v>2654</v>
      </c>
      <c r="N129" s="433" t="s">
        <v>2654</v>
      </c>
      <c r="O129" s="433" t="s">
        <v>2654</v>
      </c>
      <c r="P129" s="433" t="s">
        <v>4078</v>
      </c>
      <c r="Q129" s="431"/>
      <c r="R129" s="431"/>
      <c r="S129" s="426" t="s">
        <v>2660</v>
      </c>
      <c r="T129" s="426" t="s">
        <v>2646</v>
      </c>
      <c r="U129" s="426" t="s">
        <v>2992</v>
      </c>
      <c r="V129" s="426" t="s">
        <v>2646</v>
      </c>
      <c r="W129" s="426" t="s">
        <v>2661</v>
      </c>
      <c r="X129" s="426" t="s">
        <v>2692</v>
      </c>
      <c r="Y129" s="426" t="s">
        <v>2989</v>
      </c>
      <c r="Z129" s="426" t="s">
        <v>2646</v>
      </c>
      <c r="AA129" s="426" t="s">
        <v>2646</v>
      </c>
      <c r="AB129" s="426" t="s">
        <v>2646</v>
      </c>
      <c r="AC129" s="426" t="s">
        <v>2646</v>
      </c>
      <c r="AD129" s="426" t="s">
        <v>2646</v>
      </c>
      <c r="AE129" s="426" t="s">
        <v>2646</v>
      </c>
      <c r="AF129" s="426" t="s">
        <v>2646</v>
      </c>
      <c r="AG129" s="426" t="s">
        <v>2646</v>
      </c>
      <c r="AH129" s="426" t="s">
        <v>2646</v>
      </c>
      <c r="AI129" s="426" t="s">
        <v>2646</v>
      </c>
      <c r="AJ129" s="1" t="s">
        <v>2646</v>
      </c>
    </row>
    <row r="130" spans="1:36" s="1" customFormat="1" hidden="1">
      <c r="A130" s="392" t="s">
        <v>1500</v>
      </c>
      <c r="B130" s="427" t="s">
        <v>2650</v>
      </c>
      <c r="C130" s="433" t="s">
        <v>3363</v>
      </c>
      <c r="D130" s="433" t="s">
        <v>3686</v>
      </c>
      <c r="E130" s="433" t="s">
        <v>2654</v>
      </c>
      <c r="F130" s="433" t="s">
        <v>2654</v>
      </c>
      <c r="G130" s="433" t="s">
        <v>2654</v>
      </c>
      <c r="H130" s="433" t="s">
        <v>2654</v>
      </c>
      <c r="I130" s="433" t="s">
        <v>2654</v>
      </c>
      <c r="J130" s="433" t="s">
        <v>2654</v>
      </c>
      <c r="K130" s="433" t="s">
        <v>2654</v>
      </c>
      <c r="L130" s="433" t="s">
        <v>2654</v>
      </c>
      <c r="M130" s="433" t="s">
        <v>2654</v>
      </c>
      <c r="N130" s="433" t="s">
        <v>2654</v>
      </c>
      <c r="O130" s="433" t="s">
        <v>2654</v>
      </c>
      <c r="P130" s="433" t="s">
        <v>4057</v>
      </c>
      <c r="Q130" s="431"/>
      <c r="R130" s="431"/>
      <c r="S130" s="426" t="s">
        <v>2664</v>
      </c>
      <c r="T130" s="426" t="s">
        <v>2646</v>
      </c>
      <c r="U130" s="426" t="s">
        <v>2717</v>
      </c>
      <c r="V130" s="426" t="s">
        <v>2646</v>
      </c>
      <c r="W130" s="426" t="s">
        <v>2974</v>
      </c>
      <c r="X130" s="426" t="s">
        <v>2692</v>
      </c>
      <c r="Y130" s="426" t="s">
        <v>2990</v>
      </c>
      <c r="Z130" s="426" t="s">
        <v>2646</v>
      </c>
      <c r="AA130" s="426" t="s">
        <v>2646</v>
      </c>
      <c r="AB130" s="426" t="s">
        <v>2646</v>
      </c>
      <c r="AC130" s="426" t="s">
        <v>2646</v>
      </c>
      <c r="AD130" s="426" t="s">
        <v>2646</v>
      </c>
      <c r="AE130" s="426" t="s">
        <v>2646</v>
      </c>
      <c r="AF130" s="426" t="s">
        <v>2646</v>
      </c>
      <c r="AG130" s="426" t="s">
        <v>2646</v>
      </c>
      <c r="AH130" s="426" t="s">
        <v>2646</v>
      </c>
      <c r="AI130" s="426" t="s">
        <v>2646</v>
      </c>
      <c r="AJ130" s="1" t="s">
        <v>2646</v>
      </c>
    </row>
    <row r="131" spans="1:36" s="1" customFormat="1" hidden="1">
      <c r="A131" s="392" t="s">
        <v>1501</v>
      </c>
      <c r="B131" s="427" t="s">
        <v>2651</v>
      </c>
      <c r="C131" s="433" t="s">
        <v>3721</v>
      </c>
      <c r="D131" s="433" t="s">
        <v>3364</v>
      </c>
      <c r="E131" s="433" t="s">
        <v>2654</v>
      </c>
      <c r="F131" s="433" t="s">
        <v>2654</v>
      </c>
      <c r="G131" s="433" t="s">
        <v>2654</v>
      </c>
      <c r="H131" s="433" t="s">
        <v>2654</v>
      </c>
      <c r="I131" s="433" t="s">
        <v>2654</v>
      </c>
      <c r="J131" s="433" t="s">
        <v>2654</v>
      </c>
      <c r="K131" s="433" t="s">
        <v>2654</v>
      </c>
      <c r="L131" s="433" t="s">
        <v>2654</v>
      </c>
      <c r="M131" s="433" t="s">
        <v>2654</v>
      </c>
      <c r="N131" s="433" t="s">
        <v>2654</v>
      </c>
      <c r="O131" s="433" t="s">
        <v>2654</v>
      </c>
      <c r="P131" s="433" t="s">
        <v>4080</v>
      </c>
      <c r="Q131" s="431"/>
      <c r="R131" s="431"/>
      <c r="S131" s="426" t="s">
        <v>2658</v>
      </c>
      <c r="T131" s="426" t="s">
        <v>2987</v>
      </c>
      <c r="U131" s="426" t="s">
        <v>2988</v>
      </c>
      <c r="V131" s="426" t="s">
        <v>2988</v>
      </c>
      <c r="W131" s="426" t="s">
        <v>2661</v>
      </c>
      <c r="X131" s="426" t="s">
        <v>2692</v>
      </c>
      <c r="Y131" s="426" t="s">
        <v>2989</v>
      </c>
      <c r="Z131" s="426" t="s">
        <v>2646</v>
      </c>
      <c r="AA131" s="426" t="s">
        <v>2646</v>
      </c>
      <c r="AB131" s="426" t="s">
        <v>2646</v>
      </c>
      <c r="AC131" s="426" t="s">
        <v>2646</v>
      </c>
      <c r="AD131" s="426" t="s">
        <v>2646</v>
      </c>
      <c r="AE131" s="426" t="s">
        <v>2646</v>
      </c>
      <c r="AF131" s="426" t="s">
        <v>2646</v>
      </c>
      <c r="AG131" s="426" t="s">
        <v>2646</v>
      </c>
      <c r="AH131" s="426" t="s">
        <v>2646</v>
      </c>
      <c r="AI131" s="426" t="s">
        <v>2646</v>
      </c>
      <c r="AJ131" s="1" t="s">
        <v>2646</v>
      </c>
    </row>
    <row r="132" spans="1:36" s="1" customFormat="1">
      <c r="A132" s="392" t="s">
        <v>1501</v>
      </c>
      <c r="B132" s="427" t="s">
        <v>48</v>
      </c>
      <c r="C132" s="433" t="s">
        <v>4130</v>
      </c>
      <c r="D132" s="433" t="s">
        <v>3867</v>
      </c>
      <c r="E132" s="433" t="s">
        <v>2654</v>
      </c>
      <c r="F132" s="433" t="s">
        <v>2654</v>
      </c>
      <c r="G132" s="433" t="s">
        <v>2654</v>
      </c>
      <c r="H132" s="433" t="s">
        <v>2654</v>
      </c>
      <c r="I132" s="433" t="s">
        <v>2654</v>
      </c>
      <c r="J132" s="433" t="s">
        <v>2654</v>
      </c>
      <c r="K132" s="433" t="s">
        <v>2654</v>
      </c>
      <c r="L132" s="433" t="s">
        <v>2654</v>
      </c>
      <c r="M132" s="433" t="s">
        <v>2654</v>
      </c>
      <c r="N132" s="433" t="s">
        <v>2654</v>
      </c>
      <c r="O132" s="433" t="s">
        <v>2654</v>
      </c>
      <c r="P132" s="433" t="s">
        <v>4131</v>
      </c>
      <c r="Q132" s="433" t="s">
        <v>2654</v>
      </c>
      <c r="R132" s="433" t="s">
        <v>2654</v>
      </c>
      <c r="S132" s="426"/>
      <c r="T132" s="426"/>
      <c r="U132" s="426"/>
      <c r="V132" s="426"/>
      <c r="W132" s="426"/>
      <c r="X132" s="426"/>
      <c r="Y132" s="426"/>
      <c r="Z132" s="426"/>
      <c r="AA132" s="426"/>
      <c r="AB132" s="426"/>
      <c r="AC132" s="426"/>
      <c r="AD132" s="426"/>
      <c r="AE132" s="426"/>
      <c r="AF132" s="426"/>
      <c r="AG132" s="426"/>
      <c r="AH132" s="426"/>
      <c r="AI132" s="426"/>
    </row>
    <row r="133" spans="1:36" s="1" customFormat="1" hidden="1">
      <c r="A133" s="392" t="s">
        <v>1502</v>
      </c>
      <c r="B133" s="427" t="s">
        <v>2647</v>
      </c>
      <c r="C133" s="433" t="s">
        <v>3464</v>
      </c>
      <c r="D133" s="433" t="s">
        <v>3364</v>
      </c>
      <c r="E133" s="433" t="s">
        <v>2654</v>
      </c>
      <c r="F133" s="433" t="s">
        <v>2654</v>
      </c>
      <c r="G133" s="433" t="s">
        <v>2654</v>
      </c>
      <c r="H133" s="433" t="s">
        <v>2654</v>
      </c>
      <c r="I133" s="433" t="s">
        <v>2654</v>
      </c>
      <c r="J133" s="433" t="s">
        <v>2654</v>
      </c>
      <c r="K133" s="433" t="s">
        <v>2654</v>
      </c>
      <c r="L133" s="433" t="s">
        <v>2654</v>
      </c>
      <c r="M133" s="433" t="s">
        <v>2654</v>
      </c>
      <c r="N133" s="433" t="s">
        <v>2654</v>
      </c>
      <c r="O133" s="433" t="s">
        <v>2654</v>
      </c>
      <c r="P133" s="433" t="s">
        <v>4080</v>
      </c>
      <c r="Q133" s="431"/>
      <c r="R133" s="431"/>
      <c r="S133" s="426" t="s">
        <v>2860</v>
      </c>
      <c r="T133" s="426" t="s">
        <v>2646</v>
      </c>
      <c r="U133" s="426" t="s">
        <v>2996</v>
      </c>
      <c r="V133" s="426" t="s">
        <v>2996</v>
      </c>
      <c r="W133" s="426" t="s">
        <v>2661</v>
      </c>
      <c r="X133" s="426" t="s">
        <v>2727</v>
      </c>
      <c r="Y133" s="426" t="s">
        <v>2951</v>
      </c>
      <c r="Z133" s="426" t="s">
        <v>2646</v>
      </c>
      <c r="AA133" s="426" t="s">
        <v>2646</v>
      </c>
      <c r="AB133" s="426" t="s">
        <v>2646</v>
      </c>
      <c r="AC133" s="426" t="s">
        <v>2646</v>
      </c>
      <c r="AD133" s="426" t="s">
        <v>2646</v>
      </c>
      <c r="AE133" s="426" t="s">
        <v>2646</v>
      </c>
      <c r="AF133" s="426" t="s">
        <v>2646</v>
      </c>
      <c r="AG133" s="426" t="s">
        <v>2646</v>
      </c>
      <c r="AH133" s="426" t="s">
        <v>2646</v>
      </c>
      <c r="AI133" s="426" t="s">
        <v>2646</v>
      </c>
      <c r="AJ133" s="1" t="s">
        <v>2646</v>
      </c>
    </row>
    <row r="134" spans="1:36" hidden="1">
      <c r="A134" s="392" t="s">
        <v>1503</v>
      </c>
      <c r="B134" s="427" t="s">
        <v>2648</v>
      </c>
      <c r="C134" s="433" t="s">
        <v>3884</v>
      </c>
      <c r="D134" s="433" t="s">
        <v>3686</v>
      </c>
      <c r="E134" s="433" t="s">
        <v>2654</v>
      </c>
      <c r="F134" s="433" t="s">
        <v>2654</v>
      </c>
      <c r="G134" s="433" t="s">
        <v>2654</v>
      </c>
      <c r="H134" s="433" t="s">
        <v>2654</v>
      </c>
      <c r="I134" s="433" t="s">
        <v>2654</v>
      </c>
      <c r="J134" s="433" t="s">
        <v>2654</v>
      </c>
      <c r="K134" s="433" t="s">
        <v>2654</v>
      </c>
      <c r="L134" s="433" t="s">
        <v>2654</v>
      </c>
      <c r="M134" s="433" t="s">
        <v>2654</v>
      </c>
      <c r="N134" s="433" t="s">
        <v>2654</v>
      </c>
      <c r="O134" s="433" t="s">
        <v>2654</v>
      </c>
      <c r="P134" s="433" t="s">
        <v>4132</v>
      </c>
      <c r="Q134" s="431"/>
      <c r="R134" s="431"/>
      <c r="S134" s="426" t="s">
        <v>2844</v>
      </c>
      <c r="T134" s="426" t="s">
        <v>2715</v>
      </c>
      <c r="U134" s="426" t="s">
        <v>2762</v>
      </c>
      <c r="V134" s="426" t="s">
        <v>2717</v>
      </c>
      <c r="W134" s="426" t="s">
        <v>2661</v>
      </c>
      <c r="X134" s="426" t="s">
        <v>2727</v>
      </c>
      <c r="Y134" s="426" t="s">
        <v>2951</v>
      </c>
      <c r="Z134" s="426" t="s">
        <v>2646</v>
      </c>
      <c r="AA134" s="426" t="s">
        <v>2646</v>
      </c>
      <c r="AB134" s="426" t="s">
        <v>2646</v>
      </c>
      <c r="AC134" s="426" t="s">
        <v>2646</v>
      </c>
      <c r="AD134" s="426" t="s">
        <v>2646</v>
      </c>
      <c r="AE134" s="426" t="s">
        <v>2646</v>
      </c>
      <c r="AF134" s="426" t="s">
        <v>2646</v>
      </c>
      <c r="AG134" s="426" t="s">
        <v>2646</v>
      </c>
      <c r="AH134" s="426" t="s">
        <v>2646</v>
      </c>
      <c r="AI134" s="426" t="s">
        <v>2646</v>
      </c>
      <c r="AJ134" s="68" t="s">
        <v>2646</v>
      </c>
    </row>
    <row r="135" spans="1:36" s="1" customFormat="1" hidden="1">
      <c r="A135" s="392" t="s">
        <v>1504</v>
      </c>
      <c r="B135" s="427" t="s">
        <v>2649</v>
      </c>
      <c r="C135" s="433" t="s">
        <v>3651</v>
      </c>
      <c r="D135" s="433" t="s">
        <v>3364</v>
      </c>
      <c r="E135" s="433" t="s">
        <v>2654</v>
      </c>
      <c r="F135" s="433" t="s">
        <v>2654</v>
      </c>
      <c r="G135" s="433" t="s">
        <v>2654</v>
      </c>
      <c r="H135" s="433" t="s">
        <v>2654</v>
      </c>
      <c r="I135" s="433" t="s">
        <v>2654</v>
      </c>
      <c r="J135" s="433" t="s">
        <v>2654</v>
      </c>
      <c r="K135" s="433" t="s">
        <v>2654</v>
      </c>
      <c r="L135" s="433" t="s">
        <v>2654</v>
      </c>
      <c r="M135" s="433" t="s">
        <v>2654</v>
      </c>
      <c r="N135" s="433" t="s">
        <v>2654</v>
      </c>
      <c r="O135" s="433" t="s">
        <v>2654</v>
      </c>
      <c r="P135" s="433" t="s">
        <v>4057</v>
      </c>
      <c r="Q135" s="431"/>
      <c r="R135" s="431"/>
      <c r="S135" s="426" t="s">
        <v>2665</v>
      </c>
      <c r="T135" s="426" t="s">
        <v>2998</v>
      </c>
      <c r="U135" s="426" t="s">
        <v>2999</v>
      </c>
      <c r="V135" s="426" t="s">
        <v>3000</v>
      </c>
      <c r="W135" s="426" t="s">
        <v>3001</v>
      </c>
      <c r="X135" s="426" t="s">
        <v>2727</v>
      </c>
      <c r="Y135" s="426" t="s">
        <v>3002</v>
      </c>
      <c r="Z135" s="426" t="s">
        <v>2646</v>
      </c>
      <c r="AA135" s="426" t="s">
        <v>2646</v>
      </c>
      <c r="AB135" s="426" t="s">
        <v>2646</v>
      </c>
      <c r="AC135" s="426" t="s">
        <v>2646</v>
      </c>
      <c r="AD135" s="426" t="s">
        <v>2646</v>
      </c>
      <c r="AE135" s="426" t="s">
        <v>2646</v>
      </c>
      <c r="AF135" s="426" t="s">
        <v>2646</v>
      </c>
      <c r="AG135" s="426" t="s">
        <v>2646</v>
      </c>
      <c r="AH135" s="426" t="s">
        <v>2646</v>
      </c>
      <c r="AI135" s="426" t="s">
        <v>2646</v>
      </c>
      <c r="AJ135" s="1" t="s">
        <v>2646</v>
      </c>
    </row>
    <row r="136" spans="1:36" s="1" customFormat="1" hidden="1">
      <c r="A136" s="392" t="s">
        <v>1505</v>
      </c>
      <c r="B136" s="427" t="s">
        <v>2650</v>
      </c>
      <c r="C136" s="433" t="s">
        <v>3256</v>
      </c>
      <c r="D136" s="433" t="s">
        <v>3851</v>
      </c>
      <c r="E136" s="433" t="s">
        <v>2654</v>
      </c>
      <c r="F136" s="433" t="s">
        <v>2654</v>
      </c>
      <c r="G136" s="433" t="s">
        <v>2654</v>
      </c>
      <c r="H136" s="433" t="s">
        <v>2654</v>
      </c>
      <c r="I136" s="433" t="s">
        <v>2654</v>
      </c>
      <c r="J136" s="433" t="s">
        <v>2654</v>
      </c>
      <c r="K136" s="433" t="s">
        <v>2654</v>
      </c>
      <c r="L136" s="433" t="s">
        <v>2654</v>
      </c>
      <c r="M136" s="433" t="s">
        <v>2654</v>
      </c>
      <c r="N136" s="433" t="s">
        <v>2654</v>
      </c>
      <c r="O136" s="433" t="s">
        <v>2654</v>
      </c>
      <c r="P136" s="433" t="s">
        <v>4080</v>
      </c>
      <c r="Q136" s="431"/>
      <c r="R136" s="431"/>
      <c r="S136" s="426" t="s">
        <v>2658</v>
      </c>
      <c r="T136" s="426" t="s">
        <v>3003</v>
      </c>
      <c r="U136" s="426" t="s">
        <v>2715</v>
      </c>
      <c r="V136" s="426" t="s">
        <v>2715</v>
      </c>
      <c r="W136" s="426" t="s">
        <v>2661</v>
      </c>
      <c r="X136" s="426" t="s">
        <v>2727</v>
      </c>
      <c r="Y136" s="426" t="s">
        <v>2951</v>
      </c>
      <c r="Z136" s="426" t="s">
        <v>2646</v>
      </c>
      <c r="AA136" s="426" t="s">
        <v>2646</v>
      </c>
      <c r="AB136" s="426" t="s">
        <v>2646</v>
      </c>
      <c r="AC136" s="426" t="s">
        <v>2646</v>
      </c>
      <c r="AD136" s="426" t="s">
        <v>2646</v>
      </c>
      <c r="AE136" s="426" t="s">
        <v>2646</v>
      </c>
      <c r="AF136" s="426" t="s">
        <v>2646</v>
      </c>
      <c r="AG136" s="426" t="s">
        <v>2646</v>
      </c>
      <c r="AH136" s="426" t="s">
        <v>2646</v>
      </c>
      <c r="AI136" s="426" t="s">
        <v>2646</v>
      </c>
      <c r="AJ136" s="1" t="s">
        <v>2646</v>
      </c>
    </row>
    <row r="137" spans="1:36" s="1" customFormat="1" hidden="1">
      <c r="A137" s="392" t="s">
        <v>1506</v>
      </c>
      <c r="B137" s="427" t="s">
        <v>2651</v>
      </c>
      <c r="C137" s="433" t="s">
        <v>2675</v>
      </c>
      <c r="D137" s="433" t="s">
        <v>3364</v>
      </c>
      <c r="E137" s="433" t="s">
        <v>2654</v>
      </c>
      <c r="F137" s="433" t="s">
        <v>2654</v>
      </c>
      <c r="G137" s="433" t="s">
        <v>2654</v>
      </c>
      <c r="H137" s="433" t="s">
        <v>2654</v>
      </c>
      <c r="I137" s="433" t="s">
        <v>2654</v>
      </c>
      <c r="J137" s="433" t="s">
        <v>2654</v>
      </c>
      <c r="K137" s="433" t="s">
        <v>2654</v>
      </c>
      <c r="L137" s="433" t="s">
        <v>2654</v>
      </c>
      <c r="M137" s="433" t="s">
        <v>2654</v>
      </c>
      <c r="N137" s="433" t="s">
        <v>2654</v>
      </c>
      <c r="O137" s="433" t="s">
        <v>2654</v>
      </c>
      <c r="P137" s="433" t="s">
        <v>4093</v>
      </c>
      <c r="Q137" s="431"/>
      <c r="R137" s="431"/>
      <c r="S137" s="426" t="s">
        <v>2860</v>
      </c>
      <c r="T137" s="426" t="s">
        <v>2646</v>
      </c>
      <c r="U137" s="426" t="s">
        <v>2996</v>
      </c>
      <c r="V137" s="426" t="s">
        <v>2996</v>
      </c>
      <c r="W137" s="426" t="s">
        <v>2661</v>
      </c>
      <c r="X137" s="426" t="s">
        <v>2727</v>
      </c>
      <c r="Y137" s="426" t="s">
        <v>2951</v>
      </c>
      <c r="Z137" s="426" t="s">
        <v>2646</v>
      </c>
      <c r="AA137" s="426" t="s">
        <v>2646</v>
      </c>
      <c r="AB137" s="426" t="s">
        <v>2646</v>
      </c>
      <c r="AC137" s="426" t="s">
        <v>2646</v>
      </c>
      <c r="AD137" s="426" t="s">
        <v>2646</v>
      </c>
      <c r="AE137" s="426" t="s">
        <v>2646</v>
      </c>
      <c r="AF137" s="426" t="s">
        <v>2646</v>
      </c>
      <c r="AG137" s="426" t="s">
        <v>2646</v>
      </c>
      <c r="AH137" s="426" t="s">
        <v>2646</v>
      </c>
      <c r="AI137" s="426" t="s">
        <v>2646</v>
      </c>
      <c r="AJ137" s="1" t="s">
        <v>2646</v>
      </c>
    </row>
    <row r="138" spans="1:36" s="1" customFormat="1">
      <c r="A138" s="392" t="s">
        <v>1506</v>
      </c>
      <c r="B138" s="427" t="s">
        <v>48</v>
      </c>
      <c r="C138" s="433" t="s">
        <v>3735</v>
      </c>
      <c r="D138" s="433" t="s">
        <v>3871</v>
      </c>
      <c r="E138" s="433" t="s">
        <v>2654</v>
      </c>
      <c r="F138" s="433" t="s">
        <v>2654</v>
      </c>
      <c r="G138" s="433" t="s">
        <v>2654</v>
      </c>
      <c r="H138" s="433" t="s">
        <v>2654</v>
      </c>
      <c r="I138" s="433" t="s">
        <v>2654</v>
      </c>
      <c r="J138" s="433" t="s">
        <v>2654</v>
      </c>
      <c r="K138" s="433" t="s">
        <v>2654</v>
      </c>
      <c r="L138" s="433" t="s">
        <v>2654</v>
      </c>
      <c r="M138" s="433" t="s">
        <v>2654</v>
      </c>
      <c r="N138" s="433" t="s">
        <v>2654</v>
      </c>
      <c r="O138" s="433" t="s">
        <v>2654</v>
      </c>
      <c r="P138" s="433" t="s">
        <v>3457</v>
      </c>
      <c r="Q138" s="433" t="s">
        <v>2654</v>
      </c>
      <c r="R138" s="433" t="s">
        <v>2654</v>
      </c>
      <c r="S138" s="426"/>
      <c r="T138" s="426"/>
      <c r="U138" s="426"/>
      <c r="V138" s="426"/>
      <c r="W138" s="426"/>
      <c r="X138" s="426"/>
      <c r="Y138" s="426"/>
      <c r="Z138" s="426"/>
      <c r="AA138" s="426"/>
      <c r="AB138" s="426"/>
      <c r="AC138" s="426"/>
      <c r="AD138" s="426"/>
      <c r="AE138" s="426"/>
      <c r="AF138" s="426"/>
      <c r="AG138" s="426"/>
      <c r="AH138" s="426"/>
      <c r="AI138" s="426"/>
    </row>
    <row r="139" spans="1:36" s="1" customFormat="1" hidden="1">
      <c r="A139" s="392" t="s">
        <v>1507</v>
      </c>
      <c r="B139" s="427" t="s">
        <v>2647</v>
      </c>
      <c r="C139" s="433" t="s">
        <v>2790</v>
      </c>
      <c r="D139" s="433" t="s">
        <v>3860</v>
      </c>
      <c r="E139" s="433" t="s">
        <v>2654</v>
      </c>
      <c r="F139" s="433" t="s">
        <v>2654</v>
      </c>
      <c r="G139" s="433" t="s">
        <v>2654</v>
      </c>
      <c r="H139" s="433" t="s">
        <v>2654</v>
      </c>
      <c r="I139" s="433" t="s">
        <v>2654</v>
      </c>
      <c r="J139" s="433" t="s">
        <v>2654</v>
      </c>
      <c r="K139" s="433" t="s">
        <v>2654</v>
      </c>
      <c r="L139" s="433" t="s">
        <v>2654</v>
      </c>
      <c r="M139" s="433" t="s">
        <v>2654</v>
      </c>
      <c r="N139" s="433" t="s">
        <v>2654</v>
      </c>
      <c r="O139" s="433" t="s">
        <v>2654</v>
      </c>
      <c r="P139" s="433" t="s">
        <v>4057</v>
      </c>
      <c r="Q139" s="431"/>
      <c r="R139" s="431"/>
      <c r="S139" s="426" t="s">
        <v>2660</v>
      </c>
      <c r="T139" s="426" t="s">
        <v>2646</v>
      </c>
      <c r="U139" s="426" t="s">
        <v>2992</v>
      </c>
      <c r="V139" s="426" t="s">
        <v>2646</v>
      </c>
      <c r="W139" s="426" t="s">
        <v>2974</v>
      </c>
      <c r="X139" s="426" t="s">
        <v>2758</v>
      </c>
      <c r="Y139" s="426" t="s">
        <v>3005</v>
      </c>
      <c r="Z139" s="426" t="s">
        <v>2646</v>
      </c>
      <c r="AA139" s="426" t="s">
        <v>2646</v>
      </c>
      <c r="AB139" s="426" t="s">
        <v>2646</v>
      </c>
      <c r="AC139" s="426" t="s">
        <v>2646</v>
      </c>
      <c r="AD139" s="426" t="s">
        <v>2646</v>
      </c>
      <c r="AE139" s="426" t="s">
        <v>2646</v>
      </c>
      <c r="AF139" s="426" t="s">
        <v>2646</v>
      </c>
      <c r="AG139" s="426" t="s">
        <v>2646</v>
      </c>
      <c r="AH139" s="426" t="s">
        <v>2646</v>
      </c>
      <c r="AI139" s="426" t="s">
        <v>2646</v>
      </c>
      <c r="AJ139" s="1" t="s">
        <v>2646</v>
      </c>
    </row>
    <row r="140" spans="1:36" s="1" customFormat="1" hidden="1">
      <c r="A140" s="392" t="s">
        <v>1508</v>
      </c>
      <c r="B140" s="427" t="s">
        <v>2648</v>
      </c>
      <c r="C140" s="433" t="s">
        <v>3723</v>
      </c>
      <c r="D140" s="433" t="s">
        <v>3686</v>
      </c>
      <c r="E140" s="433" t="s">
        <v>2654</v>
      </c>
      <c r="F140" s="433" t="s">
        <v>2654</v>
      </c>
      <c r="G140" s="433" t="s">
        <v>2654</v>
      </c>
      <c r="H140" s="433" t="s">
        <v>2654</v>
      </c>
      <c r="I140" s="433" t="s">
        <v>2654</v>
      </c>
      <c r="J140" s="433" t="s">
        <v>2654</v>
      </c>
      <c r="K140" s="433" t="s">
        <v>2654</v>
      </c>
      <c r="L140" s="433" t="s">
        <v>2654</v>
      </c>
      <c r="M140" s="433" t="s">
        <v>2654</v>
      </c>
      <c r="N140" s="433" t="s">
        <v>2654</v>
      </c>
      <c r="O140" s="433" t="s">
        <v>2654</v>
      </c>
      <c r="P140" s="433" t="s">
        <v>4078</v>
      </c>
      <c r="Q140" s="431"/>
      <c r="R140" s="431"/>
      <c r="S140" s="426" t="s">
        <v>316</v>
      </c>
      <c r="T140" s="426" t="s">
        <v>2646</v>
      </c>
      <c r="U140" s="426" t="s">
        <v>2646</v>
      </c>
      <c r="V140" s="426" t="s">
        <v>2646</v>
      </c>
      <c r="W140" s="426" t="s">
        <v>2974</v>
      </c>
      <c r="X140" s="426" t="s">
        <v>2758</v>
      </c>
      <c r="Y140" s="426" t="s">
        <v>3005</v>
      </c>
      <c r="Z140" s="426" t="s">
        <v>2646</v>
      </c>
      <c r="AA140" s="426" t="s">
        <v>2646</v>
      </c>
      <c r="AB140" s="426" t="s">
        <v>2646</v>
      </c>
      <c r="AC140" s="426" t="s">
        <v>2646</v>
      </c>
      <c r="AD140" s="426" t="s">
        <v>2646</v>
      </c>
      <c r="AE140" s="426" t="s">
        <v>2646</v>
      </c>
      <c r="AF140" s="426" t="s">
        <v>2646</v>
      </c>
      <c r="AG140" s="426" t="s">
        <v>2646</v>
      </c>
      <c r="AH140" s="426" t="s">
        <v>2646</v>
      </c>
      <c r="AI140" s="426" t="s">
        <v>2646</v>
      </c>
      <c r="AJ140" s="1" t="s">
        <v>2646</v>
      </c>
    </row>
    <row r="141" spans="1:36" s="1" customFormat="1" hidden="1">
      <c r="A141" s="392" t="s">
        <v>1509</v>
      </c>
      <c r="B141" s="427" t="s">
        <v>2649</v>
      </c>
      <c r="C141" s="433" t="s">
        <v>3693</v>
      </c>
      <c r="D141" s="433" t="s">
        <v>3710</v>
      </c>
      <c r="E141" s="433" t="s">
        <v>2654</v>
      </c>
      <c r="F141" s="433" t="s">
        <v>2654</v>
      </c>
      <c r="G141" s="433" t="s">
        <v>2654</v>
      </c>
      <c r="H141" s="433" t="s">
        <v>2654</v>
      </c>
      <c r="I141" s="433" t="s">
        <v>2654</v>
      </c>
      <c r="J141" s="433" t="s">
        <v>2654</v>
      </c>
      <c r="K141" s="433" t="s">
        <v>2654</v>
      </c>
      <c r="L141" s="433" t="s">
        <v>2654</v>
      </c>
      <c r="M141" s="433" t="s">
        <v>2654</v>
      </c>
      <c r="N141" s="433" t="s">
        <v>2654</v>
      </c>
      <c r="O141" s="433" t="s">
        <v>2654</v>
      </c>
      <c r="P141" s="433" t="s">
        <v>4083</v>
      </c>
      <c r="Q141" s="431"/>
      <c r="R141" s="431"/>
      <c r="S141" s="426" t="s">
        <v>2768</v>
      </c>
      <c r="T141" s="426" t="s">
        <v>2646</v>
      </c>
      <c r="U141" s="426" t="s">
        <v>3006</v>
      </c>
      <c r="V141" s="426" t="s">
        <v>3006</v>
      </c>
      <c r="W141" s="426" t="s">
        <v>2661</v>
      </c>
      <c r="X141" s="426" t="s">
        <v>2758</v>
      </c>
      <c r="Y141" s="426" t="s">
        <v>2874</v>
      </c>
      <c r="Z141" s="426" t="s">
        <v>2646</v>
      </c>
      <c r="AA141" s="426" t="s">
        <v>2646</v>
      </c>
      <c r="AB141" s="426" t="s">
        <v>2646</v>
      </c>
      <c r="AC141" s="426" t="s">
        <v>2646</v>
      </c>
      <c r="AD141" s="426" t="s">
        <v>2646</v>
      </c>
      <c r="AE141" s="426" t="s">
        <v>2646</v>
      </c>
      <c r="AF141" s="426" t="s">
        <v>2646</v>
      </c>
      <c r="AG141" s="426" t="s">
        <v>2646</v>
      </c>
      <c r="AH141" s="426" t="s">
        <v>2646</v>
      </c>
      <c r="AI141" s="426" t="s">
        <v>2646</v>
      </c>
      <c r="AJ141" s="1" t="s">
        <v>2646</v>
      </c>
    </row>
    <row r="142" spans="1:36" s="1" customFormat="1" hidden="1">
      <c r="A142" s="392" t="s">
        <v>1510</v>
      </c>
      <c r="B142" s="427" t="s">
        <v>2650</v>
      </c>
      <c r="C142" s="433" t="s">
        <v>3945</v>
      </c>
      <c r="D142" s="433" t="s">
        <v>3686</v>
      </c>
      <c r="E142" s="433" t="s">
        <v>2654</v>
      </c>
      <c r="F142" s="433" t="s">
        <v>2654</v>
      </c>
      <c r="G142" s="433" t="s">
        <v>2654</v>
      </c>
      <c r="H142" s="433" t="s">
        <v>2654</v>
      </c>
      <c r="I142" s="433" t="s">
        <v>2654</v>
      </c>
      <c r="J142" s="433" t="s">
        <v>2654</v>
      </c>
      <c r="K142" s="433" t="s">
        <v>2654</v>
      </c>
      <c r="L142" s="433" t="s">
        <v>2654</v>
      </c>
      <c r="M142" s="433" t="s">
        <v>2654</v>
      </c>
      <c r="N142" s="433" t="s">
        <v>2654</v>
      </c>
      <c r="O142" s="433" t="s">
        <v>2654</v>
      </c>
      <c r="P142" s="433" t="s">
        <v>4083</v>
      </c>
      <c r="Q142" s="431"/>
      <c r="R142" s="431"/>
      <c r="S142" s="426" t="s">
        <v>2768</v>
      </c>
      <c r="T142" s="426" t="s">
        <v>2646</v>
      </c>
      <c r="U142" s="426" t="s">
        <v>2820</v>
      </c>
      <c r="V142" s="426" t="s">
        <v>2820</v>
      </c>
      <c r="W142" s="426" t="s">
        <v>2661</v>
      </c>
      <c r="X142" s="426" t="s">
        <v>2758</v>
      </c>
      <c r="Y142" s="426" t="s">
        <v>2874</v>
      </c>
      <c r="Z142" s="426" t="s">
        <v>2646</v>
      </c>
      <c r="AA142" s="426" t="s">
        <v>2646</v>
      </c>
      <c r="AB142" s="426" t="s">
        <v>2646</v>
      </c>
      <c r="AC142" s="426" t="s">
        <v>2646</v>
      </c>
      <c r="AD142" s="426" t="s">
        <v>2646</v>
      </c>
      <c r="AE142" s="426" t="s">
        <v>2646</v>
      </c>
      <c r="AF142" s="426" t="s">
        <v>2646</v>
      </c>
      <c r="AG142" s="426" t="s">
        <v>2646</v>
      </c>
      <c r="AH142" s="426" t="s">
        <v>2646</v>
      </c>
      <c r="AI142" s="426" t="s">
        <v>2646</v>
      </c>
      <c r="AJ142" s="1" t="s">
        <v>2646</v>
      </c>
    </row>
    <row r="143" spans="1:36" s="1" customFormat="1" hidden="1">
      <c r="A143" s="392" t="s">
        <v>1511</v>
      </c>
      <c r="B143" s="427" t="s">
        <v>2651</v>
      </c>
      <c r="C143" s="433" t="s">
        <v>4133</v>
      </c>
      <c r="D143" s="433" t="s">
        <v>3860</v>
      </c>
      <c r="E143" s="433" t="s">
        <v>2654</v>
      </c>
      <c r="F143" s="433" t="s">
        <v>2654</v>
      </c>
      <c r="G143" s="433" t="s">
        <v>2654</v>
      </c>
      <c r="H143" s="433" t="s">
        <v>2654</v>
      </c>
      <c r="I143" s="433" t="s">
        <v>2654</v>
      </c>
      <c r="J143" s="433" t="s">
        <v>2654</v>
      </c>
      <c r="K143" s="433" t="s">
        <v>2654</v>
      </c>
      <c r="L143" s="433" t="s">
        <v>2654</v>
      </c>
      <c r="M143" s="433" t="s">
        <v>2654</v>
      </c>
      <c r="N143" s="433" t="s">
        <v>2654</v>
      </c>
      <c r="O143" s="433" t="s">
        <v>2654</v>
      </c>
      <c r="P143" s="433" t="s">
        <v>4080</v>
      </c>
      <c r="Q143" s="431"/>
      <c r="R143" s="431"/>
      <c r="S143" s="426" t="s">
        <v>2660</v>
      </c>
      <c r="T143" s="426" t="s">
        <v>2646</v>
      </c>
      <c r="U143" s="426" t="s">
        <v>2992</v>
      </c>
      <c r="V143" s="426" t="s">
        <v>2646</v>
      </c>
      <c r="W143" s="426" t="s">
        <v>2974</v>
      </c>
      <c r="X143" s="426" t="s">
        <v>2758</v>
      </c>
      <c r="Y143" s="426" t="s">
        <v>3005</v>
      </c>
      <c r="Z143" s="426" t="s">
        <v>2646</v>
      </c>
      <c r="AA143" s="426" t="s">
        <v>2646</v>
      </c>
      <c r="AB143" s="426" t="s">
        <v>2646</v>
      </c>
      <c r="AC143" s="426" t="s">
        <v>2646</v>
      </c>
      <c r="AD143" s="426" t="s">
        <v>2646</v>
      </c>
      <c r="AE143" s="426" t="s">
        <v>2646</v>
      </c>
      <c r="AF143" s="426" t="s">
        <v>2646</v>
      </c>
      <c r="AG143" s="426" t="s">
        <v>2646</v>
      </c>
      <c r="AH143" s="426" t="s">
        <v>2646</v>
      </c>
      <c r="AI143" s="426" t="s">
        <v>2646</v>
      </c>
      <c r="AJ143" s="1" t="s">
        <v>2646</v>
      </c>
    </row>
    <row r="144" spans="1:36" s="1" customFormat="1">
      <c r="A144" s="392" t="s">
        <v>1511</v>
      </c>
      <c r="B144" s="427" t="s">
        <v>48</v>
      </c>
      <c r="C144" s="433" t="s">
        <v>4133</v>
      </c>
      <c r="D144" s="433" t="s">
        <v>4134</v>
      </c>
      <c r="E144" s="433" t="s">
        <v>2654</v>
      </c>
      <c r="F144" s="433" t="s">
        <v>2654</v>
      </c>
      <c r="G144" s="433" t="s">
        <v>2654</v>
      </c>
      <c r="H144" s="433" t="s">
        <v>2654</v>
      </c>
      <c r="I144" s="433" t="s">
        <v>2654</v>
      </c>
      <c r="J144" s="433" t="s">
        <v>2654</v>
      </c>
      <c r="K144" s="433" t="s">
        <v>2654</v>
      </c>
      <c r="L144" s="433" t="s">
        <v>2654</v>
      </c>
      <c r="M144" s="433" t="s">
        <v>2654</v>
      </c>
      <c r="N144" s="433" t="s">
        <v>2654</v>
      </c>
      <c r="O144" s="433" t="s">
        <v>2654</v>
      </c>
      <c r="P144" s="433" t="s">
        <v>3183</v>
      </c>
      <c r="Q144" s="433" t="s">
        <v>2654</v>
      </c>
      <c r="R144" s="433" t="s">
        <v>2654</v>
      </c>
      <c r="S144" s="426"/>
      <c r="T144" s="426"/>
      <c r="U144" s="426"/>
      <c r="V144" s="426"/>
      <c r="W144" s="426"/>
      <c r="X144" s="426"/>
      <c r="Y144" s="426"/>
      <c r="Z144" s="426"/>
      <c r="AA144" s="426"/>
      <c r="AB144" s="426"/>
      <c r="AC144" s="426"/>
      <c r="AD144" s="426"/>
      <c r="AE144" s="426"/>
      <c r="AF144" s="426"/>
      <c r="AG144" s="426"/>
      <c r="AH144" s="426"/>
      <c r="AI144" s="426"/>
    </row>
    <row r="145" spans="1:36" hidden="1">
      <c r="A145" s="392" t="s">
        <v>1512</v>
      </c>
      <c r="B145" s="427" t="s">
        <v>2647</v>
      </c>
      <c r="C145" s="433" t="s">
        <v>3868</v>
      </c>
      <c r="D145" s="433" t="s">
        <v>3364</v>
      </c>
      <c r="E145" s="433" t="s">
        <v>2731</v>
      </c>
      <c r="F145" s="433" t="s">
        <v>2773</v>
      </c>
      <c r="G145" s="433" t="s">
        <v>2724</v>
      </c>
      <c r="H145" s="433" t="s">
        <v>2654</v>
      </c>
      <c r="I145" s="433" t="s">
        <v>2654</v>
      </c>
      <c r="J145" s="433" t="s">
        <v>2654</v>
      </c>
      <c r="K145" s="433" t="s">
        <v>2654</v>
      </c>
      <c r="L145" s="433" t="s">
        <v>2654</v>
      </c>
      <c r="M145" s="433" t="s">
        <v>2654</v>
      </c>
      <c r="N145" s="433" t="s">
        <v>2654</v>
      </c>
      <c r="O145" s="433" t="s">
        <v>3995</v>
      </c>
      <c r="P145" s="433" t="s">
        <v>4083</v>
      </c>
      <c r="Q145" s="431"/>
      <c r="R145" s="431"/>
      <c r="S145" s="426" t="s">
        <v>2885</v>
      </c>
      <c r="T145" s="426" t="s">
        <v>2876</v>
      </c>
      <c r="U145" s="426" t="s">
        <v>3012</v>
      </c>
      <c r="V145" s="426" t="s">
        <v>3013</v>
      </c>
      <c r="W145" s="426" t="s">
        <v>3014</v>
      </c>
      <c r="X145" s="426" t="s">
        <v>2662</v>
      </c>
      <c r="Y145" s="426" t="s">
        <v>2672</v>
      </c>
      <c r="Z145" s="426" t="s">
        <v>2812</v>
      </c>
      <c r="AA145" s="426" t="s">
        <v>3015</v>
      </c>
      <c r="AB145" s="426" t="s">
        <v>2646</v>
      </c>
      <c r="AC145" s="426" t="s">
        <v>2646</v>
      </c>
      <c r="AD145" s="426" t="s">
        <v>2646</v>
      </c>
      <c r="AE145" s="426" t="s">
        <v>2646</v>
      </c>
      <c r="AF145" s="426" t="s">
        <v>2646</v>
      </c>
      <c r="AG145" s="426" t="s">
        <v>2646</v>
      </c>
      <c r="AH145" s="426" t="s">
        <v>2646</v>
      </c>
      <c r="AI145" s="426" t="s">
        <v>2646</v>
      </c>
      <c r="AJ145" s="68" t="s">
        <v>2646</v>
      </c>
    </row>
    <row r="146" spans="1:36" s="1" customFormat="1" hidden="1">
      <c r="A146" s="392" t="s">
        <v>1513</v>
      </c>
      <c r="B146" s="427" t="s">
        <v>2648</v>
      </c>
      <c r="C146" s="433" t="s">
        <v>4135</v>
      </c>
      <c r="D146" s="433" t="s">
        <v>3851</v>
      </c>
      <c r="E146" s="433" t="s">
        <v>3371</v>
      </c>
      <c r="F146" s="433" t="s">
        <v>2917</v>
      </c>
      <c r="G146" s="433" t="s">
        <v>2773</v>
      </c>
      <c r="H146" s="433" t="s">
        <v>2654</v>
      </c>
      <c r="I146" s="433" t="s">
        <v>2654</v>
      </c>
      <c r="J146" s="433" t="s">
        <v>2654</v>
      </c>
      <c r="K146" s="433" t="s">
        <v>2654</v>
      </c>
      <c r="L146" s="433" t="s">
        <v>2654</v>
      </c>
      <c r="M146" s="433" t="s">
        <v>2654</v>
      </c>
      <c r="N146" s="433" t="s">
        <v>2654</v>
      </c>
      <c r="O146" s="433" t="s">
        <v>4136</v>
      </c>
      <c r="P146" s="433" t="s">
        <v>4126</v>
      </c>
      <c r="Q146" s="431"/>
      <c r="R146" s="431"/>
      <c r="S146" s="426" t="s">
        <v>2658</v>
      </c>
      <c r="T146" s="426" t="s">
        <v>3000</v>
      </c>
      <c r="U146" s="426" t="s">
        <v>3019</v>
      </c>
      <c r="V146" s="426" t="s">
        <v>2881</v>
      </c>
      <c r="W146" s="426" t="s">
        <v>3014</v>
      </c>
      <c r="X146" s="426" t="s">
        <v>2662</v>
      </c>
      <c r="Y146" s="426" t="s">
        <v>2672</v>
      </c>
      <c r="Z146" s="426" t="s">
        <v>2922</v>
      </c>
      <c r="AA146" s="426" t="s">
        <v>3020</v>
      </c>
      <c r="AB146" s="426" t="s">
        <v>2646</v>
      </c>
      <c r="AC146" s="426" t="s">
        <v>2646</v>
      </c>
      <c r="AD146" s="426" t="s">
        <v>2646</v>
      </c>
      <c r="AE146" s="426" t="s">
        <v>2646</v>
      </c>
      <c r="AF146" s="426" t="s">
        <v>2646</v>
      </c>
      <c r="AG146" s="426" t="s">
        <v>2646</v>
      </c>
      <c r="AH146" s="426" t="s">
        <v>2646</v>
      </c>
      <c r="AI146" s="426" t="s">
        <v>2646</v>
      </c>
      <c r="AJ146" s="1" t="s">
        <v>2646</v>
      </c>
    </row>
    <row r="147" spans="1:36" s="1" customFormat="1" hidden="1">
      <c r="A147" s="392" t="s">
        <v>1514</v>
      </c>
      <c r="B147" s="427" t="s">
        <v>2649</v>
      </c>
      <c r="C147" s="433" t="s">
        <v>4137</v>
      </c>
      <c r="D147" s="433" t="s">
        <v>3710</v>
      </c>
      <c r="E147" s="433" t="s">
        <v>3047</v>
      </c>
      <c r="F147" s="433" t="s">
        <v>2674</v>
      </c>
      <c r="G147" s="433" t="s">
        <v>2708</v>
      </c>
      <c r="H147" s="433" t="s">
        <v>2654</v>
      </c>
      <c r="I147" s="433" t="s">
        <v>2654</v>
      </c>
      <c r="J147" s="433" t="s">
        <v>2654</v>
      </c>
      <c r="K147" s="433" t="s">
        <v>2654</v>
      </c>
      <c r="L147" s="433" t="s">
        <v>2654</v>
      </c>
      <c r="M147" s="433" t="s">
        <v>2654</v>
      </c>
      <c r="N147" s="433" t="s">
        <v>2654</v>
      </c>
      <c r="O147" s="433" t="s">
        <v>3228</v>
      </c>
      <c r="P147" s="433" t="s">
        <v>4061</v>
      </c>
      <c r="Q147" s="431"/>
      <c r="R147" s="431"/>
      <c r="S147" s="426" t="s">
        <v>2885</v>
      </c>
      <c r="T147" s="426" t="s">
        <v>3022</v>
      </c>
      <c r="U147" s="426" t="s">
        <v>3023</v>
      </c>
      <c r="V147" s="426" t="s">
        <v>3022</v>
      </c>
      <c r="W147" s="426" t="s">
        <v>3024</v>
      </c>
      <c r="X147" s="426" t="s">
        <v>3025</v>
      </c>
      <c r="Y147" s="426" t="s">
        <v>2672</v>
      </c>
      <c r="Z147" s="426" t="s">
        <v>3026</v>
      </c>
      <c r="AA147" s="426" t="s">
        <v>3027</v>
      </c>
      <c r="AB147" s="426" t="s">
        <v>2646</v>
      </c>
      <c r="AC147" s="426" t="s">
        <v>2646</v>
      </c>
      <c r="AD147" s="426" t="s">
        <v>2646</v>
      </c>
      <c r="AE147" s="426" t="s">
        <v>2646</v>
      </c>
      <c r="AF147" s="426" t="s">
        <v>2646</v>
      </c>
      <c r="AG147" s="426" t="s">
        <v>2646</v>
      </c>
      <c r="AH147" s="426" t="s">
        <v>2646</v>
      </c>
      <c r="AI147" s="426" t="s">
        <v>2646</v>
      </c>
      <c r="AJ147" s="1" t="s">
        <v>2646</v>
      </c>
    </row>
    <row r="148" spans="1:36" s="1" customFormat="1" hidden="1">
      <c r="A148" s="392" t="s">
        <v>1515</v>
      </c>
      <c r="B148" s="427" t="s">
        <v>2650</v>
      </c>
      <c r="C148" s="433" t="s">
        <v>3690</v>
      </c>
      <c r="D148" s="433" t="s">
        <v>3851</v>
      </c>
      <c r="E148" s="433" t="s">
        <v>2722</v>
      </c>
      <c r="F148" s="433" t="s">
        <v>2875</v>
      </c>
      <c r="G148" s="433" t="s">
        <v>2970</v>
      </c>
      <c r="H148" s="433" t="s">
        <v>2732</v>
      </c>
      <c r="I148" s="433" t="s">
        <v>2654</v>
      </c>
      <c r="J148" s="433" t="s">
        <v>2654</v>
      </c>
      <c r="K148" s="433" t="s">
        <v>2654</v>
      </c>
      <c r="L148" s="433" t="s">
        <v>2654</v>
      </c>
      <c r="M148" s="433" t="s">
        <v>2654</v>
      </c>
      <c r="N148" s="433" t="s">
        <v>2654</v>
      </c>
      <c r="O148" s="433" t="s">
        <v>4138</v>
      </c>
      <c r="P148" s="433" t="s">
        <v>4083</v>
      </c>
      <c r="Q148" s="431"/>
      <c r="R148" s="431"/>
      <c r="S148" s="426" t="s">
        <v>2673</v>
      </c>
      <c r="T148" s="426" t="s">
        <v>3030</v>
      </c>
      <c r="U148" s="426" t="s">
        <v>3030</v>
      </c>
      <c r="V148" s="426" t="s">
        <v>3030</v>
      </c>
      <c r="W148" s="426" t="s">
        <v>2891</v>
      </c>
      <c r="X148" s="426" t="s">
        <v>3031</v>
      </c>
      <c r="Y148" s="426" t="s">
        <v>2672</v>
      </c>
      <c r="Z148" s="426" t="s">
        <v>2812</v>
      </c>
      <c r="AA148" s="426" t="s">
        <v>2744</v>
      </c>
      <c r="AB148" s="426" t="s">
        <v>2646</v>
      </c>
      <c r="AC148" s="426" t="s">
        <v>2646</v>
      </c>
      <c r="AD148" s="426" t="s">
        <v>2646</v>
      </c>
      <c r="AE148" s="426" t="s">
        <v>2646</v>
      </c>
      <c r="AF148" s="426" t="s">
        <v>2646</v>
      </c>
      <c r="AG148" s="426" t="s">
        <v>2646</v>
      </c>
      <c r="AH148" s="426" t="s">
        <v>2646</v>
      </c>
      <c r="AI148" s="426" t="s">
        <v>2646</v>
      </c>
      <c r="AJ148" s="1" t="s">
        <v>2646</v>
      </c>
    </row>
    <row r="149" spans="1:36" s="1" customFormat="1" hidden="1">
      <c r="A149" s="392" t="s">
        <v>1516</v>
      </c>
      <c r="B149" s="427" t="s">
        <v>2651</v>
      </c>
      <c r="C149" s="433" t="s">
        <v>4058</v>
      </c>
      <c r="D149" s="433" t="s">
        <v>3364</v>
      </c>
      <c r="E149" s="433" t="s">
        <v>2695</v>
      </c>
      <c r="F149" s="433" t="s">
        <v>3007</v>
      </c>
      <c r="G149" s="433" t="s">
        <v>2807</v>
      </c>
      <c r="H149" s="433" t="s">
        <v>2791</v>
      </c>
      <c r="I149" s="433" t="s">
        <v>2654</v>
      </c>
      <c r="J149" s="433" t="s">
        <v>2654</v>
      </c>
      <c r="K149" s="433" t="s">
        <v>2654</v>
      </c>
      <c r="L149" s="433" t="s">
        <v>2654</v>
      </c>
      <c r="M149" s="433" t="s">
        <v>2654</v>
      </c>
      <c r="N149" s="433" t="s">
        <v>2654</v>
      </c>
      <c r="O149" s="433" t="s">
        <v>3935</v>
      </c>
      <c r="P149" s="433" t="s">
        <v>4139</v>
      </c>
      <c r="Q149" s="431"/>
      <c r="R149" s="431"/>
      <c r="S149" s="426" t="s">
        <v>2885</v>
      </c>
      <c r="T149" s="426" t="s">
        <v>2876</v>
      </c>
      <c r="U149" s="426" t="s">
        <v>3012</v>
      </c>
      <c r="V149" s="426" t="s">
        <v>3013</v>
      </c>
      <c r="W149" s="426" t="s">
        <v>3014</v>
      </c>
      <c r="X149" s="426" t="s">
        <v>2662</v>
      </c>
      <c r="Y149" s="426" t="s">
        <v>2672</v>
      </c>
      <c r="Z149" s="426" t="s">
        <v>2812</v>
      </c>
      <c r="AA149" s="426" t="s">
        <v>3015</v>
      </c>
      <c r="AB149" s="426" t="s">
        <v>2646</v>
      </c>
      <c r="AC149" s="426" t="s">
        <v>2646</v>
      </c>
      <c r="AD149" s="426" t="s">
        <v>2646</v>
      </c>
      <c r="AE149" s="426" t="s">
        <v>2646</v>
      </c>
      <c r="AF149" s="426" t="s">
        <v>2646</v>
      </c>
      <c r="AG149" s="426" t="s">
        <v>2646</v>
      </c>
      <c r="AH149" s="426" t="s">
        <v>2646</v>
      </c>
      <c r="AI149" s="426" t="s">
        <v>2646</v>
      </c>
      <c r="AJ149" s="1" t="s">
        <v>2646</v>
      </c>
    </row>
    <row r="150" spans="1:36" s="1" customFormat="1">
      <c r="A150" s="392" t="s">
        <v>1516</v>
      </c>
      <c r="B150" s="427" t="s">
        <v>48</v>
      </c>
      <c r="C150" s="433" t="s">
        <v>4140</v>
      </c>
      <c r="D150" s="433" t="s">
        <v>3710</v>
      </c>
      <c r="E150" s="433" t="s">
        <v>3857</v>
      </c>
      <c r="F150" s="433" t="s">
        <v>3681</v>
      </c>
      <c r="G150" s="433" t="s">
        <v>3095</v>
      </c>
      <c r="H150" s="433" t="s">
        <v>2953</v>
      </c>
      <c r="I150" s="433" t="s">
        <v>2654</v>
      </c>
      <c r="J150" s="433" t="s">
        <v>2654</v>
      </c>
      <c r="K150" s="433" t="s">
        <v>2654</v>
      </c>
      <c r="L150" s="433" t="s">
        <v>2654</v>
      </c>
      <c r="M150" s="433" t="s">
        <v>2654</v>
      </c>
      <c r="N150" s="433" t="s">
        <v>2654</v>
      </c>
      <c r="O150" s="433" t="s">
        <v>3526</v>
      </c>
      <c r="P150" s="433" t="s">
        <v>4141</v>
      </c>
      <c r="Q150" s="433" t="s">
        <v>2654</v>
      </c>
      <c r="R150" s="433" t="s">
        <v>2654</v>
      </c>
      <c r="S150" s="426"/>
      <c r="T150" s="426"/>
      <c r="U150" s="426"/>
      <c r="V150" s="426"/>
      <c r="W150" s="426"/>
      <c r="X150" s="426"/>
      <c r="Y150" s="426"/>
      <c r="Z150" s="426"/>
      <c r="AA150" s="426"/>
      <c r="AB150" s="426"/>
      <c r="AC150" s="426"/>
      <c r="AD150" s="426"/>
      <c r="AE150" s="426"/>
      <c r="AF150" s="426"/>
      <c r="AG150" s="426"/>
      <c r="AH150" s="426"/>
      <c r="AI150" s="426"/>
    </row>
    <row r="151" spans="1:36" s="1" customFormat="1" hidden="1">
      <c r="A151" s="392" t="s">
        <v>1517</v>
      </c>
      <c r="B151" s="427" t="s">
        <v>2647</v>
      </c>
      <c r="C151" s="433" t="s">
        <v>4142</v>
      </c>
      <c r="D151" s="433" t="s">
        <v>3710</v>
      </c>
      <c r="E151" s="433" t="s">
        <v>2994</v>
      </c>
      <c r="F151" s="433" t="s">
        <v>2825</v>
      </c>
      <c r="G151" s="433" t="s">
        <v>2654</v>
      </c>
      <c r="H151" s="433" t="s">
        <v>2654</v>
      </c>
      <c r="I151" s="433" t="s">
        <v>2654</v>
      </c>
      <c r="J151" s="433" t="s">
        <v>2654</v>
      </c>
      <c r="K151" s="433" t="s">
        <v>2654</v>
      </c>
      <c r="L151" s="433" t="s">
        <v>2654</v>
      </c>
      <c r="M151" s="433" t="s">
        <v>2654</v>
      </c>
      <c r="N151" s="433" t="s">
        <v>2654</v>
      </c>
      <c r="O151" s="433" t="s">
        <v>3278</v>
      </c>
      <c r="P151" s="433" t="s">
        <v>4143</v>
      </c>
      <c r="Q151" s="431"/>
      <c r="R151" s="431"/>
      <c r="S151" s="426" t="s">
        <v>2658</v>
      </c>
      <c r="T151" s="426" t="s">
        <v>3038</v>
      </c>
      <c r="U151" s="426" t="s">
        <v>3039</v>
      </c>
      <c r="V151" s="426" t="s">
        <v>3039</v>
      </c>
      <c r="W151" s="426" t="s">
        <v>2891</v>
      </c>
      <c r="X151" s="426" t="s">
        <v>3040</v>
      </c>
      <c r="Y151" s="426" t="s">
        <v>2693</v>
      </c>
      <c r="Z151" s="426" t="s">
        <v>3041</v>
      </c>
      <c r="AA151" s="426" t="s">
        <v>2646</v>
      </c>
      <c r="AB151" s="426" t="s">
        <v>2646</v>
      </c>
      <c r="AC151" s="426" t="s">
        <v>2646</v>
      </c>
      <c r="AD151" s="426" t="s">
        <v>2646</v>
      </c>
      <c r="AE151" s="426" t="s">
        <v>2646</v>
      </c>
      <c r="AF151" s="426" t="s">
        <v>2646</v>
      </c>
      <c r="AG151" s="426" t="s">
        <v>2646</v>
      </c>
      <c r="AH151" s="426" t="s">
        <v>2646</v>
      </c>
      <c r="AI151" s="426" t="s">
        <v>2646</v>
      </c>
      <c r="AJ151" s="1" t="s">
        <v>2646</v>
      </c>
    </row>
    <row r="152" spans="1:36" s="1" customFormat="1" hidden="1">
      <c r="A152" s="392" t="s">
        <v>1518</v>
      </c>
      <c r="B152" s="427" t="s">
        <v>2648</v>
      </c>
      <c r="C152" s="433" t="s">
        <v>4124</v>
      </c>
      <c r="D152" s="433" t="s">
        <v>3364</v>
      </c>
      <c r="E152" s="433" t="s">
        <v>2773</v>
      </c>
      <c r="F152" s="433" t="s">
        <v>2656</v>
      </c>
      <c r="G152" s="433" t="s">
        <v>2654</v>
      </c>
      <c r="H152" s="433" t="s">
        <v>2654</v>
      </c>
      <c r="I152" s="433" t="s">
        <v>2654</v>
      </c>
      <c r="J152" s="433" t="s">
        <v>2654</v>
      </c>
      <c r="K152" s="433" t="s">
        <v>2654</v>
      </c>
      <c r="L152" s="433" t="s">
        <v>2654</v>
      </c>
      <c r="M152" s="433" t="s">
        <v>2654</v>
      </c>
      <c r="N152" s="433" t="s">
        <v>2654</v>
      </c>
      <c r="O152" s="433" t="s">
        <v>2985</v>
      </c>
      <c r="P152" s="433" t="s">
        <v>4057</v>
      </c>
      <c r="Q152" s="431"/>
      <c r="R152" s="431"/>
      <c r="S152" s="426" t="s">
        <v>2885</v>
      </c>
      <c r="T152" s="426" t="s">
        <v>3012</v>
      </c>
      <c r="U152" s="426" t="s">
        <v>3048</v>
      </c>
      <c r="V152" s="426" t="s">
        <v>3048</v>
      </c>
      <c r="W152" s="426" t="s">
        <v>3014</v>
      </c>
      <c r="X152" s="426" t="s">
        <v>2671</v>
      </c>
      <c r="Y152" s="426" t="s">
        <v>2693</v>
      </c>
      <c r="Z152" s="426" t="s">
        <v>2837</v>
      </c>
      <c r="AA152" s="426" t="s">
        <v>2646</v>
      </c>
      <c r="AB152" s="426" t="s">
        <v>2646</v>
      </c>
      <c r="AC152" s="426" t="s">
        <v>2646</v>
      </c>
      <c r="AD152" s="426" t="s">
        <v>2646</v>
      </c>
      <c r="AE152" s="426" t="s">
        <v>2646</v>
      </c>
      <c r="AF152" s="426" t="s">
        <v>2646</v>
      </c>
      <c r="AG152" s="426" t="s">
        <v>2646</v>
      </c>
      <c r="AH152" s="426" t="s">
        <v>2646</v>
      </c>
      <c r="AI152" s="426" t="s">
        <v>2646</v>
      </c>
      <c r="AJ152" s="1" t="s">
        <v>2646</v>
      </c>
    </row>
    <row r="153" spans="1:36" s="1" customFormat="1" hidden="1">
      <c r="A153" s="392" t="s">
        <v>1519</v>
      </c>
      <c r="B153" s="427" t="s">
        <v>2649</v>
      </c>
      <c r="C153" s="433" t="s">
        <v>3692</v>
      </c>
      <c r="D153" s="433" t="s">
        <v>3364</v>
      </c>
      <c r="E153" s="433" t="s">
        <v>2677</v>
      </c>
      <c r="F153" s="433" t="s">
        <v>2656</v>
      </c>
      <c r="G153" s="433" t="s">
        <v>2654</v>
      </c>
      <c r="H153" s="433" t="s">
        <v>2654</v>
      </c>
      <c r="I153" s="433" t="s">
        <v>2654</v>
      </c>
      <c r="J153" s="433" t="s">
        <v>2654</v>
      </c>
      <c r="K153" s="433" t="s">
        <v>2654</v>
      </c>
      <c r="L153" s="433" t="s">
        <v>2654</v>
      </c>
      <c r="M153" s="433" t="s">
        <v>2654</v>
      </c>
      <c r="N153" s="433" t="s">
        <v>2654</v>
      </c>
      <c r="O153" s="433" t="s">
        <v>2683</v>
      </c>
      <c r="P153" s="433" t="s">
        <v>4080</v>
      </c>
      <c r="Q153" s="431"/>
      <c r="R153" s="431"/>
      <c r="S153" s="426" t="s">
        <v>2673</v>
      </c>
      <c r="T153" s="426" t="s">
        <v>3052</v>
      </c>
      <c r="U153" s="426" t="s">
        <v>3053</v>
      </c>
      <c r="V153" s="426" t="s">
        <v>3054</v>
      </c>
      <c r="W153" s="426" t="s">
        <v>3014</v>
      </c>
      <c r="X153" s="426" t="s">
        <v>2671</v>
      </c>
      <c r="Y153" s="426" t="s">
        <v>2693</v>
      </c>
      <c r="Z153" s="426" t="s">
        <v>2735</v>
      </c>
      <c r="AA153" s="426" t="s">
        <v>2646</v>
      </c>
      <c r="AB153" s="426" t="s">
        <v>2646</v>
      </c>
      <c r="AC153" s="426" t="s">
        <v>2646</v>
      </c>
      <c r="AD153" s="426" t="s">
        <v>2646</v>
      </c>
      <c r="AE153" s="426" t="s">
        <v>2646</v>
      </c>
      <c r="AF153" s="426" t="s">
        <v>2646</v>
      </c>
      <c r="AG153" s="426" t="s">
        <v>2646</v>
      </c>
      <c r="AH153" s="426" t="s">
        <v>2646</v>
      </c>
      <c r="AI153" s="426" t="s">
        <v>2646</v>
      </c>
      <c r="AJ153" s="1" t="s">
        <v>2646</v>
      </c>
    </row>
    <row r="154" spans="1:36" s="1" customFormat="1" hidden="1">
      <c r="A154" s="392" t="s">
        <v>1520</v>
      </c>
      <c r="B154" s="427" t="s">
        <v>2650</v>
      </c>
      <c r="C154" s="433" t="s">
        <v>4123</v>
      </c>
      <c r="D154" s="433" t="s">
        <v>3858</v>
      </c>
      <c r="E154" s="433" t="s">
        <v>2896</v>
      </c>
      <c r="F154" s="433" t="s">
        <v>2680</v>
      </c>
      <c r="G154" s="433" t="s">
        <v>2654</v>
      </c>
      <c r="H154" s="433" t="s">
        <v>2654</v>
      </c>
      <c r="I154" s="433" t="s">
        <v>2654</v>
      </c>
      <c r="J154" s="433" t="s">
        <v>2654</v>
      </c>
      <c r="K154" s="433" t="s">
        <v>2654</v>
      </c>
      <c r="L154" s="433" t="s">
        <v>2654</v>
      </c>
      <c r="M154" s="433" t="s">
        <v>2654</v>
      </c>
      <c r="N154" s="433" t="s">
        <v>2654</v>
      </c>
      <c r="O154" s="433" t="s">
        <v>2681</v>
      </c>
      <c r="P154" s="433" t="s">
        <v>4083</v>
      </c>
      <c r="Q154" s="431"/>
      <c r="R154" s="431"/>
      <c r="S154" s="426" t="s">
        <v>316</v>
      </c>
      <c r="T154" s="426" t="s">
        <v>2811</v>
      </c>
      <c r="U154" s="426" t="s">
        <v>3053</v>
      </c>
      <c r="V154" s="426" t="s">
        <v>2878</v>
      </c>
      <c r="W154" s="426" t="s">
        <v>3024</v>
      </c>
      <c r="X154" s="426" t="s">
        <v>3056</v>
      </c>
      <c r="Y154" s="426" t="s">
        <v>2693</v>
      </c>
      <c r="Z154" s="426" t="s">
        <v>3057</v>
      </c>
      <c r="AA154" s="426" t="s">
        <v>2646</v>
      </c>
      <c r="AB154" s="426" t="s">
        <v>2646</v>
      </c>
      <c r="AC154" s="426" t="s">
        <v>2646</v>
      </c>
      <c r="AD154" s="426" t="s">
        <v>2646</v>
      </c>
      <c r="AE154" s="426" t="s">
        <v>2646</v>
      </c>
      <c r="AF154" s="426" t="s">
        <v>2646</v>
      </c>
      <c r="AG154" s="426" t="s">
        <v>2646</v>
      </c>
      <c r="AH154" s="426" t="s">
        <v>2646</v>
      </c>
      <c r="AI154" s="426" t="s">
        <v>2646</v>
      </c>
      <c r="AJ154" s="1" t="s">
        <v>2646</v>
      </c>
    </row>
    <row r="155" spans="1:36" s="1" customFormat="1" hidden="1">
      <c r="A155" s="392" t="s">
        <v>1521</v>
      </c>
      <c r="B155" s="427" t="s">
        <v>2651</v>
      </c>
      <c r="C155" s="433" t="s">
        <v>3890</v>
      </c>
      <c r="D155" s="433" t="s">
        <v>4144</v>
      </c>
      <c r="E155" s="433" t="s">
        <v>2896</v>
      </c>
      <c r="F155" s="433" t="s">
        <v>2656</v>
      </c>
      <c r="G155" s="433" t="s">
        <v>2654</v>
      </c>
      <c r="H155" s="433" t="s">
        <v>2654</v>
      </c>
      <c r="I155" s="433" t="s">
        <v>2654</v>
      </c>
      <c r="J155" s="433" t="s">
        <v>2654</v>
      </c>
      <c r="K155" s="433" t="s">
        <v>2654</v>
      </c>
      <c r="L155" s="433" t="s">
        <v>2654</v>
      </c>
      <c r="M155" s="433" t="s">
        <v>2654</v>
      </c>
      <c r="N155" s="433" t="s">
        <v>2654</v>
      </c>
      <c r="O155" s="433" t="s">
        <v>2683</v>
      </c>
      <c r="P155" s="433" t="s">
        <v>4061</v>
      </c>
      <c r="Q155" s="431"/>
      <c r="R155" s="431"/>
      <c r="S155" s="426" t="s">
        <v>2658</v>
      </c>
      <c r="T155" s="426" t="s">
        <v>3038</v>
      </c>
      <c r="U155" s="426" t="s">
        <v>3039</v>
      </c>
      <c r="V155" s="426" t="s">
        <v>3039</v>
      </c>
      <c r="W155" s="426" t="s">
        <v>2891</v>
      </c>
      <c r="X155" s="426" t="s">
        <v>3040</v>
      </c>
      <c r="Y155" s="426" t="s">
        <v>2693</v>
      </c>
      <c r="Z155" s="426" t="s">
        <v>3041</v>
      </c>
      <c r="AA155" s="426" t="s">
        <v>2646</v>
      </c>
      <c r="AB155" s="426" t="s">
        <v>2646</v>
      </c>
      <c r="AC155" s="426" t="s">
        <v>2646</v>
      </c>
      <c r="AD155" s="426" t="s">
        <v>2646</v>
      </c>
      <c r="AE155" s="426" t="s">
        <v>2646</v>
      </c>
      <c r="AF155" s="426" t="s">
        <v>2646</v>
      </c>
      <c r="AG155" s="426" t="s">
        <v>2646</v>
      </c>
      <c r="AH155" s="426" t="s">
        <v>2646</v>
      </c>
      <c r="AI155" s="426" t="s">
        <v>2646</v>
      </c>
      <c r="AJ155" s="1" t="s">
        <v>2646</v>
      </c>
    </row>
    <row r="156" spans="1:36">
      <c r="A156" s="392" t="s">
        <v>1521</v>
      </c>
      <c r="B156" s="427" t="s">
        <v>48</v>
      </c>
      <c r="C156" s="433" t="s">
        <v>3718</v>
      </c>
      <c r="D156" s="433" t="s">
        <v>4145</v>
      </c>
      <c r="E156" s="433" t="s">
        <v>4146</v>
      </c>
      <c r="F156" s="433" t="s">
        <v>2724</v>
      </c>
      <c r="G156" s="433" t="s">
        <v>2654</v>
      </c>
      <c r="H156" s="433" t="s">
        <v>2654</v>
      </c>
      <c r="I156" s="433" t="s">
        <v>2654</v>
      </c>
      <c r="J156" s="433" t="s">
        <v>2654</v>
      </c>
      <c r="K156" s="433" t="s">
        <v>2654</v>
      </c>
      <c r="L156" s="433" t="s">
        <v>2654</v>
      </c>
      <c r="M156" s="433" t="s">
        <v>2654</v>
      </c>
      <c r="N156" s="433" t="s">
        <v>2654</v>
      </c>
      <c r="O156" s="433" t="s">
        <v>2659</v>
      </c>
      <c r="P156" s="433" t="s">
        <v>2896</v>
      </c>
      <c r="Q156" s="433" t="s">
        <v>2654</v>
      </c>
      <c r="R156" s="433" t="s">
        <v>2654</v>
      </c>
      <c r="S156" s="426"/>
      <c r="T156" s="426"/>
      <c r="U156" s="426"/>
      <c r="V156" s="426"/>
      <c r="W156" s="426"/>
      <c r="X156" s="426"/>
      <c r="Y156" s="426"/>
      <c r="Z156" s="426"/>
      <c r="AA156" s="426"/>
      <c r="AB156" s="426"/>
      <c r="AC156" s="426"/>
      <c r="AD156" s="426"/>
      <c r="AE156" s="426"/>
      <c r="AF156" s="426"/>
      <c r="AG156" s="426"/>
      <c r="AH156" s="426"/>
      <c r="AI156" s="426"/>
    </row>
    <row r="157" spans="1:36" s="1" customFormat="1" hidden="1">
      <c r="A157" s="392" t="s">
        <v>1522</v>
      </c>
      <c r="B157" s="427" t="s">
        <v>2647</v>
      </c>
      <c r="C157" s="433" t="s">
        <v>3642</v>
      </c>
      <c r="D157" s="433" t="s">
        <v>3710</v>
      </c>
      <c r="E157" s="433" t="s">
        <v>2654</v>
      </c>
      <c r="F157" s="433" t="s">
        <v>2654</v>
      </c>
      <c r="G157" s="433" t="s">
        <v>2654</v>
      </c>
      <c r="H157" s="433" t="s">
        <v>2654</v>
      </c>
      <c r="I157" s="433" t="s">
        <v>2654</v>
      </c>
      <c r="J157" s="433" t="s">
        <v>2654</v>
      </c>
      <c r="K157" s="433" t="s">
        <v>2654</v>
      </c>
      <c r="L157" s="433" t="s">
        <v>2654</v>
      </c>
      <c r="M157" s="433" t="s">
        <v>2654</v>
      </c>
      <c r="N157" s="433" t="s">
        <v>2654</v>
      </c>
      <c r="O157" s="433" t="s">
        <v>2654</v>
      </c>
      <c r="P157" s="433" t="s">
        <v>4057</v>
      </c>
      <c r="Q157" s="431"/>
      <c r="R157" s="431"/>
      <c r="S157" s="426" t="s">
        <v>2885</v>
      </c>
      <c r="T157" s="426" t="s">
        <v>3062</v>
      </c>
      <c r="U157" s="426" t="s">
        <v>3063</v>
      </c>
      <c r="V157" s="426" t="s">
        <v>3064</v>
      </c>
      <c r="W157" s="426" t="s">
        <v>3024</v>
      </c>
      <c r="X157" s="426" t="s">
        <v>3065</v>
      </c>
      <c r="Y157" s="426" t="s">
        <v>2728</v>
      </c>
      <c r="Z157" s="426" t="s">
        <v>2646</v>
      </c>
      <c r="AA157" s="426" t="s">
        <v>2646</v>
      </c>
      <c r="AB157" s="426" t="s">
        <v>2646</v>
      </c>
      <c r="AC157" s="426" t="s">
        <v>2646</v>
      </c>
      <c r="AD157" s="426" t="s">
        <v>2646</v>
      </c>
      <c r="AE157" s="426" t="s">
        <v>2646</v>
      </c>
      <c r="AF157" s="426" t="s">
        <v>2646</v>
      </c>
      <c r="AG157" s="426" t="s">
        <v>2646</v>
      </c>
      <c r="AH157" s="426" t="s">
        <v>2646</v>
      </c>
      <c r="AI157" s="426" t="s">
        <v>2646</v>
      </c>
      <c r="AJ157" s="1" t="s">
        <v>2646</v>
      </c>
    </row>
    <row r="158" spans="1:36" s="1" customFormat="1" hidden="1">
      <c r="A158" s="392" t="s">
        <v>1523</v>
      </c>
      <c r="B158" s="427" t="s">
        <v>2648</v>
      </c>
      <c r="C158" s="433" t="s">
        <v>3785</v>
      </c>
      <c r="D158" s="433" t="s">
        <v>3851</v>
      </c>
      <c r="E158" s="433" t="s">
        <v>2791</v>
      </c>
      <c r="F158" s="433" t="s">
        <v>2654</v>
      </c>
      <c r="G158" s="433" t="s">
        <v>2654</v>
      </c>
      <c r="H158" s="433" t="s">
        <v>2654</v>
      </c>
      <c r="I158" s="433" t="s">
        <v>2654</v>
      </c>
      <c r="J158" s="433" t="s">
        <v>2654</v>
      </c>
      <c r="K158" s="433" t="s">
        <v>2654</v>
      </c>
      <c r="L158" s="433" t="s">
        <v>2654</v>
      </c>
      <c r="M158" s="433" t="s">
        <v>2654</v>
      </c>
      <c r="N158" s="433" t="s">
        <v>2654</v>
      </c>
      <c r="O158" s="433" t="s">
        <v>2793</v>
      </c>
      <c r="P158" s="433" t="s">
        <v>4147</v>
      </c>
      <c r="Q158" s="431"/>
      <c r="R158" s="431"/>
      <c r="S158" s="426" t="s">
        <v>2778</v>
      </c>
      <c r="T158" s="426" t="s">
        <v>3066</v>
      </c>
      <c r="U158" s="426" t="s">
        <v>3067</v>
      </c>
      <c r="V158" s="426" t="s">
        <v>2756</v>
      </c>
      <c r="W158" s="426" t="s">
        <v>2891</v>
      </c>
      <c r="X158" s="426" t="s">
        <v>3068</v>
      </c>
      <c r="Y158" s="426" t="s">
        <v>2728</v>
      </c>
      <c r="Z158" s="426" t="s">
        <v>2646</v>
      </c>
      <c r="AA158" s="426" t="s">
        <v>2646</v>
      </c>
      <c r="AB158" s="426" t="s">
        <v>2646</v>
      </c>
      <c r="AC158" s="426" t="s">
        <v>2646</v>
      </c>
      <c r="AD158" s="426" t="s">
        <v>2646</v>
      </c>
      <c r="AE158" s="426" t="s">
        <v>2646</v>
      </c>
      <c r="AF158" s="426" t="s">
        <v>2646</v>
      </c>
      <c r="AG158" s="426" t="s">
        <v>2646</v>
      </c>
      <c r="AH158" s="426" t="s">
        <v>2646</v>
      </c>
      <c r="AI158" s="426" t="s">
        <v>2646</v>
      </c>
      <c r="AJ158" s="1" t="s">
        <v>2646</v>
      </c>
    </row>
    <row r="159" spans="1:36" s="1" customFormat="1" hidden="1">
      <c r="A159" s="392" t="s">
        <v>1524</v>
      </c>
      <c r="B159" s="427" t="s">
        <v>2649</v>
      </c>
      <c r="C159" s="433" t="s">
        <v>3641</v>
      </c>
      <c r="D159" s="433" t="s">
        <v>3364</v>
      </c>
      <c r="E159" s="433" t="s">
        <v>2654</v>
      </c>
      <c r="F159" s="433" t="s">
        <v>2654</v>
      </c>
      <c r="G159" s="433" t="s">
        <v>2654</v>
      </c>
      <c r="H159" s="433" t="s">
        <v>2654</v>
      </c>
      <c r="I159" s="433" t="s">
        <v>2654</v>
      </c>
      <c r="J159" s="433" t="s">
        <v>2654</v>
      </c>
      <c r="K159" s="433" t="s">
        <v>2654</v>
      </c>
      <c r="L159" s="433" t="s">
        <v>2654</v>
      </c>
      <c r="M159" s="433" t="s">
        <v>2654</v>
      </c>
      <c r="N159" s="433" t="s">
        <v>2654</v>
      </c>
      <c r="O159" s="433" t="s">
        <v>2654</v>
      </c>
      <c r="P159" s="433" t="s">
        <v>4061</v>
      </c>
      <c r="Q159" s="431"/>
      <c r="R159" s="431"/>
      <c r="S159" s="426" t="s">
        <v>2901</v>
      </c>
      <c r="T159" s="426" t="s">
        <v>2828</v>
      </c>
      <c r="U159" s="426" t="s">
        <v>3069</v>
      </c>
      <c r="V159" s="426" t="s">
        <v>3070</v>
      </c>
      <c r="W159" s="426" t="s">
        <v>3024</v>
      </c>
      <c r="X159" s="426" t="s">
        <v>3065</v>
      </c>
      <c r="Y159" s="426" t="s">
        <v>2728</v>
      </c>
      <c r="Z159" s="426" t="s">
        <v>2646</v>
      </c>
      <c r="AA159" s="426" t="s">
        <v>2646</v>
      </c>
      <c r="AB159" s="426" t="s">
        <v>2646</v>
      </c>
      <c r="AC159" s="426" t="s">
        <v>2646</v>
      </c>
      <c r="AD159" s="426" t="s">
        <v>2646</v>
      </c>
      <c r="AE159" s="426" t="s">
        <v>2646</v>
      </c>
      <c r="AF159" s="426" t="s">
        <v>2646</v>
      </c>
      <c r="AG159" s="426" t="s">
        <v>2646</v>
      </c>
      <c r="AH159" s="426" t="s">
        <v>2646</v>
      </c>
      <c r="AI159" s="426" t="s">
        <v>2646</v>
      </c>
      <c r="AJ159" s="1" t="s">
        <v>2646</v>
      </c>
    </row>
    <row r="160" spans="1:36" s="1" customFormat="1" hidden="1">
      <c r="A160" s="392" t="s">
        <v>1525</v>
      </c>
      <c r="B160" s="427" t="s">
        <v>2650</v>
      </c>
      <c r="C160" s="433" t="s">
        <v>3902</v>
      </c>
      <c r="D160" s="433" t="s">
        <v>3872</v>
      </c>
      <c r="E160" s="433" t="s">
        <v>2654</v>
      </c>
      <c r="F160" s="433" t="s">
        <v>2654</v>
      </c>
      <c r="G160" s="433" t="s">
        <v>2654</v>
      </c>
      <c r="H160" s="433" t="s">
        <v>2654</v>
      </c>
      <c r="I160" s="433" t="s">
        <v>2654</v>
      </c>
      <c r="J160" s="433" t="s">
        <v>2654</v>
      </c>
      <c r="K160" s="433" t="s">
        <v>2654</v>
      </c>
      <c r="L160" s="433" t="s">
        <v>2654</v>
      </c>
      <c r="M160" s="433" t="s">
        <v>2654</v>
      </c>
      <c r="N160" s="433" t="s">
        <v>2654</v>
      </c>
      <c r="O160" s="433" t="s">
        <v>2654</v>
      </c>
      <c r="P160" s="433" t="s">
        <v>4061</v>
      </c>
      <c r="Q160" s="431"/>
      <c r="R160" s="431"/>
      <c r="S160" s="426" t="s">
        <v>2658</v>
      </c>
      <c r="T160" s="426" t="s">
        <v>2828</v>
      </c>
      <c r="U160" s="426" t="s">
        <v>3069</v>
      </c>
      <c r="V160" s="426" t="s">
        <v>3073</v>
      </c>
      <c r="W160" s="426" t="s">
        <v>3024</v>
      </c>
      <c r="X160" s="426" t="s">
        <v>3065</v>
      </c>
      <c r="Y160" s="426" t="s">
        <v>2728</v>
      </c>
      <c r="Z160" s="426" t="s">
        <v>2837</v>
      </c>
      <c r="AA160" s="426" t="s">
        <v>2646</v>
      </c>
      <c r="AB160" s="426" t="s">
        <v>2646</v>
      </c>
      <c r="AC160" s="426" t="s">
        <v>2646</v>
      </c>
      <c r="AD160" s="426" t="s">
        <v>2646</v>
      </c>
      <c r="AE160" s="426" t="s">
        <v>2646</v>
      </c>
      <c r="AF160" s="426" t="s">
        <v>2646</v>
      </c>
      <c r="AG160" s="426" t="s">
        <v>2646</v>
      </c>
      <c r="AH160" s="426" t="s">
        <v>2646</v>
      </c>
      <c r="AI160" s="426" t="s">
        <v>2646</v>
      </c>
      <c r="AJ160" s="1" t="s">
        <v>2646</v>
      </c>
    </row>
    <row r="161" spans="1:36" s="1" customFormat="1" hidden="1">
      <c r="A161" s="392" t="s">
        <v>1526</v>
      </c>
      <c r="B161" s="427" t="s">
        <v>2651</v>
      </c>
      <c r="C161" s="433" t="s">
        <v>3742</v>
      </c>
      <c r="D161" s="433" t="s">
        <v>3710</v>
      </c>
      <c r="E161" s="433" t="s">
        <v>2678</v>
      </c>
      <c r="F161" s="433" t="s">
        <v>2654</v>
      </c>
      <c r="G161" s="433" t="s">
        <v>2654</v>
      </c>
      <c r="H161" s="433" t="s">
        <v>2654</v>
      </c>
      <c r="I161" s="433" t="s">
        <v>2654</v>
      </c>
      <c r="J161" s="433" t="s">
        <v>2654</v>
      </c>
      <c r="K161" s="433" t="s">
        <v>2654</v>
      </c>
      <c r="L161" s="433" t="s">
        <v>2654</v>
      </c>
      <c r="M161" s="433" t="s">
        <v>2654</v>
      </c>
      <c r="N161" s="433" t="s">
        <v>2654</v>
      </c>
      <c r="O161" s="433" t="s">
        <v>2654</v>
      </c>
      <c r="P161" s="433" t="s">
        <v>4061</v>
      </c>
      <c r="Q161" s="431"/>
      <c r="R161" s="431"/>
      <c r="S161" s="426" t="s">
        <v>2885</v>
      </c>
      <c r="T161" s="426" t="s">
        <v>3062</v>
      </c>
      <c r="U161" s="426" t="s">
        <v>3063</v>
      </c>
      <c r="V161" s="426" t="s">
        <v>3064</v>
      </c>
      <c r="W161" s="426" t="s">
        <v>3024</v>
      </c>
      <c r="X161" s="426" t="s">
        <v>3065</v>
      </c>
      <c r="Y161" s="426" t="s">
        <v>2728</v>
      </c>
      <c r="Z161" s="426" t="s">
        <v>2646</v>
      </c>
      <c r="AA161" s="426" t="s">
        <v>2646</v>
      </c>
      <c r="AB161" s="426" t="s">
        <v>2646</v>
      </c>
      <c r="AC161" s="426" t="s">
        <v>2646</v>
      </c>
      <c r="AD161" s="426" t="s">
        <v>2646</v>
      </c>
      <c r="AE161" s="426" t="s">
        <v>2646</v>
      </c>
      <c r="AF161" s="426" t="s">
        <v>2646</v>
      </c>
      <c r="AG161" s="426" t="s">
        <v>2646</v>
      </c>
      <c r="AH161" s="426" t="s">
        <v>2646</v>
      </c>
      <c r="AI161" s="426" t="s">
        <v>2646</v>
      </c>
      <c r="AJ161" s="1" t="s">
        <v>2646</v>
      </c>
    </row>
    <row r="162" spans="1:36" s="1" customFormat="1">
      <c r="A162" s="392" t="s">
        <v>1526</v>
      </c>
      <c r="B162" s="427" t="s">
        <v>48</v>
      </c>
      <c r="C162" s="433" t="s">
        <v>4051</v>
      </c>
      <c r="D162" s="433" t="s">
        <v>3932</v>
      </c>
      <c r="E162" s="433" t="s">
        <v>2719</v>
      </c>
      <c r="F162" s="433" t="s">
        <v>2654</v>
      </c>
      <c r="G162" s="433" t="s">
        <v>2654</v>
      </c>
      <c r="H162" s="433" t="s">
        <v>2654</v>
      </c>
      <c r="I162" s="433" t="s">
        <v>2654</v>
      </c>
      <c r="J162" s="433" t="s">
        <v>2654</v>
      </c>
      <c r="K162" s="433" t="s">
        <v>2654</v>
      </c>
      <c r="L162" s="433" t="s">
        <v>2654</v>
      </c>
      <c r="M162" s="433" t="s">
        <v>2654</v>
      </c>
      <c r="N162" s="433" t="s">
        <v>2654</v>
      </c>
      <c r="O162" s="433" t="s">
        <v>2654</v>
      </c>
      <c r="P162" s="433" t="s">
        <v>3652</v>
      </c>
      <c r="Q162" s="433" t="s">
        <v>2654</v>
      </c>
      <c r="R162" s="433" t="s">
        <v>2654</v>
      </c>
      <c r="S162" s="426"/>
      <c r="T162" s="426"/>
      <c r="U162" s="426"/>
      <c r="V162" s="426"/>
      <c r="W162" s="426"/>
      <c r="X162" s="426"/>
      <c r="Y162" s="426"/>
      <c r="Z162" s="426"/>
      <c r="AA162" s="426"/>
      <c r="AB162" s="426"/>
      <c r="AC162" s="426"/>
      <c r="AD162" s="426"/>
      <c r="AE162" s="426"/>
      <c r="AF162" s="426"/>
      <c r="AG162" s="426"/>
      <c r="AH162" s="426"/>
      <c r="AI162" s="426"/>
    </row>
    <row r="163" spans="1:36" s="1" customFormat="1" hidden="1">
      <c r="A163" s="392" t="s">
        <v>1527</v>
      </c>
      <c r="B163" s="427" t="s">
        <v>2647</v>
      </c>
      <c r="C163" s="433" t="s">
        <v>3483</v>
      </c>
      <c r="D163" s="433" t="s">
        <v>3686</v>
      </c>
      <c r="E163" s="433" t="s">
        <v>2654</v>
      </c>
      <c r="F163" s="433" t="s">
        <v>2654</v>
      </c>
      <c r="G163" s="433" t="s">
        <v>2654</v>
      </c>
      <c r="H163" s="433" t="s">
        <v>2654</v>
      </c>
      <c r="I163" s="433" t="s">
        <v>2654</v>
      </c>
      <c r="J163" s="433" t="s">
        <v>2654</v>
      </c>
      <c r="K163" s="433" t="s">
        <v>2654</v>
      </c>
      <c r="L163" s="433" t="s">
        <v>2654</v>
      </c>
      <c r="M163" s="433" t="s">
        <v>2654</v>
      </c>
      <c r="N163" s="433" t="s">
        <v>2654</v>
      </c>
      <c r="O163" s="433" t="s">
        <v>2654</v>
      </c>
      <c r="P163" s="433" t="s">
        <v>4080</v>
      </c>
      <c r="Q163" s="431"/>
      <c r="R163" s="431"/>
      <c r="S163" s="426" t="s">
        <v>2660</v>
      </c>
      <c r="T163" s="426" t="s">
        <v>3073</v>
      </c>
      <c r="U163" s="426" t="s">
        <v>3075</v>
      </c>
      <c r="V163" s="426" t="s">
        <v>2821</v>
      </c>
      <c r="W163" s="426" t="s">
        <v>3076</v>
      </c>
      <c r="X163" s="426" t="s">
        <v>2840</v>
      </c>
      <c r="Y163" s="426" t="s">
        <v>2692</v>
      </c>
      <c r="Z163" s="426" t="s">
        <v>2646</v>
      </c>
      <c r="AA163" s="426" t="s">
        <v>2646</v>
      </c>
      <c r="AB163" s="426" t="s">
        <v>2646</v>
      </c>
      <c r="AC163" s="426" t="s">
        <v>2646</v>
      </c>
      <c r="AD163" s="426" t="s">
        <v>2646</v>
      </c>
      <c r="AE163" s="426" t="s">
        <v>2646</v>
      </c>
      <c r="AF163" s="426" t="s">
        <v>2646</v>
      </c>
      <c r="AG163" s="426" t="s">
        <v>2646</v>
      </c>
      <c r="AH163" s="426" t="s">
        <v>2646</v>
      </c>
      <c r="AI163" s="426" t="s">
        <v>2646</v>
      </c>
      <c r="AJ163" s="1" t="s">
        <v>2646</v>
      </c>
    </row>
    <row r="164" spans="1:36" s="1" customFormat="1" hidden="1">
      <c r="A164" s="392" t="s">
        <v>1528</v>
      </c>
      <c r="B164" s="427" t="s">
        <v>2648</v>
      </c>
      <c r="C164" s="433" t="s">
        <v>3751</v>
      </c>
      <c r="D164" s="433" t="s">
        <v>3364</v>
      </c>
      <c r="E164" s="433" t="s">
        <v>2654</v>
      </c>
      <c r="F164" s="433" t="s">
        <v>2654</v>
      </c>
      <c r="G164" s="433" t="s">
        <v>2654</v>
      </c>
      <c r="H164" s="433" t="s">
        <v>2654</v>
      </c>
      <c r="I164" s="433" t="s">
        <v>2654</v>
      </c>
      <c r="J164" s="433" t="s">
        <v>2654</v>
      </c>
      <c r="K164" s="433" t="s">
        <v>2654</v>
      </c>
      <c r="L164" s="433" t="s">
        <v>2654</v>
      </c>
      <c r="M164" s="433" t="s">
        <v>2654</v>
      </c>
      <c r="N164" s="433" t="s">
        <v>2654</v>
      </c>
      <c r="O164" s="433" t="s">
        <v>2654</v>
      </c>
      <c r="P164" s="433" t="s">
        <v>4147</v>
      </c>
      <c r="Q164" s="431"/>
      <c r="R164" s="431"/>
      <c r="S164" s="426" t="s">
        <v>2664</v>
      </c>
      <c r="T164" s="426" t="s">
        <v>3077</v>
      </c>
      <c r="U164" s="426" t="s">
        <v>3078</v>
      </c>
      <c r="V164" s="426" t="s">
        <v>3064</v>
      </c>
      <c r="W164" s="426" t="s">
        <v>2891</v>
      </c>
      <c r="X164" s="426" t="s">
        <v>3079</v>
      </c>
      <c r="Y164" s="426" t="s">
        <v>2692</v>
      </c>
      <c r="Z164" s="426" t="s">
        <v>2646</v>
      </c>
      <c r="AA164" s="426" t="s">
        <v>2646</v>
      </c>
      <c r="AB164" s="426" t="s">
        <v>2646</v>
      </c>
      <c r="AC164" s="426" t="s">
        <v>2646</v>
      </c>
      <c r="AD164" s="426" t="s">
        <v>2646</v>
      </c>
      <c r="AE164" s="426" t="s">
        <v>2646</v>
      </c>
      <c r="AF164" s="426" t="s">
        <v>2646</v>
      </c>
      <c r="AG164" s="426" t="s">
        <v>2646</v>
      </c>
      <c r="AH164" s="426" t="s">
        <v>2646</v>
      </c>
      <c r="AI164" s="426" t="s">
        <v>2646</v>
      </c>
      <c r="AJ164" s="1" t="s">
        <v>2646</v>
      </c>
    </row>
    <row r="165" spans="1:36" s="1" customFormat="1" hidden="1">
      <c r="A165" s="392" t="s">
        <v>1529</v>
      </c>
      <c r="B165" s="427" t="s">
        <v>2649</v>
      </c>
      <c r="C165" s="433" t="s">
        <v>3632</v>
      </c>
      <c r="D165" s="433" t="s">
        <v>3710</v>
      </c>
      <c r="E165" s="433" t="s">
        <v>2654</v>
      </c>
      <c r="F165" s="433" t="s">
        <v>2654</v>
      </c>
      <c r="G165" s="433" t="s">
        <v>2654</v>
      </c>
      <c r="H165" s="433" t="s">
        <v>2654</v>
      </c>
      <c r="I165" s="433" t="s">
        <v>2654</v>
      </c>
      <c r="J165" s="433" t="s">
        <v>2654</v>
      </c>
      <c r="K165" s="433" t="s">
        <v>2654</v>
      </c>
      <c r="L165" s="433" t="s">
        <v>2654</v>
      </c>
      <c r="M165" s="433" t="s">
        <v>2654</v>
      </c>
      <c r="N165" s="433" t="s">
        <v>2654</v>
      </c>
      <c r="O165" s="433" t="s">
        <v>2654</v>
      </c>
      <c r="P165" s="433" t="s">
        <v>4059</v>
      </c>
      <c r="Q165" s="431"/>
      <c r="R165" s="431"/>
      <c r="S165" s="426" t="s">
        <v>2658</v>
      </c>
      <c r="T165" s="426" t="s">
        <v>2690</v>
      </c>
      <c r="U165" s="426" t="s">
        <v>3019</v>
      </c>
      <c r="V165" s="426" t="s">
        <v>2690</v>
      </c>
      <c r="W165" s="426" t="s">
        <v>3076</v>
      </c>
      <c r="X165" s="426" t="s">
        <v>2840</v>
      </c>
      <c r="Y165" s="426" t="s">
        <v>2692</v>
      </c>
      <c r="Z165" s="426" t="s">
        <v>2646</v>
      </c>
      <c r="AA165" s="426" t="s">
        <v>2646</v>
      </c>
      <c r="AB165" s="426" t="s">
        <v>2646</v>
      </c>
      <c r="AC165" s="426" t="s">
        <v>2646</v>
      </c>
      <c r="AD165" s="426" t="s">
        <v>2646</v>
      </c>
      <c r="AE165" s="426" t="s">
        <v>2646</v>
      </c>
      <c r="AF165" s="426" t="s">
        <v>2646</v>
      </c>
      <c r="AG165" s="426" t="s">
        <v>2646</v>
      </c>
      <c r="AH165" s="426" t="s">
        <v>2646</v>
      </c>
      <c r="AI165" s="426" t="s">
        <v>2646</v>
      </c>
      <c r="AJ165" s="1" t="s">
        <v>2646</v>
      </c>
    </row>
    <row r="166" spans="1:36" s="1" customFormat="1" hidden="1">
      <c r="A166" s="392" t="s">
        <v>1530</v>
      </c>
      <c r="B166" s="427" t="s">
        <v>2650</v>
      </c>
      <c r="C166" s="433" t="s">
        <v>3482</v>
      </c>
      <c r="D166" s="433" t="s">
        <v>3710</v>
      </c>
      <c r="E166" s="433" t="s">
        <v>2654</v>
      </c>
      <c r="F166" s="433" t="s">
        <v>2654</v>
      </c>
      <c r="G166" s="433" t="s">
        <v>2654</v>
      </c>
      <c r="H166" s="433" t="s">
        <v>2654</v>
      </c>
      <c r="I166" s="433" t="s">
        <v>2654</v>
      </c>
      <c r="J166" s="433" t="s">
        <v>2654</v>
      </c>
      <c r="K166" s="433" t="s">
        <v>2654</v>
      </c>
      <c r="L166" s="433" t="s">
        <v>2654</v>
      </c>
      <c r="M166" s="433" t="s">
        <v>2654</v>
      </c>
      <c r="N166" s="433" t="s">
        <v>2654</v>
      </c>
      <c r="O166" s="433" t="s">
        <v>2654</v>
      </c>
      <c r="P166" s="433" t="s">
        <v>4061</v>
      </c>
      <c r="Q166" s="431"/>
      <c r="R166" s="431"/>
      <c r="S166" s="426" t="s">
        <v>2768</v>
      </c>
      <c r="T166" s="426" t="s">
        <v>2828</v>
      </c>
      <c r="U166" s="426" t="s">
        <v>3080</v>
      </c>
      <c r="V166" s="426" t="s">
        <v>2690</v>
      </c>
      <c r="W166" s="426" t="s">
        <v>3024</v>
      </c>
      <c r="X166" s="426" t="s">
        <v>3081</v>
      </c>
      <c r="Y166" s="426" t="s">
        <v>2692</v>
      </c>
      <c r="Z166" s="426" t="s">
        <v>2646</v>
      </c>
      <c r="AA166" s="426" t="s">
        <v>2646</v>
      </c>
      <c r="AB166" s="426" t="s">
        <v>2646</v>
      </c>
      <c r="AC166" s="426" t="s">
        <v>2646</v>
      </c>
      <c r="AD166" s="426" t="s">
        <v>2646</v>
      </c>
      <c r="AE166" s="426" t="s">
        <v>2646</v>
      </c>
      <c r="AF166" s="426" t="s">
        <v>2646</v>
      </c>
      <c r="AG166" s="426" t="s">
        <v>2646</v>
      </c>
      <c r="AH166" s="426" t="s">
        <v>2646</v>
      </c>
      <c r="AI166" s="426" t="s">
        <v>2646</v>
      </c>
      <c r="AJ166" s="1" t="s">
        <v>2646</v>
      </c>
    </row>
    <row r="167" spans="1:36" hidden="1">
      <c r="A167" s="392" t="s">
        <v>1531</v>
      </c>
      <c r="B167" s="427" t="s">
        <v>2651</v>
      </c>
      <c r="C167" s="433" t="s">
        <v>3590</v>
      </c>
      <c r="D167" s="433" t="s">
        <v>3710</v>
      </c>
      <c r="E167" s="433" t="s">
        <v>2654</v>
      </c>
      <c r="F167" s="433" t="s">
        <v>2654</v>
      </c>
      <c r="G167" s="433" t="s">
        <v>2654</v>
      </c>
      <c r="H167" s="433" t="s">
        <v>2654</v>
      </c>
      <c r="I167" s="433" t="s">
        <v>2654</v>
      </c>
      <c r="J167" s="433" t="s">
        <v>2654</v>
      </c>
      <c r="K167" s="433" t="s">
        <v>2654</v>
      </c>
      <c r="L167" s="433" t="s">
        <v>2654</v>
      </c>
      <c r="M167" s="433" t="s">
        <v>2654</v>
      </c>
      <c r="N167" s="433" t="s">
        <v>2654</v>
      </c>
      <c r="O167" s="433" t="s">
        <v>2654</v>
      </c>
      <c r="P167" s="433" t="s">
        <v>4059</v>
      </c>
      <c r="Q167" s="431"/>
      <c r="R167" s="431"/>
      <c r="S167" s="426" t="s">
        <v>2660</v>
      </c>
      <c r="T167" s="426" t="s">
        <v>3073</v>
      </c>
      <c r="U167" s="426" t="s">
        <v>3075</v>
      </c>
      <c r="V167" s="426" t="s">
        <v>2821</v>
      </c>
      <c r="W167" s="426" t="s">
        <v>3076</v>
      </c>
      <c r="X167" s="426" t="s">
        <v>2840</v>
      </c>
      <c r="Y167" s="426" t="s">
        <v>2692</v>
      </c>
      <c r="Z167" s="426" t="s">
        <v>2646</v>
      </c>
      <c r="AA167" s="426" t="s">
        <v>2646</v>
      </c>
      <c r="AB167" s="426" t="s">
        <v>2646</v>
      </c>
      <c r="AC167" s="426" t="s">
        <v>2646</v>
      </c>
      <c r="AD167" s="426" t="s">
        <v>2646</v>
      </c>
      <c r="AE167" s="426" t="s">
        <v>2646</v>
      </c>
      <c r="AF167" s="426" t="s">
        <v>2646</v>
      </c>
      <c r="AG167" s="426" t="s">
        <v>2646</v>
      </c>
      <c r="AH167" s="426" t="s">
        <v>2646</v>
      </c>
      <c r="AI167" s="426" t="s">
        <v>2646</v>
      </c>
      <c r="AJ167" s="68" t="s">
        <v>2646</v>
      </c>
    </row>
    <row r="168" spans="1:36" s="1" customFormat="1">
      <c r="A168" s="392" t="s">
        <v>1531</v>
      </c>
      <c r="B168" s="427" t="s">
        <v>48</v>
      </c>
      <c r="C168" s="433" t="s">
        <v>4148</v>
      </c>
      <c r="D168" s="433" t="s">
        <v>3856</v>
      </c>
      <c r="E168" s="433" t="s">
        <v>2654</v>
      </c>
      <c r="F168" s="433" t="s">
        <v>2654</v>
      </c>
      <c r="G168" s="433" t="s">
        <v>2654</v>
      </c>
      <c r="H168" s="433" t="s">
        <v>2654</v>
      </c>
      <c r="I168" s="433" t="s">
        <v>2654</v>
      </c>
      <c r="J168" s="433" t="s">
        <v>2654</v>
      </c>
      <c r="K168" s="433" t="s">
        <v>2654</v>
      </c>
      <c r="L168" s="433" t="s">
        <v>2654</v>
      </c>
      <c r="M168" s="433" t="s">
        <v>2654</v>
      </c>
      <c r="N168" s="433" t="s">
        <v>2654</v>
      </c>
      <c r="O168" s="433" t="s">
        <v>2654</v>
      </c>
      <c r="P168" s="433" t="s">
        <v>2899</v>
      </c>
      <c r="Q168" s="433" t="s">
        <v>2654</v>
      </c>
      <c r="R168" s="433" t="s">
        <v>2654</v>
      </c>
      <c r="S168" s="426"/>
      <c r="T168" s="426"/>
      <c r="U168" s="426"/>
      <c r="V168" s="426"/>
      <c r="W168" s="426"/>
      <c r="X168" s="426"/>
      <c r="Y168" s="426"/>
      <c r="Z168" s="426"/>
      <c r="AA168" s="426"/>
      <c r="AB168" s="426"/>
      <c r="AC168" s="426"/>
      <c r="AD168" s="426"/>
      <c r="AE168" s="426"/>
      <c r="AF168" s="426"/>
      <c r="AG168" s="426"/>
      <c r="AH168" s="426"/>
      <c r="AI168" s="426"/>
    </row>
    <row r="169" spans="1:36" s="1" customFormat="1" hidden="1">
      <c r="A169" s="392" t="s">
        <v>1532</v>
      </c>
      <c r="B169" s="427" t="s">
        <v>2647</v>
      </c>
      <c r="C169" s="433" t="s">
        <v>3709</v>
      </c>
      <c r="D169" s="433" t="s">
        <v>3686</v>
      </c>
      <c r="E169" s="433" t="s">
        <v>2654</v>
      </c>
      <c r="F169" s="433" t="s">
        <v>2654</v>
      </c>
      <c r="G169" s="433" t="s">
        <v>2654</v>
      </c>
      <c r="H169" s="433" t="s">
        <v>2654</v>
      </c>
      <c r="I169" s="433" t="s">
        <v>2654</v>
      </c>
      <c r="J169" s="433" t="s">
        <v>2654</v>
      </c>
      <c r="K169" s="433" t="s">
        <v>2654</v>
      </c>
      <c r="L169" s="433" t="s">
        <v>2654</v>
      </c>
      <c r="M169" s="433" t="s">
        <v>2654</v>
      </c>
      <c r="N169" s="433" t="s">
        <v>2654</v>
      </c>
      <c r="O169" s="433" t="s">
        <v>2654</v>
      </c>
      <c r="P169" s="433" t="s">
        <v>4080</v>
      </c>
      <c r="Q169" s="431"/>
      <c r="R169" s="431"/>
      <c r="S169" s="426" t="s">
        <v>2665</v>
      </c>
      <c r="T169" s="426" t="s">
        <v>2646</v>
      </c>
      <c r="U169" s="426" t="s">
        <v>3039</v>
      </c>
      <c r="V169" s="426" t="s">
        <v>3039</v>
      </c>
      <c r="W169" s="426" t="s">
        <v>2891</v>
      </c>
      <c r="X169" s="426" t="s">
        <v>3082</v>
      </c>
      <c r="Y169" s="426" t="s">
        <v>2840</v>
      </c>
      <c r="Z169" s="426" t="s">
        <v>2646</v>
      </c>
      <c r="AA169" s="426" t="s">
        <v>2646</v>
      </c>
      <c r="AB169" s="426" t="s">
        <v>2646</v>
      </c>
      <c r="AC169" s="426" t="s">
        <v>2646</v>
      </c>
      <c r="AD169" s="426" t="s">
        <v>2646</v>
      </c>
      <c r="AE169" s="426" t="s">
        <v>2646</v>
      </c>
      <c r="AF169" s="426" t="s">
        <v>2646</v>
      </c>
      <c r="AG169" s="426" t="s">
        <v>2646</v>
      </c>
      <c r="AH169" s="426" t="s">
        <v>2646</v>
      </c>
      <c r="AI169" s="426" t="s">
        <v>2646</v>
      </c>
      <c r="AJ169" s="1" t="s">
        <v>2646</v>
      </c>
    </row>
    <row r="170" spans="1:36" s="1" customFormat="1" hidden="1">
      <c r="A170" s="392" t="s">
        <v>1533</v>
      </c>
      <c r="B170" s="427" t="s">
        <v>2648</v>
      </c>
      <c r="C170" s="433" t="s">
        <v>3635</v>
      </c>
      <c r="D170" s="433" t="s">
        <v>3686</v>
      </c>
      <c r="E170" s="433" t="s">
        <v>2654</v>
      </c>
      <c r="F170" s="433" t="s">
        <v>2654</v>
      </c>
      <c r="G170" s="433" t="s">
        <v>2654</v>
      </c>
      <c r="H170" s="433" t="s">
        <v>2654</v>
      </c>
      <c r="I170" s="433" t="s">
        <v>2654</v>
      </c>
      <c r="J170" s="433" t="s">
        <v>2654</v>
      </c>
      <c r="K170" s="433" t="s">
        <v>2654</v>
      </c>
      <c r="L170" s="433" t="s">
        <v>2654</v>
      </c>
      <c r="M170" s="433" t="s">
        <v>2654</v>
      </c>
      <c r="N170" s="433" t="s">
        <v>2654</v>
      </c>
      <c r="O170" s="433" t="s">
        <v>2654</v>
      </c>
      <c r="P170" s="433" t="s">
        <v>4078</v>
      </c>
      <c r="Q170" s="431"/>
      <c r="R170" s="431"/>
      <c r="S170" s="426" t="s">
        <v>2658</v>
      </c>
      <c r="T170" s="426" t="s">
        <v>2646</v>
      </c>
      <c r="U170" s="426" t="s">
        <v>2646</v>
      </c>
      <c r="V170" s="426" t="s">
        <v>2646</v>
      </c>
      <c r="W170" s="426" t="s">
        <v>3076</v>
      </c>
      <c r="X170" s="426" t="s">
        <v>2873</v>
      </c>
      <c r="Y170" s="426" t="s">
        <v>2840</v>
      </c>
      <c r="Z170" s="426" t="s">
        <v>2646</v>
      </c>
      <c r="AA170" s="426" t="s">
        <v>2646</v>
      </c>
      <c r="AB170" s="426" t="s">
        <v>2646</v>
      </c>
      <c r="AC170" s="426" t="s">
        <v>2646</v>
      </c>
      <c r="AD170" s="426" t="s">
        <v>2646</v>
      </c>
      <c r="AE170" s="426" t="s">
        <v>2646</v>
      </c>
      <c r="AF170" s="426" t="s">
        <v>2646</v>
      </c>
      <c r="AG170" s="426" t="s">
        <v>2646</v>
      </c>
      <c r="AH170" s="426" t="s">
        <v>2646</v>
      </c>
      <c r="AI170" s="426" t="s">
        <v>2646</v>
      </c>
      <c r="AJ170" s="1" t="s">
        <v>2646</v>
      </c>
    </row>
    <row r="171" spans="1:36" s="1" customFormat="1" hidden="1">
      <c r="A171" s="392" t="s">
        <v>1534</v>
      </c>
      <c r="B171" s="427" t="s">
        <v>2649</v>
      </c>
      <c r="C171" s="433" t="s">
        <v>3495</v>
      </c>
      <c r="D171" s="433" t="s">
        <v>3364</v>
      </c>
      <c r="E171" s="433" t="s">
        <v>2654</v>
      </c>
      <c r="F171" s="433" t="s">
        <v>2654</v>
      </c>
      <c r="G171" s="433" t="s">
        <v>2654</v>
      </c>
      <c r="H171" s="433" t="s">
        <v>2654</v>
      </c>
      <c r="I171" s="433" t="s">
        <v>2654</v>
      </c>
      <c r="J171" s="433" t="s">
        <v>2654</v>
      </c>
      <c r="K171" s="433" t="s">
        <v>2654</v>
      </c>
      <c r="L171" s="433" t="s">
        <v>2654</v>
      </c>
      <c r="M171" s="433" t="s">
        <v>2654</v>
      </c>
      <c r="N171" s="433" t="s">
        <v>2654</v>
      </c>
      <c r="O171" s="433" t="s">
        <v>2654</v>
      </c>
      <c r="P171" s="433" t="s">
        <v>4061</v>
      </c>
      <c r="Q171" s="431"/>
      <c r="R171" s="431"/>
      <c r="S171" s="426" t="s">
        <v>2860</v>
      </c>
      <c r="T171" s="426" t="s">
        <v>2646</v>
      </c>
      <c r="U171" s="426" t="s">
        <v>2646</v>
      </c>
      <c r="V171" s="426" t="s">
        <v>2646</v>
      </c>
      <c r="W171" s="426" t="s">
        <v>2891</v>
      </c>
      <c r="X171" s="426" t="s">
        <v>3082</v>
      </c>
      <c r="Y171" s="426" t="s">
        <v>2840</v>
      </c>
      <c r="Z171" s="426" t="s">
        <v>2646</v>
      </c>
      <c r="AA171" s="426" t="s">
        <v>2646</v>
      </c>
      <c r="AB171" s="426" t="s">
        <v>2646</v>
      </c>
      <c r="AC171" s="426" t="s">
        <v>2646</v>
      </c>
      <c r="AD171" s="426" t="s">
        <v>2646</v>
      </c>
      <c r="AE171" s="426" t="s">
        <v>2646</v>
      </c>
      <c r="AF171" s="426" t="s">
        <v>2646</v>
      </c>
      <c r="AG171" s="426" t="s">
        <v>2646</v>
      </c>
      <c r="AH171" s="426" t="s">
        <v>2646</v>
      </c>
      <c r="AI171" s="426" t="s">
        <v>2646</v>
      </c>
      <c r="AJ171" s="1" t="s">
        <v>2646</v>
      </c>
    </row>
    <row r="172" spans="1:36" s="1" customFormat="1" hidden="1">
      <c r="A172" s="392" t="s">
        <v>1535</v>
      </c>
      <c r="B172" s="427" t="s">
        <v>2650</v>
      </c>
      <c r="C172" s="433" t="s">
        <v>3635</v>
      </c>
      <c r="D172" s="433" t="s">
        <v>3851</v>
      </c>
      <c r="E172" s="433" t="s">
        <v>2654</v>
      </c>
      <c r="F172" s="433" t="s">
        <v>2654</v>
      </c>
      <c r="G172" s="433" t="s">
        <v>2654</v>
      </c>
      <c r="H172" s="433" t="s">
        <v>2654</v>
      </c>
      <c r="I172" s="433" t="s">
        <v>2654</v>
      </c>
      <c r="J172" s="433" t="s">
        <v>2654</v>
      </c>
      <c r="K172" s="433" t="s">
        <v>2654</v>
      </c>
      <c r="L172" s="433" t="s">
        <v>2654</v>
      </c>
      <c r="M172" s="433" t="s">
        <v>2654</v>
      </c>
      <c r="N172" s="433" t="s">
        <v>2654</v>
      </c>
      <c r="O172" s="433" t="s">
        <v>2654</v>
      </c>
      <c r="P172" s="433" t="s">
        <v>4061</v>
      </c>
      <c r="Q172" s="431"/>
      <c r="R172" s="431"/>
      <c r="S172" s="426" t="s">
        <v>2844</v>
      </c>
      <c r="T172" s="426" t="s">
        <v>2646</v>
      </c>
      <c r="U172" s="426" t="s">
        <v>2646</v>
      </c>
      <c r="V172" s="426" t="s">
        <v>2646</v>
      </c>
      <c r="W172" s="426" t="s">
        <v>3024</v>
      </c>
      <c r="X172" s="426" t="s">
        <v>2939</v>
      </c>
      <c r="Y172" s="426" t="s">
        <v>2840</v>
      </c>
      <c r="Z172" s="426" t="s">
        <v>2646</v>
      </c>
      <c r="AA172" s="426" t="s">
        <v>2646</v>
      </c>
      <c r="AB172" s="426" t="s">
        <v>2646</v>
      </c>
      <c r="AC172" s="426" t="s">
        <v>2646</v>
      </c>
      <c r="AD172" s="426" t="s">
        <v>2646</v>
      </c>
      <c r="AE172" s="426" t="s">
        <v>2646</v>
      </c>
      <c r="AF172" s="426" t="s">
        <v>2646</v>
      </c>
      <c r="AG172" s="426" t="s">
        <v>2646</v>
      </c>
      <c r="AH172" s="426" t="s">
        <v>2646</v>
      </c>
      <c r="AI172" s="426" t="s">
        <v>2646</v>
      </c>
      <c r="AJ172" s="1" t="s">
        <v>2646</v>
      </c>
    </row>
    <row r="173" spans="1:36" s="1" customFormat="1" hidden="1">
      <c r="A173" s="392" t="s">
        <v>1536</v>
      </c>
      <c r="B173" s="427" t="s">
        <v>2651</v>
      </c>
      <c r="C173" s="433" t="s">
        <v>3627</v>
      </c>
      <c r="D173" s="433" t="s">
        <v>3710</v>
      </c>
      <c r="E173" s="433" t="s">
        <v>2654</v>
      </c>
      <c r="F173" s="433" t="s">
        <v>2654</v>
      </c>
      <c r="G173" s="433" t="s">
        <v>2654</v>
      </c>
      <c r="H173" s="433" t="s">
        <v>2654</v>
      </c>
      <c r="I173" s="433" t="s">
        <v>2654</v>
      </c>
      <c r="J173" s="433" t="s">
        <v>2654</v>
      </c>
      <c r="K173" s="433" t="s">
        <v>2654</v>
      </c>
      <c r="L173" s="433" t="s">
        <v>2654</v>
      </c>
      <c r="M173" s="433" t="s">
        <v>2654</v>
      </c>
      <c r="N173" s="433" t="s">
        <v>2654</v>
      </c>
      <c r="O173" s="433" t="s">
        <v>2654</v>
      </c>
      <c r="P173" s="433" t="s">
        <v>4080</v>
      </c>
      <c r="Q173" s="431"/>
      <c r="R173" s="431"/>
      <c r="S173" s="426" t="s">
        <v>2665</v>
      </c>
      <c r="T173" s="426" t="s">
        <v>2646</v>
      </c>
      <c r="U173" s="426" t="s">
        <v>3039</v>
      </c>
      <c r="V173" s="426" t="s">
        <v>3039</v>
      </c>
      <c r="W173" s="426" t="s">
        <v>2891</v>
      </c>
      <c r="X173" s="426" t="s">
        <v>3082</v>
      </c>
      <c r="Y173" s="426" t="s">
        <v>2840</v>
      </c>
      <c r="Z173" s="426" t="s">
        <v>2646</v>
      </c>
      <c r="AA173" s="426" t="s">
        <v>2646</v>
      </c>
      <c r="AB173" s="426" t="s">
        <v>2646</v>
      </c>
      <c r="AC173" s="426" t="s">
        <v>2646</v>
      </c>
      <c r="AD173" s="426" t="s">
        <v>2646</v>
      </c>
      <c r="AE173" s="426" t="s">
        <v>2646</v>
      </c>
      <c r="AF173" s="426" t="s">
        <v>2646</v>
      </c>
      <c r="AG173" s="426" t="s">
        <v>2646</v>
      </c>
      <c r="AH173" s="426" t="s">
        <v>2646</v>
      </c>
      <c r="AI173" s="426" t="s">
        <v>2646</v>
      </c>
      <c r="AJ173" s="1" t="s">
        <v>2646</v>
      </c>
    </row>
    <row r="174" spans="1:36" s="1" customFormat="1">
      <c r="A174" s="392" t="s">
        <v>1536</v>
      </c>
      <c r="B174" s="427" t="s">
        <v>48</v>
      </c>
      <c r="C174" s="433" t="s">
        <v>4149</v>
      </c>
      <c r="D174" s="433" t="s">
        <v>3871</v>
      </c>
      <c r="E174" s="433" t="s">
        <v>2654</v>
      </c>
      <c r="F174" s="433" t="s">
        <v>2654</v>
      </c>
      <c r="G174" s="433" t="s">
        <v>2654</v>
      </c>
      <c r="H174" s="433" t="s">
        <v>2654</v>
      </c>
      <c r="I174" s="433" t="s">
        <v>2654</v>
      </c>
      <c r="J174" s="433" t="s">
        <v>2654</v>
      </c>
      <c r="K174" s="433" t="s">
        <v>2654</v>
      </c>
      <c r="L174" s="433" t="s">
        <v>2654</v>
      </c>
      <c r="M174" s="433" t="s">
        <v>2654</v>
      </c>
      <c r="N174" s="433" t="s">
        <v>2654</v>
      </c>
      <c r="O174" s="433" t="s">
        <v>2654</v>
      </c>
      <c r="P174" s="433" t="s">
        <v>2746</v>
      </c>
      <c r="Q174" s="433" t="s">
        <v>2654</v>
      </c>
      <c r="R174" s="433" t="s">
        <v>2654</v>
      </c>
      <c r="S174" s="426"/>
      <c r="T174" s="426"/>
      <c r="U174" s="426"/>
      <c r="V174" s="426"/>
      <c r="W174" s="426"/>
      <c r="X174" s="426"/>
      <c r="Y174" s="426"/>
      <c r="Z174" s="426"/>
      <c r="AA174" s="426"/>
      <c r="AB174" s="426"/>
      <c r="AC174" s="426"/>
      <c r="AD174" s="426"/>
      <c r="AE174" s="426"/>
      <c r="AF174" s="426"/>
      <c r="AG174" s="426"/>
      <c r="AH174" s="426"/>
      <c r="AI174" s="426"/>
    </row>
    <row r="175" spans="1:36" s="1" customFormat="1" hidden="1">
      <c r="A175" s="392" t="s">
        <v>1537</v>
      </c>
      <c r="B175" s="427" t="s">
        <v>2647</v>
      </c>
      <c r="C175" s="433" t="s">
        <v>3723</v>
      </c>
      <c r="D175" s="433" t="s">
        <v>3722</v>
      </c>
      <c r="E175" s="433" t="s">
        <v>2654</v>
      </c>
      <c r="F175" s="433" t="s">
        <v>2654</v>
      </c>
      <c r="G175" s="433" t="s">
        <v>2654</v>
      </c>
      <c r="H175" s="433" t="s">
        <v>2654</v>
      </c>
      <c r="I175" s="433" t="s">
        <v>2654</v>
      </c>
      <c r="J175" s="433" t="s">
        <v>2654</v>
      </c>
      <c r="K175" s="433" t="s">
        <v>2654</v>
      </c>
      <c r="L175" s="433" t="s">
        <v>2654</v>
      </c>
      <c r="M175" s="433" t="s">
        <v>2654</v>
      </c>
      <c r="N175" s="433" t="s">
        <v>2654</v>
      </c>
      <c r="O175" s="433" t="s">
        <v>2654</v>
      </c>
      <c r="P175" s="433" t="s">
        <v>4059</v>
      </c>
      <c r="Q175" s="431"/>
      <c r="R175" s="431"/>
      <c r="S175" s="426" t="s">
        <v>2768</v>
      </c>
      <c r="T175" s="426" t="s">
        <v>2646</v>
      </c>
      <c r="U175" s="426" t="s">
        <v>2646</v>
      </c>
      <c r="V175" s="426" t="s">
        <v>2646</v>
      </c>
      <c r="W175" s="426" t="s">
        <v>2646</v>
      </c>
      <c r="X175" s="426" t="s">
        <v>2646</v>
      </c>
      <c r="Y175" s="426" t="s">
        <v>2646</v>
      </c>
      <c r="Z175" s="426" t="s">
        <v>2646</v>
      </c>
      <c r="AA175" s="426" t="s">
        <v>2646</v>
      </c>
      <c r="AB175" s="426" t="s">
        <v>2646</v>
      </c>
      <c r="AC175" s="426" t="s">
        <v>2646</v>
      </c>
      <c r="AD175" s="426" t="s">
        <v>2646</v>
      </c>
      <c r="AE175" s="426" t="s">
        <v>2646</v>
      </c>
      <c r="AF175" s="426" t="s">
        <v>2646</v>
      </c>
      <c r="AG175" s="426" t="s">
        <v>2646</v>
      </c>
      <c r="AH175" s="426" t="s">
        <v>2646</v>
      </c>
      <c r="AI175" s="426" t="s">
        <v>2646</v>
      </c>
      <c r="AJ175" s="1" t="s">
        <v>2646</v>
      </c>
    </row>
    <row r="176" spans="1:36" s="1" customFormat="1" hidden="1">
      <c r="A176" s="392" t="s">
        <v>1538</v>
      </c>
      <c r="B176" s="427" t="s">
        <v>2648</v>
      </c>
      <c r="C176" s="433" t="s">
        <v>3889</v>
      </c>
      <c r="D176" s="433" t="s">
        <v>3686</v>
      </c>
      <c r="E176" s="433" t="s">
        <v>2654</v>
      </c>
      <c r="F176" s="433" t="s">
        <v>2654</v>
      </c>
      <c r="G176" s="433" t="s">
        <v>2654</v>
      </c>
      <c r="H176" s="433" t="s">
        <v>2654</v>
      </c>
      <c r="I176" s="433" t="s">
        <v>2654</v>
      </c>
      <c r="J176" s="433" t="s">
        <v>2654</v>
      </c>
      <c r="K176" s="433" t="s">
        <v>2654</v>
      </c>
      <c r="L176" s="433" t="s">
        <v>2654</v>
      </c>
      <c r="M176" s="433" t="s">
        <v>2654</v>
      </c>
      <c r="N176" s="433" t="s">
        <v>2654</v>
      </c>
      <c r="O176" s="433" t="s">
        <v>2654</v>
      </c>
      <c r="P176" s="433" t="s">
        <v>4061</v>
      </c>
      <c r="Q176" s="431"/>
      <c r="R176" s="431"/>
      <c r="S176" s="426" t="s">
        <v>2768</v>
      </c>
      <c r="T176" s="426" t="s">
        <v>2646</v>
      </c>
      <c r="U176" s="426" t="s">
        <v>2646</v>
      </c>
      <c r="V176" s="426" t="s">
        <v>2646</v>
      </c>
      <c r="W176" s="426" t="s">
        <v>2646</v>
      </c>
      <c r="X176" s="426" t="s">
        <v>2646</v>
      </c>
      <c r="Y176" s="426" t="s">
        <v>2873</v>
      </c>
      <c r="Z176" s="426" t="s">
        <v>2646</v>
      </c>
      <c r="AA176" s="426" t="s">
        <v>2646</v>
      </c>
      <c r="AB176" s="426" t="s">
        <v>2646</v>
      </c>
      <c r="AC176" s="426" t="s">
        <v>2646</v>
      </c>
      <c r="AD176" s="426" t="s">
        <v>2646</v>
      </c>
      <c r="AE176" s="426" t="s">
        <v>2646</v>
      </c>
      <c r="AF176" s="426" t="s">
        <v>2646</v>
      </c>
      <c r="AG176" s="426" t="s">
        <v>2646</v>
      </c>
      <c r="AH176" s="426" t="s">
        <v>2646</v>
      </c>
      <c r="AI176" s="426" t="s">
        <v>2646</v>
      </c>
      <c r="AJ176" s="1" t="s">
        <v>2646</v>
      </c>
    </row>
    <row r="177" spans="1:36" s="1" customFormat="1" hidden="1">
      <c r="A177" s="392" t="s">
        <v>1539</v>
      </c>
      <c r="B177" s="427" t="s">
        <v>2649</v>
      </c>
      <c r="C177" s="433" t="s">
        <v>4133</v>
      </c>
      <c r="D177" s="433" t="s">
        <v>3710</v>
      </c>
      <c r="E177" s="433" t="s">
        <v>2654</v>
      </c>
      <c r="F177" s="433" t="s">
        <v>2654</v>
      </c>
      <c r="G177" s="433" t="s">
        <v>2654</v>
      </c>
      <c r="H177" s="433" t="s">
        <v>2654</v>
      </c>
      <c r="I177" s="433" t="s">
        <v>2654</v>
      </c>
      <c r="J177" s="433" t="s">
        <v>2654</v>
      </c>
      <c r="K177" s="433" t="s">
        <v>2654</v>
      </c>
      <c r="L177" s="433" t="s">
        <v>2654</v>
      </c>
      <c r="M177" s="433" t="s">
        <v>2654</v>
      </c>
      <c r="N177" s="433" t="s">
        <v>2654</v>
      </c>
      <c r="O177" s="433" t="s">
        <v>2654</v>
      </c>
      <c r="P177" s="433" t="s">
        <v>4061</v>
      </c>
      <c r="Q177" s="431"/>
      <c r="R177" s="431"/>
      <c r="S177" s="426" t="s">
        <v>2660</v>
      </c>
      <c r="T177" s="426" t="s">
        <v>2646</v>
      </c>
      <c r="U177" s="426" t="s">
        <v>2646</v>
      </c>
      <c r="V177" s="426" t="s">
        <v>2646</v>
      </c>
      <c r="W177" s="426" t="s">
        <v>2646</v>
      </c>
      <c r="X177" s="426" t="s">
        <v>2646</v>
      </c>
      <c r="Y177" s="426" t="s">
        <v>2873</v>
      </c>
      <c r="Z177" s="426" t="s">
        <v>2646</v>
      </c>
      <c r="AA177" s="426" t="s">
        <v>2646</v>
      </c>
      <c r="AB177" s="426" t="s">
        <v>2646</v>
      </c>
      <c r="AC177" s="426" t="s">
        <v>2646</v>
      </c>
      <c r="AD177" s="426" t="s">
        <v>2646</v>
      </c>
      <c r="AE177" s="426" t="s">
        <v>2646</v>
      </c>
      <c r="AF177" s="426" t="s">
        <v>2646</v>
      </c>
      <c r="AG177" s="426" t="s">
        <v>2646</v>
      </c>
      <c r="AH177" s="426" t="s">
        <v>2646</v>
      </c>
      <c r="AI177" s="426" t="s">
        <v>2646</v>
      </c>
      <c r="AJ177" s="1" t="s">
        <v>2646</v>
      </c>
    </row>
    <row r="178" spans="1:36" hidden="1">
      <c r="A178" s="392" t="s">
        <v>1540</v>
      </c>
      <c r="B178" s="427" t="s">
        <v>2650</v>
      </c>
      <c r="C178" s="433" t="s">
        <v>3697</v>
      </c>
      <c r="D178" s="433" t="s">
        <v>3686</v>
      </c>
      <c r="E178" s="433" t="s">
        <v>2654</v>
      </c>
      <c r="F178" s="433" t="s">
        <v>2654</v>
      </c>
      <c r="G178" s="433" t="s">
        <v>2654</v>
      </c>
      <c r="H178" s="433" t="s">
        <v>2654</v>
      </c>
      <c r="I178" s="433" t="s">
        <v>2654</v>
      </c>
      <c r="J178" s="433" t="s">
        <v>2654</v>
      </c>
      <c r="K178" s="433" t="s">
        <v>2654</v>
      </c>
      <c r="L178" s="433" t="s">
        <v>2654</v>
      </c>
      <c r="M178" s="433" t="s">
        <v>2654</v>
      </c>
      <c r="N178" s="433" t="s">
        <v>2654</v>
      </c>
      <c r="O178" s="433" t="s">
        <v>2654</v>
      </c>
      <c r="P178" s="433" t="s">
        <v>4057</v>
      </c>
      <c r="Q178" s="431"/>
      <c r="R178" s="431"/>
      <c r="S178" s="426" t="s">
        <v>316</v>
      </c>
      <c r="T178" s="426" t="s">
        <v>2646</v>
      </c>
      <c r="U178" s="426" t="s">
        <v>2646</v>
      </c>
      <c r="V178" s="426" t="s">
        <v>2646</v>
      </c>
      <c r="W178" s="426" t="s">
        <v>2646</v>
      </c>
      <c r="X178" s="426" t="s">
        <v>2646</v>
      </c>
      <c r="Y178" s="426" t="s">
        <v>2873</v>
      </c>
      <c r="Z178" s="426" t="s">
        <v>2646</v>
      </c>
      <c r="AA178" s="426" t="s">
        <v>2646</v>
      </c>
      <c r="AB178" s="426" t="s">
        <v>2646</v>
      </c>
      <c r="AC178" s="426" t="s">
        <v>2646</v>
      </c>
      <c r="AD178" s="426" t="s">
        <v>2646</v>
      </c>
      <c r="AE178" s="426" t="s">
        <v>2646</v>
      </c>
      <c r="AF178" s="426" t="s">
        <v>2646</v>
      </c>
      <c r="AG178" s="426" t="s">
        <v>2646</v>
      </c>
      <c r="AH178" s="426" t="s">
        <v>2646</v>
      </c>
      <c r="AI178" s="426" t="s">
        <v>2646</v>
      </c>
      <c r="AJ178" s="68" t="s">
        <v>2646</v>
      </c>
    </row>
    <row r="179" spans="1:36" s="1" customFormat="1" hidden="1">
      <c r="A179" s="392" t="s">
        <v>1541</v>
      </c>
      <c r="B179" s="427" t="s">
        <v>2651</v>
      </c>
      <c r="C179" s="433" t="s">
        <v>2790</v>
      </c>
      <c r="D179" s="433" t="s">
        <v>3364</v>
      </c>
      <c r="E179" s="433" t="s">
        <v>2654</v>
      </c>
      <c r="F179" s="433" t="s">
        <v>2654</v>
      </c>
      <c r="G179" s="433" t="s">
        <v>2654</v>
      </c>
      <c r="H179" s="433" t="s">
        <v>2654</v>
      </c>
      <c r="I179" s="433" t="s">
        <v>2654</v>
      </c>
      <c r="J179" s="433" t="s">
        <v>2654</v>
      </c>
      <c r="K179" s="433" t="s">
        <v>2654</v>
      </c>
      <c r="L179" s="433" t="s">
        <v>2654</v>
      </c>
      <c r="M179" s="433" t="s">
        <v>2654</v>
      </c>
      <c r="N179" s="433" t="s">
        <v>2654</v>
      </c>
      <c r="O179" s="433" t="s">
        <v>2654</v>
      </c>
      <c r="P179" s="433" t="s">
        <v>4129</v>
      </c>
      <c r="Q179" s="431"/>
      <c r="R179" s="431"/>
      <c r="S179" s="426" t="s">
        <v>2768</v>
      </c>
      <c r="T179" s="426" t="s">
        <v>2646</v>
      </c>
      <c r="U179" s="426" t="s">
        <v>2646</v>
      </c>
      <c r="V179" s="426" t="s">
        <v>2646</v>
      </c>
      <c r="W179" s="426" t="s">
        <v>2646</v>
      </c>
      <c r="X179" s="426" t="s">
        <v>2646</v>
      </c>
      <c r="Y179" s="426" t="s">
        <v>2873</v>
      </c>
      <c r="Z179" s="426" t="s">
        <v>2646</v>
      </c>
      <c r="AA179" s="426" t="s">
        <v>2646</v>
      </c>
      <c r="AB179" s="426" t="s">
        <v>2646</v>
      </c>
      <c r="AC179" s="426" t="s">
        <v>2646</v>
      </c>
      <c r="AD179" s="426" t="s">
        <v>2646</v>
      </c>
      <c r="AE179" s="426" t="s">
        <v>2646</v>
      </c>
      <c r="AF179" s="426" t="s">
        <v>2646</v>
      </c>
      <c r="AG179" s="426" t="s">
        <v>2646</v>
      </c>
      <c r="AH179" s="426" t="s">
        <v>2646</v>
      </c>
      <c r="AI179" s="426" t="s">
        <v>2646</v>
      </c>
      <c r="AJ179" s="1" t="s">
        <v>2646</v>
      </c>
    </row>
    <row r="180" spans="1:36" s="1" customFormat="1">
      <c r="A180" s="392" t="s">
        <v>1541</v>
      </c>
      <c r="B180" s="427" t="s">
        <v>48</v>
      </c>
      <c r="C180" s="433" t="s">
        <v>4150</v>
      </c>
      <c r="D180" s="433" t="s">
        <v>3929</v>
      </c>
      <c r="E180" s="433" t="s">
        <v>2654</v>
      </c>
      <c r="F180" s="433" t="s">
        <v>2654</v>
      </c>
      <c r="G180" s="433" t="s">
        <v>2654</v>
      </c>
      <c r="H180" s="433" t="s">
        <v>2654</v>
      </c>
      <c r="I180" s="433" t="s">
        <v>2654</v>
      </c>
      <c r="J180" s="433" t="s">
        <v>2654</v>
      </c>
      <c r="K180" s="433" t="s">
        <v>2654</v>
      </c>
      <c r="L180" s="433" t="s">
        <v>2654</v>
      </c>
      <c r="M180" s="433" t="s">
        <v>2654</v>
      </c>
      <c r="N180" s="433" t="s">
        <v>2654</v>
      </c>
      <c r="O180" s="433" t="s">
        <v>2654</v>
      </c>
      <c r="P180" s="433" t="s">
        <v>4025</v>
      </c>
      <c r="Q180" s="433" t="s">
        <v>2654</v>
      </c>
      <c r="R180" s="433" t="s">
        <v>2654</v>
      </c>
      <c r="S180" s="426"/>
      <c r="T180" s="426"/>
      <c r="U180" s="426"/>
      <c r="V180" s="426"/>
      <c r="W180" s="426"/>
      <c r="X180" s="426"/>
      <c r="Y180" s="426"/>
      <c r="Z180" s="426"/>
      <c r="AA180" s="426"/>
      <c r="AB180" s="426"/>
      <c r="AC180" s="426"/>
      <c r="AD180" s="426"/>
      <c r="AE180" s="426"/>
      <c r="AF180" s="426"/>
      <c r="AG180" s="426"/>
      <c r="AH180" s="426"/>
      <c r="AI180" s="426"/>
    </row>
    <row r="181" spans="1:36" s="1" customFormat="1" hidden="1">
      <c r="A181" s="392" t="s">
        <v>1542</v>
      </c>
      <c r="B181" s="427" t="s">
        <v>2647</v>
      </c>
      <c r="C181" s="433" t="s">
        <v>3416</v>
      </c>
      <c r="D181" s="433" t="s">
        <v>2777</v>
      </c>
      <c r="E181" s="433" t="s">
        <v>2654</v>
      </c>
      <c r="F181" s="433" t="s">
        <v>2654</v>
      </c>
      <c r="G181" s="433" t="s">
        <v>2654</v>
      </c>
      <c r="H181" s="433" t="s">
        <v>2654</v>
      </c>
      <c r="I181" s="433" t="s">
        <v>2654</v>
      </c>
      <c r="J181" s="433" t="s">
        <v>2654</v>
      </c>
      <c r="K181" s="433" t="s">
        <v>2654</v>
      </c>
      <c r="L181" s="433" t="s">
        <v>2654</v>
      </c>
      <c r="M181" s="433" t="s">
        <v>2654</v>
      </c>
      <c r="N181" s="433" t="s">
        <v>2654</v>
      </c>
      <c r="O181" s="433" t="s">
        <v>2654</v>
      </c>
      <c r="P181" s="433" t="s">
        <v>2648</v>
      </c>
      <c r="Q181" s="431"/>
      <c r="R181" s="431"/>
      <c r="S181" s="426" t="s">
        <v>2655</v>
      </c>
      <c r="T181" s="426" t="s">
        <v>2646</v>
      </c>
      <c r="U181" s="426" t="s">
        <v>2646</v>
      </c>
      <c r="V181" s="426" t="s">
        <v>2646</v>
      </c>
      <c r="W181" s="426" t="s">
        <v>2646</v>
      </c>
      <c r="X181" s="426" t="s">
        <v>2646</v>
      </c>
      <c r="Y181" s="426" t="s">
        <v>2646</v>
      </c>
      <c r="Z181" s="426" t="s">
        <v>2646</v>
      </c>
      <c r="AA181" s="426" t="s">
        <v>2646</v>
      </c>
      <c r="AB181" s="426" t="s">
        <v>2646</v>
      </c>
      <c r="AC181" s="426" t="s">
        <v>2646</v>
      </c>
      <c r="AD181" s="426" t="s">
        <v>2646</v>
      </c>
      <c r="AE181" s="426" t="s">
        <v>2646</v>
      </c>
      <c r="AF181" s="426" t="s">
        <v>2646</v>
      </c>
      <c r="AG181" s="426" t="s">
        <v>2646</v>
      </c>
      <c r="AH181" s="426" t="s">
        <v>2646</v>
      </c>
      <c r="AI181" s="426" t="s">
        <v>2646</v>
      </c>
      <c r="AJ181" s="1" t="s">
        <v>2646</v>
      </c>
    </row>
    <row r="182" spans="1:36" s="1" customFormat="1" hidden="1">
      <c r="A182" s="392" t="s">
        <v>1543</v>
      </c>
      <c r="B182" s="427" t="s">
        <v>2648</v>
      </c>
      <c r="C182" s="433" t="s">
        <v>3745</v>
      </c>
      <c r="D182" s="433" t="s">
        <v>2676</v>
      </c>
      <c r="E182" s="433" t="s">
        <v>2654</v>
      </c>
      <c r="F182" s="433" t="s">
        <v>2654</v>
      </c>
      <c r="G182" s="433" t="s">
        <v>2654</v>
      </c>
      <c r="H182" s="433" t="s">
        <v>2654</v>
      </c>
      <c r="I182" s="433" t="s">
        <v>2654</v>
      </c>
      <c r="J182" s="433" t="s">
        <v>2654</v>
      </c>
      <c r="K182" s="433" t="s">
        <v>2654</v>
      </c>
      <c r="L182" s="433" t="s">
        <v>2654</v>
      </c>
      <c r="M182" s="433" t="s">
        <v>2654</v>
      </c>
      <c r="N182" s="433" t="s">
        <v>2654</v>
      </c>
      <c r="O182" s="433" t="s">
        <v>2654</v>
      </c>
      <c r="P182" s="433" t="s">
        <v>2648</v>
      </c>
      <c r="Q182" s="431"/>
      <c r="R182" s="431"/>
      <c r="S182" s="426" t="s">
        <v>2796</v>
      </c>
      <c r="T182" s="426" t="s">
        <v>2646</v>
      </c>
      <c r="U182" s="426" t="s">
        <v>2646</v>
      </c>
      <c r="V182" s="426" t="s">
        <v>2646</v>
      </c>
      <c r="W182" s="426" t="s">
        <v>2646</v>
      </c>
      <c r="X182" s="426" t="s">
        <v>2646</v>
      </c>
      <c r="Y182" s="426" t="s">
        <v>2646</v>
      </c>
      <c r="Z182" s="426" t="s">
        <v>2646</v>
      </c>
      <c r="AA182" s="426" t="s">
        <v>2646</v>
      </c>
      <c r="AB182" s="426" t="s">
        <v>2646</v>
      </c>
      <c r="AC182" s="426" t="s">
        <v>2646</v>
      </c>
      <c r="AD182" s="426" t="s">
        <v>2646</v>
      </c>
      <c r="AE182" s="426" t="s">
        <v>2646</v>
      </c>
      <c r="AF182" s="426" t="s">
        <v>2646</v>
      </c>
      <c r="AG182" s="426" t="s">
        <v>2646</v>
      </c>
      <c r="AH182" s="426" t="s">
        <v>2646</v>
      </c>
      <c r="AI182" s="426" t="s">
        <v>2646</v>
      </c>
      <c r="AJ182" s="1" t="s">
        <v>2646</v>
      </c>
    </row>
    <row r="183" spans="1:36" s="1" customFormat="1" hidden="1">
      <c r="A183" s="392" t="s">
        <v>1544</v>
      </c>
      <c r="B183" s="427" t="s">
        <v>2649</v>
      </c>
      <c r="C183" s="433" t="s">
        <v>3262</v>
      </c>
      <c r="D183" s="433" t="s">
        <v>2777</v>
      </c>
      <c r="E183" s="433" t="s">
        <v>2654</v>
      </c>
      <c r="F183" s="433" t="s">
        <v>2654</v>
      </c>
      <c r="G183" s="433" t="s">
        <v>2654</v>
      </c>
      <c r="H183" s="433" t="s">
        <v>2654</v>
      </c>
      <c r="I183" s="433" t="s">
        <v>2654</v>
      </c>
      <c r="J183" s="433" t="s">
        <v>2654</v>
      </c>
      <c r="K183" s="433" t="s">
        <v>2654</v>
      </c>
      <c r="L183" s="433" t="s">
        <v>2654</v>
      </c>
      <c r="M183" s="433" t="s">
        <v>2654</v>
      </c>
      <c r="N183" s="433" t="s">
        <v>2654</v>
      </c>
      <c r="O183" s="433" t="s">
        <v>2654</v>
      </c>
      <c r="P183" s="433" t="s">
        <v>2648</v>
      </c>
      <c r="Q183" s="431"/>
      <c r="R183" s="431"/>
      <c r="S183" s="426" t="s">
        <v>2660</v>
      </c>
      <c r="T183" s="426" t="s">
        <v>2646</v>
      </c>
      <c r="U183" s="426" t="s">
        <v>2646</v>
      </c>
      <c r="V183" s="426" t="s">
        <v>2646</v>
      </c>
      <c r="W183" s="426" t="s">
        <v>2646</v>
      </c>
      <c r="X183" s="426" t="s">
        <v>2646</v>
      </c>
      <c r="Y183" s="426" t="s">
        <v>2646</v>
      </c>
      <c r="Z183" s="426" t="s">
        <v>2646</v>
      </c>
      <c r="AA183" s="426" t="s">
        <v>2646</v>
      </c>
      <c r="AB183" s="426" t="s">
        <v>2646</v>
      </c>
      <c r="AC183" s="426" t="s">
        <v>2646</v>
      </c>
      <c r="AD183" s="426" t="s">
        <v>2646</v>
      </c>
      <c r="AE183" s="426" t="s">
        <v>2646</v>
      </c>
      <c r="AF183" s="426" t="s">
        <v>2646</v>
      </c>
      <c r="AG183" s="426" t="s">
        <v>2646</v>
      </c>
      <c r="AH183" s="426" t="s">
        <v>2646</v>
      </c>
      <c r="AI183" s="426" t="s">
        <v>2646</v>
      </c>
      <c r="AJ183" s="1" t="s">
        <v>2646</v>
      </c>
    </row>
    <row r="184" spans="1:36" s="1" customFormat="1" hidden="1">
      <c r="A184" s="392" t="s">
        <v>1545</v>
      </c>
      <c r="B184" s="427" t="s">
        <v>2650</v>
      </c>
      <c r="C184" s="433" t="s">
        <v>3745</v>
      </c>
      <c r="D184" s="433" t="s">
        <v>2676</v>
      </c>
      <c r="E184" s="433" t="s">
        <v>2654</v>
      </c>
      <c r="F184" s="433" t="s">
        <v>2654</v>
      </c>
      <c r="G184" s="433" t="s">
        <v>2654</v>
      </c>
      <c r="H184" s="433" t="s">
        <v>2654</v>
      </c>
      <c r="I184" s="433" t="s">
        <v>2654</v>
      </c>
      <c r="J184" s="433" t="s">
        <v>2654</v>
      </c>
      <c r="K184" s="433" t="s">
        <v>2654</v>
      </c>
      <c r="L184" s="433" t="s">
        <v>2654</v>
      </c>
      <c r="M184" s="433" t="s">
        <v>2654</v>
      </c>
      <c r="N184" s="433" t="s">
        <v>2654</v>
      </c>
      <c r="O184" s="433" t="s">
        <v>2654</v>
      </c>
      <c r="P184" s="433" t="s">
        <v>2648</v>
      </c>
      <c r="Q184" s="431"/>
      <c r="R184" s="431"/>
      <c r="S184" s="426" t="s">
        <v>2655</v>
      </c>
      <c r="T184" s="426" t="s">
        <v>2646</v>
      </c>
      <c r="U184" s="426" t="s">
        <v>2646</v>
      </c>
      <c r="V184" s="426" t="s">
        <v>2646</v>
      </c>
      <c r="W184" s="426" t="s">
        <v>2646</v>
      </c>
      <c r="X184" s="426" t="s">
        <v>2646</v>
      </c>
      <c r="Y184" s="426" t="s">
        <v>2646</v>
      </c>
      <c r="Z184" s="426" t="s">
        <v>2646</v>
      </c>
      <c r="AA184" s="426" t="s">
        <v>2646</v>
      </c>
      <c r="AB184" s="426" t="s">
        <v>2646</v>
      </c>
      <c r="AC184" s="426" t="s">
        <v>2646</v>
      </c>
      <c r="AD184" s="426" t="s">
        <v>2646</v>
      </c>
      <c r="AE184" s="426" t="s">
        <v>2646</v>
      </c>
      <c r="AF184" s="426" t="s">
        <v>2646</v>
      </c>
      <c r="AG184" s="426" t="s">
        <v>2646</v>
      </c>
      <c r="AH184" s="426" t="s">
        <v>2646</v>
      </c>
      <c r="AI184" s="426" t="s">
        <v>2646</v>
      </c>
      <c r="AJ184" s="1" t="s">
        <v>2646</v>
      </c>
    </row>
    <row r="185" spans="1:36" s="1" customFormat="1" hidden="1">
      <c r="A185" s="392" t="s">
        <v>1546</v>
      </c>
      <c r="B185" s="427" t="s">
        <v>2651</v>
      </c>
      <c r="C185" s="433" t="s">
        <v>3512</v>
      </c>
      <c r="D185" s="433" t="s">
        <v>2777</v>
      </c>
      <c r="E185" s="433" t="s">
        <v>2654</v>
      </c>
      <c r="F185" s="433" t="s">
        <v>2654</v>
      </c>
      <c r="G185" s="433" t="s">
        <v>2654</v>
      </c>
      <c r="H185" s="433" t="s">
        <v>2654</v>
      </c>
      <c r="I185" s="433" t="s">
        <v>2654</v>
      </c>
      <c r="J185" s="433" t="s">
        <v>2654</v>
      </c>
      <c r="K185" s="433" t="s">
        <v>2654</v>
      </c>
      <c r="L185" s="433" t="s">
        <v>2654</v>
      </c>
      <c r="M185" s="433" t="s">
        <v>2654</v>
      </c>
      <c r="N185" s="433" t="s">
        <v>2654</v>
      </c>
      <c r="O185" s="433" t="s">
        <v>2654</v>
      </c>
      <c r="P185" s="433" t="s">
        <v>2650</v>
      </c>
      <c r="Q185" s="431"/>
      <c r="R185" s="431"/>
      <c r="S185" s="426" t="s">
        <v>2665</v>
      </c>
      <c r="T185" s="426" t="s">
        <v>2646</v>
      </c>
      <c r="U185" s="426" t="s">
        <v>2646</v>
      </c>
      <c r="V185" s="426" t="s">
        <v>2646</v>
      </c>
      <c r="W185" s="426" t="s">
        <v>2646</v>
      </c>
      <c r="X185" s="426" t="s">
        <v>2646</v>
      </c>
      <c r="Y185" s="426" t="s">
        <v>2646</v>
      </c>
      <c r="Z185" s="426" t="s">
        <v>2646</v>
      </c>
      <c r="AA185" s="426" t="s">
        <v>2646</v>
      </c>
      <c r="AB185" s="426" t="s">
        <v>2646</v>
      </c>
      <c r="AC185" s="426" t="s">
        <v>2646</v>
      </c>
      <c r="AD185" s="426" t="s">
        <v>2646</v>
      </c>
      <c r="AE185" s="426" t="s">
        <v>2646</v>
      </c>
      <c r="AF185" s="426" t="s">
        <v>2646</v>
      </c>
      <c r="AG185" s="426" t="s">
        <v>2646</v>
      </c>
      <c r="AH185" s="426" t="s">
        <v>2646</v>
      </c>
      <c r="AI185" s="426" t="s">
        <v>2646</v>
      </c>
      <c r="AJ185" s="1" t="s">
        <v>2646</v>
      </c>
    </row>
    <row r="186" spans="1:36" s="1" customFormat="1">
      <c r="A186" s="392" t="s">
        <v>1546</v>
      </c>
      <c r="B186" s="427" t="s">
        <v>48</v>
      </c>
      <c r="C186" s="433" t="s">
        <v>4151</v>
      </c>
      <c r="D186" s="433" t="s">
        <v>3604</v>
      </c>
      <c r="E186" s="433" t="s">
        <v>2654</v>
      </c>
      <c r="F186" s="433" t="s">
        <v>2654</v>
      </c>
      <c r="G186" s="433" t="s">
        <v>2654</v>
      </c>
      <c r="H186" s="433" t="s">
        <v>2654</v>
      </c>
      <c r="I186" s="433" t="s">
        <v>2654</v>
      </c>
      <c r="J186" s="433" t="s">
        <v>2654</v>
      </c>
      <c r="K186" s="433" t="s">
        <v>2654</v>
      </c>
      <c r="L186" s="433" t="s">
        <v>2654</v>
      </c>
      <c r="M186" s="433" t="s">
        <v>2654</v>
      </c>
      <c r="N186" s="433" t="s">
        <v>2654</v>
      </c>
      <c r="O186" s="433" t="s">
        <v>2654</v>
      </c>
      <c r="P186" s="433" t="s">
        <v>3083</v>
      </c>
      <c r="Q186" s="433" t="s">
        <v>2654</v>
      </c>
      <c r="R186" s="433" t="s">
        <v>2654</v>
      </c>
      <c r="S186" s="426"/>
      <c r="T186" s="426"/>
      <c r="U186" s="426"/>
      <c r="V186" s="426"/>
      <c r="W186" s="426"/>
      <c r="X186" s="426"/>
      <c r="Y186" s="426"/>
      <c r="Z186" s="426"/>
      <c r="AA186" s="426"/>
      <c r="AB186" s="426"/>
      <c r="AC186" s="426"/>
      <c r="AD186" s="426"/>
      <c r="AE186" s="426"/>
      <c r="AF186" s="426"/>
      <c r="AG186" s="426"/>
      <c r="AH186" s="426"/>
      <c r="AI186" s="426"/>
    </row>
    <row r="187" spans="1:36" s="1" customFormat="1" hidden="1">
      <c r="A187" s="392" t="s">
        <v>1547</v>
      </c>
      <c r="B187" s="427" t="s">
        <v>2647</v>
      </c>
      <c r="C187" s="433" t="s">
        <v>3896</v>
      </c>
      <c r="D187" s="433" t="s">
        <v>2833</v>
      </c>
      <c r="E187" s="433" t="s">
        <v>2654</v>
      </c>
      <c r="F187" s="433" t="s">
        <v>2654</v>
      </c>
      <c r="G187" s="433" t="s">
        <v>2654</v>
      </c>
      <c r="H187" s="433" t="s">
        <v>2654</v>
      </c>
      <c r="I187" s="433" t="s">
        <v>2654</v>
      </c>
      <c r="J187" s="433" t="s">
        <v>2654</v>
      </c>
      <c r="K187" s="433" t="s">
        <v>2654</v>
      </c>
      <c r="L187" s="433" t="s">
        <v>2654</v>
      </c>
      <c r="M187" s="433" t="s">
        <v>2654</v>
      </c>
      <c r="N187" s="433" t="s">
        <v>2654</v>
      </c>
      <c r="O187" s="433" t="s">
        <v>2654</v>
      </c>
      <c r="P187" s="433" t="s">
        <v>2647</v>
      </c>
      <c r="Q187" s="431"/>
      <c r="R187" s="431"/>
      <c r="S187" s="426" t="s">
        <v>2673</v>
      </c>
      <c r="T187" s="426" t="s">
        <v>2646</v>
      </c>
      <c r="U187" s="426" t="s">
        <v>2646</v>
      </c>
      <c r="V187" s="426" t="s">
        <v>2646</v>
      </c>
      <c r="W187" s="426" t="s">
        <v>3086</v>
      </c>
      <c r="X187" s="426" t="s">
        <v>2662</v>
      </c>
      <c r="Y187" s="426" t="s">
        <v>3087</v>
      </c>
      <c r="Z187" s="426" t="s">
        <v>2646</v>
      </c>
      <c r="AA187" s="426" t="s">
        <v>2646</v>
      </c>
      <c r="AB187" s="426" t="s">
        <v>2646</v>
      </c>
      <c r="AC187" s="426" t="s">
        <v>2646</v>
      </c>
      <c r="AD187" s="426" t="s">
        <v>2646</v>
      </c>
      <c r="AE187" s="426" t="s">
        <v>2646</v>
      </c>
      <c r="AF187" s="426" t="s">
        <v>2646</v>
      </c>
      <c r="AG187" s="426" t="s">
        <v>2646</v>
      </c>
      <c r="AH187" s="426" t="s">
        <v>2646</v>
      </c>
      <c r="AI187" s="426" t="s">
        <v>2646</v>
      </c>
      <c r="AJ187" s="1" t="s">
        <v>2646</v>
      </c>
    </row>
    <row r="188" spans="1:36" s="1" customFormat="1" hidden="1">
      <c r="A188" s="392" t="s">
        <v>1548</v>
      </c>
      <c r="B188" s="427" t="s">
        <v>2648</v>
      </c>
      <c r="C188" s="433" t="s">
        <v>3583</v>
      </c>
      <c r="D188" s="433" t="s">
        <v>2833</v>
      </c>
      <c r="E188" s="433" t="s">
        <v>2654</v>
      </c>
      <c r="F188" s="433" t="s">
        <v>2654</v>
      </c>
      <c r="G188" s="433" t="s">
        <v>2654</v>
      </c>
      <c r="H188" s="433" t="s">
        <v>2654</v>
      </c>
      <c r="I188" s="433" t="s">
        <v>2654</v>
      </c>
      <c r="J188" s="433" t="s">
        <v>2654</v>
      </c>
      <c r="K188" s="433" t="s">
        <v>2654</v>
      </c>
      <c r="L188" s="433" t="s">
        <v>2654</v>
      </c>
      <c r="M188" s="433" t="s">
        <v>2654</v>
      </c>
      <c r="N188" s="433" t="s">
        <v>2654</v>
      </c>
      <c r="O188" s="433" t="s">
        <v>2654</v>
      </c>
      <c r="P188" s="433" t="s">
        <v>2650</v>
      </c>
      <c r="Q188" s="431"/>
      <c r="R188" s="431"/>
      <c r="S188" s="426" t="s">
        <v>2669</v>
      </c>
      <c r="T188" s="426" t="s">
        <v>2646</v>
      </c>
      <c r="U188" s="426" t="s">
        <v>2646</v>
      </c>
      <c r="V188" s="426" t="s">
        <v>2646</v>
      </c>
      <c r="W188" s="426" t="s">
        <v>3086</v>
      </c>
      <c r="X188" s="426" t="s">
        <v>2662</v>
      </c>
      <c r="Y188" s="426" t="s">
        <v>3087</v>
      </c>
      <c r="Z188" s="426" t="s">
        <v>2646</v>
      </c>
      <c r="AA188" s="426" t="s">
        <v>2646</v>
      </c>
      <c r="AB188" s="426" t="s">
        <v>2646</v>
      </c>
      <c r="AC188" s="426" t="s">
        <v>2646</v>
      </c>
      <c r="AD188" s="426" t="s">
        <v>2646</v>
      </c>
      <c r="AE188" s="426" t="s">
        <v>2646</v>
      </c>
      <c r="AF188" s="426" t="s">
        <v>2646</v>
      </c>
      <c r="AG188" s="426" t="s">
        <v>2646</v>
      </c>
      <c r="AH188" s="426" t="s">
        <v>2646</v>
      </c>
      <c r="AI188" s="426" t="s">
        <v>2646</v>
      </c>
      <c r="AJ188" s="1" t="s">
        <v>2646</v>
      </c>
    </row>
    <row r="189" spans="1:36" hidden="1">
      <c r="A189" s="392" t="s">
        <v>1549</v>
      </c>
      <c r="B189" s="427" t="s">
        <v>2649</v>
      </c>
      <c r="C189" s="433" t="s">
        <v>3905</v>
      </c>
      <c r="D189" s="433" t="s">
        <v>2833</v>
      </c>
      <c r="E189" s="433" t="s">
        <v>2654</v>
      </c>
      <c r="F189" s="433" t="s">
        <v>2654</v>
      </c>
      <c r="G189" s="433" t="s">
        <v>2654</v>
      </c>
      <c r="H189" s="433" t="s">
        <v>2654</v>
      </c>
      <c r="I189" s="433" t="s">
        <v>2654</v>
      </c>
      <c r="J189" s="433" t="s">
        <v>2654</v>
      </c>
      <c r="K189" s="433" t="s">
        <v>2654</v>
      </c>
      <c r="L189" s="433" t="s">
        <v>2654</v>
      </c>
      <c r="M189" s="433" t="s">
        <v>2654</v>
      </c>
      <c r="N189" s="433" t="s">
        <v>2654</v>
      </c>
      <c r="O189" s="433" t="s">
        <v>2654</v>
      </c>
      <c r="P189" s="433" t="s">
        <v>2648</v>
      </c>
      <c r="Q189" s="431"/>
      <c r="R189" s="431"/>
      <c r="S189" s="426" t="s">
        <v>2657</v>
      </c>
      <c r="T189" s="426" t="s">
        <v>2646</v>
      </c>
      <c r="U189" s="426" t="s">
        <v>2646</v>
      </c>
      <c r="V189" s="426" t="s">
        <v>2646</v>
      </c>
      <c r="W189" s="426" t="s">
        <v>3090</v>
      </c>
      <c r="X189" s="426" t="s">
        <v>2662</v>
      </c>
      <c r="Y189" s="426" t="s">
        <v>3091</v>
      </c>
      <c r="Z189" s="426" t="s">
        <v>2646</v>
      </c>
      <c r="AA189" s="426" t="s">
        <v>2646</v>
      </c>
      <c r="AB189" s="426" t="s">
        <v>2646</v>
      </c>
      <c r="AC189" s="426" t="s">
        <v>2646</v>
      </c>
      <c r="AD189" s="426" t="s">
        <v>2646</v>
      </c>
      <c r="AE189" s="426" t="s">
        <v>2646</v>
      </c>
      <c r="AF189" s="426" t="s">
        <v>2646</v>
      </c>
      <c r="AG189" s="426" t="s">
        <v>2646</v>
      </c>
      <c r="AH189" s="426" t="s">
        <v>2646</v>
      </c>
      <c r="AI189" s="426" t="s">
        <v>2646</v>
      </c>
      <c r="AJ189" s="68" t="s">
        <v>2646</v>
      </c>
    </row>
    <row r="190" spans="1:36" s="1" customFormat="1" hidden="1">
      <c r="A190" s="392" t="s">
        <v>1550</v>
      </c>
      <c r="B190" s="427" t="s">
        <v>2650</v>
      </c>
      <c r="C190" s="433" t="s">
        <v>3060</v>
      </c>
      <c r="D190" s="433" t="s">
        <v>3018</v>
      </c>
      <c r="E190" s="433" t="s">
        <v>2654</v>
      </c>
      <c r="F190" s="433" t="s">
        <v>2654</v>
      </c>
      <c r="G190" s="433" t="s">
        <v>2654</v>
      </c>
      <c r="H190" s="433" t="s">
        <v>2654</v>
      </c>
      <c r="I190" s="433" t="s">
        <v>2654</v>
      </c>
      <c r="J190" s="433" t="s">
        <v>2654</v>
      </c>
      <c r="K190" s="433" t="s">
        <v>2654</v>
      </c>
      <c r="L190" s="433" t="s">
        <v>2654</v>
      </c>
      <c r="M190" s="433" t="s">
        <v>2654</v>
      </c>
      <c r="N190" s="433" t="s">
        <v>2654</v>
      </c>
      <c r="O190" s="433" t="s">
        <v>2654</v>
      </c>
      <c r="P190" s="433" t="s">
        <v>2649</v>
      </c>
      <c r="Q190" s="431"/>
      <c r="R190" s="431"/>
      <c r="S190" s="426" t="s">
        <v>2660</v>
      </c>
      <c r="T190" s="426" t="s">
        <v>2646</v>
      </c>
      <c r="U190" s="426" t="s">
        <v>2646</v>
      </c>
      <c r="V190" s="426" t="s">
        <v>2646</v>
      </c>
      <c r="W190" s="426" t="s">
        <v>3086</v>
      </c>
      <c r="X190" s="426" t="s">
        <v>2662</v>
      </c>
      <c r="Y190" s="426" t="s">
        <v>3087</v>
      </c>
      <c r="Z190" s="426" t="s">
        <v>2646</v>
      </c>
      <c r="AA190" s="426" t="s">
        <v>2646</v>
      </c>
      <c r="AB190" s="426" t="s">
        <v>2646</v>
      </c>
      <c r="AC190" s="426" t="s">
        <v>2646</v>
      </c>
      <c r="AD190" s="426" t="s">
        <v>2646</v>
      </c>
      <c r="AE190" s="426" t="s">
        <v>2646</v>
      </c>
      <c r="AF190" s="426" t="s">
        <v>2646</v>
      </c>
      <c r="AG190" s="426" t="s">
        <v>2646</v>
      </c>
      <c r="AH190" s="426" t="s">
        <v>2646</v>
      </c>
      <c r="AI190" s="426" t="s">
        <v>2646</v>
      </c>
      <c r="AJ190" s="1" t="s">
        <v>2646</v>
      </c>
    </row>
    <row r="191" spans="1:36" s="1" customFormat="1" hidden="1">
      <c r="A191" s="392" t="s">
        <v>1551</v>
      </c>
      <c r="B191" s="427" t="s">
        <v>2651</v>
      </c>
      <c r="C191" s="433" t="s">
        <v>4152</v>
      </c>
      <c r="D191" s="433" t="s">
        <v>3018</v>
      </c>
      <c r="E191" s="433" t="s">
        <v>2654</v>
      </c>
      <c r="F191" s="433" t="s">
        <v>2654</v>
      </c>
      <c r="G191" s="433" t="s">
        <v>2654</v>
      </c>
      <c r="H191" s="433" t="s">
        <v>2654</v>
      </c>
      <c r="I191" s="433" t="s">
        <v>2654</v>
      </c>
      <c r="J191" s="433" t="s">
        <v>2654</v>
      </c>
      <c r="K191" s="433" t="s">
        <v>2654</v>
      </c>
      <c r="L191" s="433" t="s">
        <v>2654</v>
      </c>
      <c r="M191" s="433" t="s">
        <v>2654</v>
      </c>
      <c r="N191" s="433" t="s">
        <v>2654</v>
      </c>
      <c r="O191" s="433" t="s">
        <v>2654</v>
      </c>
      <c r="P191" s="433" t="s">
        <v>4059</v>
      </c>
      <c r="Q191" s="431"/>
      <c r="R191" s="431"/>
      <c r="S191" s="426" t="s">
        <v>2673</v>
      </c>
      <c r="T191" s="426" t="s">
        <v>2646</v>
      </c>
      <c r="U191" s="426" t="s">
        <v>2646</v>
      </c>
      <c r="V191" s="426" t="s">
        <v>2646</v>
      </c>
      <c r="W191" s="426" t="s">
        <v>3086</v>
      </c>
      <c r="X191" s="426" t="s">
        <v>2662</v>
      </c>
      <c r="Y191" s="426" t="s">
        <v>3087</v>
      </c>
      <c r="Z191" s="426" t="s">
        <v>2646</v>
      </c>
      <c r="AA191" s="426" t="s">
        <v>2646</v>
      </c>
      <c r="AB191" s="426" t="s">
        <v>2646</v>
      </c>
      <c r="AC191" s="426" t="s">
        <v>2646</v>
      </c>
      <c r="AD191" s="426" t="s">
        <v>2646</v>
      </c>
      <c r="AE191" s="426" t="s">
        <v>2646</v>
      </c>
      <c r="AF191" s="426" t="s">
        <v>2646</v>
      </c>
      <c r="AG191" s="426" t="s">
        <v>2646</v>
      </c>
      <c r="AH191" s="426" t="s">
        <v>2646</v>
      </c>
      <c r="AI191" s="426" t="s">
        <v>2646</v>
      </c>
      <c r="AJ191" s="1" t="s">
        <v>2646</v>
      </c>
    </row>
    <row r="192" spans="1:36" s="1" customFormat="1">
      <c r="A192" s="392" t="s">
        <v>1551</v>
      </c>
      <c r="B192" s="427" t="s">
        <v>48</v>
      </c>
      <c r="C192" s="433" t="s">
        <v>3643</v>
      </c>
      <c r="D192" s="433" t="s">
        <v>3536</v>
      </c>
      <c r="E192" s="433" t="s">
        <v>2654</v>
      </c>
      <c r="F192" s="433" t="s">
        <v>2654</v>
      </c>
      <c r="G192" s="433" t="s">
        <v>2654</v>
      </c>
      <c r="H192" s="433" t="s">
        <v>2654</v>
      </c>
      <c r="I192" s="433" t="s">
        <v>2654</v>
      </c>
      <c r="J192" s="433" t="s">
        <v>2654</v>
      </c>
      <c r="K192" s="433" t="s">
        <v>2654</v>
      </c>
      <c r="L192" s="433" t="s">
        <v>2654</v>
      </c>
      <c r="M192" s="433" t="s">
        <v>2654</v>
      </c>
      <c r="N192" s="433" t="s">
        <v>2654</v>
      </c>
      <c r="O192" s="433" t="s">
        <v>2654</v>
      </c>
      <c r="P192" s="433" t="s">
        <v>2708</v>
      </c>
      <c r="Q192" s="433" t="s">
        <v>2654</v>
      </c>
      <c r="R192" s="433" t="s">
        <v>2654</v>
      </c>
      <c r="S192" s="426"/>
      <c r="T192" s="426"/>
      <c r="U192" s="426"/>
      <c r="V192" s="426"/>
      <c r="W192" s="426"/>
      <c r="X192" s="426"/>
      <c r="Y192" s="426"/>
      <c r="Z192" s="426"/>
      <c r="AA192" s="426"/>
      <c r="AB192" s="426"/>
      <c r="AC192" s="426"/>
      <c r="AD192" s="426"/>
      <c r="AE192" s="426"/>
      <c r="AF192" s="426"/>
      <c r="AG192" s="426"/>
      <c r="AH192" s="426"/>
      <c r="AI192" s="426"/>
    </row>
    <row r="193" spans="1:36" s="1" customFormat="1" hidden="1">
      <c r="A193" s="392" t="s">
        <v>1552</v>
      </c>
      <c r="B193" s="427" t="s">
        <v>2647</v>
      </c>
      <c r="C193" s="433" t="s">
        <v>3613</v>
      </c>
      <c r="D193" s="433" t="s">
        <v>3049</v>
      </c>
      <c r="E193" s="433" t="s">
        <v>2654</v>
      </c>
      <c r="F193" s="433" t="s">
        <v>2654</v>
      </c>
      <c r="G193" s="433" t="s">
        <v>2654</v>
      </c>
      <c r="H193" s="433" t="s">
        <v>2654</v>
      </c>
      <c r="I193" s="433" t="s">
        <v>2654</v>
      </c>
      <c r="J193" s="433" t="s">
        <v>2654</v>
      </c>
      <c r="K193" s="433" t="s">
        <v>2654</v>
      </c>
      <c r="L193" s="433" t="s">
        <v>2654</v>
      </c>
      <c r="M193" s="433" t="s">
        <v>2654</v>
      </c>
      <c r="N193" s="433" t="s">
        <v>2654</v>
      </c>
      <c r="O193" s="433" t="s">
        <v>2654</v>
      </c>
      <c r="P193" s="433" t="s">
        <v>2651</v>
      </c>
      <c r="Q193" s="431"/>
      <c r="R193" s="431"/>
      <c r="S193" s="426" t="s">
        <v>2660</v>
      </c>
      <c r="T193" s="426" t="s">
        <v>2646</v>
      </c>
      <c r="U193" s="426" t="s">
        <v>2646</v>
      </c>
      <c r="V193" s="426" t="s">
        <v>2646</v>
      </c>
      <c r="W193" s="426" t="s">
        <v>3090</v>
      </c>
      <c r="X193" s="426" t="s">
        <v>2671</v>
      </c>
      <c r="Y193" s="426" t="s">
        <v>3097</v>
      </c>
      <c r="Z193" s="426" t="s">
        <v>2646</v>
      </c>
      <c r="AA193" s="426" t="s">
        <v>2646</v>
      </c>
      <c r="AB193" s="426" t="s">
        <v>2646</v>
      </c>
      <c r="AC193" s="426" t="s">
        <v>2646</v>
      </c>
      <c r="AD193" s="426" t="s">
        <v>2646</v>
      </c>
      <c r="AE193" s="426" t="s">
        <v>2646</v>
      </c>
      <c r="AF193" s="426" t="s">
        <v>2646</v>
      </c>
      <c r="AG193" s="426" t="s">
        <v>2646</v>
      </c>
      <c r="AH193" s="426" t="s">
        <v>2646</v>
      </c>
      <c r="AI193" s="426" t="s">
        <v>2646</v>
      </c>
      <c r="AJ193" s="1" t="s">
        <v>2646</v>
      </c>
    </row>
    <row r="194" spans="1:36" s="1" customFormat="1" hidden="1">
      <c r="A194" s="392" t="s">
        <v>1553</v>
      </c>
      <c r="B194" s="427" t="s">
        <v>2648</v>
      </c>
      <c r="C194" s="433" t="s">
        <v>3451</v>
      </c>
      <c r="D194" s="433" t="s">
        <v>3049</v>
      </c>
      <c r="E194" s="433" t="s">
        <v>2654</v>
      </c>
      <c r="F194" s="433" t="s">
        <v>2654</v>
      </c>
      <c r="G194" s="433" t="s">
        <v>2654</v>
      </c>
      <c r="H194" s="433" t="s">
        <v>2654</v>
      </c>
      <c r="I194" s="433" t="s">
        <v>2654</v>
      </c>
      <c r="J194" s="433" t="s">
        <v>2654</v>
      </c>
      <c r="K194" s="433" t="s">
        <v>2654</v>
      </c>
      <c r="L194" s="433" t="s">
        <v>2654</v>
      </c>
      <c r="M194" s="433" t="s">
        <v>2654</v>
      </c>
      <c r="N194" s="433" t="s">
        <v>2654</v>
      </c>
      <c r="O194" s="433" t="s">
        <v>2654</v>
      </c>
      <c r="P194" s="433" t="s">
        <v>2648</v>
      </c>
      <c r="Q194" s="431"/>
      <c r="R194" s="431"/>
      <c r="S194" s="426" t="s">
        <v>2665</v>
      </c>
      <c r="T194" s="426" t="s">
        <v>2646</v>
      </c>
      <c r="U194" s="426" t="s">
        <v>2646</v>
      </c>
      <c r="V194" s="426" t="s">
        <v>2646</v>
      </c>
      <c r="W194" s="426" t="s">
        <v>3090</v>
      </c>
      <c r="X194" s="426" t="s">
        <v>2671</v>
      </c>
      <c r="Y194" s="426" t="s">
        <v>3097</v>
      </c>
      <c r="Z194" s="426" t="s">
        <v>2646</v>
      </c>
      <c r="AA194" s="426" t="s">
        <v>2646</v>
      </c>
      <c r="AB194" s="426" t="s">
        <v>2646</v>
      </c>
      <c r="AC194" s="426" t="s">
        <v>2646</v>
      </c>
      <c r="AD194" s="426" t="s">
        <v>2646</v>
      </c>
      <c r="AE194" s="426" t="s">
        <v>2646</v>
      </c>
      <c r="AF194" s="426" t="s">
        <v>2646</v>
      </c>
      <c r="AG194" s="426" t="s">
        <v>2646</v>
      </c>
      <c r="AH194" s="426" t="s">
        <v>2646</v>
      </c>
      <c r="AI194" s="426" t="s">
        <v>2646</v>
      </c>
      <c r="AJ194" s="1" t="s">
        <v>2646</v>
      </c>
    </row>
    <row r="195" spans="1:36" s="1" customFormat="1" hidden="1">
      <c r="A195" s="392" t="s">
        <v>1554</v>
      </c>
      <c r="B195" s="427" t="s">
        <v>2649</v>
      </c>
      <c r="C195" s="433" t="s">
        <v>4153</v>
      </c>
      <c r="D195" s="433" t="s">
        <v>3247</v>
      </c>
      <c r="E195" s="433" t="s">
        <v>2654</v>
      </c>
      <c r="F195" s="433" t="s">
        <v>2654</v>
      </c>
      <c r="G195" s="433" t="s">
        <v>2654</v>
      </c>
      <c r="H195" s="433" t="s">
        <v>2654</v>
      </c>
      <c r="I195" s="433" t="s">
        <v>2654</v>
      </c>
      <c r="J195" s="433" t="s">
        <v>2654</v>
      </c>
      <c r="K195" s="433" t="s">
        <v>2654</v>
      </c>
      <c r="L195" s="433" t="s">
        <v>2654</v>
      </c>
      <c r="M195" s="433" t="s">
        <v>2654</v>
      </c>
      <c r="N195" s="433" t="s">
        <v>2654</v>
      </c>
      <c r="O195" s="433" t="s">
        <v>2654</v>
      </c>
      <c r="P195" s="433" t="s">
        <v>2649</v>
      </c>
      <c r="Q195" s="431"/>
      <c r="R195" s="431"/>
      <c r="S195" s="426" t="s">
        <v>2658</v>
      </c>
      <c r="T195" s="426" t="s">
        <v>2646</v>
      </c>
      <c r="U195" s="426" t="s">
        <v>2646</v>
      </c>
      <c r="V195" s="426" t="s">
        <v>2646</v>
      </c>
      <c r="W195" s="426" t="s">
        <v>3090</v>
      </c>
      <c r="X195" s="426" t="s">
        <v>2671</v>
      </c>
      <c r="Y195" s="426" t="s">
        <v>3097</v>
      </c>
      <c r="Z195" s="426" t="s">
        <v>2646</v>
      </c>
      <c r="AA195" s="426" t="s">
        <v>2646</v>
      </c>
      <c r="AB195" s="426" t="s">
        <v>2646</v>
      </c>
      <c r="AC195" s="426" t="s">
        <v>2646</v>
      </c>
      <c r="AD195" s="426" t="s">
        <v>2646</v>
      </c>
      <c r="AE195" s="426" t="s">
        <v>2646</v>
      </c>
      <c r="AF195" s="426" t="s">
        <v>2646</v>
      </c>
      <c r="AG195" s="426" t="s">
        <v>2646</v>
      </c>
      <c r="AH195" s="426" t="s">
        <v>2646</v>
      </c>
      <c r="AI195" s="426" t="s">
        <v>2646</v>
      </c>
      <c r="AJ195" s="1" t="s">
        <v>2646</v>
      </c>
    </row>
    <row r="196" spans="1:36" s="1" customFormat="1" hidden="1">
      <c r="A196" s="392" t="s">
        <v>1555</v>
      </c>
      <c r="B196" s="427" t="s">
        <v>2650</v>
      </c>
      <c r="C196" s="433" t="s">
        <v>3676</v>
      </c>
      <c r="D196" s="433" t="s">
        <v>3247</v>
      </c>
      <c r="E196" s="433" t="s">
        <v>2654</v>
      </c>
      <c r="F196" s="433" t="s">
        <v>2654</v>
      </c>
      <c r="G196" s="433" t="s">
        <v>2654</v>
      </c>
      <c r="H196" s="433" t="s">
        <v>2654</v>
      </c>
      <c r="I196" s="433" t="s">
        <v>2654</v>
      </c>
      <c r="J196" s="433" t="s">
        <v>2654</v>
      </c>
      <c r="K196" s="433" t="s">
        <v>2654</v>
      </c>
      <c r="L196" s="433" t="s">
        <v>2654</v>
      </c>
      <c r="M196" s="433" t="s">
        <v>2654</v>
      </c>
      <c r="N196" s="433" t="s">
        <v>2654</v>
      </c>
      <c r="O196" s="433" t="s">
        <v>2654</v>
      </c>
      <c r="P196" s="433" t="s">
        <v>2651</v>
      </c>
      <c r="Q196" s="431"/>
      <c r="R196" s="431"/>
      <c r="S196" s="426" t="s">
        <v>2786</v>
      </c>
      <c r="T196" s="426" t="s">
        <v>2646</v>
      </c>
      <c r="U196" s="426" t="s">
        <v>2646</v>
      </c>
      <c r="V196" s="426" t="s">
        <v>2646</v>
      </c>
      <c r="W196" s="426" t="s">
        <v>3090</v>
      </c>
      <c r="X196" s="426" t="s">
        <v>2671</v>
      </c>
      <c r="Y196" s="426" t="s">
        <v>3097</v>
      </c>
      <c r="Z196" s="426" t="s">
        <v>2646</v>
      </c>
      <c r="AA196" s="426" t="s">
        <v>2646</v>
      </c>
      <c r="AB196" s="426" t="s">
        <v>2646</v>
      </c>
      <c r="AC196" s="426" t="s">
        <v>2646</v>
      </c>
      <c r="AD196" s="426" t="s">
        <v>2646</v>
      </c>
      <c r="AE196" s="426" t="s">
        <v>2646</v>
      </c>
      <c r="AF196" s="426" t="s">
        <v>2646</v>
      </c>
      <c r="AG196" s="426" t="s">
        <v>2646</v>
      </c>
      <c r="AH196" s="426" t="s">
        <v>2646</v>
      </c>
      <c r="AI196" s="426" t="s">
        <v>2646</v>
      </c>
      <c r="AJ196" s="1" t="s">
        <v>2646</v>
      </c>
    </row>
    <row r="197" spans="1:36" s="1" customFormat="1" hidden="1">
      <c r="A197" s="392" t="s">
        <v>1556</v>
      </c>
      <c r="B197" s="427" t="s">
        <v>2651</v>
      </c>
      <c r="C197" s="433" t="s">
        <v>3541</v>
      </c>
      <c r="D197" s="433" t="s">
        <v>3247</v>
      </c>
      <c r="E197" s="433" t="s">
        <v>2654</v>
      </c>
      <c r="F197" s="433" t="s">
        <v>2654</v>
      </c>
      <c r="G197" s="433" t="s">
        <v>2654</v>
      </c>
      <c r="H197" s="433" t="s">
        <v>2654</v>
      </c>
      <c r="I197" s="433" t="s">
        <v>2654</v>
      </c>
      <c r="J197" s="433" t="s">
        <v>2654</v>
      </c>
      <c r="K197" s="433" t="s">
        <v>2654</v>
      </c>
      <c r="L197" s="433" t="s">
        <v>2654</v>
      </c>
      <c r="M197" s="433" t="s">
        <v>2654</v>
      </c>
      <c r="N197" s="433" t="s">
        <v>2654</v>
      </c>
      <c r="O197" s="433" t="s">
        <v>2654</v>
      </c>
      <c r="P197" s="433" t="s">
        <v>2650</v>
      </c>
      <c r="Q197" s="431"/>
      <c r="R197" s="431"/>
      <c r="S197" s="426" t="s">
        <v>2709</v>
      </c>
      <c r="T197" s="426" t="s">
        <v>2646</v>
      </c>
      <c r="U197" s="426" t="s">
        <v>2646</v>
      </c>
      <c r="V197" s="426" t="s">
        <v>2646</v>
      </c>
      <c r="W197" s="426" t="s">
        <v>3086</v>
      </c>
      <c r="X197" s="426" t="s">
        <v>2671</v>
      </c>
      <c r="Y197" s="426" t="s">
        <v>3098</v>
      </c>
      <c r="Z197" s="426" t="s">
        <v>2646</v>
      </c>
      <c r="AA197" s="426" t="s">
        <v>2646</v>
      </c>
      <c r="AB197" s="426" t="s">
        <v>2646</v>
      </c>
      <c r="AC197" s="426" t="s">
        <v>2646</v>
      </c>
      <c r="AD197" s="426" t="s">
        <v>2646</v>
      </c>
      <c r="AE197" s="426" t="s">
        <v>2646</v>
      </c>
      <c r="AF197" s="426" t="s">
        <v>2646</v>
      </c>
      <c r="AG197" s="426" t="s">
        <v>2646</v>
      </c>
      <c r="AH197" s="426" t="s">
        <v>2646</v>
      </c>
      <c r="AI197" s="426" t="s">
        <v>2646</v>
      </c>
      <c r="AJ197" s="1" t="s">
        <v>2646</v>
      </c>
    </row>
    <row r="198" spans="1:36" s="1" customFormat="1">
      <c r="A198" s="392" t="s">
        <v>1556</v>
      </c>
      <c r="B198" s="427" t="s">
        <v>48</v>
      </c>
      <c r="C198" s="433" t="s">
        <v>4154</v>
      </c>
      <c r="D198" s="433" t="s">
        <v>3976</v>
      </c>
      <c r="E198" s="433" t="s">
        <v>2654</v>
      </c>
      <c r="F198" s="433" t="s">
        <v>2654</v>
      </c>
      <c r="G198" s="433" t="s">
        <v>2654</v>
      </c>
      <c r="H198" s="433" t="s">
        <v>2654</v>
      </c>
      <c r="I198" s="433" t="s">
        <v>2654</v>
      </c>
      <c r="J198" s="433" t="s">
        <v>2654</v>
      </c>
      <c r="K198" s="433" t="s">
        <v>2654</v>
      </c>
      <c r="L198" s="433" t="s">
        <v>2654</v>
      </c>
      <c r="M198" s="433" t="s">
        <v>2654</v>
      </c>
      <c r="N198" s="433" t="s">
        <v>2654</v>
      </c>
      <c r="O198" s="433" t="s">
        <v>2654</v>
      </c>
      <c r="P198" s="433" t="s">
        <v>3214</v>
      </c>
      <c r="Q198" s="433" t="s">
        <v>2654</v>
      </c>
      <c r="R198" s="433" t="s">
        <v>2654</v>
      </c>
      <c r="S198" s="426"/>
      <c r="T198" s="426"/>
      <c r="U198" s="426"/>
      <c r="V198" s="426"/>
      <c r="W198" s="426"/>
      <c r="X198" s="426"/>
      <c r="Y198" s="426"/>
      <c r="Z198" s="426"/>
      <c r="AA198" s="426"/>
      <c r="AB198" s="426"/>
      <c r="AC198" s="426"/>
      <c r="AD198" s="426"/>
      <c r="AE198" s="426"/>
      <c r="AF198" s="426"/>
      <c r="AG198" s="426"/>
      <c r="AH198" s="426"/>
      <c r="AI198" s="426"/>
    </row>
    <row r="199" spans="1:36" s="1" customFormat="1" hidden="1">
      <c r="A199" s="392" t="s">
        <v>1557</v>
      </c>
      <c r="B199" s="427" t="s">
        <v>2647</v>
      </c>
      <c r="C199" s="433" t="s">
        <v>4155</v>
      </c>
      <c r="D199" s="433" t="s">
        <v>3729</v>
      </c>
      <c r="E199" s="433" t="s">
        <v>2654</v>
      </c>
      <c r="F199" s="433" t="s">
        <v>2654</v>
      </c>
      <c r="G199" s="433" t="s">
        <v>2654</v>
      </c>
      <c r="H199" s="433" t="s">
        <v>2654</v>
      </c>
      <c r="I199" s="433" t="s">
        <v>2654</v>
      </c>
      <c r="J199" s="433" t="s">
        <v>2654</v>
      </c>
      <c r="K199" s="433" t="s">
        <v>2654</v>
      </c>
      <c r="L199" s="433" t="s">
        <v>2654</v>
      </c>
      <c r="M199" s="433" t="s">
        <v>2654</v>
      </c>
      <c r="N199" s="433" t="s">
        <v>2654</v>
      </c>
      <c r="O199" s="433" t="s">
        <v>2654</v>
      </c>
      <c r="P199" s="433" t="s">
        <v>2651</v>
      </c>
      <c r="Q199" s="431"/>
      <c r="R199" s="431"/>
      <c r="S199" s="426" t="s">
        <v>2665</v>
      </c>
      <c r="T199" s="426" t="s">
        <v>3099</v>
      </c>
      <c r="U199" s="426" t="s">
        <v>2822</v>
      </c>
      <c r="V199" s="426" t="s">
        <v>3100</v>
      </c>
      <c r="W199" s="426" t="s">
        <v>3090</v>
      </c>
      <c r="X199" s="426" t="s">
        <v>2692</v>
      </c>
      <c r="Y199" s="426" t="s">
        <v>3101</v>
      </c>
      <c r="Z199" s="426" t="s">
        <v>2646</v>
      </c>
      <c r="AA199" s="426" t="s">
        <v>2646</v>
      </c>
      <c r="AB199" s="426" t="s">
        <v>2646</v>
      </c>
      <c r="AC199" s="426" t="s">
        <v>2646</v>
      </c>
      <c r="AD199" s="426" t="s">
        <v>2646</v>
      </c>
      <c r="AE199" s="426" t="s">
        <v>2646</v>
      </c>
      <c r="AF199" s="426" t="s">
        <v>2646</v>
      </c>
      <c r="AG199" s="426" t="s">
        <v>2646</v>
      </c>
      <c r="AH199" s="426" t="s">
        <v>2646</v>
      </c>
      <c r="AI199" s="426" t="s">
        <v>2646</v>
      </c>
      <c r="AJ199" s="1" t="s">
        <v>2646</v>
      </c>
    </row>
    <row r="200" spans="1:36" hidden="1">
      <c r="A200" s="392" t="s">
        <v>1558</v>
      </c>
      <c r="B200" s="427" t="s">
        <v>2648</v>
      </c>
      <c r="C200" s="433" t="s">
        <v>3217</v>
      </c>
      <c r="D200" s="433" t="s">
        <v>3500</v>
      </c>
      <c r="E200" s="433" t="s">
        <v>2654</v>
      </c>
      <c r="F200" s="433" t="s">
        <v>2654</v>
      </c>
      <c r="G200" s="433" t="s">
        <v>2654</v>
      </c>
      <c r="H200" s="433" t="s">
        <v>2654</v>
      </c>
      <c r="I200" s="433" t="s">
        <v>2654</v>
      </c>
      <c r="J200" s="433" t="s">
        <v>2654</v>
      </c>
      <c r="K200" s="433" t="s">
        <v>2654</v>
      </c>
      <c r="L200" s="433" t="s">
        <v>2654</v>
      </c>
      <c r="M200" s="433" t="s">
        <v>2654</v>
      </c>
      <c r="N200" s="433" t="s">
        <v>2654</v>
      </c>
      <c r="O200" s="433" t="s">
        <v>2654</v>
      </c>
      <c r="P200" s="433" t="s">
        <v>2648</v>
      </c>
      <c r="Q200" s="431"/>
      <c r="R200" s="431"/>
      <c r="S200" s="426" t="s">
        <v>2660</v>
      </c>
      <c r="T200" s="426" t="s">
        <v>2696</v>
      </c>
      <c r="U200" s="426" t="s">
        <v>3102</v>
      </c>
      <c r="V200" s="426" t="s">
        <v>3103</v>
      </c>
      <c r="W200" s="426" t="s">
        <v>3090</v>
      </c>
      <c r="X200" s="426" t="s">
        <v>2692</v>
      </c>
      <c r="Y200" s="426" t="s">
        <v>3101</v>
      </c>
      <c r="Z200" s="426" t="s">
        <v>2646</v>
      </c>
      <c r="AA200" s="426" t="s">
        <v>2646</v>
      </c>
      <c r="AB200" s="426" t="s">
        <v>2646</v>
      </c>
      <c r="AC200" s="426" t="s">
        <v>2646</v>
      </c>
      <c r="AD200" s="426" t="s">
        <v>2646</v>
      </c>
      <c r="AE200" s="426" t="s">
        <v>2646</v>
      </c>
      <c r="AF200" s="426" t="s">
        <v>2646</v>
      </c>
      <c r="AG200" s="426" t="s">
        <v>2646</v>
      </c>
      <c r="AH200" s="426" t="s">
        <v>2646</v>
      </c>
      <c r="AI200" s="426" t="s">
        <v>2646</v>
      </c>
      <c r="AJ200" s="68" t="s">
        <v>2646</v>
      </c>
    </row>
    <row r="201" spans="1:36" s="1" customFormat="1" hidden="1">
      <c r="A201" s="392" t="s">
        <v>1559</v>
      </c>
      <c r="B201" s="427" t="s">
        <v>2649</v>
      </c>
      <c r="C201" s="433" t="s">
        <v>3630</v>
      </c>
      <c r="D201" s="433" t="s">
        <v>3519</v>
      </c>
      <c r="E201" s="433" t="s">
        <v>2654</v>
      </c>
      <c r="F201" s="433" t="s">
        <v>2654</v>
      </c>
      <c r="G201" s="433" t="s">
        <v>2654</v>
      </c>
      <c r="H201" s="433" t="s">
        <v>2654</v>
      </c>
      <c r="I201" s="433" t="s">
        <v>2654</v>
      </c>
      <c r="J201" s="433" t="s">
        <v>2654</v>
      </c>
      <c r="K201" s="433" t="s">
        <v>2654</v>
      </c>
      <c r="L201" s="433" t="s">
        <v>2654</v>
      </c>
      <c r="M201" s="433" t="s">
        <v>2654</v>
      </c>
      <c r="N201" s="433" t="s">
        <v>2654</v>
      </c>
      <c r="O201" s="433" t="s">
        <v>2654</v>
      </c>
      <c r="P201" s="433" t="s">
        <v>2648</v>
      </c>
      <c r="Q201" s="431"/>
      <c r="R201" s="431"/>
      <c r="S201" s="426" t="s">
        <v>2660</v>
      </c>
      <c r="T201" s="426" t="s">
        <v>2696</v>
      </c>
      <c r="U201" s="426" t="s">
        <v>2755</v>
      </c>
      <c r="V201" s="426" t="s">
        <v>3003</v>
      </c>
      <c r="W201" s="426" t="s">
        <v>3090</v>
      </c>
      <c r="X201" s="426" t="s">
        <v>2692</v>
      </c>
      <c r="Y201" s="426" t="s">
        <v>3101</v>
      </c>
      <c r="Z201" s="426" t="s">
        <v>2646</v>
      </c>
      <c r="AA201" s="426" t="s">
        <v>2646</v>
      </c>
      <c r="AB201" s="426" t="s">
        <v>2646</v>
      </c>
      <c r="AC201" s="426" t="s">
        <v>2646</v>
      </c>
      <c r="AD201" s="426" t="s">
        <v>2646</v>
      </c>
      <c r="AE201" s="426" t="s">
        <v>2646</v>
      </c>
      <c r="AF201" s="426" t="s">
        <v>2646</v>
      </c>
      <c r="AG201" s="426" t="s">
        <v>2646</v>
      </c>
      <c r="AH201" s="426" t="s">
        <v>2646</v>
      </c>
      <c r="AI201" s="426" t="s">
        <v>2646</v>
      </c>
      <c r="AJ201" s="1" t="s">
        <v>2646</v>
      </c>
    </row>
    <row r="202" spans="1:36" s="1" customFormat="1" hidden="1">
      <c r="A202" s="392" t="s">
        <v>1560</v>
      </c>
      <c r="B202" s="427" t="s">
        <v>2650</v>
      </c>
      <c r="C202" s="433" t="s">
        <v>3730</v>
      </c>
      <c r="D202" s="433" t="s">
        <v>3500</v>
      </c>
      <c r="E202" s="433" t="s">
        <v>2654</v>
      </c>
      <c r="F202" s="433" t="s">
        <v>2654</v>
      </c>
      <c r="G202" s="433" t="s">
        <v>2654</v>
      </c>
      <c r="H202" s="433" t="s">
        <v>2654</v>
      </c>
      <c r="I202" s="433" t="s">
        <v>2654</v>
      </c>
      <c r="J202" s="433" t="s">
        <v>2654</v>
      </c>
      <c r="K202" s="433" t="s">
        <v>2654</v>
      </c>
      <c r="L202" s="433" t="s">
        <v>2654</v>
      </c>
      <c r="M202" s="433" t="s">
        <v>2654</v>
      </c>
      <c r="N202" s="433" t="s">
        <v>2654</v>
      </c>
      <c r="O202" s="433" t="s">
        <v>2654</v>
      </c>
      <c r="P202" s="433" t="s">
        <v>2648</v>
      </c>
      <c r="Q202" s="431"/>
      <c r="R202" s="431"/>
      <c r="S202" s="426" t="s">
        <v>2768</v>
      </c>
      <c r="T202" s="426" t="s">
        <v>3104</v>
      </c>
      <c r="U202" s="426" t="s">
        <v>3105</v>
      </c>
      <c r="V202" s="426" t="s">
        <v>3106</v>
      </c>
      <c r="W202" s="426" t="s">
        <v>3086</v>
      </c>
      <c r="X202" s="426" t="s">
        <v>2692</v>
      </c>
      <c r="Y202" s="426" t="s">
        <v>3107</v>
      </c>
      <c r="Z202" s="426" t="s">
        <v>2646</v>
      </c>
      <c r="AA202" s="426" t="s">
        <v>2646</v>
      </c>
      <c r="AB202" s="426" t="s">
        <v>2646</v>
      </c>
      <c r="AC202" s="426" t="s">
        <v>2646</v>
      </c>
      <c r="AD202" s="426" t="s">
        <v>2646</v>
      </c>
      <c r="AE202" s="426" t="s">
        <v>2646</v>
      </c>
      <c r="AF202" s="426" t="s">
        <v>2646</v>
      </c>
      <c r="AG202" s="426" t="s">
        <v>2646</v>
      </c>
      <c r="AH202" s="426" t="s">
        <v>2646</v>
      </c>
      <c r="AI202" s="426" t="s">
        <v>2646</v>
      </c>
      <c r="AJ202" s="1" t="s">
        <v>2646</v>
      </c>
    </row>
    <row r="203" spans="1:36" s="1" customFormat="1" hidden="1">
      <c r="A203" s="392" t="s">
        <v>1561</v>
      </c>
      <c r="B203" s="427" t="s">
        <v>2651</v>
      </c>
      <c r="C203" s="433" t="s">
        <v>3624</v>
      </c>
      <c r="D203" s="433" t="s">
        <v>3519</v>
      </c>
      <c r="E203" s="433" t="s">
        <v>2654</v>
      </c>
      <c r="F203" s="433" t="s">
        <v>2654</v>
      </c>
      <c r="G203" s="433" t="s">
        <v>2654</v>
      </c>
      <c r="H203" s="433" t="s">
        <v>2654</v>
      </c>
      <c r="I203" s="433" t="s">
        <v>2654</v>
      </c>
      <c r="J203" s="433" t="s">
        <v>2654</v>
      </c>
      <c r="K203" s="433" t="s">
        <v>2654</v>
      </c>
      <c r="L203" s="433" t="s">
        <v>2654</v>
      </c>
      <c r="M203" s="433" t="s">
        <v>2654</v>
      </c>
      <c r="N203" s="433" t="s">
        <v>2654</v>
      </c>
      <c r="O203" s="433" t="s">
        <v>2654</v>
      </c>
      <c r="P203" s="433" t="s">
        <v>2650</v>
      </c>
      <c r="Q203" s="431"/>
      <c r="R203" s="431"/>
      <c r="S203" s="426" t="s">
        <v>2778</v>
      </c>
      <c r="T203" s="426" t="s">
        <v>3108</v>
      </c>
      <c r="U203" s="426" t="s">
        <v>2931</v>
      </c>
      <c r="V203" s="426" t="s">
        <v>3104</v>
      </c>
      <c r="W203" s="426" t="s">
        <v>3090</v>
      </c>
      <c r="X203" s="426" t="s">
        <v>2692</v>
      </c>
      <c r="Y203" s="426" t="s">
        <v>3101</v>
      </c>
      <c r="Z203" s="426" t="s">
        <v>2646</v>
      </c>
      <c r="AA203" s="426" t="s">
        <v>2646</v>
      </c>
      <c r="AB203" s="426" t="s">
        <v>2646</v>
      </c>
      <c r="AC203" s="426" t="s">
        <v>2646</v>
      </c>
      <c r="AD203" s="426" t="s">
        <v>2646</v>
      </c>
      <c r="AE203" s="426" t="s">
        <v>2646</v>
      </c>
      <c r="AF203" s="426" t="s">
        <v>2646</v>
      </c>
      <c r="AG203" s="426" t="s">
        <v>2646</v>
      </c>
      <c r="AH203" s="426" t="s">
        <v>2646</v>
      </c>
      <c r="AI203" s="426" t="s">
        <v>2646</v>
      </c>
      <c r="AJ203" s="1" t="s">
        <v>2646</v>
      </c>
    </row>
    <row r="204" spans="1:36" s="1" customFormat="1">
      <c r="A204" s="392" t="s">
        <v>1561</v>
      </c>
      <c r="B204" s="427" t="s">
        <v>48</v>
      </c>
      <c r="C204" s="433" t="s">
        <v>3849</v>
      </c>
      <c r="D204" s="433" t="s">
        <v>3729</v>
      </c>
      <c r="E204" s="433" t="s">
        <v>2654</v>
      </c>
      <c r="F204" s="433" t="s">
        <v>2654</v>
      </c>
      <c r="G204" s="433" t="s">
        <v>2654</v>
      </c>
      <c r="H204" s="433" t="s">
        <v>2654</v>
      </c>
      <c r="I204" s="433" t="s">
        <v>2654</v>
      </c>
      <c r="J204" s="433" t="s">
        <v>2654</v>
      </c>
      <c r="K204" s="433" t="s">
        <v>2654</v>
      </c>
      <c r="L204" s="433" t="s">
        <v>2654</v>
      </c>
      <c r="M204" s="433" t="s">
        <v>2654</v>
      </c>
      <c r="N204" s="433" t="s">
        <v>2654</v>
      </c>
      <c r="O204" s="433" t="s">
        <v>2654</v>
      </c>
      <c r="P204" s="433" t="s">
        <v>2656</v>
      </c>
      <c r="Q204" s="433" t="s">
        <v>2654</v>
      </c>
      <c r="R204" s="433" t="s">
        <v>2654</v>
      </c>
      <c r="S204" s="426"/>
      <c r="T204" s="426"/>
      <c r="U204" s="426"/>
      <c r="V204" s="426"/>
      <c r="W204" s="426"/>
      <c r="X204" s="426"/>
      <c r="Y204" s="426"/>
      <c r="Z204" s="426"/>
      <c r="AA204" s="426"/>
      <c r="AB204" s="426"/>
      <c r="AC204" s="426"/>
      <c r="AD204" s="426"/>
      <c r="AE204" s="426"/>
      <c r="AF204" s="426"/>
      <c r="AG204" s="426"/>
      <c r="AH204" s="426"/>
      <c r="AI204" s="426"/>
    </row>
    <row r="205" spans="1:36" s="1" customFormat="1" hidden="1">
      <c r="A205" s="392" t="s">
        <v>1562</v>
      </c>
      <c r="B205" s="427" t="s">
        <v>2647</v>
      </c>
      <c r="C205" s="433" t="s">
        <v>3688</v>
      </c>
      <c r="D205" s="433" t="s">
        <v>3583</v>
      </c>
      <c r="E205" s="433" t="s">
        <v>2654</v>
      </c>
      <c r="F205" s="433" t="s">
        <v>2654</v>
      </c>
      <c r="G205" s="433" t="s">
        <v>2654</v>
      </c>
      <c r="H205" s="433" t="s">
        <v>2654</v>
      </c>
      <c r="I205" s="433" t="s">
        <v>2654</v>
      </c>
      <c r="J205" s="433" t="s">
        <v>2654</v>
      </c>
      <c r="K205" s="433" t="s">
        <v>2654</v>
      </c>
      <c r="L205" s="433" t="s">
        <v>2654</v>
      </c>
      <c r="M205" s="433" t="s">
        <v>2654</v>
      </c>
      <c r="N205" s="433" t="s">
        <v>2654</v>
      </c>
      <c r="O205" s="433" t="s">
        <v>2654</v>
      </c>
      <c r="P205" s="433" t="s">
        <v>2651</v>
      </c>
      <c r="Q205" s="431"/>
      <c r="R205" s="431"/>
      <c r="S205" s="426" t="s">
        <v>3109</v>
      </c>
      <c r="T205" s="426" t="s">
        <v>3110</v>
      </c>
      <c r="U205" s="426" t="s">
        <v>3111</v>
      </c>
      <c r="V205" s="426" t="s">
        <v>3112</v>
      </c>
      <c r="W205" s="426" t="s">
        <v>3086</v>
      </c>
      <c r="X205" s="426" t="s">
        <v>2727</v>
      </c>
      <c r="Y205" s="426" t="s">
        <v>3113</v>
      </c>
      <c r="Z205" s="426" t="s">
        <v>2646</v>
      </c>
      <c r="AA205" s="426" t="s">
        <v>2646</v>
      </c>
      <c r="AB205" s="426" t="s">
        <v>2646</v>
      </c>
      <c r="AC205" s="426" t="s">
        <v>2646</v>
      </c>
      <c r="AD205" s="426" t="s">
        <v>2646</v>
      </c>
      <c r="AE205" s="426" t="s">
        <v>2646</v>
      </c>
      <c r="AF205" s="426" t="s">
        <v>2646</v>
      </c>
      <c r="AG205" s="426" t="s">
        <v>2646</v>
      </c>
      <c r="AH205" s="426" t="s">
        <v>2646</v>
      </c>
      <c r="AI205" s="426" t="s">
        <v>2646</v>
      </c>
      <c r="AJ205" s="1" t="s">
        <v>2646</v>
      </c>
    </row>
    <row r="206" spans="1:36" s="1" customFormat="1" hidden="1">
      <c r="A206" s="392" t="s">
        <v>1563</v>
      </c>
      <c r="B206" s="427" t="s">
        <v>2648</v>
      </c>
      <c r="C206" s="433" t="s">
        <v>3482</v>
      </c>
      <c r="D206" s="433" t="s">
        <v>3732</v>
      </c>
      <c r="E206" s="433" t="s">
        <v>2654</v>
      </c>
      <c r="F206" s="433" t="s">
        <v>2654</v>
      </c>
      <c r="G206" s="433" t="s">
        <v>2654</v>
      </c>
      <c r="H206" s="433" t="s">
        <v>2654</v>
      </c>
      <c r="I206" s="433" t="s">
        <v>2654</v>
      </c>
      <c r="J206" s="433" t="s">
        <v>2654</v>
      </c>
      <c r="K206" s="433" t="s">
        <v>2654</v>
      </c>
      <c r="L206" s="433" t="s">
        <v>2654</v>
      </c>
      <c r="M206" s="433" t="s">
        <v>2654</v>
      </c>
      <c r="N206" s="433" t="s">
        <v>2654</v>
      </c>
      <c r="O206" s="433" t="s">
        <v>2654</v>
      </c>
      <c r="P206" s="433" t="s">
        <v>2648</v>
      </c>
      <c r="Q206" s="431"/>
      <c r="R206" s="431"/>
      <c r="S206" s="426" t="s">
        <v>2665</v>
      </c>
      <c r="T206" s="426" t="s">
        <v>3099</v>
      </c>
      <c r="U206" s="426" t="s">
        <v>3114</v>
      </c>
      <c r="V206" s="426" t="s">
        <v>2904</v>
      </c>
      <c r="W206" s="426" t="s">
        <v>3086</v>
      </c>
      <c r="X206" s="426" t="s">
        <v>2727</v>
      </c>
      <c r="Y206" s="426" t="s">
        <v>3113</v>
      </c>
      <c r="Z206" s="426" t="s">
        <v>2646</v>
      </c>
      <c r="AA206" s="426" t="s">
        <v>2646</v>
      </c>
      <c r="AB206" s="426" t="s">
        <v>2646</v>
      </c>
      <c r="AC206" s="426" t="s">
        <v>2646</v>
      </c>
      <c r="AD206" s="426" t="s">
        <v>2646</v>
      </c>
      <c r="AE206" s="426" t="s">
        <v>2646</v>
      </c>
      <c r="AF206" s="426" t="s">
        <v>2646</v>
      </c>
      <c r="AG206" s="426" t="s">
        <v>2646</v>
      </c>
      <c r="AH206" s="426" t="s">
        <v>2646</v>
      </c>
      <c r="AI206" s="426" t="s">
        <v>2646</v>
      </c>
      <c r="AJ206" s="1" t="s">
        <v>2646</v>
      </c>
    </row>
    <row r="207" spans="1:36" s="1" customFormat="1" hidden="1">
      <c r="A207" s="392" t="s">
        <v>1564</v>
      </c>
      <c r="B207" s="427" t="s">
        <v>2649</v>
      </c>
      <c r="C207" s="433" t="s">
        <v>3703</v>
      </c>
      <c r="D207" s="433" t="s">
        <v>3382</v>
      </c>
      <c r="E207" s="433" t="s">
        <v>2654</v>
      </c>
      <c r="F207" s="433" t="s">
        <v>2654</v>
      </c>
      <c r="G207" s="433" t="s">
        <v>2654</v>
      </c>
      <c r="H207" s="433" t="s">
        <v>2654</v>
      </c>
      <c r="I207" s="433" t="s">
        <v>2654</v>
      </c>
      <c r="J207" s="433" t="s">
        <v>2654</v>
      </c>
      <c r="K207" s="433" t="s">
        <v>2654</v>
      </c>
      <c r="L207" s="433" t="s">
        <v>2654</v>
      </c>
      <c r="M207" s="433" t="s">
        <v>2654</v>
      </c>
      <c r="N207" s="433" t="s">
        <v>2654</v>
      </c>
      <c r="O207" s="433" t="s">
        <v>2654</v>
      </c>
      <c r="P207" s="433" t="s">
        <v>2650</v>
      </c>
      <c r="Q207" s="431"/>
      <c r="R207" s="431"/>
      <c r="S207" s="426" t="s">
        <v>2669</v>
      </c>
      <c r="T207" s="426" t="s">
        <v>2696</v>
      </c>
      <c r="U207" s="426" t="s">
        <v>2919</v>
      </c>
      <c r="V207" s="426" t="s">
        <v>3115</v>
      </c>
      <c r="W207" s="426" t="s">
        <v>3090</v>
      </c>
      <c r="X207" s="426" t="s">
        <v>2727</v>
      </c>
      <c r="Y207" s="426" t="s">
        <v>3116</v>
      </c>
      <c r="Z207" s="426" t="s">
        <v>2646</v>
      </c>
      <c r="AA207" s="426" t="s">
        <v>2646</v>
      </c>
      <c r="AB207" s="426" t="s">
        <v>2646</v>
      </c>
      <c r="AC207" s="426" t="s">
        <v>2646</v>
      </c>
      <c r="AD207" s="426" t="s">
        <v>2646</v>
      </c>
      <c r="AE207" s="426" t="s">
        <v>2646</v>
      </c>
      <c r="AF207" s="426" t="s">
        <v>2646</v>
      </c>
      <c r="AG207" s="426" t="s">
        <v>2646</v>
      </c>
      <c r="AH207" s="426" t="s">
        <v>2646</v>
      </c>
      <c r="AI207" s="426" t="s">
        <v>2646</v>
      </c>
      <c r="AJ207" s="1" t="s">
        <v>2646</v>
      </c>
    </row>
    <row r="208" spans="1:36" s="1" customFormat="1" hidden="1">
      <c r="A208" s="392" t="s">
        <v>1565</v>
      </c>
      <c r="B208" s="427" t="s">
        <v>2650</v>
      </c>
      <c r="C208" s="433" t="s">
        <v>3478</v>
      </c>
      <c r="D208" s="433" t="s">
        <v>3732</v>
      </c>
      <c r="E208" s="433" t="s">
        <v>2654</v>
      </c>
      <c r="F208" s="433" t="s">
        <v>2654</v>
      </c>
      <c r="G208" s="433" t="s">
        <v>2654</v>
      </c>
      <c r="H208" s="433" t="s">
        <v>2654</v>
      </c>
      <c r="I208" s="433" t="s">
        <v>2654</v>
      </c>
      <c r="J208" s="433" t="s">
        <v>2654</v>
      </c>
      <c r="K208" s="433" t="s">
        <v>2654</v>
      </c>
      <c r="L208" s="433" t="s">
        <v>2654</v>
      </c>
      <c r="M208" s="433" t="s">
        <v>2654</v>
      </c>
      <c r="N208" s="433" t="s">
        <v>2654</v>
      </c>
      <c r="O208" s="433" t="s">
        <v>2654</v>
      </c>
      <c r="P208" s="433" t="s">
        <v>2648</v>
      </c>
      <c r="Q208" s="431"/>
      <c r="R208" s="431"/>
      <c r="S208" s="426" t="s">
        <v>2673</v>
      </c>
      <c r="T208" s="426" t="s">
        <v>2715</v>
      </c>
      <c r="U208" s="426" t="s">
        <v>3117</v>
      </c>
      <c r="V208" s="426" t="s">
        <v>3118</v>
      </c>
      <c r="W208" s="426" t="s">
        <v>3090</v>
      </c>
      <c r="X208" s="426" t="s">
        <v>2727</v>
      </c>
      <c r="Y208" s="426" t="s">
        <v>3116</v>
      </c>
      <c r="Z208" s="426" t="s">
        <v>2646</v>
      </c>
      <c r="AA208" s="426" t="s">
        <v>2646</v>
      </c>
      <c r="AB208" s="426" t="s">
        <v>2646</v>
      </c>
      <c r="AC208" s="426" t="s">
        <v>2646</v>
      </c>
      <c r="AD208" s="426" t="s">
        <v>2646</v>
      </c>
      <c r="AE208" s="426" t="s">
        <v>2646</v>
      </c>
      <c r="AF208" s="426" t="s">
        <v>2646</v>
      </c>
      <c r="AG208" s="426" t="s">
        <v>2646</v>
      </c>
      <c r="AH208" s="426" t="s">
        <v>2646</v>
      </c>
      <c r="AI208" s="426" t="s">
        <v>2646</v>
      </c>
      <c r="AJ208" s="1" t="s">
        <v>2646</v>
      </c>
    </row>
    <row r="209" spans="1:36" s="1" customFormat="1" hidden="1">
      <c r="A209" s="392" t="s">
        <v>1566</v>
      </c>
      <c r="B209" s="427" t="s">
        <v>2651</v>
      </c>
      <c r="C209" s="433" t="s">
        <v>3482</v>
      </c>
      <c r="D209" s="433" t="s">
        <v>3583</v>
      </c>
      <c r="E209" s="433" t="s">
        <v>2654</v>
      </c>
      <c r="F209" s="433" t="s">
        <v>2654</v>
      </c>
      <c r="G209" s="433" t="s">
        <v>2654</v>
      </c>
      <c r="H209" s="433" t="s">
        <v>2654</v>
      </c>
      <c r="I209" s="433" t="s">
        <v>2654</v>
      </c>
      <c r="J209" s="433" t="s">
        <v>2654</v>
      </c>
      <c r="K209" s="433" t="s">
        <v>2654</v>
      </c>
      <c r="L209" s="433" t="s">
        <v>2654</v>
      </c>
      <c r="M209" s="433" t="s">
        <v>2654</v>
      </c>
      <c r="N209" s="433" t="s">
        <v>2654</v>
      </c>
      <c r="O209" s="433" t="s">
        <v>2654</v>
      </c>
      <c r="P209" s="433" t="s">
        <v>2651</v>
      </c>
      <c r="Q209" s="431"/>
      <c r="R209" s="431"/>
      <c r="S209" s="426" t="s">
        <v>2658</v>
      </c>
      <c r="T209" s="426" t="s">
        <v>3108</v>
      </c>
      <c r="U209" s="426" t="s">
        <v>3120</v>
      </c>
      <c r="V209" s="426" t="s">
        <v>3103</v>
      </c>
      <c r="W209" s="426" t="s">
        <v>3090</v>
      </c>
      <c r="X209" s="426" t="s">
        <v>2727</v>
      </c>
      <c r="Y209" s="426" t="s">
        <v>3116</v>
      </c>
      <c r="Z209" s="426" t="s">
        <v>3121</v>
      </c>
      <c r="AA209" s="426" t="s">
        <v>2646</v>
      </c>
      <c r="AB209" s="426" t="s">
        <v>2646</v>
      </c>
      <c r="AC209" s="426" t="s">
        <v>2646</v>
      </c>
      <c r="AD209" s="426" t="s">
        <v>2646</v>
      </c>
      <c r="AE209" s="426" t="s">
        <v>2646</v>
      </c>
      <c r="AF209" s="426" t="s">
        <v>2646</v>
      </c>
      <c r="AG209" s="426" t="s">
        <v>2646</v>
      </c>
      <c r="AH209" s="426" t="s">
        <v>2646</v>
      </c>
      <c r="AI209" s="426" t="s">
        <v>2646</v>
      </c>
      <c r="AJ209" s="1" t="s">
        <v>2646</v>
      </c>
    </row>
    <row r="210" spans="1:36" s="1" customFormat="1">
      <c r="A210" s="392" t="s">
        <v>1566</v>
      </c>
      <c r="B210" s="427" t="s">
        <v>48</v>
      </c>
      <c r="C210" s="433" t="s">
        <v>4156</v>
      </c>
      <c r="D210" s="433" t="s">
        <v>4052</v>
      </c>
      <c r="E210" s="433" t="s">
        <v>2654</v>
      </c>
      <c r="F210" s="433" t="s">
        <v>2654</v>
      </c>
      <c r="G210" s="433" t="s">
        <v>2654</v>
      </c>
      <c r="H210" s="433" t="s">
        <v>2654</v>
      </c>
      <c r="I210" s="433" t="s">
        <v>2654</v>
      </c>
      <c r="J210" s="433" t="s">
        <v>2654</v>
      </c>
      <c r="K210" s="433" t="s">
        <v>2654</v>
      </c>
      <c r="L210" s="433" t="s">
        <v>2654</v>
      </c>
      <c r="M210" s="433" t="s">
        <v>2654</v>
      </c>
      <c r="N210" s="433" t="s">
        <v>2654</v>
      </c>
      <c r="O210" s="433" t="s">
        <v>2654</v>
      </c>
      <c r="P210" s="433" t="s">
        <v>2933</v>
      </c>
      <c r="Q210" s="433" t="s">
        <v>2654</v>
      </c>
      <c r="R210" s="433" t="s">
        <v>2654</v>
      </c>
      <c r="S210" s="426"/>
      <c r="T210" s="426"/>
      <c r="U210" s="426"/>
      <c r="V210" s="426"/>
      <c r="W210" s="426"/>
      <c r="X210" s="426"/>
      <c r="Y210" s="426"/>
      <c r="Z210" s="426"/>
      <c r="AA210" s="426"/>
      <c r="AB210" s="426"/>
      <c r="AC210" s="426"/>
      <c r="AD210" s="426"/>
      <c r="AE210" s="426"/>
      <c r="AF210" s="426"/>
      <c r="AG210" s="426"/>
      <c r="AH210" s="426"/>
      <c r="AI210" s="426"/>
    </row>
    <row r="211" spans="1:36" hidden="1">
      <c r="A211" s="392" t="s">
        <v>1567</v>
      </c>
      <c r="B211" s="427" t="s">
        <v>2647</v>
      </c>
      <c r="C211" s="433" t="s">
        <v>3785</v>
      </c>
      <c r="D211" s="433" t="s">
        <v>3734</v>
      </c>
      <c r="E211" s="433" t="s">
        <v>2654</v>
      </c>
      <c r="F211" s="433" t="s">
        <v>2654</v>
      </c>
      <c r="G211" s="433" t="s">
        <v>2654</v>
      </c>
      <c r="H211" s="433" t="s">
        <v>2654</v>
      </c>
      <c r="I211" s="433" t="s">
        <v>2654</v>
      </c>
      <c r="J211" s="433" t="s">
        <v>2654</v>
      </c>
      <c r="K211" s="433" t="s">
        <v>2654</v>
      </c>
      <c r="L211" s="433" t="s">
        <v>2654</v>
      </c>
      <c r="M211" s="433" t="s">
        <v>2654</v>
      </c>
      <c r="N211" s="433" t="s">
        <v>2654</v>
      </c>
      <c r="O211" s="433" t="s">
        <v>2654</v>
      </c>
      <c r="P211" s="433" t="s">
        <v>2648</v>
      </c>
      <c r="Q211" s="431"/>
      <c r="R211" s="431"/>
      <c r="S211" s="426" t="s">
        <v>3124</v>
      </c>
      <c r="T211" s="426" t="s">
        <v>3104</v>
      </c>
      <c r="U211" s="426" t="s">
        <v>3125</v>
      </c>
      <c r="V211" s="426" t="s">
        <v>3126</v>
      </c>
      <c r="W211" s="426" t="s">
        <v>3090</v>
      </c>
      <c r="X211" s="426" t="s">
        <v>2758</v>
      </c>
      <c r="Y211" s="426" t="s">
        <v>3127</v>
      </c>
      <c r="Z211" s="426" t="s">
        <v>3128</v>
      </c>
      <c r="AA211" s="426" t="s">
        <v>2646</v>
      </c>
      <c r="AB211" s="426" t="s">
        <v>2646</v>
      </c>
      <c r="AC211" s="426" t="s">
        <v>2646</v>
      </c>
      <c r="AD211" s="426" t="s">
        <v>2646</v>
      </c>
      <c r="AE211" s="426" t="s">
        <v>2646</v>
      </c>
      <c r="AF211" s="426" t="s">
        <v>2646</v>
      </c>
      <c r="AG211" s="426" t="s">
        <v>2646</v>
      </c>
      <c r="AH211" s="426" t="s">
        <v>2646</v>
      </c>
      <c r="AI211" s="426" t="s">
        <v>2646</v>
      </c>
      <c r="AJ211" s="68" t="s">
        <v>2646</v>
      </c>
    </row>
    <row r="212" spans="1:36" s="1" customFormat="1" hidden="1">
      <c r="A212" s="392" t="s">
        <v>1568</v>
      </c>
      <c r="B212" s="427" t="s">
        <v>2648</v>
      </c>
      <c r="C212" s="433" t="s">
        <v>3627</v>
      </c>
      <c r="D212" s="433" t="s">
        <v>3222</v>
      </c>
      <c r="E212" s="433" t="s">
        <v>2654</v>
      </c>
      <c r="F212" s="433" t="s">
        <v>2654</v>
      </c>
      <c r="G212" s="433" t="s">
        <v>2654</v>
      </c>
      <c r="H212" s="433" t="s">
        <v>2654</v>
      </c>
      <c r="I212" s="433" t="s">
        <v>2654</v>
      </c>
      <c r="J212" s="433" t="s">
        <v>2654</v>
      </c>
      <c r="K212" s="433" t="s">
        <v>2654</v>
      </c>
      <c r="L212" s="433" t="s">
        <v>2654</v>
      </c>
      <c r="M212" s="433" t="s">
        <v>2654</v>
      </c>
      <c r="N212" s="433" t="s">
        <v>2654</v>
      </c>
      <c r="O212" s="433" t="s">
        <v>2654</v>
      </c>
      <c r="P212" s="433" t="s">
        <v>2651</v>
      </c>
      <c r="Q212" s="431"/>
      <c r="R212" s="431"/>
      <c r="S212" s="426" t="s">
        <v>3124</v>
      </c>
      <c r="T212" s="426" t="s">
        <v>3108</v>
      </c>
      <c r="U212" s="426" t="s">
        <v>3130</v>
      </c>
      <c r="V212" s="426" t="s">
        <v>3112</v>
      </c>
      <c r="W212" s="426" t="s">
        <v>3086</v>
      </c>
      <c r="X212" s="426" t="s">
        <v>2758</v>
      </c>
      <c r="Y212" s="426" t="s">
        <v>3131</v>
      </c>
      <c r="Z212" s="426" t="s">
        <v>3128</v>
      </c>
      <c r="AA212" s="426" t="s">
        <v>2646</v>
      </c>
      <c r="AB212" s="426" t="s">
        <v>2646</v>
      </c>
      <c r="AC212" s="426" t="s">
        <v>2646</v>
      </c>
      <c r="AD212" s="426" t="s">
        <v>2646</v>
      </c>
      <c r="AE212" s="426" t="s">
        <v>2646</v>
      </c>
      <c r="AF212" s="426" t="s">
        <v>2646</v>
      </c>
      <c r="AG212" s="426" t="s">
        <v>2646</v>
      </c>
      <c r="AH212" s="426" t="s">
        <v>2646</v>
      </c>
      <c r="AI212" s="426" t="s">
        <v>2646</v>
      </c>
      <c r="AJ212" s="1" t="s">
        <v>2646</v>
      </c>
    </row>
    <row r="213" spans="1:36" s="1" customFormat="1" hidden="1">
      <c r="A213" s="392" t="s">
        <v>1569</v>
      </c>
      <c r="B213" s="427" t="s">
        <v>2649</v>
      </c>
      <c r="C213" s="433" t="s">
        <v>3651</v>
      </c>
      <c r="D213" s="433" t="s">
        <v>3909</v>
      </c>
      <c r="E213" s="433" t="s">
        <v>2654</v>
      </c>
      <c r="F213" s="433" t="s">
        <v>2654</v>
      </c>
      <c r="G213" s="433" t="s">
        <v>2654</v>
      </c>
      <c r="H213" s="433" t="s">
        <v>2654</v>
      </c>
      <c r="I213" s="433" t="s">
        <v>2654</v>
      </c>
      <c r="J213" s="433" t="s">
        <v>2654</v>
      </c>
      <c r="K213" s="433" t="s">
        <v>2654</v>
      </c>
      <c r="L213" s="433" t="s">
        <v>2654</v>
      </c>
      <c r="M213" s="433" t="s">
        <v>2654</v>
      </c>
      <c r="N213" s="433" t="s">
        <v>2654</v>
      </c>
      <c r="O213" s="433" t="s">
        <v>2654</v>
      </c>
      <c r="P213" s="433" t="s">
        <v>2648</v>
      </c>
      <c r="Q213" s="431"/>
      <c r="R213" s="431"/>
      <c r="S213" s="426" t="s">
        <v>3132</v>
      </c>
      <c r="T213" s="426" t="s">
        <v>2904</v>
      </c>
      <c r="U213" s="426" t="s">
        <v>3000</v>
      </c>
      <c r="V213" s="426" t="s">
        <v>2861</v>
      </c>
      <c r="W213" s="426" t="s">
        <v>3086</v>
      </c>
      <c r="X213" s="426" t="s">
        <v>2758</v>
      </c>
      <c r="Y213" s="426" t="s">
        <v>3131</v>
      </c>
      <c r="Z213" s="426" t="s">
        <v>3133</v>
      </c>
      <c r="AA213" s="426" t="s">
        <v>2646</v>
      </c>
      <c r="AB213" s="426" t="s">
        <v>2646</v>
      </c>
      <c r="AC213" s="426" t="s">
        <v>2646</v>
      </c>
      <c r="AD213" s="426" t="s">
        <v>2646</v>
      </c>
      <c r="AE213" s="426" t="s">
        <v>2646</v>
      </c>
      <c r="AF213" s="426" t="s">
        <v>2646</v>
      </c>
      <c r="AG213" s="426" t="s">
        <v>2646</v>
      </c>
      <c r="AH213" s="426" t="s">
        <v>2646</v>
      </c>
      <c r="AI213" s="426" t="s">
        <v>2646</v>
      </c>
      <c r="AJ213" s="1" t="s">
        <v>2646</v>
      </c>
    </row>
    <row r="214" spans="1:36" s="1" customFormat="1" hidden="1">
      <c r="A214" s="392" t="s">
        <v>1570</v>
      </c>
      <c r="B214" s="427" t="s">
        <v>2650</v>
      </c>
      <c r="C214" s="433" t="s">
        <v>3696</v>
      </c>
      <c r="D214" s="433" t="s">
        <v>3089</v>
      </c>
      <c r="E214" s="433" t="s">
        <v>2654</v>
      </c>
      <c r="F214" s="433" t="s">
        <v>2654</v>
      </c>
      <c r="G214" s="433" t="s">
        <v>2654</v>
      </c>
      <c r="H214" s="433" t="s">
        <v>2654</v>
      </c>
      <c r="I214" s="433" t="s">
        <v>2654</v>
      </c>
      <c r="J214" s="433" t="s">
        <v>2654</v>
      </c>
      <c r="K214" s="433" t="s">
        <v>2654</v>
      </c>
      <c r="L214" s="433" t="s">
        <v>2654</v>
      </c>
      <c r="M214" s="433" t="s">
        <v>2654</v>
      </c>
      <c r="N214" s="433" t="s">
        <v>2654</v>
      </c>
      <c r="O214" s="433" t="s">
        <v>2654</v>
      </c>
      <c r="P214" s="433" t="s">
        <v>2649</v>
      </c>
      <c r="Q214" s="431"/>
      <c r="R214" s="431"/>
      <c r="S214" s="426" t="s">
        <v>3124</v>
      </c>
      <c r="T214" s="426" t="s">
        <v>3134</v>
      </c>
      <c r="U214" s="426" t="s">
        <v>3135</v>
      </c>
      <c r="V214" s="426" t="s">
        <v>2936</v>
      </c>
      <c r="W214" s="426" t="s">
        <v>3086</v>
      </c>
      <c r="X214" s="426" t="s">
        <v>2758</v>
      </c>
      <c r="Y214" s="426" t="s">
        <v>3131</v>
      </c>
      <c r="Z214" s="426" t="s">
        <v>3136</v>
      </c>
      <c r="AA214" s="426" t="s">
        <v>2646</v>
      </c>
      <c r="AB214" s="426" t="s">
        <v>2646</v>
      </c>
      <c r="AC214" s="426" t="s">
        <v>2646</v>
      </c>
      <c r="AD214" s="426" t="s">
        <v>2646</v>
      </c>
      <c r="AE214" s="426" t="s">
        <v>2646</v>
      </c>
      <c r="AF214" s="426" t="s">
        <v>2646</v>
      </c>
      <c r="AG214" s="426" t="s">
        <v>2646</v>
      </c>
      <c r="AH214" s="426" t="s">
        <v>2646</v>
      </c>
      <c r="AI214" s="426" t="s">
        <v>2646</v>
      </c>
      <c r="AJ214" s="1" t="s">
        <v>2646</v>
      </c>
    </row>
    <row r="215" spans="1:36" s="1" customFormat="1" hidden="1">
      <c r="A215" s="392" t="s">
        <v>1571</v>
      </c>
      <c r="B215" s="427" t="s">
        <v>2651</v>
      </c>
      <c r="C215" s="433" t="s">
        <v>3495</v>
      </c>
      <c r="D215" s="433" t="s">
        <v>3734</v>
      </c>
      <c r="E215" s="433" t="s">
        <v>2654</v>
      </c>
      <c r="F215" s="433" t="s">
        <v>2654</v>
      </c>
      <c r="G215" s="433" t="s">
        <v>2654</v>
      </c>
      <c r="H215" s="433" t="s">
        <v>2654</v>
      </c>
      <c r="I215" s="433" t="s">
        <v>2654</v>
      </c>
      <c r="J215" s="433" t="s">
        <v>2654</v>
      </c>
      <c r="K215" s="433" t="s">
        <v>2654</v>
      </c>
      <c r="L215" s="433" t="s">
        <v>2654</v>
      </c>
      <c r="M215" s="433" t="s">
        <v>2654</v>
      </c>
      <c r="N215" s="433" t="s">
        <v>2654</v>
      </c>
      <c r="O215" s="433" t="s">
        <v>2654</v>
      </c>
      <c r="P215" s="433" t="s">
        <v>2647</v>
      </c>
      <c r="Q215" s="431"/>
      <c r="R215" s="431"/>
      <c r="S215" s="426" t="s">
        <v>3137</v>
      </c>
      <c r="T215" s="426" t="s">
        <v>2929</v>
      </c>
      <c r="U215" s="426" t="s">
        <v>3135</v>
      </c>
      <c r="V215" s="426" t="s">
        <v>3138</v>
      </c>
      <c r="W215" s="426" t="s">
        <v>3086</v>
      </c>
      <c r="X215" s="426" t="s">
        <v>2758</v>
      </c>
      <c r="Y215" s="426" t="s">
        <v>3131</v>
      </c>
      <c r="Z215" s="426" t="s">
        <v>3139</v>
      </c>
      <c r="AA215" s="426" t="s">
        <v>2646</v>
      </c>
      <c r="AB215" s="426" t="s">
        <v>2646</v>
      </c>
      <c r="AC215" s="426" t="s">
        <v>2646</v>
      </c>
      <c r="AD215" s="426" t="s">
        <v>2646</v>
      </c>
      <c r="AE215" s="426" t="s">
        <v>2646</v>
      </c>
      <c r="AF215" s="426" t="s">
        <v>2646</v>
      </c>
      <c r="AG215" s="426" t="s">
        <v>2646</v>
      </c>
      <c r="AH215" s="426" t="s">
        <v>2646</v>
      </c>
      <c r="AI215" s="426" t="s">
        <v>2646</v>
      </c>
      <c r="AJ215" s="1" t="s">
        <v>2646</v>
      </c>
    </row>
    <row r="216" spans="1:36" s="1" customFormat="1">
      <c r="A216" s="392" t="s">
        <v>1571</v>
      </c>
      <c r="B216" s="427" t="s">
        <v>48</v>
      </c>
      <c r="C216" s="433" t="s">
        <v>3464</v>
      </c>
      <c r="D216" s="433" t="s">
        <v>4055</v>
      </c>
      <c r="E216" s="433" t="s">
        <v>2654</v>
      </c>
      <c r="F216" s="433" t="s">
        <v>2654</v>
      </c>
      <c r="G216" s="433" t="s">
        <v>2654</v>
      </c>
      <c r="H216" s="433" t="s">
        <v>2654</v>
      </c>
      <c r="I216" s="433" t="s">
        <v>2654</v>
      </c>
      <c r="J216" s="433" t="s">
        <v>2654</v>
      </c>
      <c r="K216" s="433" t="s">
        <v>2654</v>
      </c>
      <c r="L216" s="433" t="s">
        <v>2654</v>
      </c>
      <c r="M216" s="433" t="s">
        <v>2654</v>
      </c>
      <c r="N216" s="433" t="s">
        <v>2654</v>
      </c>
      <c r="O216" s="433" t="s">
        <v>2654</v>
      </c>
      <c r="P216" s="433" t="s">
        <v>2953</v>
      </c>
      <c r="Q216" s="433" t="s">
        <v>2654</v>
      </c>
      <c r="R216" s="433" t="s">
        <v>2654</v>
      </c>
      <c r="S216" s="426"/>
      <c r="T216" s="426"/>
      <c r="U216" s="426"/>
      <c r="V216" s="426"/>
      <c r="W216" s="426"/>
      <c r="X216" s="426"/>
      <c r="Y216" s="426"/>
      <c r="Z216" s="426"/>
      <c r="AA216" s="426"/>
      <c r="AB216" s="426"/>
      <c r="AC216" s="426"/>
      <c r="AD216" s="426"/>
      <c r="AE216" s="426"/>
      <c r="AF216" s="426"/>
      <c r="AG216" s="426"/>
      <c r="AH216" s="426"/>
      <c r="AI216" s="426"/>
    </row>
    <row r="217" spans="1:36" s="1" customFormat="1" hidden="1">
      <c r="A217" s="392" t="s">
        <v>1572</v>
      </c>
      <c r="B217" s="427" t="s">
        <v>2647</v>
      </c>
      <c r="C217" s="433" t="s">
        <v>3726</v>
      </c>
      <c r="D217" s="433" t="s">
        <v>2777</v>
      </c>
      <c r="E217" s="433" t="s">
        <v>2654</v>
      </c>
      <c r="F217" s="433" t="s">
        <v>2654</v>
      </c>
      <c r="G217" s="433" t="s">
        <v>2654</v>
      </c>
      <c r="H217" s="433" t="s">
        <v>2654</v>
      </c>
      <c r="I217" s="433" t="s">
        <v>2654</v>
      </c>
      <c r="J217" s="433" t="s">
        <v>2654</v>
      </c>
      <c r="K217" s="433" t="s">
        <v>2654</v>
      </c>
      <c r="L217" s="433" t="s">
        <v>2654</v>
      </c>
      <c r="M217" s="433" t="s">
        <v>2654</v>
      </c>
      <c r="N217" s="433" t="s">
        <v>2654</v>
      </c>
      <c r="O217" s="433" t="s">
        <v>2654</v>
      </c>
      <c r="P217" s="433" t="s">
        <v>2648</v>
      </c>
      <c r="Q217" s="431"/>
      <c r="R217" s="431"/>
      <c r="S217" s="426" t="s">
        <v>2768</v>
      </c>
      <c r="T217" s="426" t="s">
        <v>2646</v>
      </c>
      <c r="U217" s="426" t="s">
        <v>2646</v>
      </c>
      <c r="V217" s="426" t="s">
        <v>2646</v>
      </c>
      <c r="W217" s="426" t="s">
        <v>2646</v>
      </c>
      <c r="X217" s="426" t="s">
        <v>2646</v>
      </c>
      <c r="Y217" s="426" t="s">
        <v>2646</v>
      </c>
      <c r="Z217" s="426" t="s">
        <v>2646</v>
      </c>
      <c r="AA217" s="426" t="s">
        <v>2646</v>
      </c>
      <c r="AB217" s="426" t="s">
        <v>2646</v>
      </c>
      <c r="AC217" s="426" t="s">
        <v>2646</v>
      </c>
      <c r="AD217" s="426" t="s">
        <v>2646</v>
      </c>
      <c r="AE217" s="426" t="s">
        <v>2646</v>
      </c>
      <c r="AF217" s="426" t="s">
        <v>2646</v>
      </c>
      <c r="AG217" s="426" t="s">
        <v>2646</v>
      </c>
      <c r="AH217" s="426" t="s">
        <v>2646</v>
      </c>
      <c r="AI217" s="426" t="s">
        <v>2646</v>
      </c>
      <c r="AJ217" s="1" t="s">
        <v>2646</v>
      </c>
    </row>
    <row r="218" spans="1:36" s="1" customFormat="1" hidden="1">
      <c r="A218" s="392" t="s">
        <v>1573</v>
      </c>
      <c r="B218" s="427" t="s">
        <v>2648</v>
      </c>
      <c r="C218" s="433" t="s">
        <v>3803</v>
      </c>
      <c r="D218" s="433" t="s">
        <v>2777</v>
      </c>
      <c r="E218" s="433" t="s">
        <v>2654</v>
      </c>
      <c r="F218" s="433" t="s">
        <v>2654</v>
      </c>
      <c r="G218" s="433" t="s">
        <v>2654</v>
      </c>
      <c r="H218" s="433" t="s">
        <v>2654</v>
      </c>
      <c r="I218" s="433" t="s">
        <v>2654</v>
      </c>
      <c r="J218" s="433" t="s">
        <v>2654</v>
      </c>
      <c r="K218" s="433" t="s">
        <v>2654</v>
      </c>
      <c r="L218" s="433" t="s">
        <v>2654</v>
      </c>
      <c r="M218" s="433" t="s">
        <v>2654</v>
      </c>
      <c r="N218" s="433" t="s">
        <v>2654</v>
      </c>
      <c r="O218" s="433" t="s">
        <v>2654</v>
      </c>
      <c r="P218" s="433" t="s">
        <v>2650</v>
      </c>
      <c r="Q218" s="431"/>
      <c r="R218" s="431"/>
      <c r="S218" s="426" t="s">
        <v>2658</v>
      </c>
      <c r="T218" s="426" t="s">
        <v>2646</v>
      </c>
      <c r="U218" s="426" t="s">
        <v>2646</v>
      </c>
      <c r="V218" s="426" t="s">
        <v>2646</v>
      </c>
      <c r="W218" s="426" t="s">
        <v>2646</v>
      </c>
      <c r="X218" s="426" t="s">
        <v>2646</v>
      </c>
      <c r="Y218" s="426" t="s">
        <v>2646</v>
      </c>
      <c r="Z218" s="426" t="s">
        <v>2646</v>
      </c>
      <c r="AA218" s="426" t="s">
        <v>2646</v>
      </c>
      <c r="AB218" s="426" t="s">
        <v>2646</v>
      </c>
      <c r="AC218" s="426" t="s">
        <v>2646</v>
      </c>
      <c r="AD218" s="426" t="s">
        <v>2646</v>
      </c>
      <c r="AE218" s="426" t="s">
        <v>2646</v>
      </c>
      <c r="AF218" s="426" t="s">
        <v>2646</v>
      </c>
      <c r="AG218" s="426" t="s">
        <v>2646</v>
      </c>
      <c r="AH218" s="426" t="s">
        <v>2646</v>
      </c>
      <c r="AI218" s="426" t="s">
        <v>2646</v>
      </c>
      <c r="AJ218" s="1" t="s">
        <v>2646</v>
      </c>
    </row>
    <row r="219" spans="1:36" s="1" customFormat="1" hidden="1">
      <c r="A219" s="392" t="s">
        <v>1574</v>
      </c>
      <c r="B219" s="427" t="s">
        <v>2649</v>
      </c>
      <c r="C219" s="433" t="s">
        <v>2721</v>
      </c>
      <c r="D219" s="433" t="s">
        <v>2676</v>
      </c>
      <c r="E219" s="433" t="s">
        <v>2654</v>
      </c>
      <c r="F219" s="433" t="s">
        <v>2654</v>
      </c>
      <c r="G219" s="433" t="s">
        <v>2654</v>
      </c>
      <c r="H219" s="433" t="s">
        <v>2654</v>
      </c>
      <c r="I219" s="433" t="s">
        <v>2654</v>
      </c>
      <c r="J219" s="433" t="s">
        <v>2654</v>
      </c>
      <c r="K219" s="433" t="s">
        <v>2654</v>
      </c>
      <c r="L219" s="433" t="s">
        <v>2654</v>
      </c>
      <c r="M219" s="433" t="s">
        <v>2654</v>
      </c>
      <c r="N219" s="433" t="s">
        <v>2654</v>
      </c>
      <c r="O219" s="433" t="s">
        <v>2654</v>
      </c>
      <c r="P219" s="433" t="s">
        <v>2650</v>
      </c>
      <c r="Q219" s="431"/>
      <c r="R219" s="431"/>
      <c r="S219" s="426" t="s">
        <v>2709</v>
      </c>
      <c r="T219" s="426" t="s">
        <v>2646</v>
      </c>
      <c r="U219" s="426" t="s">
        <v>2646</v>
      </c>
      <c r="V219" s="426" t="s">
        <v>2646</v>
      </c>
      <c r="W219" s="426" t="s">
        <v>2646</v>
      </c>
      <c r="X219" s="426" t="s">
        <v>2646</v>
      </c>
      <c r="Y219" s="426" t="s">
        <v>2646</v>
      </c>
      <c r="Z219" s="426" t="s">
        <v>2646</v>
      </c>
      <c r="AA219" s="426" t="s">
        <v>2646</v>
      </c>
      <c r="AB219" s="426" t="s">
        <v>2646</v>
      </c>
      <c r="AC219" s="426" t="s">
        <v>2646</v>
      </c>
      <c r="AD219" s="426" t="s">
        <v>2646</v>
      </c>
      <c r="AE219" s="426" t="s">
        <v>2646</v>
      </c>
      <c r="AF219" s="426" t="s">
        <v>2646</v>
      </c>
      <c r="AG219" s="426" t="s">
        <v>2646</v>
      </c>
      <c r="AH219" s="426" t="s">
        <v>2646</v>
      </c>
      <c r="AI219" s="426" t="s">
        <v>2646</v>
      </c>
      <c r="AJ219" s="1" t="s">
        <v>2646</v>
      </c>
    </row>
    <row r="220" spans="1:36" s="1" customFormat="1" hidden="1">
      <c r="A220" s="392" t="s">
        <v>1575</v>
      </c>
      <c r="B220" s="427" t="s">
        <v>2650</v>
      </c>
      <c r="C220" s="433" t="s">
        <v>3725</v>
      </c>
      <c r="D220" s="433" t="s">
        <v>2676</v>
      </c>
      <c r="E220" s="433" t="s">
        <v>2654</v>
      </c>
      <c r="F220" s="433" t="s">
        <v>2654</v>
      </c>
      <c r="G220" s="433" t="s">
        <v>2654</v>
      </c>
      <c r="H220" s="433" t="s">
        <v>2654</v>
      </c>
      <c r="I220" s="433" t="s">
        <v>2654</v>
      </c>
      <c r="J220" s="433" t="s">
        <v>2654</v>
      </c>
      <c r="K220" s="433" t="s">
        <v>2654</v>
      </c>
      <c r="L220" s="433" t="s">
        <v>2654</v>
      </c>
      <c r="M220" s="433" t="s">
        <v>2654</v>
      </c>
      <c r="N220" s="433" t="s">
        <v>2654</v>
      </c>
      <c r="O220" s="433" t="s">
        <v>2654</v>
      </c>
      <c r="P220" s="433" t="s">
        <v>2651</v>
      </c>
      <c r="Q220" s="431"/>
      <c r="R220" s="431"/>
      <c r="S220" s="426" t="s">
        <v>2658</v>
      </c>
      <c r="T220" s="426" t="s">
        <v>2646</v>
      </c>
      <c r="U220" s="426" t="s">
        <v>2646</v>
      </c>
      <c r="V220" s="426" t="s">
        <v>2646</v>
      </c>
      <c r="W220" s="426" t="s">
        <v>2646</v>
      </c>
      <c r="X220" s="426" t="s">
        <v>2646</v>
      </c>
      <c r="Y220" s="426" t="s">
        <v>2646</v>
      </c>
      <c r="Z220" s="426" t="s">
        <v>2646</v>
      </c>
      <c r="AA220" s="426" t="s">
        <v>2646</v>
      </c>
      <c r="AB220" s="426" t="s">
        <v>2646</v>
      </c>
      <c r="AC220" s="426" t="s">
        <v>2646</v>
      </c>
      <c r="AD220" s="426" t="s">
        <v>2646</v>
      </c>
      <c r="AE220" s="426" t="s">
        <v>2646</v>
      </c>
      <c r="AF220" s="426" t="s">
        <v>2646</v>
      </c>
      <c r="AG220" s="426" t="s">
        <v>2646</v>
      </c>
      <c r="AH220" s="426" t="s">
        <v>2646</v>
      </c>
      <c r="AI220" s="426" t="s">
        <v>2646</v>
      </c>
      <c r="AJ220" s="1" t="s">
        <v>2646</v>
      </c>
    </row>
    <row r="221" spans="1:36" s="1" customFormat="1" hidden="1">
      <c r="A221" s="392" t="s">
        <v>1576</v>
      </c>
      <c r="B221" s="427" t="s">
        <v>2651</v>
      </c>
      <c r="C221" s="433" t="s">
        <v>3725</v>
      </c>
      <c r="D221" s="433" t="s">
        <v>2676</v>
      </c>
      <c r="E221" s="433" t="s">
        <v>2654</v>
      </c>
      <c r="F221" s="433" t="s">
        <v>2654</v>
      </c>
      <c r="G221" s="433" t="s">
        <v>2654</v>
      </c>
      <c r="H221" s="433" t="s">
        <v>2654</v>
      </c>
      <c r="I221" s="433" t="s">
        <v>2654</v>
      </c>
      <c r="J221" s="433" t="s">
        <v>2654</v>
      </c>
      <c r="K221" s="433" t="s">
        <v>2654</v>
      </c>
      <c r="L221" s="433" t="s">
        <v>2654</v>
      </c>
      <c r="M221" s="433" t="s">
        <v>2654</v>
      </c>
      <c r="N221" s="433" t="s">
        <v>2654</v>
      </c>
      <c r="O221" s="433" t="s">
        <v>2654</v>
      </c>
      <c r="P221" s="433" t="s">
        <v>2650</v>
      </c>
      <c r="Q221" s="431"/>
      <c r="R221" s="431"/>
      <c r="S221" s="426" t="s">
        <v>2655</v>
      </c>
      <c r="T221" s="426" t="s">
        <v>2646</v>
      </c>
      <c r="U221" s="426" t="s">
        <v>2646</v>
      </c>
      <c r="V221" s="426" t="s">
        <v>2646</v>
      </c>
      <c r="W221" s="426" t="s">
        <v>2646</v>
      </c>
      <c r="X221" s="426" t="s">
        <v>2646</v>
      </c>
      <c r="Y221" s="426" t="s">
        <v>2646</v>
      </c>
      <c r="Z221" s="426" t="s">
        <v>2646</v>
      </c>
      <c r="AA221" s="426" t="s">
        <v>2646</v>
      </c>
      <c r="AB221" s="426" t="s">
        <v>2646</v>
      </c>
      <c r="AC221" s="426" t="s">
        <v>2646</v>
      </c>
      <c r="AD221" s="426" t="s">
        <v>2646</v>
      </c>
      <c r="AE221" s="426" t="s">
        <v>2646</v>
      </c>
      <c r="AF221" s="426" t="s">
        <v>2646</v>
      </c>
      <c r="AG221" s="426" t="s">
        <v>2646</v>
      </c>
      <c r="AH221" s="426" t="s">
        <v>2646</v>
      </c>
      <c r="AI221" s="426" t="s">
        <v>2646</v>
      </c>
      <c r="AJ221" s="1" t="s">
        <v>2646</v>
      </c>
    </row>
    <row r="222" spans="1:36">
      <c r="A222" s="392" t="s">
        <v>1576</v>
      </c>
      <c r="B222" s="427" t="s">
        <v>48</v>
      </c>
      <c r="C222" s="433" t="s">
        <v>4151</v>
      </c>
      <c r="D222" s="433" t="s">
        <v>3209</v>
      </c>
      <c r="E222" s="433" t="s">
        <v>2654</v>
      </c>
      <c r="F222" s="433" t="s">
        <v>2654</v>
      </c>
      <c r="G222" s="433" t="s">
        <v>2654</v>
      </c>
      <c r="H222" s="433" t="s">
        <v>2654</v>
      </c>
      <c r="I222" s="433" t="s">
        <v>2654</v>
      </c>
      <c r="J222" s="433" t="s">
        <v>2654</v>
      </c>
      <c r="K222" s="433" t="s">
        <v>2654</v>
      </c>
      <c r="L222" s="433" t="s">
        <v>2654</v>
      </c>
      <c r="M222" s="433" t="s">
        <v>2654</v>
      </c>
      <c r="N222" s="433" t="s">
        <v>2654</v>
      </c>
      <c r="O222" s="433" t="s">
        <v>2654</v>
      </c>
      <c r="P222" s="433" t="s">
        <v>3214</v>
      </c>
      <c r="Q222" s="433" t="s">
        <v>2654</v>
      </c>
      <c r="R222" s="433" t="s">
        <v>2654</v>
      </c>
      <c r="S222" s="426"/>
      <c r="T222" s="426"/>
      <c r="U222" s="426"/>
      <c r="V222" s="426"/>
      <c r="W222" s="426"/>
      <c r="X222" s="426"/>
      <c r="Y222" s="426"/>
      <c r="Z222" s="426"/>
      <c r="AA222" s="426"/>
      <c r="AB222" s="426"/>
      <c r="AC222" s="426"/>
      <c r="AD222" s="426"/>
      <c r="AE222" s="426"/>
      <c r="AF222" s="426"/>
      <c r="AG222" s="426"/>
      <c r="AH222" s="426"/>
      <c r="AI222" s="426"/>
    </row>
    <row r="223" spans="1:36" s="1" customFormat="1" hidden="1">
      <c r="A223" s="392" t="s">
        <v>1577</v>
      </c>
      <c r="B223" s="427" t="s">
        <v>2647</v>
      </c>
      <c r="C223" s="433" t="s">
        <v>4054</v>
      </c>
      <c r="D223" s="433" t="s">
        <v>3018</v>
      </c>
      <c r="E223" s="433" t="s">
        <v>2654</v>
      </c>
      <c r="F223" s="433" t="s">
        <v>2654</v>
      </c>
      <c r="G223" s="433" t="s">
        <v>2654</v>
      </c>
      <c r="H223" s="433" t="s">
        <v>2654</v>
      </c>
      <c r="I223" s="433" t="s">
        <v>2654</v>
      </c>
      <c r="J223" s="433" t="s">
        <v>2654</v>
      </c>
      <c r="K223" s="433" t="s">
        <v>2654</v>
      </c>
      <c r="L223" s="433" t="s">
        <v>2654</v>
      </c>
      <c r="M223" s="433" t="s">
        <v>2654</v>
      </c>
      <c r="N223" s="433" t="s">
        <v>2654</v>
      </c>
      <c r="O223" s="433" t="s">
        <v>2654</v>
      </c>
      <c r="P223" s="433" t="s">
        <v>2648</v>
      </c>
      <c r="Q223" s="431"/>
      <c r="R223" s="431"/>
      <c r="S223" s="426" t="s">
        <v>2778</v>
      </c>
      <c r="T223" s="426" t="s">
        <v>2646</v>
      </c>
      <c r="U223" s="426" t="s">
        <v>2646</v>
      </c>
      <c r="V223" s="426" t="s">
        <v>2646</v>
      </c>
      <c r="W223" s="426" t="s">
        <v>3140</v>
      </c>
      <c r="X223" s="426" t="s">
        <v>2662</v>
      </c>
      <c r="Y223" s="426" t="s">
        <v>2646</v>
      </c>
      <c r="Z223" s="426" t="s">
        <v>2646</v>
      </c>
      <c r="AA223" s="426" t="s">
        <v>2646</v>
      </c>
      <c r="AB223" s="426" t="s">
        <v>2646</v>
      </c>
      <c r="AC223" s="426" t="s">
        <v>2646</v>
      </c>
      <c r="AD223" s="426" t="s">
        <v>2646</v>
      </c>
      <c r="AE223" s="426" t="s">
        <v>2646</v>
      </c>
      <c r="AF223" s="426" t="s">
        <v>2646</v>
      </c>
      <c r="AG223" s="426" t="s">
        <v>2646</v>
      </c>
      <c r="AH223" s="426" t="s">
        <v>2646</v>
      </c>
      <c r="AI223" s="426" t="s">
        <v>2646</v>
      </c>
      <c r="AJ223" s="1" t="s">
        <v>2646</v>
      </c>
    </row>
    <row r="224" spans="1:36" s="1" customFormat="1" hidden="1">
      <c r="A224" s="392" t="s">
        <v>1578</v>
      </c>
      <c r="B224" s="427" t="s">
        <v>2648</v>
      </c>
      <c r="C224" s="433" t="s">
        <v>3646</v>
      </c>
      <c r="D224" s="433" t="s">
        <v>2720</v>
      </c>
      <c r="E224" s="433" t="s">
        <v>2654</v>
      </c>
      <c r="F224" s="433" t="s">
        <v>2654</v>
      </c>
      <c r="G224" s="433" t="s">
        <v>2654</v>
      </c>
      <c r="H224" s="433" t="s">
        <v>2654</v>
      </c>
      <c r="I224" s="433" t="s">
        <v>2654</v>
      </c>
      <c r="J224" s="433" t="s">
        <v>2654</v>
      </c>
      <c r="K224" s="433" t="s">
        <v>2654</v>
      </c>
      <c r="L224" s="433" t="s">
        <v>2654</v>
      </c>
      <c r="M224" s="433" t="s">
        <v>2654</v>
      </c>
      <c r="N224" s="433" t="s">
        <v>2654</v>
      </c>
      <c r="O224" s="433" t="s">
        <v>2654</v>
      </c>
      <c r="P224" s="433" t="s">
        <v>2647</v>
      </c>
      <c r="Q224" s="431"/>
      <c r="R224" s="431"/>
      <c r="S224" s="426" t="s">
        <v>3142</v>
      </c>
      <c r="T224" s="426" t="s">
        <v>2646</v>
      </c>
      <c r="U224" s="426" t="s">
        <v>2646</v>
      </c>
      <c r="V224" s="426" t="s">
        <v>2646</v>
      </c>
      <c r="W224" s="426" t="s">
        <v>3143</v>
      </c>
      <c r="X224" s="426" t="s">
        <v>2662</v>
      </c>
      <c r="Y224" s="426" t="s">
        <v>3144</v>
      </c>
      <c r="Z224" s="426" t="s">
        <v>2646</v>
      </c>
      <c r="AA224" s="426" t="s">
        <v>2646</v>
      </c>
      <c r="AB224" s="426" t="s">
        <v>2646</v>
      </c>
      <c r="AC224" s="426" t="s">
        <v>2646</v>
      </c>
      <c r="AD224" s="426" t="s">
        <v>2646</v>
      </c>
      <c r="AE224" s="426" t="s">
        <v>2646</v>
      </c>
      <c r="AF224" s="426" t="s">
        <v>2646</v>
      </c>
      <c r="AG224" s="426" t="s">
        <v>2646</v>
      </c>
      <c r="AH224" s="426" t="s">
        <v>2646</v>
      </c>
      <c r="AI224" s="426" t="s">
        <v>2646</v>
      </c>
      <c r="AJ224" s="1" t="s">
        <v>2646</v>
      </c>
    </row>
    <row r="225" spans="1:36" s="1" customFormat="1" hidden="1">
      <c r="A225" s="392" t="s">
        <v>1579</v>
      </c>
      <c r="B225" s="427" t="s">
        <v>2649</v>
      </c>
      <c r="C225" s="433" t="s">
        <v>3184</v>
      </c>
      <c r="D225" s="433" t="s">
        <v>2720</v>
      </c>
      <c r="E225" s="433" t="s">
        <v>2654</v>
      </c>
      <c r="F225" s="433" t="s">
        <v>2654</v>
      </c>
      <c r="G225" s="433" t="s">
        <v>2654</v>
      </c>
      <c r="H225" s="433" t="s">
        <v>2654</v>
      </c>
      <c r="I225" s="433" t="s">
        <v>2654</v>
      </c>
      <c r="J225" s="433" t="s">
        <v>2654</v>
      </c>
      <c r="K225" s="433" t="s">
        <v>2654</v>
      </c>
      <c r="L225" s="433" t="s">
        <v>2654</v>
      </c>
      <c r="M225" s="433" t="s">
        <v>2654</v>
      </c>
      <c r="N225" s="433" t="s">
        <v>2654</v>
      </c>
      <c r="O225" s="433" t="s">
        <v>2654</v>
      </c>
      <c r="P225" s="433" t="s">
        <v>2651</v>
      </c>
      <c r="Q225" s="431"/>
      <c r="R225" s="431"/>
      <c r="S225" s="426" t="s">
        <v>2658</v>
      </c>
      <c r="T225" s="426" t="s">
        <v>2646</v>
      </c>
      <c r="U225" s="426" t="s">
        <v>2646</v>
      </c>
      <c r="V225" s="426" t="s">
        <v>2646</v>
      </c>
      <c r="W225" s="426" t="s">
        <v>2646</v>
      </c>
      <c r="X225" s="426" t="s">
        <v>2646</v>
      </c>
      <c r="Y225" s="426" t="s">
        <v>2646</v>
      </c>
      <c r="Z225" s="426" t="s">
        <v>2646</v>
      </c>
      <c r="AA225" s="426" t="s">
        <v>2646</v>
      </c>
      <c r="AB225" s="426" t="s">
        <v>2646</v>
      </c>
      <c r="AC225" s="426" t="s">
        <v>2646</v>
      </c>
      <c r="AD225" s="426" t="s">
        <v>2646</v>
      </c>
      <c r="AE225" s="426" t="s">
        <v>2646</v>
      </c>
      <c r="AF225" s="426" t="s">
        <v>2646</v>
      </c>
      <c r="AG225" s="426" t="s">
        <v>2646</v>
      </c>
      <c r="AH225" s="426" t="s">
        <v>2646</v>
      </c>
      <c r="AI225" s="426" t="s">
        <v>2646</v>
      </c>
      <c r="AJ225" s="1" t="s">
        <v>2646</v>
      </c>
    </row>
    <row r="226" spans="1:36" s="1" customFormat="1" hidden="1">
      <c r="A226" s="392" t="s">
        <v>1580</v>
      </c>
      <c r="B226" s="427" t="s">
        <v>2650</v>
      </c>
      <c r="C226" s="433" t="s">
        <v>4157</v>
      </c>
      <c r="D226" s="433" t="s">
        <v>2833</v>
      </c>
      <c r="E226" s="433" t="s">
        <v>2654</v>
      </c>
      <c r="F226" s="433" t="s">
        <v>2654</v>
      </c>
      <c r="G226" s="433" t="s">
        <v>2654</v>
      </c>
      <c r="H226" s="433" t="s">
        <v>2654</v>
      </c>
      <c r="I226" s="433" t="s">
        <v>2654</v>
      </c>
      <c r="J226" s="433" t="s">
        <v>2654</v>
      </c>
      <c r="K226" s="433" t="s">
        <v>2654</v>
      </c>
      <c r="L226" s="433" t="s">
        <v>2654</v>
      </c>
      <c r="M226" s="433" t="s">
        <v>2654</v>
      </c>
      <c r="N226" s="433" t="s">
        <v>2654</v>
      </c>
      <c r="O226" s="433" t="s">
        <v>2654</v>
      </c>
      <c r="P226" s="433" t="s">
        <v>2649</v>
      </c>
      <c r="Q226" s="431"/>
      <c r="R226" s="431"/>
      <c r="S226" s="426" t="s">
        <v>2669</v>
      </c>
      <c r="T226" s="426" t="s">
        <v>2646</v>
      </c>
      <c r="U226" s="426" t="s">
        <v>2646</v>
      </c>
      <c r="V226" s="426" t="s">
        <v>2646</v>
      </c>
      <c r="W226" s="426" t="s">
        <v>2646</v>
      </c>
      <c r="X226" s="426" t="s">
        <v>2646</v>
      </c>
      <c r="Y226" s="426" t="s">
        <v>2646</v>
      </c>
      <c r="Z226" s="426" t="s">
        <v>2646</v>
      </c>
      <c r="AA226" s="426" t="s">
        <v>2646</v>
      </c>
      <c r="AB226" s="426" t="s">
        <v>2646</v>
      </c>
      <c r="AC226" s="426" t="s">
        <v>2646</v>
      </c>
      <c r="AD226" s="426" t="s">
        <v>2646</v>
      </c>
      <c r="AE226" s="426" t="s">
        <v>2646</v>
      </c>
      <c r="AF226" s="426" t="s">
        <v>2646</v>
      </c>
      <c r="AG226" s="426" t="s">
        <v>2646</v>
      </c>
      <c r="AH226" s="426" t="s">
        <v>2646</v>
      </c>
      <c r="AI226" s="426" t="s">
        <v>2646</v>
      </c>
      <c r="AJ226" s="1" t="s">
        <v>2646</v>
      </c>
    </row>
    <row r="227" spans="1:36" s="1" customFormat="1" hidden="1">
      <c r="A227" s="392" t="s">
        <v>1581</v>
      </c>
      <c r="B227" s="427" t="s">
        <v>2651</v>
      </c>
      <c r="C227" s="433" t="s">
        <v>3521</v>
      </c>
      <c r="D227" s="433" t="s">
        <v>2833</v>
      </c>
      <c r="E227" s="433" t="s">
        <v>2654</v>
      </c>
      <c r="F227" s="433" t="s">
        <v>2654</v>
      </c>
      <c r="G227" s="433" t="s">
        <v>2654</v>
      </c>
      <c r="H227" s="433" t="s">
        <v>2654</v>
      </c>
      <c r="I227" s="433" t="s">
        <v>2654</v>
      </c>
      <c r="J227" s="433" t="s">
        <v>2654</v>
      </c>
      <c r="K227" s="433" t="s">
        <v>2654</v>
      </c>
      <c r="L227" s="433" t="s">
        <v>2654</v>
      </c>
      <c r="M227" s="433" t="s">
        <v>2654</v>
      </c>
      <c r="N227" s="433" t="s">
        <v>2654</v>
      </c>
      <c r="O227" s="433" t="s">
        <v>2654</v>
      </c>
      <c r="P227" s="433" t="s">
        <v>2647</v>
      </c>
      <c r="Q227" s="431"/>
      <c r="R227" s="431"/>
      <c r="S227" s="426" t="s">
        <v>3109</v>
      </c>
      <c r="T227" s="426" t="s">
        <v>2646</v>
      </c>
      <c r="U227" s="426" t="s">
        <v>2646</v>
      </c>
      <c r="V227" s="426" t="s">
        <v>2646</v>
      </c>
      <c r="W227" s="426" t="s">
        <v>3140</v>
      </c>
      <c r="X227" s="426" t="s">
        <v>2662</v>
      </c>
      <c r="Y227" s="426" t="s">
        <v>2646</v>
      </c>
      <c r="Z227" s="426" t="s">
        <v>2646</v>
      </c>
      <c r="AA227" s="426" t="s">
        <v>2646</v>
      </c>
      <c r="AB227" s="426" t="s">
        <v>2646</v>
      </c>
      <c r="AC227" s="426" t="s">
        <v>2646</v>
      </c>
      <c r="AD227" s="426" t="s">
        <v>2646</v>
      </c>
      <c r="AE227" s="426" t="s">
        <v>2646</v>
      </c>
      <c r="AF227" s="426" t="s">
        <v>2646</v>
      </c>
      <c r="AG227" s="426" t="s">
        <v>2646</v>
      </c>
      <c r="AH227" s="426" t="s">
        <v>2646</v>
      </c>
      <c r="AI227" s="426" t="s">
        <v>2646</v>
      </c>
      <c r="AJ227" s="1" t="s">
        <v>2646</v>
      </c>
    </row>
    <row r="228" spans="1:36" s="1" customFormat="1">
      <c r="A228" s="392" t="s">
        <v>1581</v>
      </c>
      <c r="B228" s="427" t="s">
        <v>48</v>
      </c>
      <c r="C228" s="433" t="s">
        <v>3848</v>
      </c>
      <c r="D228" s="433" t="s">
        <v>4158</v>
      </c>
      <c r="E228" s="433" t="s">
        <v>2654</v>
      </c>
      <c r="F228" s="433" t="s">
        <v>2654</v>
      </c>
      <c r="G228" s="433" t="s">
        <v>2654</v>
      </c>
      <c r="H228" s="433" t="s">
        <v>2654</v>
      </c>
      <c r="I228" s="433" t="s">
        <v>2654</v>
      </c>
      <c r="J228" s="433" t="s">
        <v>2654</v>
      </c>
      <c r="K228" s="433" t="s">
        <v>2654</v>
      </c>
      <c r="L228" s="433" t="s">
        <v>2654</v>
      </c>
      <c r="M228" s="433" t="s">
        <v>2654</v>
      </c>
      <c r="N228" s="433" t="s">
        <v>2654</v>
      </c>
      <c r="O228" s="433" t="s">
        <v>2654</v>
      </c>
      <c r="P228" s="433" t="s">
        <v>3083</v>
      </c>
      <c r="Q228" s="433" t="s">
        <v>2654</v>
      </c>
      <c r="R228" s="433" t="s">
        <v>2654</v>
      </c>
      <c r="S228" s="426"/>
      <c r="T228" s="426"/>
      <c r="U228" s="426"/>
      <c r="V228" s="426"/>
      <c r="W228" s="426"/>
      <c r="X228" s="426"/>
      <c r="Y228" s="426"/>
      <c r="Z228" s="426"/>
      <c r="AA228" s="426"/>
      <c r="AB228" s="426"/>
      <c r="AC228" s="426"/>
      <c r="AD228" s="426"/>
      <c r="AE228" s="426"/>
      <c r="AF228" s="426"/>
      <c r="AG228" s="426"/>
      <c r="AH228" s="426"/>
      <c r="AI228" s="426"/>
    </row>
    <row r="229" spans="1:36" s="1" customFormat="1" hidden="1">
      <c r="A229" s="392" t="s">
        <v>1582</v>
      </c>
      <c r="B229" s="427" t="s">
        <v>2647</v>
      </c>
      <c r="C229" s="433" t="s">
        <v>4159</v>
      </c>
      <c r="D229" s="433" t="s">
        <v>3049</v>
      </c>
      <c r="E229" s="433" t="s">
        <v>2654</v>
      </c>
      <c r="F229" s="433" t="s">
        <v>2654</v>
      </c>
      <c r="G229" s="433" t="s">
        <v>2654</v>
      </c>
      <c r="H229" s="433" t="s">
        <v>2654</v>
      </c>
      <c r="I229" s="433" t="s">
        <v>2654</v>
      </c>
      <c r="J229" s="433" t="s">
        <v>2654</v>
      </c>
      <c r="K229" s="433" t="s">
        <v>2654</v>
      </c>
      <c r="L229" s="433" t="s">
        <v>2654</v>
      </c>
      <c r="M229" s="433" t="s">
        <v>2654</v>
      </c>
      <c r="N229" s="433" t="s">
        <v>2654</v>
      </c>
      <c r="O229" s="433" t="s">
        <v>2654</v>
      </c>
      <c r="P229" s="433" t="s">
        <v>2648</v>
      </c>
      <c r="Q229" s="431"/>
      <c r="R229" s="431"/>
      <c r="S229" s="426" t="s">
        <v>2665</v>
      </c>
      <c r="T229" s="426" t="s">
        <v>2646</v>
      </c>
      <c r="U229" s="426" t="s">
        <v>2646</v>
      </c>
      <c r="V229" s="426" t="s">
        <v>2646</v>
      </c>
      <c r="W229" s="426" t="s">
        <v>3147</v>
      </c>
      <c r="X229" s="426" t="s">
        <v>2671</v>
      </c>
      <c r="Y229" s="426" t="s">
        <v>2646</v>
      </c>
      <c r="Z229" s="426" t="s">
        <v>2646</v>
      </c>
      <c r="AA229" s="426" t="s">
        <v>2646</v>
      </c>
      <c r="AB229" s="426" t="s">
        <v>2646</v>
      </c>
      <c r="AC229" s="426" t="s">
        <v>2646</v>
      </c>
      <c r="AD229" s="426" t="s">
        <v>2646</v>
      </c>
      <c r="AE229" s="426" t="s">
        <v>2646</v>
      </c>
      <c r="AF229" s="426" t="s">
        <v>2646</v>
      </c>
      <c r="AG229" s="426" t="s">
        <v>2646</v>
      </c>
      <c r="AH229" s="426" t="s">
        <v>2646</v>
      </c>
      <c r="AI229" s="426" t="s">
        <v>2646</v>
      </c>
      <c r="AJ229" s="1" t="s">
        <v>2646</v>
      </c>
    </row>
    <row r="230" spans="1:36" s="1" customFormat="1" hidden="1">
      <c r="A230" s="392" t="s">
        <v>1583</v>
      </c>
      <c r="B230" s="427" t="s">
        <v>2648</v>
      </c>
      <c r="C230" s="433" t="s">
        <v>4160</v>
      </c>
      <c r="D230" s="433" t="s">
        <v>3049</v>
      </c>
      <c r="E230" s="433" t="s">
        <v>2654</v>
      </c>
      <c r="F230" s="433" t="s">
        <v>2654</v>
      </c>
      <c r="G230" s="433" t="s">
        <v>2654</v>
      </c>
      <c r="H230" s="433" t="s">
        <v>2654</v>
      </c>
      <c r="I230" s="433" t="s">
        <v>2654</v>
      </c>
      <c r="J230" s="433" t="s">
        <v>2654</v>
      </c>
      <c r="K230" s="433" t="s">
        <v>2654</v>
      </c>
      <c r="L230" s="433" t="s">
        <v>2654</v>
      </c>
      <c r="M230" s="433" t="s">
        <v>2654</v>
      </c>
      <c r="N230" s="433" t="s">
        <v>2654</v>
      </c>
      <c r="O230" s="433" t="s">
        <v>2654</v>
      </c>
      <c r="P230" s="433" t="s">
        <v>2648</v>
      </c>
      <c r="Q230" s="431"/>
      <c r="R230" s="431"/>
      <c r="S230" s="426" t="s">
        <v>2669</v>
      </c>
      <c r="T230" s="426" t="s">
        <v>2646</v>
      </c>
      <c r="U230" s="426" t="s">
        <v>2646</v>
      </c>
      <c r="V230" s="426" t="s">
        <v>2646</v>
      </c>
      <c r="W230" s="426" t="s">
        <v>3147</v>
      </c>
      <c r="X230" s="426" t="s">
        <v>2671</v>
      </c>
      <c r="Y230" s="426" t="s">
        <v>2646</v>
      </c>
      <c r="Z230" s="426" t="s">
        <v>2646</v>
      </c>
      <c r="AA230" s="426" t="s">
        <v>2646</v>
      </c>
      <c r="AB230" s="426" t="s">
        <v>2646</v>
      </c>
      <c r="AC230" s="426" t="s">
        <v>2646</v>
      </c>
      <c r="AD230" s="426" t="s">
        <v>2646</v>
      </c>
      <c r="AE230" s="426" t="s">
        <v>2646</v>
      </c>
      <c r="AF230" s="426" t="s">
        <v>2646</v>
      </c>
      <c r="AG230" s="426" t="s">
        <v>2646</v>
      </c>
      <c r="AH230" s="426" t="s">
        <v>2646</v>
      </c>
      <c r="AI230" s="426" t="s">
        <v>2646</v>
      </c>
      <c r="AJ230" s="1" t="s">
        <v>2646</v>
      </c>
    </row>
    <row r="231" spans="1:36" s="1" customFormat="1" hidden="1">
      <c r="A231" s="392" t="s">
        <v>1584</v>
      </c>
      <c r="B231" s="427" t="s">
        <v>2649</v>
      </c>
      <c r="C231" s="433" t="s">
        <v>3913</v>
      </c>
      <c r="D231" s="433" t="s">
        <v>3049</v>
      </c>
      <c r="E231" s="433" t="s">
        <v>2654</v>
      </c>
      <c r="F231" s="433" t="s">
        <v>2654</v>
      </c>
      <c r="G231" s="433" t="s">
        <v>2654</v>
      </c>
      <c r="H231" s="433" t="s">
        <v>2654</v>
      </c>
      <c r="I231" s="433" t="s">
        <v>2654</v>
      </c>
      <c r="J231" s="433" t="s">
        <v>2654</v>
      </c>
      <c r="K231" s="433" t="s">
        <v>2654</v>
      </c>
      <c r="L231" s="433" t="s">
        <v>2654</v>
      </c>
      <c r="M231" s="433" t="s">
        <v>2654</v>
      </c>
      <c r="N231" s="433" t="s">
        <v>2654</v>
      </c>
      <c r="O231" s="433" t="s">
        <v>2654</v>
      </c>
      <c r="P231" s="433" t="s">
        <v>2649</v>
      </c>
      <c r="Q231" s="431"/>
      <c r="R231" s="431"/>
      <c r="S231" s="426" t="s">
        <v>2657</v>
      </c>
      <c r="T231" s="426" t="s">
        <v>2646</v>
      </c>
      <c r="U231" s="426" t="s">
        <v>2646</v>
      </c>
      <c r="V231" s="426" t="s">
        <v>2646</v>
      </c>
      <c r="W231" s="426" t="s">
        <v>3147</v>
      </c>
      <c r="X231" s="426" t="s">
        <v>2671</v>
      </c>
      <c r="Y231" s="426" t="s">
        <v>2646</v>
      </c>
      <c r="Z231" s="426" t="s">
        <v>2646</v>
      </c>
      <c r="AA231" s="426" t="s">
        <v>2646</v>
      </c>
      <c r="AB231" s="426" t="s">
        <v>2646</v>
      </c>
      <c r="AC231" s="426" t="s">
        <v>2646</v>
      </c>
      <c r="AD231" s="426" t="s">
        <v>2646</v>
      </c>
      <c r="AE231" s="426" t="s">
        <v>2646</v>
      </c>
      <c r="AF231" s="426" t="s">
        <v>2646</v>
      </c>
      <c r="AG231" s="426" t="s">
        <v>2646</v>
      </c>
      <c r="AH231" s="426" t="s">
        <v>2646</v>
      </c>
      <c r="AI231" s="426" t="s">
        <v>2646</v>
      </c>
      <c r="AJ231" s="1" t="s">
        <v>2646</v>
      </c>
    </row>
    <row r="232" spans="1:36" s="1" customFormat="1" hidden="1">
      <c r="A232" s="392" t="s">
        <v>1585</v>
      </c>
      <c r="B232" s="427" t="s">
        <v>2650</v>
      </c>
      <c r="C232" s="433" t="s">
        <v>4161</v>
      </c>
      <c r="D232" s="433" t="s">
        <v>3049</v>
      </c>
      <c r="E232" s="433" t="s">
        <v>2654</v>
      </c>
      <c r="F232" s="433" t="s">
        <v>2654</v>
      </c>
      <c r="G232" s="433" t="s">
        <v>2654</v>
      </c>
      <c r="H232" s="433" t="s">
        <v>2654</v>
      </c>
      <c r="I232" s="433" t="s">
        <v>2654</v>
      </c>
      <c r="J232" s="433" t="s">
        <v>2654</v>
      </c>
      <c r="K232" s="433" t="s">
        <v>2654</v>
      </c>
      <c r="L232" s="433" t="s">
        <v>2654</v>
      </c>
      <c r="M232" s="433" t="s">
        <v>2654</v>
      </c>
      <c r="N232" s="433" t="s">
        <v>2654</v>
      </c>
      <c r="O232" s="433" t="s">
        <v>2654</v>
      </c>
      <c r="P232" s="433" t="s">
        <v>2648</v>
      </c>
      <c r="Q232" s="431"/>
      <c r="R232" s="431"/>
      <c r="S232" s="426" t="s">
        <v>2655</v>
      </c>
      <c r="T232" s="426" t="s">
        <v>2646</v>
      </c>
      <c r="U232" s="426" t="s">
        <v>2646</v>
      </c>
      <c r="V232" s="426" t="s">
        <v>2646</v>
      </c>
      <c r="W232" s="426" t="s">
        <v>3147</v>
      </c>
      <c r="X232" s="426" t="s">
        <v>2671</v>
      </c>
      <c r="Y232" s="426" t="s">
        <v>2646</v>
      </c>
      <c r="Z232" s="426" t="s">
        <v>2646</v>
      </c>
      <c r="AA232" s="426" t="s">
        <v>2646</v>
      </c>
      <c r="AB232" s="426" t="s">
        <v>2646</v>
      </c>
      <c r="AC232" s="426" t="s">
        <v>2646</v>
      </c>
      <c r="AD232" s="426" t="s">
        <v>2646</v>
      </c>
      <c r="AE232" s="426" t="s">
        <v>2646</v>
      </c>
      <c r="AF232" s="426" t="s">
        <v>2646</v>
      </c>
      <c r="AG232" s="426" t="s">
        <v>2646</v>
      </c>
      <c r="AH232" s="426" t="s">
        <v>2646</v>
      </c>
      <c r="AI232" s="426" t="s">
        <v>2646</v>
      </c>
      <c r="AJ232" s="1" t="s">
        <v>2646</v>
      </c>
    </row>
    <row r="233" spans="1:36" hidden="1">
      <c r="A233" s="392" t="s">
        <v>1586</v>
      </c>
      <c r="B233" s="427" t="s">
        <v>2651</v>
      </c>
      <c r="C233" s="433" t="s">
        <v>3676</v>
      </c>
      <c r="D233" s="433" t="s">
        <v>3049</v>
      </c>
      <c r="E233" s="433" t="s">
        <v>2654</v>
      </c>
      <c r="F233" s="433" t="s">
        <v>2654</v>
      </c>
      <c r="G233" s="433" t="s">
        <v>2654</v>
      </c>
      <c r="H233" s="433" t="s">
        <v>2654</v>
      </c>
      <c r="I233" s="433" t="s">
        <v>2654</v>
      </c>
      <c r="J233" s="433" t="s">
        <v>2654</v>
      </c>
      <c r="K233" s="433" t="s">
        <v>2654</v>
      </c>
      <c r="L233" s="433" t="s">
        <v>2654</v>
      </c>
      <c r="M233" s="433" t="s">
        <v>2654</v>
      </c>
      <c r="N233" s="433" t="s">
        <v>2654</v>
      </c>
      <c r="O233" s="433" t="s">
        <v>2654</v>
      </c>
      <c r="P233" s="433" t="s">
        <v>2648</v>
      </c>
      <c r="Q233" s="431"/>
      <c r="R233" s="431"/>
      <c r="S233" s="426" t="s">
        <v>2660</v>
      </c>
      <c r="T233" s="426" t="s">
        <v>2646</v>
      </c>
      <c r="U233" s="426" t="s">
        <v>2646</v>
      </c>
      <c r="V233" s="426" t="s">
        <v>2646</v>
      </c>
      <c r="W233" s="426" t="s">
        <v>3147</v>
      </c>
      <c r="X233" s="426" t="s">
        <v>2671</v>
      </c>
      <c r="Y233" s="426" t="s">
        <v>2646</v>
      </c>
      <c r="Z233" s="426" t="s">
        <v>2646</v>
      </c>
      <c r="AA233" s="426" t="s">
        <v>2646</v>
      </c>
      <c r="AB233" s="426" t="s">
        <v>2646</v>
      </c>
      <c r="AC233" s="426" t="s">
        <v>2646</v>
      </c>
      <c r="AD233" s="426" t="s">
        <v>2646</v>
      </c>
      <c r="AE233" s="426" t="s">
        <v>2646</v>
      </c>
      <c r="AF233" s="426" t="s">
        <v>2646</v>
      </c>
      <c r="AG233" s="426" t="s">
        <v>2646</v>
      </c>
      <c r="AH233" s="426" t="s">
        <v>2646</v>
      </c>
      <c r="AI233" s="426" t="s">
        <v>2646</v>
      </c>
      <c r="AJ233" s="68" t="s">
        <v>2646</v>
      </c>
    </row>
    <row r="234" spans="1:36" s="1" customFormat="1">
      <c r="A234" s="392" t="s">
        <v>1586</v>
      </c>
      <c r="B234" s="427" t="s">
        <v>48</v>
      </c>
      <c r="C234" s="433" t="s">
        <v>4162</v>
      </c>
      <c r="D234" s="433" t="s">
        <v>3049</v>
      </c>
      <c r="E234" s="433" t="s">
        <v>2654</v>
      </c>
      <c r="F234" s="433" t="s">
        <v>2654</v>
      </c>
      <c r="G234" s="433" t="s">
        <v>2654</v>
      </c>
      <c r="H234" s="433" t="s">
        <v>2654</v>
      </c>
      <c r="I234" s="433" t="s">
        <v>2654</v>
      </c>
      <c r="J234" s="433" t="s">
        <v>2654</v>
      </c>
      <c r="K234" s="433" t="s">
        <v>2654</v>
      </c>
      <c r="L234" s="433" t="s">
        <v>2654</v>
      </c>
      <c r="M234" s="433" t="s">
        <v>2654</v>
      </c>
      <c r="N234" s="433" t="s">
        <v>2654</v>
      </c>
      <c r="O234" s="433" t="s">
        <v>2654</v>
      </c>
      <c r="P234" s="433" t="s">
        <v>2832</v>
      </c>
      <c r="Q234" s="433" t="s">
        <v>2654</v>
      </c>
      <c r="R234" s="433" t="s">
        <v>2654</v>
      </c>
      <c r="S234" s="426"/>
      <c r="T234" s="426"/>
      <c r="U234" s="426"/>
      <c r="V234" s="426"/>
      <c r="W234" s="426"/>
      <c r="X234" s="426"/>
      <c r="Y234" s="426"/>
      <c r="Z234" s="426"/>
      <c r="AA234" s="426"/>
      <c r="AB234" s="426"/>
      <c r="AC234" s="426"/>
      <c r="AD234" s="426"/>
      <c r="AE234" s="426"/>
      <c r="AF234" s="426"/>
      <c r="AG234" s="426"/>
      <c r="AH234" s="426"/>
      <c r="AI234" s="426"/>
    </row>
    <row r="235" spans="1:36" s="1" customFormat="1" hidden="1">
      <c r="A235" s="392" t="s">
        <v>1587</v>
      </c>
      <c r="B235" s="427" t="s">
        <v>2647</v>
      </c>
      <c r="C235" s="433" t="s">
        <v>4163</v>
      </c>
      <c r="D235" s="433" t="s">
        <v>3500</v>
      </c>
      <c r="E235" s="433" t="s">
        <v>2654</v>
      </c>
      <c r="F235" s="433" t="s">
        <v>2654</v>
      </c>
      <c r="G235" s="433" t="s">
        <v>2654</v>
      </c>
      <c r="H235" s="433" t="s">
        <v>2654</v>
      </c>
      <c r="I235" s="433" t="s">
        <v>2654</v>
      </c>
      <c r="J235" s="433" t="s">
        <v>2654</v>
      </c>
      <c r="K235" s="433" t="s">
        <v>2654</v>
      </c>
      <c r="L235" s="433" t="s">
        <v>2654</v>
      </c>
      <c r="M235" s="433" t="s">
        <v>2654</v>
      </c>
      <c r="N235" s="433" t="s">
        <v>2654</v>
      </c>
      <c r="O235" s="433" t="s">
        <v>2654</v>
      </c>
      <c r="P235" s="433" t="s">
        <v>2648</v>
      </c>
      <c r="Q235" s="431"/>
      <c r="R235" s="431"/>
      <c r="S235" s="426" t="s">
        <v>2673</v>
      </c>
      <c r="T235" s="426" t="s">
        <v>2779</v>
      </c>
      <c r="U235" s="426" t="s">
        <v>3013</v>
      </c>
      <c r="V235" s="426" t="s">
        <v>2810</v>
      </c>
      <c r="W235" s="426" t="s">
        <v>2854</v>
      </c>
      <c r="X235" s="426" t="s">
        <v>2813</v>
      </c>
      <c r="Y235" s="426" t="s">
        <v>2672</v>
      </c>
      <c r="Z235" s="426" t="s">
        <v>2646</v>
      </c>
      <c r="AA235" s="426" t="s">
        <v>2646</v>
      </c>
      <c r="AB235" s="426" t="s">
        <v>2646</v>
      </c>
      <c r="AC235" s="426" t="s">
        <v>2646</v>
      </c>
      <c r="AD235" s="426" t="s">
        <v>2646</v>
      </c>
      <c r="AE235" s="426" t="s">
        <v>2646</v>
      </c>
      <c r="AF235" s="426" t="s">
        <v>2646</v>
      </c>
      <c r="AG235" s="426" t="s">
        <v>2646</v>
      </c>
      <c r="AH235" s="426" t="s">
        <v>2646</v>
      </c>
      <c r="AI235" s="426" t="s">
        <v>2646</v>
      </c>
      <c r="AJ235" s="1" t="s">
        <v>2646</v>
      </c>
    </row>
    <row r="236" spans="1:36" s="1" customFormat="1" hidden="1">
      <c r="A236" s="392" t="s">
        <v>1588</v>
      </c>
      <c r="B236" s="427" t="s">
        <v>2648</v>
      </c>
      <c r="C236" s="433" t="s">
        <v>4164</v>
      </c>
      <c r="D236" s="433" t="s">
        <v>3729</v>
      </c>
      <c r="E236" s="433" t="s">
        <v>2654</v>
      </c>
      <c r="F236" s="433" t="s">
        <v>2654</v>
      </c>
      <c r="G236" s="433" t="s">
        <v>2654</v>
      </c>
      <c r="H236" s="433" t="s">
        <v>2654</v>
      </c>
      <c r="I236" s="433" t="s">
        <v>2654</v>
      </c>
      <c r="J236" s="433" t="s">
        <v>2654</v>
      </c>
      <c r="K236" s="433" t="s">
        <v>2654</v>
      </c>
      <c r="L236" s="433" t="s">
        <v>2654</v>
      </c>
      <c r="M236" s="433" t="s">
        <v>2654</v>
      </c>
      <c r="N236" s="433" t="s">
        <v>2654</v>
      </c>
      <c r="O236" s="433" t="s">
        <v>2654</v>
      </c>
      <c r="P236" s="433" t="s">
        <v>2649</v>
      </c>
      <c r="Q236" s="431"/>
      <c r="R236" s="431"/>
      <c r="S236" s="426" t="s">
        <v>2673</v>
      </c>
      <c r="T236" s="426" t="s">
        <v>3151</v>
      </c>
      <c r="U236" s="426" t="s">
        <v>3152</v>
      </c>
      <c r="V236" s="426" t="s">
        <v>3153</v>
      </c>
      <c r="W236" s="426" t="s">
        <v>2854</v>
      </c>
      <c r="X236" s="426" t="s">
        <v>2813</v>
      </c>
      <c r="Y236" s="426" t="s">
        <v>2672</v>
      </c>
      <c r="Z236" s="426" t="s">
        <v>2646</v>
      </c>
      <c r="AA236" s="426" t="s">
        <v>2646</v>
      </c>
      <c r="AB236" s="426" t="s">
        <v>2646</v>
      </c>
      <c r="AC236" s="426" t="s">
        <v>2646</v>
      </c>
      <c r="AD236" s="426" t="s">
        <v>2646</v>
      </c>
      <c r="AE236" s="426" t="s">
        <v>2646</v>
      </c>
      <c r="AF236" s="426" t="s">
        <v>2646</v>
      </c>
      <c r="AG236" s="426" t="s">
        <v>2646</v>
      </c>
      <c r="AH236" s="426" t="s">
        <v>2646</v>
      </c>
      <c r="AI236" s="426" t="s">
        <v>2646</v>
      </c>
      <c r="AJ236" s="1" t="s">
        <v>2646</v>
      </c>
    </row>
    <row r="237" spans="1:36" s="1" customFormat="1" hidden="1">
      <c r="A237" s="392" t="s">
        <v>1589</v>
      </c>
      <c r="B237" s="427" t="s">
        <v>2649</v>
      </c>
      <c r="C237" s="433" t="s">
        <v>3597</v>
      </c>
      <c r="D237" s="433" t="s">
        <v>3729</v>
      </c>
      <c r="E237" s="433" t="s">
        <v>2654</v>
      </c>
      <c r="F237" s="433" t="s">
        <v>2654</v>
      </c>
      <c r="G237" s="433" t="s">
        <v>2654</v>
      </c>
      <c r="H237" s="433" t="s">
        <v>2654</v>
      </c>
      <c r="I237" s="433" t="s">
        <v>2654</v>
      </c>
      <c r="J237" s="433" t="s">
        <v>2654</v>
      </c>
      <c r="K237" s="433" t="s">
        <v>2654</v>
      </c>
      <c r="L237" s="433" t="s">
        <v>2654</v>
      </c>
      <c r="M237" s="433" t="s">
        <v>2654</v>
      </c>
      <c r="N237" s="433" t="s">
        <v>2654</v>
      </c>
      <c r="O237" s="433" t="s">
        <v>2654</v>
      </c>
      <c r="P237" s="433" t="s">
        <v>2648</v>
      </c>
      <c r="Q237" s="431"/>
      <c r="R237" s="431"/>
      <c r="S237" s="426" t="s">
        <v>2669</v>
      </c>
      <c r="T237" s="426" t="s">
        <v>2764</v>
      </c>
      <c r="U237" s="426" t="s">
        <v>3152</v>
      </c>
      <c r="V237" s="426" t="s">
        <v>3154</v>
      </c>
      <c r="W237" s="426" t="s">
        <v>2854</v>
      </c>
      <c r="X237" s="426" t="s">
        <v>2813</v>
      </c>
      <c r="Y237" s="426" t="s">
        <v>2672</v>
      </c>
      <c r="Z237" s="426" t="s">
        <v>2646</v>
      </c>
      <c r="AA237" s="426" t="s">
        <v>2646</v>
      </c>
      <c r="AB237" s="426" t="s">
        <v>2646</v>
      </c>
      <c r="AC237" s="426" t="s">
        <v>2646</v>
      </c>
      <c r="AD237" s="426" t="s">
        <v>2646</v>
      </c>
      <c r="AE237" s="426" t="s">
        <v>2646</v>
      </c>
      <c r="AF237" s="426" t="s">
        <v>2646</v>
      </c>
      <c r="AG237" s="426" t="s">
        <v>2646</v>
      </c>
      <c r="AH237" s="426" t="s">
        <v>2646</v>
      </c>
      <c r="AI237" s="426" t="s">
        <v>2646</v>
      </c>
      <c r="AJ237" s="1" t="s">
        <v>2646</v>
      </c>
    </row>
    <row r="238" spans="1:36" s="1" customFormat="1" hidden="1">
      <c r="A238" s="392" t="s">
        <v>1590</v>
      </c>
      <c r="B238" s="427" t="s">
        <v>2650</v>
      </c>
      <c r="C238" s="433" t="s">
        <v>3673</v>
      </c>
      <c r="D238" s="433" t="s">
        <v>3729</v>
      </c>
      <c r="E238" s="433" t="s">
        <v>2654</v>
      </c>
      <c r="F238" s="433" t="s">
        <v>2654</v>
      </c>
      <c r="G238" s="433" t="s">
        <v>2654</v>
      </c>
      <c r="H238" s="433" t="s">
        <v>2654</v>
      </c>
      <c r="I238" s="433" t="s">
        <v>2654</v>
      </c>
      <c r="J238" s="433" t="s">
        <v>2654</v>
      </c>
      <c r="K238" s="433" t="s">
        <v>2654</v>
      </c>
      <c r="L238" s="433" t="s">
        <v>2654</v>
      </c>
      <c r="M238" s="433" t="s">
        <v>2654</v>
      </c>
      <c r="N238" s="433" t="s">
        <v>2654</v>
      </c>
      <c r="O238" s="433" t="s">
        <v>2654</v>
      </c>
      <c r="P238" s="433" t="s">
        <v>2649</v>
      </c>
      <c r="Q238" s="431"/>
      <c r="R238" s="431"/>
      <c r="S238" s="426" t="s">
        <v>2655</v>
      </c>
      <c r="T238" s="426" t="s">
        <v>3112</v>
      </c>
      <c r="U238" s="426" t="s">
        <v>3013</v>
      </c>
      <c r="V238" s="426" t="s">
        <v>3155</v>
      </c>
      <c r="W238" s="426" t="s">
        <v>2854</v>
      </c>
      <c r="X238" s="426" t="s">
        <v>2813</v>
      </c>
      <c r="Y238" s="426" t="s">
        <v>2672</v>
      </c>
      <c r="Z238" s="426" t="s">
        <v>2646</v>
      </c>
      <c r="AA238" s="426" t="s">
        <v>2646</v>
      </c>
      <c r="AB238" s="426" t="s">
        <v>2646</v>
      </c>
      <c r="AC238" s="426" t="s">
        <v>2646</v>
      </c>
      <c r="AD238" s="426" t="s">
        <v>2646</v>
      </c>
      <c r="AE238" s="426" t="s">
        <v>2646</v>
      </c>
      <c r="AF238" s="426" t="s">
        <v>2646</v>
      </c>
      <c r="AG238" s="426" t="s">
        <v>2646</v>
      </c>
      <c r="AH238" s="426" t="s">
        <v>2646</v>
      </c>
      <c r="AI238" s="426" t="s">
        <v>2646</v>
      </c>
      <c r="AJ238" s="1" t="s">
        <v>2646</v>
      </c>
    </row>
    <row r="239" spans="1:36" s="1" customFormat="1" hidden="1">
      <c r="A239" s="392" t="s">
        <v>1591</v>
      </c>
      <c r="B239" s="427" t="s">
        <v>2651</v>
      </c>
      <c r="C239" s="433" t="s">
        <v>3475</v>
      </c>
      <c r="D239" s="433" t="s">
        <v>3729</v>
      </c>
      <c r="E239" s="433" t="s">
        <v>2654</v>
      </c>
      <c r="F239" s="433" t="s">
        <v>2654</v>
      </c>
      <c r="G239" s="433" t="s">
        <v>2654</v>
      </c>
      <c r="H239" s="433" t="s">
        <v>2654</v>
      </c>
      <c r="I239" s="433" t="s">
        <v>2654</v>
      </c>
      <c r="J239" s="433" t="s">
        <v>2654</v>
      </c>
      <c r="K239" s="433" t="s">
        <v>2654</v>
      </c>
      <c r="L239" s="433" t="s">
        <v>2654</v>
      </c>
      <c r="M239" s="433" t="s">
        <v>2654</v>
      </c>
      <c r="N239" s="433" t="s">
        <v>2654</v>
      </c>
      <c r="O239" s="433" t="s">
        <v>2654</v>
      </c>
      <c r="P239" s="433" t="s">
        <v>2647</v>
      </c>
      <c r="Q239" s="431"/>
      <c r="R239" s="431"/>
      <c r="S239" s="426" t="s">
        <v>2655</v>
      </c>
      <c r="T239" s="426" t="s">
        <v>3151</v>
      </c>
      <c r="U239" s="426" t="s">
        <v>3152</v>
      </c>
      <c r="V239" s="426" t="s">
        <v>3156</v>
      </c>
      <c r="W239" s="426" t="s">
        <v>2854</v>
      </c>
      <c r="X239" s="426" t="s">
        <v>2813</v>
      </c>
      <c r="Y239" s="426" t="s">
        <v>2672</v>
      </c>
      <c r="Z239" s="426" t="s">
        <v>2646</v>
      </c>
      <c r="AA239" s="426" t="s">
        <v>2646</v>
      </c>
      <c r="AB239" s="426" t="s">
        <v>2646</v>
      </c>
      <c r="AC239" s="426" t="s">
        <v>2646</v>
      </c>
      <c r="AD239" s="426" t="s">
        <v>2646</v>
      </c>
      <c r="AE239" s="426" t="s">
        <v>2646</v>
      </c>
      <c r="AF239" s="426" t="s">
        <v>2646</v>
      </c>
      <c r="AG239" s="426" t="s">
        <v>2646</v>
      </c>
      <c r="AH239" s="426" t="s">
        <v>2646</v>
      </c>
      <c r="AI239" s="426" t="s">
        <v>2646</v>
      </c>
      <c r="AJ239" s="1" t="s">
        <v>2646</v>
      </c>
    </row>
    <row r="240" spans="1:36" s="1" customFormat="1">
      <c r="A240" s="392" t="s">
        <v>1591</v>
      </c>
      <c r="B240" s="427" t="s">
        <v>48</v>
      </c>
      <c r="C240" s="433" t="s">
        <v>4165</v>
      </c>
      <c r="D240" s="433" t="s">
        <v>3907</v>
      </c>
      <c r="E240" s="433" t="s">
        <v>2654</v>
      </c>
      <c r="F240" s="433" t="s">
        <v>2654</v>
      </c>
      <c r="G240" s="433" t="s">
        <v>2654</v>
      </c>
      <c r="H240" s="433" t="s">
        <v>2654</v>
      </c>
      <c r="I240" s="433" t="s">
        <v>2654</v>
      </c>
      <c r="J240" s="433" t="s">
        <v>2654</v>
      </c>
      <c r="K240" s="433" t="s">
        <v>2654</v>
      </c>
      <c r="L240" s="433" t="s">
        <v>2654</v>
      </c>
      <c r="M240" s="433" t="s">
        <v>2654</v>
      </c>
      <c r="N240" s="433" t="s">
        <v>2654</v>
      </c>
      <c r="O240" s="433" t="s">
        <v>2654</v>
      </c>
      <c r="P240" s="433" t="s">
        <v>2832</v>
      </c>
      <c r="Q240" s="433" t="s">
        <v>2654</v>
      </c>
      <c r="R240" s="433" t="s">
        <v>2654</v>
      </c>
      <c r="S240" s="426"/>
      <c r="T240" s="426"/>
      <c r="U240" s="426"/>
      <c r="V240" s="426"/>
      <c r="W240" s="426"/>
      <c r="X240" s="426"/>
      <c r="Y240" s="426"/>
      <c r="Z240" s="426"/>
      <c r="AA240" s="426"/>
      <c r="AB240" s="426"/>
      <c r="AC240" s="426"/>
      <c r="AD240" s="426"/>
      <c r="AE240" s="426"/>
      <c r="AF240" s="426"/>
      <c r="AG240" s="426"/>
      <c r="AH240" s="426"/>
      <c r="AI240" s="426"/>
    </row>
    <row r="241" spans="1:36" hidden="1">
      <c r="A241" s="392" t="s">
        <v>1592</v>
      </c>
      <c r="B241" s="427" t="s">
        <v>2647</v>
      </c>
      <c r="C241" s="433" t="s">
        <v>3919</v>
      </c>
      <c r="D241" s="433" t="s">
        <v>3788</v>
      </c>
      <c r="E241" s="433" t="s">
        <v>2654</v>
      </c>
      <c r="F241" s="433" t="s">
        <v>2654</v>
      </c>
      <c r="G241" s="433" t="s">
        <v>2654</v>
      </c>
      <c r="H241" s="433" t="s">
        <v>2654</v>
      </c>
      <c r="I241" s="433" t="s">
        <v>2654</v>
      </c>
      <c r="J241" s="433" t="s">
        <v>2654</v>
      </c>
      <c r="K241" s="433" t="s">
        <v>2654</v>
      </c>
      <c r="L241" s="433" t="s">
        <v>2654</v>
      </c>
      <c r="M241" s="433" t="s">
        <v>2654</v>
      </c>
      <c r="N241" s="433" t="s">
        <v>2654</v>
      </c>
      <c r="O241" s="433" t="s">
        <v>2654</v>
      </c>
      <c r="P241" s="433" t="s">
        <v>2650</v>
      </c>
      <c r="Q241" s="431"/>
      <c r="R241" s="431"/>
      <c r="S241" s="426" t="s">
        <v>2655</v>
      </c>
      <c r="T241" s="426" t="s">
        <v>2930</v>
      </c>
      <c r="U241" s="426" t="s">
        <v>3052</v>
      </c>
      <c r="V241" s="426" t="s">
        <v>3158</v>
      </c>
      <c r="W241" s="426" t="s">
        <v>2854</v>
      </c>
      <c r="X241" s="426" t="s">
        <v>2840</v>
      </c>
      <c r="Y241" s="426" t="s">
        <v>2693</v>
      </c>
      <c r="Z241" s="426" t="s">
        <v>2646</v>
      </c>
      <c r="AA241" s="426" t="s">
        <v>2646</v>
      </c>
      <c r="AB241" s="426" t="s">
        <v>2646</v>
      </c>
      <c r="AC241" s="426" t="s">
        <v>2646</v>
      </c>
      <c r="AD241" s="426" t="s">
        <v>2646</v>
      </c>
      <c r="AE241" s="426" t="s">
        <v>2646</v>
      </c>
      <c r="AF241" s="426" t="s">
        <v>2646</v>
      </c>
      <c r="AG241" s="426" t="s">
        <v>2646</v>
      </c>
      <c r="AH241" s="426" t="s">
        <v>2646</v>
      </c>
      <c r="AI241" s="426" t="s">
        <v>2646</v>
      </c>
      <c r="AJ241" s="68" t="s">
        <v>2646</v>
      </c>
    </row>
    <row r="242" spans="1:36" hidden="1">
      <c r="A242" s="392" t="s">
        <v>1593</v>
      </c>
      <c r="B242" s="427" t="s">
        <v>2648</v>
      </c>
      <c r="C242" s="433" t="s">
        <v>3148</v>
      </c>
      <c r="D242" s="433" t="s">
        <v>3583</v>
      </c>
      <c r="E242" s="433" t="s">
        <v>2654</v>
      </c>
      <c r="F242" s="433" t="s">
        <v>2654</v>
      </c>
      <c r="G242" s="433" t="s">
        <v>2654</v>
      </c>
      <c r="H242" s="433" t="s">
        <v>2654</v>
      </c>
      <c r="I242" s="433" t="s">
        <v>2654</v>
      </c>
      <c r="J242" s="433" t="s">
        <v>2654</v>
      </c>
      <c r="K242" s="433" t="s">
        <v>2654</v>
      </c>
      <c r="L242" s="433" t="s">
        <v>2654</v>
      </c>
      <c r="M242" s="433" t="s">
        <v>2654</v>
      </c>
      <c r="N242" s="433" t="s">
        <v>2654</v>
      </c>
      <c r="O242" s="433" t="s">
        <v>2654</v>
      </c>
      <c r="P242" s="433" t="s">
        <v>2649</v>
      </c>
      <c r="Q242" s="431"/>
      <c r="R242" s="431"/>
      <c r="S242" s="426" t="s">
        <v>2665</v>
      </c>
      <c r="T242" s="426" t="s">
        <v>2862</v>
      </c>
      <c r="U242" s="426" t="s">
        <v>3052</v>
      </c>
      <c r="V242" s="426" t="s">
        <v>2862</v>
      </c>
      <c r="W242" s="426" t="s">
        <v>2854</v>
      </c>
      <c r="X242" s="426" t="s">
        <v>2840</v>
      </c>
      <c r="Y242" s="426" t="s">
        <v>2693</v>
      </c>
      <c r="Z242" s="426" t="s">
        <v>3161</v>
      </c>
      <c r="AA242" s="426" t="s">
        <v>2646</v>
      </c>
      <c r="AB242" s="426" t="s">
        <v>2646</v>
      </c>
      <c r="AC242" s="426" t="s">
        <v>2646</v>
      </c>
      <c r="AD242" s="426" t="s">
        <v>2646</v>
      </c>
      <c r="AE242" s="426" t="s">
        <v>2646</v>
      </c>
      <c r="AF242" s="426" t="s">
        <v>2646</v>
      </c>
      <c r="AG242" s="426" t="s">
        <v>2646</v>
      </c>
      <c r="AH242" s="426" t="s">
        <v>2646</v>
      </c>
      <c r="AI242" s="426" t="s">
        <v>2646</v>
      </c>
      <c r="AJ242" s="68" t="s">
        <v>2646</v>
      </c>
    </row>
    <row r="243" spans="1:36" hidden="1">
      <c r="A243" s="392" t="s">
        <v>1594</v>
      </c>
      <c r="B243" s="427" t="s">
        <v>2649</v>
      </c>
      <c r="C243" s="433" t="s">
        <v>3920</v>
      </c>
      <c r="D243" s="433" t="s">
        <v>3561</v>
      </c>
      <c r="E243" s="433" t="s">
        <v>2654</v>
      </c>
      <c r="F243" s="433" t="s">
        <v>2654</v>
      </c>
      <c r="G243" s="433" t="s">
        <v>2654</v>
      </c>
      <c r="H243" s="433" t="s">
        <v>2654</v>
      </c>
      <c r="I243" s="433" t="s">
        <v>2654</v>
      </c>
      <c r="J243" s="433" t="s">
        <v>2654</v>
      </c>
      <c r="K243" s="433" t="s">
        <v>2654</v>
      </c>
      <c r="L243" s="433" t="s">
        <v>2654</v>
      </c>
      <c r="M243" s="433" t="s">
        <v>2654</v>
      </c>
      <c r="N243" s="433" t="s">
        <v>2654</v>
      </c>
      <c r="O243" s="433" t="s">
        <v>2654</v>
      </c>
      <c r="P243" s="433" t="s">
        <v>2650</v>
      </c>
      <c r="Q243" s="431"/>
      <c r="R243" s="431"/>
      <c r="S243" s="426" t="s">
        <v>2655</v>
      </c>
      <c r="T243" s="426" t="s">
        <v>2717</v>
      </c>
      <c r="U243" s="426" t="s">
        <v>3013</v>
      </c>
      <c r="V243" s="426" t="s">
        <v>2717</v>
      </c>
      <c r="W243" s="426" t="s">
        <v>2854</v>
      </c>
      <c r="X243" s="426" t="s">
        <v>2840</v>
      </c>
      <c r="Y243" s="426" t="s">
        <v>2693</v>
      </c>
      <c r="Z243" s="426" t="s">
        <v>2646</v>
      </c>
      <c r="AA243" s="426" t="s">
        <v>2646</v>
      </c>
      <c r="AB243" s="426" t="s">
        <v>2646</v>
      </c>
      <c r="AC243" s="426" t="s">
        <v>2646</v>
      </c>
      <c r="AD243" s="426" t="s">
        <v>2646</v>
      </c>
      <c r="AE243" s="426" t="s">
        <v>2646</v>
      </c>
      <c r="AF243" s="426" t="s">
        <v>2646</v>
      </c>
      <c r="AG243" s="426" t="s">
        <v>2646</v>
      </c>
      <c r="AH243" s="426" t="s">
        <v>2646</v>
      </c>
      <c r="AI243" s="426" t="s">
        <v>2646</v>
      </c>
      <c r="AJ243" s="68" t="s">
        <v>2646</v>
      </c>
    </row>
    <row r="244" spans="1:36" hidden="1">
      <c r="A244" s="392" t="s">
        <v>1595</v>
      </c>
      <c r="B244" s="427" t="s">
        <v>2650</v>
      </c>
      <c r="C244" s="433" t="s">
        <v>3695</v>
      </c>
      <c r="D244" s="433" t="s">
        <v>3382</v>
      </c>
      <c r="E244" s="433" t="s">
        <v>2654</v>
      </c>
      <c r="F244" s="433" t="s">
        <v>2654</v>
      </c>
      <c r="G244" s="433" t="s">
        <v>2654</v>
      </c>
      <c r="H244" s="433" t="s">
        <v>2654</v>
      </c>
      <c r="I244" s="433" t="s">
        <v>2654</v>
      </c>
      <c r="J244" s="433" t="s">
        <v>2654</v>
      </c>
      <c r="K244" s="433" t="s">
        <v>2654</v>
      </c>
      <c r="L244" s="433" t="s">
        <v>2654</v>
      </c>
      <c r="M244" s="433" t="s">
        <v>2654</v>
      </c>
      <c r="N244" s="433" t="s">
        <v>2654</v>
      </c>
      <c r="O244" s="433" t="s">
        <v>2654</v>
      </c>
      <c r="P244" s="433" t="s">
        <v>2649</v>
      </c>
      <c r="Q244" s="431"/>
      <c r="R244" s="431"/>
      <c r="S244" s="426" t="s">
        <v>3132</v>
      </c>
      <c r="T244" s="426" t="s">
        <v>3100</v>
      </c>
      <c r="U244" s="426" t="s">
        <v>3152</v>
      </c>
      <c r="V244" s="426" t="s">
        <v>2779</v>
      </c>
      <c r="W244" s="426" t="s">
        <v>2854</v>
      </c>
      <c r="X244" s="426" t="s">
        <v>2840</v>
      </c>
      <c r="Y244" s="426" t="s">
        <v>2693</v>
      </c>
      <c r="Z244" s="426" t="s">
        <v>3161</v>
      </c>
      <c r="AA244" s="426" t="s">
        <v>2646</v>
      </c>
      <c r="AB244" s="426" t="s">
        <v>2646</v>
      </c>
      <c r="AC244" s="426" t="s">
        <v>2646</v>
      </c>
      <c r="AD244" s="426" t="s">
        <v>2646</v>
      </c>
      <c r="AE244" s="426" t="s">
        <v>2646</v>
      </c>
      <c r="AF244" s="426" t="s">
        <v>2646</v>
      </c>
      <c r="AG244" s="426" t="s">
        <v>2646</v>
      </c>
      <c r="AH244" s="426" t="s">
        <v>2646</v>
      </c>
      <c r="AI244" s="426" t="s">
        <v>2646</v>
      </c>
      <c r="AJ244" s="68" t="s">
        <v>2646</v>
      </c>
    </row>
    <row r="245" spans="1:36" hidden="1">
      <c r="A245" s="392" t="s">
        <v>1596</v>
      </c>
      <c r="B245" s="427" t="s">
        <v>2651</v>
      </c>
      <c r="C245" s="433" t="s">
        <v>3148</v>
      </c>
      <c r="D245" s="433" t="s">
        <v>3561</v>
      </c>
      <c r="E245" s="433" t="s">
        <v>2654</v>
      </c>
      <c r="F245" s="433" t="s">
        <v>2654</v>
      </c>
      <c r="G245" s="433" t="s">
        <v>2654</v>
      </c>
      <c r="H245" s="433" t="s">
        <v>2654</v>
      </c>
      <c r="I245" s="433" t="s">
        <v>2654</v>
      </c>
      <c r="J245" s="433" t="s">
        <v>2654</v>
      </c>
      <c r="K245" s="433" t="s">
        <v>2654</v>
      </c>
      <c r="L245" s="433" t="s">
        <v>2654</v>
      </c>
      <c r="M245" s="433" t="s">
        <v>2654</v>
      </c>
      <c r="N245" s="433" t="s">
        <v>2654</v>
      </c>
      <c r="O245" s="433" t="s">
        <v>2654</v>
      </c>
      <c r="P245" s="433" t="s">
        <v>2647</v>
      </c>
      <c r="Q245" s="431"/>
      <c r="R245" s="431"/>
      <c r="S245" s="426" t="s">
        <v>2778</v>
      </c>
      <c r="T245" s="426" t="s">
        <v>3165</v>
      </c>
      <c r="U245" s="426" t="s">
        <v>3152</v>
      </c>
      <c r="V245" s="426" t="s">
        <v>3166</v>
      </c>
      <c r="W245" s="426" t="s">
        <v>2854</v>
      </c>
      <c r="X245" s="426" t="s">
        <v>2840</v>
      </c>
      <c r="Y245" s="426" t="s">
        <v>2693</v>
      </c>
      <c r="Z245" s="426" t="s">
        <v>2971</v>
      </c>
      <c r="AA245" s="426" t="s">
        <v>2646</v>
      </c>
      <c r="AB245" s="426" t="s">
        <v>2646</v>
      </c>
      <c r="AC245" s="426" t="s">
        <v>2646</v>
      </c>
      <c r="AD245" s="426" t="s">
        <v>2646</v>
      </c>
      <c r="AE245" s="426" t="s">
        <v>2646</v>
      </c>
      <c r="AF245" s="426" t="s">
        <v>2646</v>
      </c>
      <c r="AG245" s="426" t="s">
        <v>2646</v>
      </c>
      <c r="AH245" s="426" t="s">
        <v>2646</v>
      </c>
      <c r="AI245" s="426" t="s">
        <v>2646</v>
      </c>
      <c r="AJ245" s="68" t="s">
        <v>2646</v>
      </c>
    </row>
    <row r="246" spans="1:36">
      <c r="A246" s="392" t="s">
        <v>1596</v>
      </c>
      <c r="B246" s="427" t="s">
        <v>48</v>
      </c>
      <c r="C246" s="433" t="s">
        <v>4166</v>
      </c>
      <c r="D246" s="433" t="s">
        <v>4167</v>
      </c>
      <c r="E246" s="433" t="s">
        <v>2654</v>
      </c>
      <c r="F246" s="433" t="s">
        <v>2654</v>
      </c>
      <c r="G246" s="433" t="s">
        <v>2654</v>
      </c>
      <c r="H246" s="433" t="s">
        <v>2654</v>
      </c>
      <c r="I246" s="433" t="s">
        <v>2654</v>
      </c>
      <c r="J246" s="433" t="s">
        <v>2654</v>
      </c>
      <c r="K246" s="433" t="s">
        <v>2654</v>
      </c>
      <c r="L246" s="433" t="s">
        <v>2654</v>
      </c>
      <c r="M246" s="433" t="s">
        <v>2654</v>
      </c>
      <c r="N246" s="433" t="s">
        <v>2654</v>
      </c>
      <c r="O246" s="433" t="s">
        <v>2654</v>
      </c>
      <c r="P246" s="433" t="s">
        <v>2656</v>
      </c>
      <c r="Q246" s="433" t="s">
        <v>2654</v>
      </c>
      <c r="R246" s="433" t="s">
        <v>2654</v>
      </c>
      <c r="S246" s="426"/>
      <c r="T246" s="426"/>
      <c r="U246" s="426"/>
      <c r="V246" s="426"/>
      <c r="W246" s="426"/>
      <c r="X246" s="426"/>
      <c r="Y246" s="426"/>
      <c r="Z246" s="426"/>
      <c r="AA246" s="426"/>
      <c r="AB246" s="426"/>
      <c r="AC246" s="426"/>
      <c r="AD246" s="426"/>
      <c r="AE246" s="426"/>
      <c r="AF246" s="426"/>
      <c r="AG246" s="426"/>
      <c r="AH246" s="426"/>
      <c r="AI246" s="426"/>
    </row>
    <row r="247" spans="1:36" hidden="1">
      <c r="A247" s="392" t="s">
        <v>1597</v>
      </c>
      <c r="B247" s="427" t="s">
        <v>2647</v>
      </c>
      <c r="C247" s="433" t="s">
        <v>3281</v>
      </c>
      <c r="D247" s="433" t="s">
        <v>3734</v>
      </c>
      <c r="E247" s="433" t="s">
        <v>2654</v>
      </c>
      <c r="F247" s="433" t="s">
        <v>2654</v>
      </c>
      <c r="G247" s="433" t="s">
        <v>2654</v>
      </c>
      <c r="H247" s="433" t="s">
        <v>2654</v>
      </c>
      <c r="I247" s="433" t="s">
        <v>2654</v>
      </c>
      <c r="J247" s="433" t="s">
        <v>2654</v>
      </c>
      <c r="K247" s="433" t="s">
        <v>2654</v>
      </c>
      <c r="L247" s="433" t="s">
        <v>2654</v>
      </c>
      <c r="M247" s="433" t="s">
        <v>2654</v>
      </c>
      <c r="N247" s="433" t="s">
        <v>2654</v>
      </c>
      <c r="O247" s="433" t="s">
        <v>2654</v>
      </c>
      <c r="P247" s="433" t="s">
        <v>2647</v>
      </c>
      <c r="Q247" s="431"/>
      <c r="R247" s="431"/>
      <c r="S247" s="426" t="s">
        <v>3132</v>
      </c>
      <c r="T247" s="426" t="s">
        <v>2802</v>
      </c>
      <c r="U247" s="426" t="s">
        <v>3172</v>
      </c>
      <c r="V247" s="426" t="s">
        <v>2861</v>
      </c>
      <c r="W247" s="426" t="s">
        <v>3173</v>
      </c>
      <c r="X247" s="426" t="s">
        <v>2873</v>
      </c>
      <c r="Y247" s="426" t="s">
        <v>2671</v>
      </c>
      <c r="Z247" s="426" t="s">
        <v>3174</v>
      </c>
      <c r="AA247" s="426" t="s">
        <v>2646</v>
      </c>
      <c r="AB247" s="426" t="s">
        <v>2646</v>
      </c>
      <c r="AC247" s="426" t="s">
        <v>2646</v>
      </c>
      <c r="AD247" s="426" t="s">
        <v>2646</v>
      </c>
      <c r="AE247" s="426" t="s">
        <v>2646</v>
      </c>
      <c r="AF247" s="426" t="s">
        <v>2646</v>
      </c>
      <c r="AG247" s="426" t="s">
        <v>2646</v>
      </c>
      <c r="AH247" s="426" t="s">
        <v>2646</v>
      </c>
      <c r="AI247" s="426" t="s">
        <v>2646</v>
      </c>
      <c r="AJ247" s="68" t="s">
        <v>2646</v>
      </c>
    </row>
    <row r="248" spans="1:36" hidden="1">
      <c r="A248" s="392" t="s">
        <v>1598</v>
      </c>
      <c r="B248" s="427" t="s">
        <v>2648</v>
      </c>
      <c r="C248" s="433" t="s">
        <v>3787</v>
      </c>
      <c r="D248" s="433" t="s">
        <v>3789</v>
      </c>
      <c r="E248" s="433" t="s">
        <v>2654</v>
      </c>
      <c r="F248" s="433" t="s">
        <v>2654</v>
      </c>
      <c r="G248" s="433" t="s">
        <v>2654</v>
      </c>
      <c r="H248" s="433" t="s">
        <v>2654</v>
      </c>
      <c r="I248" s="433" t="s">
        <v>2654</v>
      </c>
      <c r="J248" s="433" t="s">
        <v>2654</v>
      </c>
      <c r="K248" s="433" t="s">
        <v>2654</v>
      </c>
      <c r="L248" s="433" t="s">
        <v>2654</v>
      </c>
      <c r="M248" s="433" t="s">
        <v>2654</v>
      </c>
      <c r="N248" s="433" t="s">
        <v>2654</v>
      </c>
      <c r="O248" s="433" t="s">
        <v>2654</v>
      </c>
      <c r="P248" s="433" t="s">
        <v>2648</v>
      </c>
      <c r="Q248" s="431"/>
      <c r="R248" s="431"/>
      <c r="S248" s="426" t="s">
        <v>3132</v>
      </c>
      <c r="T248" s="426" t="s">
        <v>2742</v>
      </c>
      <c r="U248" s="426" t="s">
        <v>3152</v>
      </c>
      <c r="V248" s="426" t="s">
        <v>2747</v>
      </c>
      <c r="W248" s="426" t="s">
        <v>3173</v>
      </c>
      <c r="X248" s="426" t="s">
        <v>2873</v>
      </c>
      <c r="Y248" s="426" t="s">
        <v>2671</v>
      </c>
      <c r="Z248" s="426" t="s">
        <v>3175</v>
      </c>
      <c r="AA248" s="426" t="s">
        <v>2646</v>
      </c>
      <c r="AB248" s="426" t="s">
        <v>2646</v>
      </c>
      <c r="AC248" s="426" t="s">
        <v>2646</v>
      </c>
      <c r="AD248" s="426" t="s">
        <v>2646</v>
      </c>
      <c r="AE248" s="426" t="s">
        <v>2646</v>
      </c>
      <c r="AF248" s="426" t="s">
        <v>2646</v>
      </c>
      <c r="AG248" s="426" t="s">
        <v>2646</v>
      </c>
      <c r="AH248" s="426" t="s">
        <v>2646</v>
      </c>
      <c r="AI248" s="426" t="s">
        <v>2646</v>
      </c>
      <c r="AJ248" s="68" t="s">
        <v>2646</v>
      </c>
    </row>
    <row r="249" spans="1:36" hidden="1">
      <c r="A249" s="392" t="s">
        <v>1599</v>
      </c>
      <c r="B249" s="427" t="s">
        <v>2649</v>
      </c>
      <c r="C249" s="433" t="s">
        <v>3654</v>
      </c>
      <c r="D249" s="433" t="s">
        <v>3670</v>
      </c>
      <c r="E249" s="433" t="s">
        <v>2654</v>
      </c>
      <c r="F249" s="433" t="s">
        <v>2654</v>
      </c>
      <c r="G249" s="433" t="s">
        <v>2654</v>
      </c>
      <c r="H249" s="433" t="s">
        <v>2654</v>
      </c>
      <c r="I249" s="433" t="s">
        <v>2654</v>
      </c>
      <c r="J249" s="433" t="s">
        <v>2654</v>
      </c>
      <c r="K249" s="433" t="s">
        <v>2654</v>
      </c>
      <c r="L249" s="433" t="s">
        <v>2654</v>
      </c>
      <c r="M249" s="433" t="s">
        <v>2654</v>
      </c>
      <c r="N249" s="433" t="s">
        <v>2654</v>
      </c>
      <c r="O249" s="433" t="s">
        <v>2654</v>
      </c>
      <c r="P249" s="433" t="s">
        <v>2647</v>
      </c>
      <c r="Q249" s="431"/>
      <c r="R249" s="431"/>
      <c r="S249" s="426" t="s">
        <v>3132</v>
      </c>
      <c r="T249" s="426" t="s">
        <v>2996</v>
      </c>
      <c r="U249" s="426" t="s">
        <v>3013</v>
      </c>
      <c r="V249" s="426" t="s">
        <v>3176</v>
      </c>
      <c r="W249" s="426" t="s">
        <v>3173</v>
      </c>
      <c r="X249" s="426" t="s">
        <v>2873</v>
      </c>
      <c r="Y249" s="426" t="s">
        <v>2671</v>
      </c>
      <c r="Z249" s="426" t="s">
        <v>3177</v>
      </c>
      <c r="AA249" s="426" t="s">
        <v>2646</v>
      </c>
      <c r="AB249" s="426" t="s">
        <v>2646</v>
      </c>
      <c r="AC249" s="426" t="s">
        <v>2646</v>
      </c>
      <c r="AD249" s="426" t="s">
        <v>2646</v>
      </c>
      <c r="AE249" s="426" t="s">
        <v>2646</v>
      </c>
      <c r="AF249" s="426" t="s">
        <v>2646</v>
      </c>
      <c r="AG249" s="426" t="s">
        <v>2646</v>
      </c>
      <c r="AH249" s="426" t="s">
        <v>2646</v>
      </c>
      <c r="AI249" s="426" t="s">
        <v>2646</v>
      </c>
      <c r="AJ249" s="68" t="s">
        <v>2646</v>
      </c>
    </row>
    <row r="250" spans="1:36" hidden="1">
      <c r="A250" s="392" t="s">
        <v>1600</v>
      </c>
      <c r="B250" s="427" t="s">
        <v>2650</v>
      </c>
      <c r="C250" s="433" t="s">
        <v>3859</v>
      </c>
      <c r="D250" s="433" t="s">
        <v>4168</v>
      </c>
      <c r="E250" s="433" t="s">
        <v>2654</v>
      </c>
      <c r="F250" s="433" t="s">
        <v>2654</v>
      </c>
      <c r="G250" s="433" t="s">
        <v>2654</v>
      </c>
      <c r="H250" s="433" t="s">
        <v>2654</v>
      </c>
      <c r="I250" s="433" t="s">
        <v>2654</v>
      </c>
      <c r="J250" s="433" t="s">
        <v>2654</v>
      </c>
      <c r="K250" s="433" t="s">
        <v>2654</v>
      </c>
      <c r="L250" s="433" t="s">
        <v>2654</v>
      </c>
      <c r="M250" s="433" t="s">
        <v>2654</v>
      </c>
      <c r="N250" s="433" t="s">
        <v>2654</v>
      </c>
      <c r="O250" s="433" t="s">
        <v>2654</v>
      </c>
      <c r="P250" s="433" t="s">
        <v>2649</v>
      </c>
      <c r="Q250" s="431"/>
      <c r="R250" s="431"/>
      <c r="S250" s="426" t="s">
        <v>3132</v>
      </c>
      <c r="T250" s="426" t="s">
        <v>2949</v>
      </c>
      <c r="U250" s="426" t="s">
        <v>3172</v>
      </c>
      <c r="V250" s="426" t="s">
        <v>3179</v>
      </c>
      <c r="W250" s="426" t="s">
        <v>3173</v>
      </c>
      <c r="X250" s="426" t="s">
        <v>2873</v>
      </c>
      <c r="Y250" s="426" t="s">
        <v>2671</v>
      </c>
      <c r="Z250" s="426" t="s">
        <v>3180</v>
      </c>
      <c r="AA250" s="426" t="s">
        <v>2646</v>
      </c>
      <c r="AB250" s="426" t="s">
        <v>2646</v>
      </c>
      <c r="AC250" s="426" t="s">
        <v>2646</v>
      </c>
      <c r="AD250" s="426" t="s">
        <v>2646</v>
      </c>
      <c r="AE250" s="426" t="s">
        <v>2646</v>
      </c>
      <c r="AF250" s="426" t="s">
        <v>2646</v>
      </c>
      <c r="AG250" s="426" t="s">
        <v>2646</v>
      </c>
      <c r="AH250" s="426" t="s">
        <v>2646</v>
      </c>
      <c r="AI250" s="426" t="s">
        <v>2646</v>
      </c>
      <c r="AJ250" s="68" t="s">
        <v>2646</v>
      </c>
    </row>
    <row r="251" spans="1:36" hidden="1">
      <c r="A251" s="392" t="s">
        <v>1601</v>
      </c>
      <c r="B251" s="427" t="s">
        <v>2651</v>
      </c>
      <c r="C251" s="433" t="s">
        <v>3859</v>
      </c>
      <c r="D251" s="433" t="s">
        <v>3089</v>
      </c>
      <c r="E251" s="433" t="s">
        <v>2654</v>
      </c>
      <c r="F251" s="433" t="s">
        <v>2654</v>
      </c>
      <c r="G251" s="433" t="s">
        <v>2654</v>
      </c>
      <c r="H251" s="433" t="s">
        <v>2654</v>
      </c>
      <c r="I251" s="433" t="s">
        <v>2654</v>
      </c>
      <c r="J251" s="433" t="s">
        <v>2654</v>
      </c>
      <c r="K251" s="433" t="s">
        <v>2654</v>
      </c>
      <c r="L251" s="433" t="s">
        <v>2654</v>
      </c>
      <c r="M251" s="433" t="s">
        <v>2654</v>
      </c>
      <c r="N251" s="433" t="s">
        <v>2654</v>
      </c>
      <c r="O251" s="433" t="s">
        <v>2654</v>
      </c>
      <c r="P251" s="433" t="s">
        <v>2649</v>
      </c>
      <c r="Q251" s="431"/>
      <c r="R251" s="431"/>
      <c r="S251" s="426" t="s">
        <v>3137</v>
      </c>
      <c r="T251" s="426" t="s">
        <v>2762</v>
      </c>
      <c r="U251" s="426" t="s">
        <v>2823</v>
      </c>
      <c r="V251" s="426" t="s">
        <v>3181</v>
      </c>
      <c r="W251" s="426" t="s">
        <v>3173</v>
      </c>
      <c r="X251" s="426" t="s">
        <v>2873</v>
      </c>
      <c r="Y251" s="426" t="s">
        <v>2671</v>
      </c>
      <c r="Z251" s="426" t="s">
        <v>3182</v>
      </c>
      <c r="AA251" s="426" t="s">
        <v>2646</v>
      </c>
      <c r="AB251" s="426" t="s">
        <v>2646</v>
      </c>
      <c r="AC251" s="426" t="s">
        <v>2646</v>
      </c>
      <c r="AD251" s="426" t="s">
        <v>2646</v>
      </c>
      <c r="AE251" s="426" t="s">
        <v>2646</v>
      </c>
      <c r="AF251" s="426" t="s">
        <v>2646</v>
      </c>
      <c r="AG251" s="426" t="s">
        <v>2646</v>
      </c>
      <c r="AH251" s="426" t="s">
        <v>2646</v>
      </c>
      <c r="AI251" s="426" t="s">
        <v>2646</v>
      </c>
      <c r="AJ251" s="68" t="s">
        <v>2646</v>
      </c>
    </row>
    <row r="252" spans="1:36">
      <c r="A252" s="392" t="s">
        <v>1601</v>
      </c>
      <c r="B252" s="427" t="s">
        <v>48</v>
      </c>
      <c r="C252" s="433" t="s">
        <v>4169</v>
      </c>
      <c r="D252" s="433" t="s">
        <v>4170</v>
      </c>
      <c r="E252" s="433" t="s">
        <v>2654</v>
      </c>
      <c r="F252" s="433" t="s">
        <v>2654</v>
      </c>
      <c r="G252" s="433" t="s">
        <v>2654</v>
      </c>
      <c r="H252" s="433" t="s">
        <v>2654</v>
      </c>
      <c r="I252" s="433" t="s">
        <v>2654</v>
      </c>
      <c r="J252" s="433" t="s">
        <v>2654</v>
      </c>
      <c r="K252" s="433" t="s">
        <v>2654</v>
      </c>
      <c r="L252" s="433" t="s">
        <v>2654</v>
      </c>
      <c r="M252" s="433" t="s">
        <v>2654</v>
      </c>
      <c r="N252" s="433" t="s">
        <v>2654</v>
      </c>
      <c r="O252" s="433" t="s">
        <v>2654</v>
      </c>
      <c r="P252" s="433" t="s">
        <v>2680</v>
      </c>
      <c r="Q252" s="433" t="s">
        <v>2654</v>
      </c>
      <c r="R252" s="433" t="s">
        <v>2654</v>
      </c>
      <c r="S252" s="426"/>
      <c r="T252" s="426"/>
      <c r="U252" s="426"/>
      <c r="V252" s="426"/>
      <c r="W252" s="426"/>
      <c r="X252" s="426"/>
      <c r="Y252" s="426"/>
      <c r="Z252" s="426"/>
      <c r="AA252" s="426"/>
      <c r="AB252" s="426"/>
      <c r="AC252" s="426"/>
      <c r="AD252" s="426"/>
      <c r="AE252" s="426"/>
      <c r="AF252" s="426"/>
      <c r="AG252" s="426"/>
      <c r="AH252" s="426"/>
      <c r="AI252" s="426"/>
    </row>
    <row r="253" spans="1:36" hidden="1">
      <c r="A253" s="392" t="s">
        <v>1602</v>
      </c>
      <c r="B253" s="427" t="s">
        <v>2647</v>
      </c>
      <c r="C253" s="433" t="s">
        <v>3319</v>
      </c>
      <c r="D253" s="433" t="s">
        <v>2676</v>
      </c>
      <c r="E253" s="433" t="s">
        <v>2654</v>
      </c>
      <c r="F253" s="433" t="s">
        <v>2654</v>
      </c>
      <c r="G253" s="433" t="s">
        <v>2654</v>
      </c>
      <c r="H253" s="433" t="s">
        <v>2654</v>
      </c>
      <c r="I253" s="433" t="s">
        <v>2654</v>
      </c>
      <c r="J253" s="433" t="s">
        <v>2654</v>
      </c>
      <c r="K253" s="433" t="s">
        <v>2654</v>
      </c>
      <c r="L253" s="433" t="s">
        <v>2654</v>
      </c>
      <c r="M253" s="433" t="s">
        <v>2654</v>
      </c>
      <c r="N253" s="433" t="s">
        <v>2654</v>
      </c>
      <c r="O253" s="433" t="s">
        <v>2654</v>
      </c>
      <c r="P253" s="433" t="s">
        <v>2649</v>
      </c>
      <c r="Q253" s="431"/>
      <c r="R253" s="431"/>
      <c r="S253" s="426" t="s">
        <v>2660</v>
      </c>
      <c r="T253" s="426" t="s">
        <v>2646</v>
      </c>
      <c r="U253" s="426" t="s">
        <v>2646</v>
      </c>
      <c r="V253" s="426" t="s">
        <v>2646</v>
      </c>
      <c r="W253" s="426" t="s">
        <v>2646</v>
      </c>
      <c r="X253" s="426" t="s">
        <v>2646</v>
      </c>
      <c r="Y253" s="426" t="s">
        <v>2646</v>
      </c>
      <c r="Z253" s="426" t="s">
        <v>2646</v>
      </c>
      <c r="AA253" s="426" t="s">
        <v>2646</v>
      </c>
      <c r="AB253" s="426" t="s">
        <v>2646</v>
      </c>
      <c r="AC253" s="426" t="s">
        <v>2646</v>
      </c>
      <c r="AD253" s="426" t="s">
        <v>2646</v>
      </c>
      <c r="AE253" s="426" t="s">
        <v>2646</v>
      </c>
      <c r="AF253" s="426" t="s">
        <v>2646</v>
      </c>
      <c r="AG253" s="426" t="s">
        <v>2646</v>
      </c>
      <c r="AH253" s="426" t="s">
        <v>2646</v>
      </c>
      <c r="AI253" s="426" t="s">
        <v>2646</v>
      </c>
      <c r="AJ253" s="68" t="s">
        <v>2646</v>
      </c>
    </row>
    <row r="254" spans="1:36" hidden="1">
      <c r="A254" s="392" t="s">
        <v>1603</v>
      </c>
      <c r="B254" s="427" t="s">
        <v>2648</v>
      </c>
      <c r="C254" s="433" t="s">
        <v>3247</v>
      </c>
      <c r="D254" s="433" t="s">
        <v>2777</v>
      </c>
      <c r="E254" s="433" t="s">
        <v>2654</v>
      </c>
      <c r="F254" s="433" t="s">
        <v>2654</v>
      </c>
      <c r="G254" s="433" t="s">
        <v>2654</v>
      </c>
      <c r="H254" s="433" t="s">
        <v>2654</v>
      </c>
      <c r="I254" s="433" t="s">
        <v>2654</v>
      </c>
      <c r="J254" s="433" t="s">
        <v>2654</v>
      </c>
      <c r="K254" s="433" t="s">
        <v>2654</v>
      </c>
      <c r="L254" s="433" t="s">
        <v>2654</v>
      </c>
      <c r="M254" s="433" t="s">
        <v>2654</v>
      </c>
      <c r="N254" s="433" t="s">
        <v>2654</v>
      </c>
      <c r="O254" s="433" t="s">
        <v>2654</v>
      </c>
      <c r="P254" s="433" t="s">
        <v>2646</v>
      </c>
      <c r="Q254" s="431"/>
      <c r="R254" s="431"/>
      <c r="S254" s="426" t="s">
        <v>2657</v>
      </c>
      <c r="T254" s="426" t="s">
        <v>2646</v>
      </c>
      <c r="U254" s="426" t="s">
        <v>2646</v>
      </c>
      <c r="V254" s="426" t="s">
        <v>2646</v>
      </c>
      <c r="W254" s="426" t="s">
        <v>2646</v>
      </c>
      <c r="X254" s="426" t="s">
        <v>2646</v>
      </c>
      <c r="Y254" s="426" t="s">
        <v>2646</v>
      </c>
      <c r="Z254" s="426" t="s">
        <v>2646</v>
      </c>
      <c r="AA254" s="426" t="s">
        <v>2646</v>
      </c>
      <c r="AB254" s="426" t="s">
        <v>2646</v>
      </c>
      <c r="AC254" s="426" t="s">
        <v>2646</v>
      </c>
      <c r="AD254" s="426" t="s">
        <v>2646</v>
      </c>
      <c r="AE254" s="426" t="s">
        <v>2646</v>
      </c>
      <c r="AF254" s="426" t="s">
        <v>2646</v>
      </c>
      <c r="AG254" s="426" t="s">
        <v>2646</v>
      </c>
      <c r="AH254" s="426" t="s">
        <v>2646</v>
      </c>
      <c r="AI254" s="426" t="s">
        <v>2646</v>
      </c>
      <c r="AJ254" s="68" t="s">
        <v>2646</v>
      </c>
    </row>
    <row r="255" spans="1:36" hidden="1">
      <c r="A255" s="392" t="s">
        <v>1604</v>
      </c>
      <c r="B255" s="427" t="s">
        <v>2649</v>
      </c>
      <c r="C255" s="433" t="s">
        <v>3416</v>
      </c>
      <c r="D255" s="433" t="s">
        <v>2676</v>
      </c>
      <c r="E255" s="433" t="s">
        <v>2654</v>
      </c>
      <c r="F255" s="433" t="s">
        <v>2654</v>
      </c>
      <c r="G255" s="433" t="s">
        <v>2654</v>
      </c>
      <c r="H255" s="433" t="s">
        <v>2654</v>
      </c>
      <c r="I255" s="433" t="s">
        <v>2654</v>
      </c>
      <c r="J255" s="433" t="s">
        <v>2654</v>
      </c>
      <c r="K255" s="433" t="s">
        <v>2654</v>
      </c>
      <c r="L255" s="433" t="s">
        <v>2654</v>
      </c>
      <c r="M255" s="433" t="s">
        <v>2654</v>
      </c>
      <c r="N255" s="433" t="s">
        <v>2654</v>
      </c>
      <c r="O255" s="433" t="s">
        <v>2654</v>
      </c>
      <c r="P255" s="433" t="s">
        <v>2647</v>
      </c>
      <c r="Q255" s="431"/>
      <c r="R255" s="431"/>
      <c r="S255" s="426" t="s">
        <v>2778</v>
      </c>
      <c r="T255" s="426" t="s">
        <v>2646</v>
      </c>
      <c r="U255" s="426" t="s">
        <v>2646</v>
      </c>
      <c r="V255" s="426" t="s">
        <v>2646</v>
      </c>
      <c r="W255" s="426" t="s">
        <v>2646</v>
      </c>
      <c r="X255" s="426" t="s">
        <v>2646</v>
      </c>
      <c r="Y255" s="426" t="s">
        <v>2646</v>
      </c>
      <c r="Z255" s="426" t="s">
        <v>2646</v>
      </c>
      <c r="AA255" s="426" t="s">
        <v>2646</v>
      </c>
      <c r="AB255" s="426" t="s">
        <v>2646</v>
      </c>
      <c r="AC255" s="426" t="s">
        <v>2646</v>
      </c>
      <c r="AD255" s="426" t="s">
        <v>2646</v>
      </c>
      <c r="AE255" s="426" t="s">
        <v>2646</v>
      </c>
      <c r="AF255" s="426" t="s">
        <v>2646</v>
      </c>
      <c r="AG255" s="426" t="s">
        <v>2646</v>
      </c>
      <c r="AH255" s="426" t="s">
        <v>2646</v>
      </c>
      <c r="AI255" s="426" t="s">
        <v>2646</v>
      </c>
      <c r="AJ255" s="68" t="s">
        <v>2646</v>
      </c>
    </row>
    <row r="256" spans="1:36" hidden="1">
      <c r="A256" s="392" t="s">
        <v>1605</v>
      </c>
      <c r="B256" s="427" t="s">
        <v>2650</v>
      </c>
      <c r="C256" s="433" t="s">
        <v>3262</v>
      </c>
      <c r="D256" s="433" t="s">
        <v>2676</v>
      </c>
      <c r="E256" s="433" t="s">
        <v>2654</v>
      </c>
      <c r="F256" s="433" t="s">
        <v>2654</v>
      </c>
      <c r="G256" s="433" t="s">
        <v>2654</v>
      </c>
      <c r="H256" s="433" t="s">
        <v>2654</v>
      </c>
      <c r="I256" s="433" t="s">
        <v>2654</v>
      </c>
      <c r="J256" s="433" t="s">
        <v>2654</v>
      </c>
      <c r="K256" s="433" t="s">
        <v>2654</v>
      </c>
      <c r="L256" s="433" t="s">
        <v>2654</v>
      </c>
      <c r="M256" s="433" t="s">
        <v>2654</v>
      </c>
      <c r="N256" s="433" t="s">
        <v>2654</v>
      </c>
      <c r="O256" s="433" t="s">
        <v>2654</v>
      </c>
      <c r="P256" s="433" t="s">
        <v>2649</v>
      </c>
      <c r="Q256" s="431"/>
      <c r="R256" s="431"/>
      <c r="S256" s="426" t="s">
        <v>2660</v>
      </c>
      <c r="T256" s="426" t="s">
        <v>2646</v>
      </c>
      <c r="U256" s="426" t="s">
        <v>2646</v>
      </c>
      <c r="V256" s="426" t="s">
        <v>2646</v>
      </c>
      <c r="W256" s="426" t="s">
        <v>2646</v>
      </c>
      <c r="X256" s="426" t="s">
        <v>2646</v>
      </c>
      <c r="Y256" s="426" t="s">
        <v>2646</v>
      </c>
      <c r="Z256" s="426" t="s">
        <v>2646</v>
      </c>
      <c r="AA256" s="426" t="s">
        <v>2646</v>
      </c>
      <c r="AB256" s="426" t="s">
        <v>2646</v>
      </c>
      <c r="AC256" s="426" t="s">
        <v>2646</v>
      </c>
      <c r="AD256" s="426" t="s">
        <v>2646</v>
      </c>
      <c r="AE256" s="426" t="s">
        <v>2646</v>
      </c>
      <c r="AF256" s="426" t="s">
        <v>2646</v>
      </c>
      <c r="AG256" s="426" t="s">
        <v>2646</v>
      </c>
      <c r="AH256" s="426" t="s">
        <v>2646</v>
      </c>
      <c r="AI256" s="426" t="s">
        <v>2646</v>
      </c>
      <c r="AJ256" s="68" t="s">
        <v>2646</v>
      </c>
    </row>
    <row r="257" spans="1:36" hidden="1">
      <c r="A257" s="392" t="s">
        <v>1606</v>
      </c>
      <c r="B257" s="427" t="s">
        <v>2651</v>
      </c>
      <c r="C257" s="433" t="s">
        <v>3726</v>
      </c>
      <c r="D257" s="433" t="s">
        <v>2676</v>
      </c>
      <c r="E257" s="433" t="s">
        <v>2654</v>
      </c>
      <c r="F257" s="433" t="s">
        <v>2654</v>
      </c>
      <c r="G257" s="433" t="s">
        <v>2654</v>
      </c>
      <c r="H257" s="433" t="s">
        <v>2654</v>
      </c>
      <c r="I257" s="433" t="s">
        <v>2654</v>
      </c>
      <c r="J257" s="433" t="s">
        <v>2654</v>
      </c>
      <c r="K257" s="433" t="s">
        <v>2654</v>
      </c>
      <c r="L257" s="433" t="s">
        <v>2654</v>
      </c>
      <c r="M257" s="433" t="s">
        <v>2654</v>
      </c>
      <c r="N257" s="433" t="s">
        <v>2654</v>
      </c>
      <c r="O257" s="433" t="s">
        <v>2654</v>
      </c>
      <c r="P257" s="433" t="s">
        <v>2651</v>
      </c>
      <c r="Q257" s="431"/>
      <c r="R257" s="431"/>
      <c r="S257" s="426" t="s">
        <v>2655</v>
      </c>
      <c r="T257" s="426" t="s">
        <v>2646</v>
      </c>
      <c r="U257" s="426" t="s">
        <v>2646</v>
      </c>
      <c r="V257" s="426" t="s">
        <v>2646</v>
      </c>
      <c r="W257" s="426" t="s">
        <v>2646</v>
      </c>
      <c r="X257" s="426" t="s">
        <v>2646</v>
      </c>
      <c r="Y257" s="426" t="s">
        <v>2646</v>
      </c>
      <c r="Z257" s="426" t="s">
        <v>2646</v>
      </c>
      <c r="AA257" s="426" t="s">
        <v>2646</v>
      </c>
      <c r="AB257" s="426" t="s">
        <v>2646</v>
      </c>
      <c r="AC257" s="426" t="s">
        <v>2646</v>
      </c>
      <c r="AD257" s="426" t="s">
        <v>2646</v>
      </c>
      <c r="AE257" s="426" t="s">
        <v>2646</v>
      </c>
      <c r="AF257" s="426" t="s">
        <v>2646</v>
      </c>
      <c r="AG257" s="426" t="s">
        <v>2646</v>
      </c>
      <c r="AH257" s="426" t="s">
        <v>2646</v>
      </c>
      <c r="AI257" s="426" t="s">
        <v>2646</v>
      </c>
      <c r="AJ257" s="68" t="s">
        <v>2646</v>
      </c>
    </row>
    <row r="258" spans="1:36">
      <c r="A258" s="392" t="s">
        <v>1606</v>
      </c>
      <c r="B258" s="427" t="s">
        <v>48</v>
      </c>
      <c r="C258" s="433" t="s">
        <v>4171</v>
      </c>
      <c r="D258" s="433" t="s">
        <v>3255</v>
      </c>
      <c r="E258" s="433" t="s">
        <v>2654</v>
      </c>
      <c r="F258" s="433" t="s">
        <v>2654</v>
      </c>
      <c r="G258" s="433" t="s">
        <v>2654</v>
      </c>
      <c r="H258" s="433" t="s">
        <v>2654</v>
      </c>
      <c r="I258" s="433" t="s">
        <v>2654</v>
      </c>
      <c r="J258" s="433" t="s">
        <v>2654</v>
      </c>
      <c r="K258" s="433" t="s">
        <v>2654</v>
      </c>
      <c r="L258" s="433" t="s">
        <v>2654</v>
      </c>
      <c r="M258" s="433" t="s">
        <v>2654</v>
      </c>
      <c r="N258" s="433" t="s">
        <v>2654</v>
      </c>
      <c r="O258" s="433" t="s">
        <v>2654</v>
      </c>
      <c r="P258" s="433" t="s">
        <v>3083</v>
      </c>
      <c r="Q258" s="433" t="s">
        <v>2654</v>
      </c>
      <c r="R258" s="433" t="s">
        <v>2654</v>
      </c>
      <c r="S258" s="426"/>
      <c r="T258" s="426"/>
      <c r="U258" s="426"/>
      <c r="V258" s="426"/>
      <c r="W258" s="426"/>
      <c r="X258" s="426"/>
      <c r="Y258" s="426"/>
      <c r="Z258" s="426"/>
      <c r="AA258" s="426"/>
      <c r="AB258" s="426"/>
      <c r="AC258" s="426"/>
      <c r="AD258" s="426"/>
      <c r="AE258" s="426"/>
      <c r="AF258" s="426"/>
      <c r="AG258" s="426"/>
      <c r="AH258" s="426"/>
      <c r="AI258" s="426"/>
    </row>
    <row r="259" spans="1:36" hidden="1">
      <c r="A259" s="392" t="s">
        <v>1607</v>
      </c>
      <c r="B259" s="427" t="s">
        <v>2647</v>
      </c>
      <c r="C259" s="433" t="s">
        <v>3561</v>
      </c>
      <c r="D259" s="433" t="s">
        <v>3321</v>
      </c>
      <c r="E259" s="433" t="s">
        <v>2654</v>
      </c>
      <c r="F259" s="433" t="s">
        <v>2654</v>
      </c>
      <c r="G259" s="433" t="s">
        <v>2654</v>
      </c>
      <c r="H259" s="433" t="s">
        <v>2654</v>
      </c>
      <c r="I259" s="433" t="s">
        <v>2654</v>
      </c>
      <c r="J259" s="433" t="s">
        <v>2654</v>
      </c>
      <c r="K259" s="433" t="s">
        <v>2654</v>
      </c>
      <c r="L259" s="433" t="s">
        <v>2654</v>
      </c>
      <c r="M259" s="433" t="s">
        <v>2654</v>
      </c>
      <c r="N259" s="433" t="s">
        <v>2654</v>
      </c>
      <c r="O259" s="433" t="s">
        <v>2654</v>
      </c>
      <c r="P259" s="433" t="s">
        <v>2648</v>
      </c>
      <c r="Q259" s="431"/>
      <c r="R259" s="431"/>
      <c r="S259" s="426" t="s">
        <v>3186</v>
      </c>
      <c r="T259" s="426" t="s">
        <v>2646</v>
      </c>
      <c r="U259" s="426" t="s">
        <v>2646</v>
      </c>
      <c r="V259" s="426" t="s">
        <v>2646</v>
      </c>
      <c r="W259" s="426" t="s">
        <v>2646</v>
      </c>
      <c r="X259" s="426" t="s">
        <v>2646</v>
      </c>
      <c r="Y259" s="426" t="s">
        <v>2646</v>
      </c>
      <c r="Z259" s="426" t="s">
        <v>2646</v>
      </c>
      <c r="AA259" s="426" t="s">
        <v>2646</v>
      </c>
      <c r="AB259" s="426" t="s">
        <v>2646</v>
      </c>
      <c r="AC259" s="426" t="s">
        <v>2646</v>
      </c>
      <c r="AD259" s="426" t="s">
        <v>2646</v>
      </c>
      <c r="AE259" s="426" t="s">
        <v>2646</v>
      </c>
      <c r="AF259" s="426" t="s">
        <v>2646</v>
      </c>
      <c r="AG259" s="426" t="s">
        <v>2646</v>
      </c>
      <c r="AH259" s="426" t="s">
        <v>2646</v>
      </c>
      <c r="AI259" s="426" t="s">
        <v>2646</v>
      </c>
      <c r="AJ259" s="68" t="s">
        <v>2646</v>
      </c>
    </row>
    <row r="260" spans="1:36" hidden="1">
      <c r="A260" s="392" t="s">
        <v>1608</v>
      </c>
      <c r="B260" s="427" t="s">
        <v>2648</v>
      </c>
      <c r="C260" s="433" t="s">
        <v>3895</v>
      </c>
      <c r="D260" s="433" t="s">
        <v>2720</v>
      </c>
      <c r="E260" s="433" t="s">
        <v>2654</v>
      </c>
      <c r="F260" s="433" t="s">
        <v>2654</v>
      </c>
      <c r="G260" s="433" t="s">
        <v>2654</v>
      </c>
      <c r="H260" s="433" t="s">
        <v>2654</v>
      </c>
      <c r="I260" s="433" t="s">
        <v>2654</v>
      </c>
      <c r="J260" s="433" t="s">
        <v>2654</v>
      </c>
      <c r="K260" s="433" t="s">
        <v>2654</v>
      </c>
      <c r="L260" s="433" t="s">
        <v>2654</v>
      </c>
      <c r="M260" s="433" t="s">
        <v>2654</v>
      </c>
      <c r="N260" s="433" t="s">
        <v>2654</v>
      </c>
      <c r="O260" s="433" t="s">
        <v>2654</v>
      </c>
      <c r="P260" s="433" t="s">
        <v>2649</v>
      </c>
      <c r="Q260" s="431"/>
      <c r="R260" s="431"/>
      <c r="S260" s="426" t="s">
        <v>2768</v>
      </c>
      <c r="T260" s="426" t="s">
        <v>2646</v>
      </c>
      <c r="U260" s="426" t="s">
        <v>2646</v>
      </c>
      <c r="V260" s="426" t="s">
        <v>2646</v>
      </c>
      <c r="W260" s="426" t="s">
        <v>2646</v>
      </c>
      <c r="X260" s="426" t="s">
        <v>2646</v>
      </c>
      <c r="Y260" s="426" t="s">
        <v>2646</v>
      </c>
      <c r="Z260" s="426" t="s">
        <v>2646</v>
      </c>
      <c r="AA260" s="426" t="s">
        <v>2646</v>
      </c>
      <c r="AB260" s="426" t="s">
        <v>2646</v>
      </c>
      <c r="AC260" s="426" t="s">
        <v>2646</v>
      </c>
      <c r="AD260" s="426" t="s">
        <v>2646</v>
      </c>
      <c r="AE260" s="426" t="s">
        <v>2646</v>
      </c>
      <c r="AF260" s="426" t="s">
        <v>2646</v>
      </c>
      <c r="AG260" s="426" t="s">
        <v>2646</v>
      </c>
      <c r="AH260" s="426" t="s">
        <v>2646</v>
      </c>
      <c r="AI260" s="426" t="s">
        <v>2646</v>
      </c>
      <c r="AJ260" s="68" t="s">
        <v>2646</v>
      </c>
    </row>
    <row r="261" spans="1:36" hidden="1">
      <c r="A261" s="392" t="s">
        <v>1609</v>
      </c>
      <c r="B261" s="427" t="s">
        <v>2649</v>
      </c>
      <c r="C261" s="433" t="s">
        <v>3645</v>
      </c>
      <c r="D261" s="433" t="s">
        <v>2720</v>
      </c>
      <c r="E261" s="433" t="s">
        <v>2654</v>
      </c>
      <c r="F261" s="433" t="s">
        <v>2654</v>
      </c>
      <c r="G261" s="433" t="s">
        <v>2654</v>
      </c>
      <c r="H261" s="433" t="s">
        <v>2654</v>
      </c>
      <c r="I261" s="433" t="s">
        <v>2654</v>
      </c>
      <c r="J261" s="433" t="s">
        <v>2654</v>
      </c>
      <c r="K261" s="433" t="s">
        <v>2654</v>
      </c>
      <c r="L261" s="433" t="s">
        <v>2654</v>
      </c>
      <c r="M261" s="433" t="s">
        <v>2654</v>
      </c>
      <c r="N261" s="433" t="s">
        <v>2654</v>
      </c>
      <c r="O261" s="433" t="s">
        <v>2654</v>
      </c>
      <c r="P261" s="433" t="s">
        <v>2647</v>
      </c>
      <c r="Q261" s="431"/>
      <c r="R261" s="431"/>
      <c r="S261" s="426" t="s">
        <v>2669</v>
      </c>
      <c r="T261" s="426" t="s">
        <v>2646</v>
      </c>
      <c r="U261" s="426" t="s">
        <v>2646</v>
      </c>
      <c r="V261" s="426" t="s">
        <v>2646</v>
      </c>
      <c r="W261" s="426" t="s">
        <v>2646</v>
      </c>
      <c r="X261" s="426" t="s">
        <v>2646</v>
      </c>
      <c r="Y261" s="426" t="s">
        <v>2646</v>
      </c>
      <c r="Z261" s="426" t="s">
        <v>2646</v>
      </c>
      <c r="AA261" s="426" t="s">
        <v>2646</v>
      </c>
      <c r="AB261" s="426" t="s">
        <v>2646</v>
      </c>
      <c r="AC261" s="426" t="s">
        <v>2646</v>
      </c>
      <c r="AD261" s="426" t="s">
        <v>2646</v>
      </c>
      <c r="AE261" s="426" t="s">
        <v>2646</v>
      </c>
      <c r="AF261" s="426" t="s">
        <v>2646</v>
      </c>
      <c r="AG261" s="426" t="s">
        <v>2646</v>
      </c>
      <c r="AH261" s="426" t="s">
        <v>2646</v>
      </c>
      <c r="AI261" s="426" t="s">
        <v>2646</v>
      </c>
      <c r="AJ261" s="68" t="s">
        <v>2646</v>
      </c>
    </row>
    <row r="262" spans="1:36" hidden="1">
      <c r="A262" s="392" t="s">
        <v>1610</v>
      </c>
      <c r="B262" s="427" t="s">
        <v>2650</v>
      </c>
      <c r="C262" s="433" t="s">
        <v>3899</v>
      </c>
      <c r="D262" s="433" t="s">
        <v>2833</v>
      </c>
      <c r="E262" s="433" t="s">
        <v>2654</v>
      </c>
      <c r="F262" s="433" t="s">
        <v>2654</v>
      </c>
      <c r="G262" s="433" t="s">
        <v>2654</v>
      </c>
      <c r="H262" s="433" t="s">
        <v>2654</v>
      </c>
      <c r="I262" s="433" t="s">
        <v>2654</v>
      </c>
      <c r="J262" s="433" t="s">
        <v>2654</v>
      </c>
      <c r="K262" s="433" t="s">
        <v>2654</v>
      </c>
      <c r="L262" s="433" t="s">
        <v>2654</v>
      </c>
      <c r="M262" s="433" t="s">
        <v>2654</v>
      </c>
      <c r="N262" s="433" t="s">
        <v>2654</v>
      </c>
      <c r="O262" s="433" t="s">
        <v>2654</v>
      </c>
      <c r="P262" s="433" t="s">
        <v>2646</v>
      </c>
      <c r="Q262" s="431"/>
      <c r="R262" s="431"/>
      <c r="S262" s="426" t="s">
        <v>2786</v>
      </c>
      <c r="T262" s="426" t="s">
        <v>2646</v>
      </c>
      <c r="U262" s="426" t="s">
        <v>2646</v>
      </c>
      <c r="V262" s="426" t="s">
        <v>2646</v>
      </c>
      <c r="W262" s="426" t="s">
        <v>2646</v>
      </c>
      <c r="X262" s="426" t="s">
        <v>2646</v>
      </c>
      <c r="Y262" s="426" t="s">
        <v>2646</v>
      </c>
      <c r="Z262" s="426" t="s">
        <v>2646</v>
      </c>
      <c r="AA262" s="426" t="s">
        <v>2646</v>
      </c>
      <c r="AB262" s="426" t="s">
        <v>2646</v>
      </c>
      <c r="AC262" s="426" t="s">
        <v>2646</v>
      </c>
      <c r="AD262" s="426" t="s">
        <v>2646</v>
      </c>
      <c r="AE262" s="426" t="s">
        <v>2646</v>
      </c>
      <c r="AF262" s="426" t="s">
        <v>2646</v>
      </c>
      <c r="AG262" s="426" t="s">
        <v>2646</v>
      </c>
      <c r="AH262" s="426" t="s">
        <v>2646</v>
      </c>
      <c r="AI262" s="426" t="s">
        <v>2646</v>
      </c>
      <c r="AJ262" s="68" t="s">
        <v>2646</v>
      </c>
    </row>
    <row r="263" spans="1:36" hidden="1">
      <c r="A263" s="392" t="s">
        <v>1611</v>
      </c>
      <c r="B263" s="427" t="s">
        <v>2651</v>
      </c>
      <c r="C263" s="433" t="s">
        <v>3561</v>
      </c>
      <c r="D263" s="433" t="s">
        <v>2833</v>
      </c>
      <c r="E263" s="433" t="s">
        <v>2654</v>
      </c>
      <c r="F263" s="433" t="s">
        <v>2654</v>
      </c>
      <c r="G263" s="433" t="s">
        <v>2654</v>
      </c>
      <c r="H263" s="433" t="s">
        <v>2654</v>
      </c>
      <c r="I263" s="433" t="s">
        <v>2654</v>
      </c>
      <c r="J263" s="433" t="s">
        <v>2654</v>
      </c>
      <c r="K263" s="433" t="s">
        <v>2654</v>
      </c>
      <c r="L263" s="433" t="s">
        <v>2654</v>
      </c>
      <c r="M263" s="433" t="s">
        <v>2654</v>
      </c>
      <c r="N263" s="433" t="s">
        <v>2654</v>
      </c>
      <c r="O263" s="433" t="s">
        <v>2654</v>
      </c>
      <c r="P263" s="433" t="s">
        <v>2649</v>
      </c>
      <c r="Q263" s="431"/>
      <c r="R263" s="431"/>
      <c r="S263" s="426" t="s">
        <v>3187</v>
      </c>
      <c r="T263" s="426" t="s">
        <v>2646</v>
      </c>
      <c r="U263" s="426" t="s">
        <v>2646</v>
      </c>
      <c r="V263" s="426" t="s">
        <v>2646</v>
      </c>
      <c r="W263" s="426" t="s">
        <v>2646</v>
      </c>
      <c r="X263" s="426" t="s">
        <v>2646</v>
      </c>
      <c r="Y263" s="426" t="s">
        <v>2646</v>
      </c>
      <c r="Z263" s="426" t="s">
        <v>2646</v>
      </c>
      <c r="AA263" s="426" t="s">
        <v>2646</v>
      </c>
      <c r="AB263" s="426" t="s">
        <v>2646</v>
      </c>
      <c r="AC263" s="426" t="s">
        <v>2646</v>
      </c>
      <c r="AD263" s="426" t="s">
        <v>2646</v>
      </c>
      <c r="AE263" s="426" t="s">
        <v>2646</v>
      </c>
      <c r="AF263" s="426" t="s">
        <v>2646</v>
      </c>
      <c r="AG263" s="426" t="s">
        <v>2646</v>
      </c>
      <c r="AH263" s="426" t="s">
        <v>2646</v>
      </c>
      <c r="AI263" s="426" t="s">
        <v>2646</v>
      </c>
      <c r="AJ263" s="68" t="s">
        <v>2646</v>
      </c>
    </row>
    <row r="264" spans="1:36">
      <c r="A264" s="392" t="s">
        <v>1611</v>
      </c>
      <c r="B264" s="427" t="s">
        <v>48</v>
      </c>
      <c r="C264" s="433" t="s">
        <v>4172</v>
      </c>
      <c r="D264" s="433" t="s">
        <v>2833</v>
      </c>
      <c r="E264" s="433" t="s">
        <v>2654</v>
      </c>
      <c r="F264" s="433" t="s">
        <v>2654</v>
      </c>
      <c r="G264" s="433" t="s">
        <v>2654</v>
      </c>
      <c r="H264" s="433" t="s">
        <v>2654</v>
      </c>
      <c r="I264" s="433" t="s">
        <v>2654</v>
      </c>
      <c r="J264" s="433" t="s">
        <v>2654</v>
      </c>
      <c r="K264" s="433" t="s">
        <v>2654</v>
      </c>
      <c r="L264" s="433" t="s">
        <v>2654</v>
      </c>
      <c r="M264" s="433" t="s">
        <v>2654</v>
      </c>
      <c r="N264" s="433" t="s">
        <v>2654</v>
      </c>
      <c r="O264" s="433" t="s">
        <v>2654</v>
      </c>
      <c r="P264" s="433" t="s">
        <v>2792</v>
      </c>
      <c r="Q264" s="433" t="s">
        <v>2654</v>
      </c>
      <c r="R264" s="433" t="s">
        <v>2654</v>
      </c>
      <c r="S264" s="426"/>
      <c r="T264" s="426"/>
      <c r="U264" s="426"/>
      <c r="V264" s="426"/>
      <c r="W264" s="426"/>
      <c r="X264" s="426"/>
      <c r="Y264" s="426"/>
      <c r="Z264" s="426"/>
      <c r="AA264" s="426"/>
      <c r="AB264" s="426"/>
      <c r="AC264" s="426"/>
      <c r="AD264" s="426"/>
      <c r="AE264" s="426"/>
      <c r="AF264" s="426"/>
      <c r="AG264" s="426"/>
      <c r="AH264" s="426"/>
      <c r="AI264" s="426"/>
    </row>
    <row r="265" spans="1:36" hidden="1">
      <c r="A265" s="392" t="s">
        <v>1612</v>
      </c>
      <c r="B265" s="427" t="s">
        <v>2647</v>
      </c>
      <c r="C265" s="433" t="s">
        <v>3676</v>
      </c>
      <c r="D265" s="433" t="s">
        <v>3262</v>
      </c>
      <c r="E265" s="433" t="s">
        <v>2654</v>
      </c>
      <c r="F265" s="433" t="s">
        <v>2654</v>
      </c>
      <c r="G265" s="433" t="s">
        <v>2654</v>
      </c>
      <c r="H265" s="433" t="s">
        <v>2654</v>
      </c>
      <c r="I265" s="433" t="s">
        <v>2654</v>
      </c>
      <c r="J265" s="433" t="s">
        <v>2654</v>
      </c>
      <c r="K265" s="433" t="s">
        <v>2654</v>
      </c>
      <c r="L265" s="433" t="s">
        <v>2654</v>
      </c>
      <c r="M265" s="433" t="s">
        <v>2654</v>
      </c>
      <c r="N265" s="433" t="s">
        <v>2654</v>
      </c>
      <c r="O265" s="433" t="s">
        <v>2654</v>
      </c>
      <c r="P265" s="433" t="s">
        <v>2650</v>
      </c>
      <c r="Q265" s="431"/>
      <c r="R265" s="431"/>
      <c r="S265" s="426" t="s">
        <v>2673</v>
      </c>
      <c r="T265" s="426" t="s">
        <v>2646</v>
      </c>
      <c r="U265" s="426" t="s">
        <v>2646</v>
      </c>
      <c r="V265" s="426" t="s">
        <v>2646</v>
      </c>
      <c r="W265" s="426" t="s">
        <v>3188</v>
      </c>
      <c r="X265" s="426" t="s">
        <v>3189</v>
      </c>
      <c r="Y265" s="426" t="s">
        <v>2982</v>
      </c>
      <c r="Z265" s="426" t="s">
        <v>2646</v>
      </c>
      <c r="AA265" s="426" t="s">
        <v>2646</v>
      </c>
      <c r="AB265" s="426" t="s">
        <v>2646</v>
      </c>
      <c r="AC265" s="426" t="s">
        <v>2646</v>
      </c>
      <c r="AD265" s="426" t="s">
        <v>2646</v>
      </c>
      <c r="AE265" s="426" t="s">
        <v>2646</v>
      </c>
      <c r="AF265" s="426" t="s">
        <v>2646</v>
      </c>
      <c r="AG265" s="426" t="s">
        <v>2646</v>
      </c>
      <c r="AH265" s="426" t="s">
        <v>2646</v>
      </c>
      <c r="AI265" s="426" t="s">
        <v>2646</v>
      </c>
      <c r="AJ265" s="68" t="s">
        <v>2646</v>
      </c>
    </row>
    <row r="266" spans="1:36" hidden="1">
      <c r="A266" s="392" t="s">
        <v>1613</v>
      </c>
      <c r="B266" s="427" t="s">
        <v>2648</v>
      </c>
      <c r="C266" s="433" t="s">
        <v>3450</v>
      </c>
      <c r="D266" s="433" t="s">
        <v>3247</v>
      </c>
      <c r="E266" s="433" t="s">
        <v>2654</v>
      </c>
      <c r="F266" s="433" t="s">
        <v>2654</v>
      </c>
      <c r="G266" s="433" t="s">
        <v>2654</v>
      </c>
      <c r="H266" s="433" t="s">
        <v>2654</v>
      </c>
      <c r="I266" s="433" t="s">
        <v>2654</v>
      </c>
      <c r="J266" s="433" t="s">
        <v>2654</v>
      </c>
      <c r="K266" s="433" t="s">
        <v>2654</v>
      </c>
      <c r="L266" s="433" t="s">
        <v>2654</v>
      </c>
      <c r="M266" s="433" t="s">
        <v>2654</v>
      </c>
      <c r="N266" s="433" t="s">
        <v>2654</v>
      </c>
      <c r="O266" s="433" t="s">
        <v>2654</v>
      </c>
      <c r="P266" s="433" t="s">
        <v>4083</v>
      </c>
      <c r="Q266" s="431"/>
      <c r="R266" s="431"/>
      <c r="S266" s="426" t="s">
        <v>2673</v>
      </c>
      <c r="T266" s="426" t="s">
        <v>2646</v>
      </c>
      <c r="U266" s="426" t="s">
        <v>2646</v>
      </c>
      <c r="V266" s="426" t="s">
        <v>2646</v>
      </c>
      <c r="W266" s="426" t="s">
        <v>3191</v>
      </c>
      <c r="X266" s="426" t="s">
        <v>3189</v>
      </c>
      <c r="Y266" s="426" t="s">
        <v>3087</v>
      </c>
      <c r="Z266" s="426" t="s">
        <v>2646</v>
      </c>
      <c r="AA266" s="426" t="s">
        <v>2646</v>
      </c>
      <c r="AB266" s="426" t="s">
        <v>2646</v>
      </c>
      <c r="AC266" s="426" t="s">
        <v>2646</v>
      </c>
      <c r="AD266" s="426" t="s">
        <v>2646</v>
      </c>
      <c r="AE266" s="426" t="s">
        <v>2646</v>
      </c>
      <c r="AF266" s="426" t="s">
        <v>2646</v>
      </c>
      <c r="AG266" s="426" t="s">
        <v>2646</v>
      </c>
      <c r="AH266" s="426" t="s">
        <v>2646</v>
      </c>
      <c r="AI266" s="426" t="s">
        <v>2646</v>
      </c>
      <c r="AJ266" s="68" t="s">
        <v>2646</v>
      </c>
    </row>
    <row r="267" spans="1:36" hidden="1">
      <c r="A267" s="392" t="s">
        <v>1614</v>
      </c>
      <c r="B267" s="427" t="s">
        <v>2649</v>
      </c>
      <c r="C267" s="433" t="s">
        <v>3467</v>
      </c>
      <c r="D267" s="433" t="s">
        <v>3049</v>
      </c>
      <c r="E267" s="433" t="s">
        <v>2654</v>
      </c>
      <c r="F267" s="433" t="s">
        <v>2654</v>
      </c>
      <c r="G267" s="433" t="s">
        <v>2654</v>
      </c>
      <c r="H267" s="433" t="s">
        <v>2654</v>
      </c>
      <c r="I267" s="433" t="s">
        <v>2654</v>
      </c>
      <c r="J267" s="433" t="s">
        <v>2654</v>
      </c>
      <c r="K267" s="433" t="s">
        <v>2654</v>
      </c>
      <c r="L267" s="433" t="s">
        <v>2654</v>
      </c>
      <c r="M267" s="433" t="s">
        <v>2654</v>
      </c>
      <c r="N267" s="433" t="s">
        <v>2654</v>
      </c>
      <c r="O267" s="433" t="s">
        <v>2654</v>
      </c>
      <c r="P267" s="433" t="s">
        <v>2648</v>
      </c>
      <c r="Q267" s="431"/>
      <c r="R267" s="431"/>
      <c r="S267" s="426" t="s">
        <v>3109</v>
      </c>
      <c r="T267" s="426" t="s">
        <v>2646</v>
      </c>
      <c r="U267" s="426" t="s">
        <v>2646</v>
      </c>
      <c r="V267" s="426" t="s">
        <v>2646</v>
      </c>
      <c r="W267" s="426" t="s">
        <v>3188</v>
      </c>
      <c r="X267" s="426" t="s">
        <v>3189</v>
      </c>
      <c r="Y267" s="426" t="s">
        <v>2982</v>
      </c>
      <c r="Z267" s="426" t="s">
        <v>2646</v>
      </c>
      <c r="AA267" s="426" t="s">
        <v>2646</v>
      </c>
      <c r="AB267" s="426" t="s">
        <v>2646</v>
      </c>
      <c r="AC267" s="426" t="s">
        <v>2646</v>
      </c>
      <c r="AD267" s="426" t="s">
        <v>2646</v>
      </c>
      <c r="AE267" s="426" t="s">
        <v>2646</v>
      </c>
      <c r="AF267" s="426" t="s">
        <v>2646</v>
      </c>
      <c r="AG267" s="426" t="s">
        <v>2646</v>
      </c>
      <c r="AH267" s="426" t="s">
        <v>2646</v>
      </c>
      <c r="AI267" s="426" t="s">
        <v>2646</v>
      </c>
      <c r="AJ267" s="68" t="s">
        <v>2646</v>
      </c>
    </row>
    <row r="268" spans="1:36" hidden="1">
      <c r="A268" s="392" t="s">
        <v>1615</v>
      </c>
      <c r="B268" s="427" t="s">
        <v>2650</v>
      </c>
      <c r="C268" s="433" t="s">
        <v>3613</v>
      </c>
      <c r="D268" s="433" t="s">
        <v>3049</v>
      </c>
      <c r="E268" s="433" t="s">
        <v>2654</v>
      </c>
      <c r="F268" s="433" t="s">
        <v>2654</v>
      </c>
      <c r="G268" s="433" t="s">
        <v>2654</v>
      </c>
      <c r="H268" s="433" t="s">
        <v>2654</v>
      </c>
      <c r="I268" s="433" t="s">
        <v>2654</v>
      </c>
      <c r="J268" s="433" t="s">
        <v>2654</v>
      </c>
      <c r="K268" s="433" t="s">
        <v>2654</v>
      </c>
      <c r="L268" s="433" t="s">
        <v>2654</v>
      </c>
      <c r="M268" s="433" t="s">
        <v>2654</v>
      </c>
      <c r="N268" s="433" t="s">
        <v>2654</v>
      </c>
      <c r="O268" s="433" t="s">
        <v>2654</v>
      </c>
      <c r="P268" s="433" t="s">
        <v>2647</v>
      </c>
      <c r="Q268" s="431"/>
      <c r="R268" s="431"/>
      <c r="S268" s="426" t="s">
        <v>3194</v>
      </c>
      <c r="T268" s="426" t="s">
        <v>2646</v>
      </c>
      <c r="U268" s="426" t="s">
        <v>2646</v>
      </c>
      <c r="V268" s="426" t="s">
        <v>2646</v>
      </c>
      <c r="W268" s="426" t="s">
        <v>3039</v>
      </c>
      <c r="X268" s="426" t="s">
        <v>3195</v>
      </c>
      <c r="Y268" s="426" t="s">
        <v>2975</v>
      </c>
      <c r="Z268" s="426" t="s">
        <v>2646</v>
      </c>
      <c r="AA268" s="426" t="s">
        <v>2646</v>
      </c>
      <c r="AB268" s="426" t="s">
        <v>2646</v>
      </c>
      <c r="AC268" s="426" t="s">
        <v>2646</v>
      </c>
      <c r="AD268" s="426" t="s">
        <v>2646</v>
      </c>
      <c r="AE268" s="426" t="s">
        <v>2646</v>
      </c>
      <c r="AF268" s="426" t="s">
        <v>2646</v>
      </c>
      <c r="AG268" s="426" t="s">
        <v>2646</v>
      </c>
      <c r="AH268" s="426" t="s">
        <v>2646</v>
      </c>
      <c r="AI268" s="426" t="s">
        <v>2646</v>
      </c>
      <c r="AJ268" s="68" t="s">
        <v>2646</v>
      </c>
    </row>
    <row r="269" spans="1:36" hidden="1">
      <c r="A269" s="392" t="s">
        <v>1616</v>
      </c>
      <c r="B269" s="427" t="s">
        <v>2651</v>
      </c>
      <c r="C269" s="433" t="s">
        <v>3676</v>
      </c>
      <c r="D269" s="433" t="s">
        <v>3539</v>
      </c>
      <c r="E269" s="433" t="s">
        <v>2654</v>
      </c>
      <c r="F269" s="433" t="s">
        <v>2654</v>
      </c>
      <c r="G269" s="433" t="s">
        <v>2654</v>
      </c>
      <c r="H269" s="433" t="s">
        <v>2654</v>
      </c>
      <c r="I269" s="433" t="s">
        <v>2654</v>
      </c>
      <c r="J269" s="433" t="s">
        <v>2654</v>
      </c>
      <c r="K269" s="433" t="s">
        <v>2654</v>
      </c>
      <c r="L269" s="433" t="s">
        <v>2654</v>
      </c>
      <c r="M269" s="433" t="s">
        <v>2654</v>
      </c>
      <c r="N269" s="433" t="s">
        <v>2654</v>
      </c>
      <c r="O269" s="433" t="s">
        <v>2654</v>
      </c>
      <c r="P269" s="433" t="s">
        <v>2650</v>
      </c>
      <c r="Q269" s="431"/>
      <c r="R269" s="431"/>
      <c r="S269" s="426" t="s">
        <v>2655</v>
      </c>
      <c r="T269" s="426" t="s">
        <v>2646</v>
      </c>
      <c r="U269" s="426" t="s">
        <v>2646</v>
      </c>
      <c r="V269" s="426" t="s">
        <v>2646</v>
      </c>
      <c r="W269" s="426" t="s">
        <v>3196</v>
      </c>
      <c r="X269" s="426" t="s">
        <v>3195</v>
      </c>
      <c r="Y269" s="426" t="s">
        <v>3197</v>
      </c>
      <c r="Z269" s="426" t="s">
        <v>2646</v>
      </c>
      <c r="AA269" s="426" t="s">
        <v>2646</v>
      </c>
      <c r="AB269" s="426" t="s">
        <v>2646</v>
      </c>
      <c r="AC269" s="426" t="s">
        <v>2646</v>
      </c>
      <c r="AD269" s="426" t="s">
        <v>2646</v>
      </c>
      <c r="AE269" s="426" t="s">
        <v>2646</v>
      </c>
      <c r="AF269" s="426" t="s">
        <v>2646</v>
      </c>
      <c r="AG269" s="426" t="s">
        <v>2646</v>
      </c>
      <c r="AH269" s="426" t="s">
        <v>2646</v>
      </c>
      <c r="AI269" s="426" t="s">
        <v>2646</v>
      </c>
      <c r="AJ269" s="68" t="s">
        <v>2646</v>
      </c>
    </row>
    <row r="270" spans="1:36">
      <c r="A270" s="392" t="s">
        <v>1616</v>
      </c>
      <c r="B270" s="427" t="s">
        <v>48</v>
      </c>
      <c r="C270" s="433" t="s">
        <v>4145</v>
      </c>
      <c r="D270" s="433" t="s">
        <v>3901</v>
      </c>
      <c r="E270" s="433" t="s">
        <v>2654</v>
      </c>
      <c r="F270" s="433" t="s">
        <v>2654</v>
      </c>
      <c r="G270" s="433" t="s">
        <v>2654</v>
      </c>
      <c r="H270" s="433" t="s">
        <v>2654</v>
      </c>
      <c r="I270" s="433" t="s">
        <v>2654</v>
      </c>
      <c r="J270" s="433" t="s">
        <v>2654</v>
      </c>
      <c r="K270" s="433" t="s">
        <v>2654</v>
      </c>
      <c r="L270" s="433" t="s">
        <v>2654</v>
      </c>
      <c r="M270" s="433" t="s">
        <v>2654</v>
      </c>
      <c r="N270" s="433" t="s">
        <v>2654</v>
      </c>
      <c r="O270" s="433" t="s">
        <v>2654</v>
      </c>
      <c r="P270" s="433" t="s">
        <v>3145</v>
      </c>
      <c r="Q270" s="433" t="s">
        <v>2654</v>
      </c>
      <c r="R270" s="433" t="s">
        <v>2654</v>
      </c>
      <c r="S270" s="426"/>
      <c r="T270" s="426"/>
      <c r="U270" s="426"/>
      <c r="V270" s="426"/>
      <c r="W270" s="426"/>
      <c r="X270" s="426"/>
      <c r="Y270" s="426"/>
      <c r="Z270" s="426"/>
      <c r="AA270" s="426"/>
      <c r="AB270" s="426"/>
      <c r="AC270" s="426"/>
      <c r="AD270" s="426"/>
      <c r="AE270" s="426"/>
      <c r="AF270" s="426"/>
      <c r="AG270" s="426"/>
      <c r="AH270" s="426"/>
      <c r="AI270" s="426"/>
    </row>
    <row r="271" spans="1:36" hidden="1">
      <c r="A271" s="392" t="s">
        <v>1617</v>
      </c>
      <c r="B271" s="427" t="s">
        <v>2647</v>
      </c>
      <c r="C271" s="433" t="s">
        <v>4173</v>
      </c>
      <c r="D271" s="433" t="s">
        <v>3500</v>
      </c>
      <c r="E271" s="433" t="s">
        <v>2654</v>
      </c>
      <c r="F271" s="433" t="s">
        <v>2654</v>
      </c>
      <c r="G271" s="433" t="s">
        <v>2654</v>
      </c>
      <c r="H271" s="433" t="s">
        <v>2654</v>
      </c>
      <c r="I271" s="433" t="s">
        <v>2654</v>
      </c>
      <c r="J271" s="433" t="s">
        <v>2654</v>
      </c>
      <c r="K271" s="433" t="s">
        <v>2654</v>
      </c>
      <c r="L271" s="433" t="s">
        <v>2654</v>
      </c>
      <c r="M271" s="433" t="s">
        <v>2654</v>
      </c>
      <c r="N271" s="433" t="s">
        <v>2654</v>
      </c>
      <c r="O271" s="433" t="s">
        <v>2654</v>
      </c>
      <c r="P271" s="433" t="s">
        <v>2650</v>
      </c>
      <c r="Q271" s="431"/>
      <c r="R271" s="431"/>
      <c r="S271" s="426" t="s">
        <v>2660</v>
      </c>
      <c r="T271" s="426" t="s">
        <v>2774</v>
      </c>
      <c r="U271" s="426" t="s">
        <v>3102</v>
      </c>
      <c r="V271" s="426" t="s">
        <v>3154</v>
      </c>
      <c r="W271" s="426" t="s">
        <v>3188</v>
      </c>
      <c r="X271" s="426" t="s">
        <v>3198</v>
      </c>
      <c r="Y271" s="426" t="s">
        <v>3199</v>
      </c>
      <c r="Z271" s="426" t="s">
        <v>2646</v>
      </c>
      <c r="AA271" s="426" t="s">
        <v>2646</v>
      </c>
      <c r="AB271" s="426" t="s">
        <v>2646</v>
      </c>
      <c r="AC271" s="426" t="s">
        <v>2646</v>
      </c>
      <c r="AD271" s="426" t="s">
        <v>2646</v>
      </c>
      <c r="AE271" s="426" t="s">
        <v>2646</v>
      </c>
      <c r="AF271" s="426" t="s">
        <v>2646</v>
      </c>
      <c r="AG271" s="426" t="s">
        <v>2646</v>
      </c>
      <c r="AH271" s="426" t="s">
        <v>2646</v>
      </c>
      <c r="AI271" s="426" t="s">
        <v>2646</v>
      </c>
      <c r="AJ271" s="68" t="s">
        <v>2646</v>
      </c>
    </row>
    <row r="272" spans="1:36" hidden="1">
      <c r="A272" s="392" t="s">
        <v>1618</v>
      </c>
      <c r="B272" s="427" t="s">
        <v>2648</v>
      </c>
      <c r="C272" s="433" t="s">
        <v>3655</v>
      </c>
      <c r="D272" s="433" t="s">
        <v>3519</v>
      </c>
      <c r="E272" s="433" t="s">
        <v>2654</v>
      </c>
      <c r="F272" s="433" t="s">
        <v>2654</v>
      </c>
      <c r="G272" s="433" t="s">
        <v>2654</v>
      </c>
      <c r="H272" s="433" t="s">
        <v>2654</v>
      </c>
      <c r="I272" s="433" t="s">
        <v>2654</v>
      </c>
      <c r="J272" s="433" t="s">
        <v>2654</v>
      </c>
      <c r="K272" s="433" t="s">
        <v>2654</v>
      </c>
      <c r="L272" s="433" t="s">
        <v>2654</v>
      </c>
      <c r="M272" s="433" t="s">
        <v>2654</v>
      </c>
      <c r="N272" s="433" t="s">
        <v>2654</v>
      </c>
      <c r="O272" s="433" t="s">
        <v>2654</v>
      </c>
      <c r="P272" s="433" t="s">
        <v>2648</v>
      </c>
      <c r="Q272" s="431"/>
      <c r="R272" s="431"/>
      <c r="S272" s="426" t="s">
        <v>2778</v>
      </c>
      <c r="T272" s="426" t="s">
        <v>2929</v>
      </c>
      <c r="U272" s="426" t="s">
        <v>3041</v>
      </c>
      <c r="V272" s="426" t="s">
        <v>3200</v>
      </c>
      <c r="W272" s="426" t="s">
        <v>3201</v>
      </c>
      <c r="X272" s="426" t="s">
        <v>3198</v>
      </c>
      <c r="Y272" s="426" t="s">
        <v>2798</v>
      </c>
      <c r="Z272" s="426" t="s">
        <v>2646</v>
      </c>
      <c r="AA272" s="426" t="s">
        <v>2646</v>
      </c>
      <c r="AB272" s="426" t="s">
        <v>2646</v>
      </c>
      <c r="AC272" s="426" t="s">
        <v>2646</v>
      </c>
      <c r="AD272" s="426" t="s">
        <v>2646</v>
      </c>
      <c r="AE272" s="426" t="s">
        <v>2646</v>
      </c>
      <c r="AF272" s="426" t="s">
        <v>2646</v>
      </c>
      <c r="AG272" s="426" t="s">
        <v>2646</v>
      </c>
      <c r="AH272" s="426" t="s">
        <v>2646</v>
      </c>
      <c r="AI272" s="426" t="s">
        <v>2646</v>
      </c>
      <c r="AJ272" s="68" t="s">
        <v>2646</v>
      </c>
    </row>
    <row r="273" spans="1:36" hidden="1">
      <c r="A273" s="392" t="s">
        <v>1619</v>
      </c>
      <c r="B273" s="427" t="s">
        <v>2649</v>
      </c>
      <c r="C273" s="433" t="s">
        <v>3623</v>
      </c>
      <c r="D273" s="433" t="s">
        <v>3519</v>
      </c>
      <c r="E273" s="433" t="s">
        <v>2654</v>
      </c>
      <c r="F273" s="433" t="s">
        <v>2654</v>
      </c>
      <c r="G273" s="433" t="s">
        <v>2654</v>
      </c>
      <c r="H273" s="433" t="s">
        <v>2654</v>
      </c>
      <c r="I273" s="433" t="s">
        <v>2654</v>
      </c>
      <c r="J273" s="433" t="s">
        <v>2654</v>
      </c>
      <c r="K273" s="433" t="s">
        <v>2654</v>
      </c>
      <c r="L273" s="433" t="s">
        <v>2654</v>
      </c>
      <c r="M273" s="433" t="s">
        <v>2654</v>
      </c>
      <c r="N273" s="433" t="s">
        <v>2654</v>
      </c>
      <c r="O273" s="433" t="s">
        <v>2654</v>
      </c>
      <c r="P273" s="433" t="s">
        <v>2650</v>
      </c>
      <c r="Q273" s="431"/>
      <c r="R273" s="431"/>
      <c r="S273" s="426" t="s">
        <v>2658</v>
      </c>
      <c r="T273" s="426" t="s">
        <v>2779</v>
      </c>
      <c r="U273" s="426" t="s">
        <v>2747</v>
      </c>
      <c r="V273" s="426" t="s">
        <v>2747</v>
      </c>
      <c r="W273" s="426" t="s">
        <v>3202</v>
      </c>
      <c r="X273" s="426" t="s">
        <v>3203</v>
      </c>
      <c r="Y273" s="426" t="s">
        <v>3098</v>
      </c>
      <c r="Z273" s="426" t="s">
        <v>2646</v>
      </c>
      <c r="AA273" s="426" t="s">
        <v>2646</v>
      </c>
      <c r="AB273" s="426" t="s">
        <v>2646</v>
      </c>
      <c r="AC273" s="426" t="s">
        <v>2646</v>
      </c>
      <c r="AD273" s="426" t="s">
        <v>2646</v>
      </c>
      <c r="AE273" s="426" t="s">
        <v>2646</v>
      </c>
      <c r="AF273" s="426" t="s">
        <v>2646</v>
      </c>
      <c r="AG273" s="426" t="s">
        <v>2646</v>
      </c>
      <c r="AH273" s="426" t="s">
        <v>2646</v>
      </c>
      <c r="AI273" s="426" t="s">
        <v>2646</v>
      </c>
      <c r="AJ273" s="68" t="s">
        <v>2646</v>
      </c>
    </row>
    <row r="274" spans="1:36" hidden="1">
      <c r="A274" s="392" t="s">
        <v>1620</v>
      </c>
      <c r="B274" s="427" t="s">
        <v>2650</v>
      </c>
      <c r="C274" s="433" t="s">
        <v>3059</v>
      </c>
      <c r="D274" s="433" t="s">
        <v>3500</v>
      </c>
      <c r="E274" s="433" t="s">
        <v>2654</v>
      </c>
      <c r="F274" s="433" t="s">
        <v>2654</v>
      </c>
      <c r="G274" s="433" t="s">
        <v>2654</v>
      </c>
      <c r="H274" s="433" t="s">
        <v>2654</v>
      </c>
      <c r="I274" s="433" t="s">
        <v>2654</v>
      </c>
      <c r="J274" s="433" t="s">
        <v>2654</v>
      </c>
      <c r="K274" s="433" t="s">
        <v>2654</v>
      </c>
      <c r="L274" s="433" t="s">
        <v>2654</v>
      </c>
      <c r="M274" s="433" t="s">
        <v>2654</v>
      </c>
      <c r="N274" s="433" t="s">
        <v>2654</v>
      </c>
      <c r="O274" s="433" t="s">
        <v>2654</v>
      </c>
      <c r="P274" s="433" t="s">
        <v>2648</v>
      </c>
      <c r="Q274" s="431"/>
      <c r="R274" s="431"/>
      <c r="S274" s="426" t="s">
        <v>3187</v>
      </c>
      <c r="T274" s="426" t="s">
        <v>2734</v>
      </c>
      <c r="U274" s="426" t="s">
        <v>3105</v>
      </c>
      <c r="V274" s="426" t="s">
        <v>2764</v>
      </c>
      <c r="W274" s="426" t="s">
        <v>3188</v>
      </c>
      <c r="X274" s="426" t="s">
        <v>3198</v>
      </c>
      <c r="Y274" s="426" t="s">
        <v>3199</v>
      </c>
      <c r="Z274" s="426" t="s">
        <v>2646</v>
      </c>
      <c r="AA274" s="426" t="s">
        <v>2646</v>
      </c>
      <c r="AB274" s="426" t="s">
        <v>2646</v>
      </c>
      <c r="AC274" s="426" t="s">
        <v>2646</v>
      </c>
      <c r="AD274" s="426" t="s">
        <v>2646</v>
      </c>
      <c r="AE274" s="426" t="s">
        <v>2646</v>
      </c>
      <c r="AF274" s="426" t="s">
        <v>2646</v>
      </c>
      <c r="AG274" s="426" t="s">
        <v>2646</v>
      </c>
      <c r="AH274" s="426" t="s">
        <v>2646</v>
      </c>
      <c r="AI274" s="426" t="s">
        <v>2646</v>
      </c>
      <c r="AJ274" s="68" t="s">
        <v>2646</v>
      </c>
    </row>
    <row r="275" spans="1:36" hidden="1">
      <c r="A275" s="392" t="s">
        <v>1621</v>
      </c>
      <c r="B275" s="427" t="s">
        <v>2651</v>
      </c>
      <c r="C275" s="433" t="s">
        <v>3655</v>
      </c>
      <c r="D275" s="433" t="s">
        <v>3729</v>
      </c>
      <c r="E275" s="433" t="s">
        <v>2654</v>
      </c>
      <c r="F275" s="433" t="s">
        <v>2654</v>
      </c>
      <c r="G275" s="433" t="s">
        <v>2654</v>
      </c>
      <c r="H275" s="433" t="s">
        <v>2654</v>
      </c>
      <c r="I275" s="433" t="s">
        <v>2654</v>
      </c>
      <c r="J275" s="433" t="s">
        <v>2654</v>
      </c>
      <c r="K275" s="433" t="s">
        <v>2654</v>
      </c>
      <c r="L275" s="433" t="s">
        <v>2654</v>
      </c>
      <c r="M275" s="433" t="s">
        <v>2654</v>
      </c>
      <c r="N275" s="433" t="s">
        <v>2654</v>
      </c>
      <c r="O275" s="433" t="s">
        <v>2654</v>
      </c>
      <c r="P275" s="433" t="s">
        <v>2650</v>
      </c>
      <c r="Q275" s="431"/>
      <c r="R275" s="431"/>
      <c r="S275" s="426" t="s">
        <v>2669</v>
      </c>
      <c r="T275" s="426" t="s">
        <v>2710</v>
      </c>
      <c r="U275" s="426" t="s">
        <v>2931</v>
      </c>
      <c r="V275" s="426" t="s">
        <v>2949</v>
      </c>
      <c r="W275" s="426" t="s">
        <v>3201</v>
      </c>
      <c r="X275" s="426" t="s">
        <v>3198</v>
      </c>
      <c r="Y275" s="426" t="s">
        <v>2798</v>
      </c>
      <c r="Z275" s="426" t="s">
        <v>2646</v>
      </c>
      <c r="AA275" s="426" t="s">
        <v>2646</v>
      </c>
      <c r="AB275" s="426" t="s">
        <v>2646</v>
      </c>
      <c r="AC275" s="426" t="s">
        <v>2646</v>
      </c>
      <c r="AD275" s="426" t="s">
        <v>2646</v>
      </c>
      <c r="AE275" s="426" t="s">
        <v>2646</v>
      </c>
      <c r="AF275" s="426" t="s">
        <v>2646</v>
      </c>
      <c r="AG275" s="426" t="s">
        <v>2646</v>
      </c>
      <c r="AH275" s="426" t="s">
        <v>2646</v>
      </c>
      <c r="AI275" s="426" t="s">
        <v>2646</v>
      </c>
      <c r="AJ275" s="68" t="s">
        <v>2646</v>
      </c>
    </row>
    <row r="276" spans="1:36">
      <c r="A276" s="392" t="s">
        <v>1621</v>
      </c>
      <c r="B276" s="427" t="s">
        <v>48</v>
      </c>
      <c r="C276" s="433" t="s">
        <v>4174</v>
      </c>
      <c r="D276" s="433" t="s">
        <v>3729</v>
      </c>
      <c r="E276" s="433" t="s">
        <v>2654</v>
      </c>
      <c r="F276" s="433" t="s">
        <v>2654</v>
      </c>
      <c r="G276" s="433" t="s">
        <v>2654</v>
      </c>
      <c r="H276" s="433" t="s">
        <v>2654</v>
      </c>
      <c r="I276" s="433" t="s">
        <v>2654</v>
      </c>
      <c r="J276" s="433" t="s">
        <v>2654</v>
      </c>
      <c r="K276" s="433" t="s">
        <v>2654</v>
      </c>
      <c r="L276" s="433" t="s">
        <v>2654</v>
      </c>
      <c r="M276" s="433" t="s">
        <v>2654</v>
      </c>
      <c r="N276" s="433" t="s">
        <v>2654</v>
      </c>
      <c r="O276" s="433" t="s">
        <v>2654</v>
      </c>
      <c r="P276" s="433" t="s">
        <v>3394</v>
      </c>
      <c r="Q276" s="433" t="s">
        <v>2654</v>
      </c>
      <c r="R276" s="433" t="s">
        <v>2654</v>
      </c>
      <c r="S276" s="426"/>
      <c r="T276" s="426"/>
      <c r="U276" s="426"/>
      <c r="V276" s="426"/>
      <c r="W276" s="426"/>
      <c r="X276" s="426"/>
      <c r="Y276" s="426"/>
      <c r="Z276" s="426"/>
      <c r="AA276" s="426"/>
      <c r="AB276" s="426"/>
      <c r="AC276" s="426"/>
      <c r="AD276" s="426"/>
      <c r="AE276" s="426"/>
      <c r="AF276" s="426"/>
      <c r="AG276" s="426"/>
      <c r="AH276" s="426"/>
      <c r="AI276" s="426"/>
    </row>
    <row r="277" spans="1:36" hidden="1">
      <c r="A277" s="392" t="s">
        <v>1622</v>
      </c>
      <c r="B277" s="427" t="s">
        <v>2647</v>
      </c>
      <c r="C277" s="433" t="s">
        <v>3149</v>
      </c>
      <c r="D277" s="433" t="s">
        <v>3561</v>
      </c>
      <c r="E277" s="433" t="s">
        <v>2654</v>
      </c>
      <c r="F277" s="433" t="s">
        <v>2654</v>
      </c>
      <c r="G277" s="433" t="s">
        <v>2654</v>
      </c>
      <c r="H277" s="433" t="s">
        <v>2654</v>
      </c>
      <c r="I277" s="433" t="s">
        <v>2654</v>
      </c>
      <c r="J277" s="433" t="s">
        <v>2654</v>
      </c>
      <c r="K277" s="433" t="s">
        <v>2654</v>
      </c>
      <c r="L277" s="433" t="s">
        <v>2654</v>
      </c>
      <c r="M277" s="433" t="s">
        <v>2654</v>
      </c>
      <c r="N277" s="433" t="s">
        <v>2654</v>
      </c>
      <c r="O277" s="433" t="s">
        <v>2654</v>
      </c>
      <c r="P277" s="433" t="s">
        <v>2648</v>
      </c>
      <c r="Q277" s="431"/>
      <c r="R277" s="431"/>
      <c r="S277" s="426" t="s">
        <v>2665</v>
      </c>
      <c r="T277" s="426" t="s">
        <v>2726</v>
      </c>
      <c r="U277" s="426" t="s">
        <v>2837</v>
      </c>
      <c r="V277" s="426" t="s">
        <v>2755</v>
      </c>
      <c r="W277" s="426" t="s">
        <v>3205</v>
      </c>
      <c r="X277" s="426" t="s">
        <v>2939</v>
      </c>
      <c r="Y277" s="426" t="s">
        <v>3040</v>
      </c>
      <c r="Z277" s="426" t="s">
        <v>2646</v>
      </c>
      <c r="AA277" s="426" t="s">
        <v>2646</v>
      </c>
      <c r="AB277" s="426" t="s">
        <v>2646</v>
      </c>
      <c r="AC277" s="426" t="s">
        <v>2646</v>
      </c>
      <c r="AD277" s="426" t="s">
        <v>2646</v>
      </c>
      <c r="AE277" s="426" t="s">
        <v>2646</v>
      </c>
      <c r="AF277" s="426" t="s">
        <v>2646</v>
      </c>
      <c r="AG277" s="426" t="s">
        <v>2646</v>
      </c>
      <c r="AH277" s="426" t="s">
        <v>2646</v>
      </c>
      <c r="AI277" s="426" t="s">
        <v>2646</v>
      </c>
      <c r="AJ277" s="68" t="s">
        <v>2646</v>
      </c>
    </row>
    <row r="278" spans="1:36" hidden="1">
      <c r="A278" s="392" t="s">
        <v>1623</v>
      </c>
      <c r="B278" s="427" t="s">
        <v>2648</v>
      </c>
      <c r="C278" s="433" t="s">
        <v>3590</v>
      </c>
      <c r="D278" s="433" t="s">
        <v>3732</v>
      </c>
      <c r="E278" s="433" t="s">
        <v>2654</v>
      </c>
      <c r="F278" s="433" t="s">
        <v>2654</v>
      </c>
      <c r="G278" s="433" t="s">
        <v>2654</v>
      </c>
      <c r="H278" s="433" t="s">
        <v>2654</v>
      </c>
      <c r="I278" s="433" t="s">
        <v>2654</v>
      </c>
      <c r="J278" s="433" t="s">
        <v>2654</v>
      </c>
      <c r="K278" s="433" t="s">
        <v>2654</v>
      </c>
      <c r="L278" s="433" t="s">
        <v>2654</v>
      </c>
      <c r="M278" s="433" t="s">
        <v>2654</v>
      </c>
      <c r="N278" s="433" t="s">
        <v>2654</v>
      </c>
      <c r="O278" s="433" t="s">
        <v>2654</v>
      </c>
      <c r="P278" s="433" t="s">
        <v>2651</v>
      </c>
      <c r="Q278" s="431"/>
      <c r="R278" s="431"/>
      <c r="S278" s="426" t="s">
        <v>3194</v>
      </c>
      <c r="T278" s="426" t="s">
        <v>2988</v>
      </c>
      <c r="U278" s="426" t="s">
        <v>2755</v>
      </c>
      <c r="V278" s="426" t="s">
        <v>3156</v>
      </c>
      <c r="W278" s="426" t="s">
        <v>3201</v>
      </c>
      <c r="X278" s="426" t="s">
        <v>2939</v>
      </c>
      <c r="Y278" s="426" t="s">
        <v>2814</v>
      </c>
      <c r="Z278" s="426" t="s">
        <v>2646</v>
      </c>
      <c r="AA278" s="426" t="s">
        <v>2646</v>
      </c>
      <c r="AB278" s="426" t="s">
        <v>2646</v>
      </c>
      <c r="AC278" s="426" t="s">
        <v>2646</v>
      </c>
      <c r="AD278" s="426" t="s">
        <v>2646</v>
      </c>
      <c r="AE278" s="426" t="s">
        <v>2646</v>
      </c>
      <c r="AF278" s="426" t="s">
        <v>2646</v>
      </c>
      <c r="AG278" s="426" t="s">
        <v>2646</v>
      </c>
      <c r="AH278" s="426" t="s">
        <v>2646</v>
      </c>
      <c r="AI278" s="426" t="s">
        <v>2646</v>
      </c>
      <c r="AJ278" s="68" t="s">
        <v>2646</v>
      </c>
    </row>
    <row r="279" spans="1:36" hidden="1">
      <c r="A279" s="392" t="s">
        <v>1624</v>
      </c>
      <c r="B279" s="427" t="s">
        <v>2649</v>
      </c>
      <c r="C279" s="433" t="s">
        <v>3708</v>
      </c>
      <c r="D279" s="433" t="s">
        <v>3732</v>
      </c>
      <c r="E279" s="433" t="s">
        <v>2654</v>
      </c>
      <c r="F279" s="433" t="s">
        <v>2654</v>
      </c>
      <c r="G279" s="433" t="s">
        <v>2654</v>
      </c>
      <c r="H279" s="433" t="s">
        <v>2654</v>
      </c>
      <c r="I279" s="433" t="s">
        <v>2654</v>
      </c>
      <c r="J279" s="433" t="s">
        <v>2654</v>
      </c>
      <c r="K279" s="433" t="s">
        <v>2654</v>
      </c>
      <c r="L279" s="433" t="s">
        <v>2654</v>
      </c>
      <c r="M279" s="433" t="s">
        <v>2654</v>
      </c>
      <c r="N279" s="433" t="s">
        <v>2654</v>
      </c>
      <c r="O279" s="433" t="s">
        <v>2654</v>
      </c>
      <c r="P279" s="433" t="s">
        <v>2649</v>
      </c>
      <c r="Q279" s="431"/>
      <c r="R279" s="431"/>
      <c r="S279" s="426" t="s">
        <v>2778</v>
      </c>
      <c r="T279" s="426" t="s">
        <v>3206</v>
      </c>
      <c r="U279" s="426" t="s">
        <v>2931</v>
      </c>
      <c r="V279" s="426" t="s">
        <v>2931</v>
      </c>
      <c r="W279" s="426" t="s">
        <v>3202</v>
      </c>
      <c r="X279" s="426" t="s">
        <v>2939</v>
      </c>
      <c r="Y279" s="426" t="s">
        <v>3107</v>
      </c>
      <c r="Z279" s="426" t="s">
        <v>2646</v>
      </c>
      <c r="AA279" s="426" t="s">
        <v>2646</v>
      </c>
      <c r="AB279" s="426" t="s">
        <v>2646</v>
      </c>
      <c r="AC279" s="426" t="s">
        <v>2646</v>
      </c>
      <c r="AD279" s="426" t="s">
        <v>2646</v>
      </c>
      <c r="AE279" s="426" t="s">
        <v>2646</v>
      </c>
      <c r="AF279" s="426" t="s">
        <v>2646</v>
      </c>
      <c r="AG279" s="426" t="s">
        <v>2646</v>
      </c>
      <c r="AH279" s="426" t="s">
        <v>2646</v>
      </c>
      <c r="AI279" s="426" t="s">
        <v>2646</v>
      </c>
      <c r="AJ279" s="68" t="s">
        <v>2646</v>
      </c>
    </row>
    <row r="280" spans="1:36" hidden="1">
      <c r="A280" s="392" t="s">
        <v>1625</v>
      </c>
      <c r="B280" s="427" t="s">
        <v>2650</v>
      </c>
      <c r="C280" s="433" t="s">
        <v>3632</v>
      </c>
      <c r="D280" s="433" t="s">
        <v>3561</v>
      </c>
      <c r="E280" s="433" t="s">
        <v>2654</v>
      </c>
      <c r="F280" s="433" t="s">
        <v>2654</v>
      </c>
      <c r="G280" s="433" t="s">
        <v>2654</v>
      </c>
      <c r="H280" s="433" t="s">
        <v>2654</v>
      </c>
      <c r="I280" s="433" t="s">
        <v>2654</v>
      </c>
      <c r="J280" s="433" t="s">
        <v>2654</v>
      </c>
      <c r="K280" s="433" t="s">
        <v>2654</v>
      </c>
      <c r="L280" s="433" t="s">
        <v>2654</v>
      </c>
      <c r="M280" s="433" t="s">
        <v>2654</v>
      </c>
      <c r="N280" s="433" t="s">
        <v>2654</v>
      </c>
      <c r="O280" s="433" t="s">
        <v>2654</v>
      </c>
      <c r="P280" s="433" t="s">
        <v>2647</v>
      </c>
      <c r="Q280" s="431"/>
      <c r="R280" s="431"/>
      <c r="S280" s="426" t="s">
        <v>2673</v>
      </c>
      <c r="T280" s="426" t="s">
        <v>3138</v>
      </c>
      <c r="U280" s="426" t="s">
        <v>2757</v>
      </c>
      <c r="V280" s="426" t="s">
        <v>2949</v>
      </c>
      <c r="W280" s="426" t="s">
        <v>3207</v>
      </c>
      <c r="X280" s="426" t="s">
        <v>2939</v>
      </c>
      <c r="Y280" s="426" t="s">
        <v>2671</v>
      </c>
      <c r="Z280" s="426" t="s">
        <v>2646</v>
      </c>
      <c r="AA280" s="426" t="s">
        <v>2646</v>
      </c>
      <c r="AB280" s="426" t="s">
        <v>2646</v>
      </c>
      <c r="AC280" s="426" t="s">
        <v>2646</v>
      </c>
      <c r="AD280" s="426" t="s">
        <v>2646</v>
      </c>
      <c r="AE280" s="426" t="s">
        <v>2646</v>
      </c>
      <c r="AF280" s="426" t="s">
        <v>2646</v>
      </c>
      <c r="AG280" s="426" t="s">
        <v>2646</v>
      </c>
      <c r="AH280" s="426" t="s">
        <v>2646</v>
      </c>
      <c r="AI280" s="426" t="s">
        <v>2646</v>
      </c>
      <c r="AJ280" s="68" t="s">
        <v>2646</v>
      </c>
    </row>
    <row r="281" spans="1:36" hidden="1">
      <c r="A281" s="392" t="s">
        <v>1626</v>
      </c>
      <c r="B281" s="427" t="s">
        <v>2651</v>
      </c>
      <c r="C281" s="433" t="s">
        <v>3482</v>
      </c>
      <c r="D281" s="433" t="s">
        <v>3788</v>
      </c>
      <c r="E281" s="433" t="s">
        <v>2654</v>
      </c>
      <c r="F281" s="433" t="s">
        <v>2654</v>
      </c>
      <c r="G281" s="433" t="s">
        <v>2654</v>
      </c>
      <c r="H281" s="433" t="s">
        <v>2654</v>
      </c>
      <c r="I281" s="433" t="s">
        <v>2654</v>
      </c>
      <c r="J281" s="433" t="s">
        <v>2654</v>
      </c>
      <c r="K281" s="433" t="s">
        <v>2654</v>
      </c>
      <c r="L281" s="433" t="s">
        <v>2654</v>
      </c>
      <c r="M281" s="433" t="s">
        <v>2654</v>
      </c>
      <c r="N281" s="433" t="s">
        <v>2654</v>
      </c>
      <c r="O281" s="433" t="s">
        <v>2654</v>
      </c>
      <c r="P281" s="433" t="s">
        <v>2648</v>
      </c>
      <c r="Q281" s="431"/>
      <c r="R281" s="431"/>
      <c r="S281" s="426" t="s">
        <v>2673</v>
      </c>
      <c r="T281" s="426" t="s">
        <v>3154</v>
      </c>
      <c r="U281" s="426" t="s">
        <v>3057</v>
      </c>
      <c r="V281" s="426" t="s">
        <v>2922</v>
      </c>
      <c r="W281" s="426" t="s">
        <v>3196</v>
      </c>
      <c r="X281" s="426" t="s">
        <v>2939</v>
      </c>
      <c r="Y281" s="426" t="s">
        <v>3210</v>
      </c>
      <c r="Z281" s="426" t="s">
        <v>2646</v>
      </c>
      <c r="AA281" s="426" t="s">
        <v>2646</v>
      </c>
      <c r="AB281" s="426" t="s">
        <v>2646</v>
      </c>
      <c r="AC281" s="426" t="s">
        <v>2646</v>
      </c>
      <c r="AD281" s="426" t="s">
        <v>2646</v>
      </c>
      <c r="AE281" s="426" t="s">
        <v>2646</v>
      </c>
      <c r="AF281" s="426" t="s">
        <v>2646</v>
      </c>
      <c r="AG281" s="426" t="s">
        <v>2646</v>
      </c>
      <c r="AH281" s="426" t="s">
        <v>2646</v>
      </c>
      <c r="AI281" s="426" t="s">
        <v>2646</v>
      </c>
      <c r="AJ281" s="68" t="s">
        <v>2646</v>
      </c>
    </row>
    <row r="282" spans="1:36">
      <c r="A282" s="392" t="s">
        <v>1626</v>
      </c>
      <c r="B282" s="427" t="s">
        <v>48</v>
      </c>
      <c r="C282" s="433" t="s">
        <v>4175</v>
      </c>
      <c r="D282" s="433" t="s">
        <v>4176</v>
      </c>
      <c r="E282" s="433" t="s">
        <v>2654</v>
      </c>
      <c r="F282" s="433" t="s">
        <v>2654</v>
      </c>
      <c r="G282" s="433" t="s">
        <v>2654</v>
      </c>
      <c r="H282" s="433" t="s">
        <v>2654</v>
      </c>
      <c r="I282" s="433" t="s">
        <v>2654</v>
      </c>
      <c r="J282" s="433" t="s">
        <v>2654</v>
      </c>
      <c r="K282" s="433" t="s">
        <v>2654</v>
      </c>
      <c r="L282" s="433" t="s">
        <v>2654</v>
      </c>
      <c r="M282" s="433" t="s">
        <v>2654</v>
      </c>
      <c r="N282" s="433" t="s">
        <v>2654</v>
      </c>
      <c r="O282" s="433" t="s">
        <v>2654</v>
      </c>
      <c r="P282" s="433" t="s">
        <v>2953</v>
      </c>
      <c r="Q282" s="433" t="s">
        <v>2654</v>
      </c>
      <c r="R282" s="433" t="s">
        <v>2654</v>
      </c>
      <c r="S282" s="426"/>
      <c r="T282" s="426"/>
      <c r="U282" s="426"/>
      <c r="V282" s="426"/>
      <c r="W282" s="426"/>
      <c r="X282" s="426"/>
      <c r="Y282" s="426"/>
      <c r="Z282" s="426"/>
      <c r="AA282" s="426"/>
      <c r="AB282" s="426"/>
      <c r="AC282" s="426"/>
      <c r="AD282" s="426"/>
      <c r="AE282" s="426"/>
      <c r="AF282" s="426"/>
      <c r="AG282" s="426"/>
      <c r="AH282" s="426"/>
      <c r="AI282" s="426"/>
    </row>
    <row r="283" spans="1:36" hidden="1">
      <c r="A283" s="392" t="s">
        <v>1627</v>
      </c>
      <c r="B283" s="427" t="s">
        <v>2647</v>
      </c>
      <c r="C283" s="433" t="s">
        <v>2799</v>
      </c>
      <c r="D283" s="433" t="s">
        <v>3089</v>
      </c>
      <c r="E283" s="433" t="s">
        <v>2654</v>
      </c>
      <c r="F283" s="433" t="s">
        <v>2654</v>
      </c>
      <c r="G283" s="433" t="s">
        <v>2654</v>
      </c>
      <c r="H283" s="433" t="s">
        <v>2654</v>
      </c>
      <c r="I283" s="433" t="s">
        <v>2654</v>
      </c>
      <c r="J283" s="433" t="s">
        <v>2654</v>
      </c>
      <c r="K283" s="433" t="s">
        <v>2654</v>
      </c>
      <c r="L283" s="433" t="s">
        <v>2654</v>
      </c>
      <c r="M283" s="433" t="s">
        <v>2654</v>
      </c>
      <c r="N283" s="433" t="s">
        <v>2654</v>
      </c>
      <c r="O283" s="433" t="s">
        <v>2654</v>
      </c>
      <c r="P283" s="433" t="s">
        <v>2648</v>
      </c>
      <c r="Q283" s="431"/>
      <c r="R283" s="431"/>
      <c r="S283" s="426" t="s">
        <v>3124</v>
      </c>
      <c r="T283" s="426" t="s">
        <v>3138</v>
      </c>
      <c r="U283" s="426" t="s">
        <v>2820</v>
      </c>
      <c r="V283" s="426" t="s">
        <v>2735</v>
      </c>
      <c r="W283" s="426" t="s">
        <v>3196</v>
      </c>
      <c r="X283" s="426" t="s">
        <v>2939</v>
      </c>
      <c r="Y283" s="426" t="s">
        <v>2951</v>
      </c>
      <c r="Z283" s="426" t="s">
        <v>2646</v>
      </c>
      <c r="AA283" s="426" t="s">
        <v>2646</v>
      </c>
      <c r="AB283" s="426" t="s">
        <v>2646</v>
      </c>
      <c r="AC283" s="426" t="s">
        <v>2646</v>
      </c>
      <c r="AD283" s="426" t="s">
        <v>2646</v>
      </c>
      <c r="AE283" s="426" t="s">
        <v>2646</v>
      </c>
      <c r="AF283" s="426" t="s">
        <v>2646</v>
      </c>
      <c r="AG283" s="426" t="s">
        <v>2646</v>
      </c>
      <c r="AH283" s="426" t="s">
        <v>2646</v>
      </c>
      <c r="AI283" s="426" t="s">
        <v>2646</v>
      </c>
      <c r="AJ283" s="68" t="s">
        <v>2646</v>
      </c>
    </row>
    <row r="284" spans="1:36" hidden="1">
      <c r="A284" s="392" t="s">
        <v>1628</v>
      </c>
      <c r="B284" s="427" t="s">
        <v>2648</v>
      </c>
      <c r="C284" s="433" t="s">
        <v>3735</v>
      </c>
      <c r="D284" s="433" t="s">
        <v>3789</v>
      </c>
      <c r="E284" s="433" t="s">
        <v>2654</v>
      </c>
      <c r="F284" s="433" t="s">
        <v>2654</v>
      </c>
      <c r="G284" s="433" t="s">
        <v>2654</v>
      </c>
      <c r="H284" s="433" t="s">
        <v>2654</v>
      </c>
      <c r="I284" s="433" t="s">
        <v>2654</v>
      </c>
      <c r="J284" s="433" t="s">
        <v>2654</v>
      </c>
      <c r="K284" s="433" t="s">
        <v>2654</v>
      </c>
      <c r="L284" s="433" t="s">
        <v>2654</v>
      </c>
      <c r="M284" s="433" t="s">
        <v>2654</v>
      </c>
      <c r="N284" s="433" t="s">
        <v>2654</v>
      </c>
      <c r="O284" s="433" t="s">
        <v>2654</v>
      </c>
      <c r="P284" s="433" t="s">
        <v>2649</v>
      </c>
      <c r="Q284" s="431"/>
      <c r="R284" s="431"/>
      <c r="S284" s="426" t="s">
        <v>3132</v>
      </c>
      <c r="T284" s="426" t="s">
        <v>3138</v>
      </c>
      <c r="U284" s="426" t="s">
        <v>2755</v>
      </c>
      <c r="V284" s="426" t="s">
        <v>2740</v>
      </c>
      <c r="W284" s="426" t="s">
        <v>3188</v>
      </c>
      <c r="X284" s="426" t="s">
        <v>2939</v>
      </c>
      <c r="Y284" s="426" t="s">
        <v>3212</v>
      </c>
      <c r="Z284" s="426" t="s">
        <v>2646</v>
      </c>
      <c r="AA284" s="426" t="s">
        <v>2646</v>
      </c>
      <c r="AB284" s="426" t="s">
        <v>2646</v>
      </c>
      <c r="AC284" s="426" t="s">
        <v>2646</v>
      </c>
      <c r="AD284" s="426" t="s">
        <v>2646</v>
      </c>
      <c r="AE284" s="426" t="s">
        <v>2646</v>
      </c>
      <c r="AF284" s="426" t="s">
        <v>2646</v>
      </c>
      <c r="AG284" s="426" t="s">
        <v>2646</v>
      </c>
      <c r="AH284" s="426" t="s">
        <v>2646</v>
      </c>
      <c r="AI284" s="426" t="s">
        <v>2646</v>
      </c>
      <c r="AJ284" s="68" t="s">
        <v>2646</v>
      </c>
    </row>
    <row r="285" spans="1:36" hidden="1">
      <c r="A285" s="392" t="s">
        <v>1629</v>
      </c>
      <c r="B285" s="427" t="s">
        <v>2649</v>
      </c>
      <c r="C285" s="433" t="s">
        <v>3627</v>
      </c>
      <c r="D285" s="433" t="s">
        <v>3909</v>
      </c>
      <c r="E285" s="433" t="s">
        <v>2654</v>
      </c>
      <c r="F285" s="433" t="s">
        <v>2654</v>
      </c>
      <c r="G285" s="433" t="s">
        <v>2654</v>
      </c>
      <c r="H285" s="433" t="s">
        <v>2654</v>
      </c>
      <c r="I285" s="433" t="s">
        <v>2654</v>
      </c>
      <c r="J285" s="433" t="s">
        <v>2654</v>
      </c>
      <c r="K285" s="433" t="s">
        <v>2654</v>
      </c>
      <c r="L285" s="433" t="s">
        <v>2654</v>
      </c>
      <c r="M285" s="433" t="s">
        <v>2654</v>
      </c>
      <c r="N285" s="433" t="s">
        <v>2654</v>
      </c>
      <c r="O285" s="433" t="s">
        <v>2654</v>
      </c>
      <c r="P285" s="433" t="s">
        <v>2650</v>
      </c>
      <c r="Q285" s="431"/>
      <c r="R285" s="431"/>
      <c r="S285" s="426" t="s">
        <v>3132</v>
      </c>
      <c r="T285" s="426" t="s">
        <v>2762</v>
      </c>
      <c r="U285" s="426" t="s">
        <v>2755</v>
      </c>
      <c r="V285" s="426" t="s">
        <v>2739</v>
      </c>
      <c r="W285" s="426" t="s">
        <v>3039</v>
      </c>
      <c r="X285" s="426" t="s">
        <v>2939</v>
      </c>
      <c r="Y285" s="426" t="s">
        <v>2946</v>
      </c>
      <c r="Z285" s="426" t="s">
        <v>2646</v>
      </c>
      <c r="AA285" s="426" t="s">
        <v>2646</v>
      </c>
      <c r="AB285" s="426" t="s">
        <v>2646</v>
      </c>
      <c r="AC285" s="426" t="s">
        <v>2646</v>
      </c>
      <c r="AD285" s="426" t="s">
        <v>2646</v>
      </c>
      <c r="AE285" s="426" t="s">
        <v>2646</v>
      </c>
      <c r="AF285" s="426" t="s">
        <v>2646</v>
      </c>
      <c r="AG285" s="426" t="s">
        <v>2646</v>
      </c>
      <c r="AH285" s="426" t="s">
        <v>2646</v>
      </c>
      <c r="AI285" s="426" t="s">
        <v>2646</v>
      </c>
      <c r="AJ285" s="68" t="s">
        <v>2646</v>
      </c>
    </row>
    <row r="286" spans="1:36" hidden="1">
      <c r="A286" s="392" t="s">
        <v>1630</v>
      </c>
      <c r="B286" s="427" t="s">
        <v>2650</v>
      </c>
      <c r="C286" s="433" t="s">
        <v>3617</v>
      </c>
      <c r="D286" s="433" t="s">
        <v>4177</v>
      </c>
      <c r="E286" s="433" t="s">
        <v>2654</v>
      </c>
      <c r="F286" s="433" t="s">
        <v>2654</v>
      </c>
      <c r="G286" s="433" t="s">
        <v>2654</v>
      </c>
      <c r="H286" s="433" t="s">
        <v>2654</v>
      </c>
      <c r="I286" s="433" t="s">
        <v>2654</v>
      </c>
      <c r="J286" s="433" t="s">
        <v>2654</v>
      </c>
      <c r="K286" s="433" t="s">
        <v>2654</v>
      </c>
      <c r="L286" s="433" t="s">
        <v>2654</v>
      </c>
      <c r="M286" s="433" t="s">
        <v>2654</v>
      </c>
      <c r="N286" s="433" t="s">
        <v>2654</v>
      </c>
      <c r="O286" s="433" t="s">
        <v>2654</v>
      </c>
      <c r="P286" s="433" t="s">
        <v>4129</v>
      </c>
      <c r="Q286" s="431"/>
      <c r="R286" s="431"/>
      <c r="S286" s="426" t="s">
        <v>3132</v>
      </c>
      <c r="T286" s="426" t="s">
        <v>2774</v>
      </c>
      <c r="U286" s="426" t="s">
        <v>3057</v>
      </c>
      <c r="V286" s="426" t="s">
        <v>2774</v>
      </c>
      <c r="W286" s="426" t="s">
        <v>3039</v>
      </c>
      <c r="X286" s="426" t="s">
        <v>2939</v>
      </c>
      <c r="Y286" s="426" t="s">
        <v>2946</v>
      </c>
      <c r="Z286" s="426" t="s">
        <v>2646</v>
      </c>
      <c r="AA286" s="426" t="s">
        <v>2646</v>
      </c>
      <c r="AB286" s="426" t="s">
        <v>2646</v>
      </c>
      <c r="AC286" s="426" t="s">
        <v>2646</v>
      </c>
      <c r="AD286" s="426" t="s">
        <v>2646</v>
      </c>
      <c r="AE286" s="426" t="s">
        <v>2646</v>
      </c>
      <c r="AF286" s="426" t="s">
        <v>2646</v>
      </c>
      <c r="AG286" s="426" t="s">
        <v>2646</v>
      </c>
      <c r="AH286" s="426" t="s">
        <v>2646</v>
      </c>
      <c r="AI286" s="426" t="s">
        <v>2646</v>
      </c>
      <c r="AJ286" s="68" t="s">
        <v>2646</v>
      </c>
    </row>
    <row r="287" spans="1:36" hidden="1">
      <c r="A287" s="392" t="s">
        <v>1631</v>
      </c>
      <c r="B287" s="427" t="s">
        <v>2651</v>
      </c>
      <c r="C287" s="433" t="s">
        <v>3785</v>
      </c>
      <c r="D287" s="433" t="s">
        <v>3089</v>
      </c>
      <c r="E287" s="433" t="s">
        <v>2654</v>
      </c>
      <c r="F287" s="433" t="s">
        <v>2654</v>
      </c>
      <c r="G287" s="433" t="s">
        <v>2654</v>
      </c>
      <c r="H287" s="433" t="s">
        <v>2654</v>
      </c>
      <c r="I287" s="433" t="s">
        <v>2654</v>
      </c>
      <c r="J287" s="433" t="s">
        <v>2654</v>
      </c>
      <c r="K287" s="433" t="s">
        <v>2654</v>
      </c>
      <c r="L287" s="433" t="s">
        <v>2654</v>
      </c>
      <c r="M287" s="433" t="s">
        <v>2654</v>
      </c>
      <c r="N287" s="433" t="s">
        <v>2654</v>
      </c>
      <c r="O287" s="433" t="s">
        <v>2654</v>
      </c>
      <c r="P287" s="433" t="s">
        <v>2647</v>
      </c>
      <c r="Q287" s="431"/>
      <c r="R287" s="431"/>
      <c r="S287" s="426" t="s">
        <v>3124</v>
      </c>
      <c r="T287" s="426" t="s">
        <v>3134</v>
      </c>
      <c r="U287" s="426" t="s">
        <v>2857</v>
      </c>
      <c r="V287" s="426" t="s">
        <v>2747</v>
      </c>
      <c r="W287" s="426" t="s">
        <v>2942</v>
      </c>
      <c r="X287" s="426" t="s">
        <v>2939</v>
      </c>
      <c r="Y287" s="426" t="s">
        <v>3213</v>
      </c>
      <c r="Z287" s="426" t="s">
        <v>2646</v>
      </c>
      <c r="AA287" s="426" t="s">
        <v>2646</v>
      </c>
      <c r="AB287" s="426" t="s">
        <v>2646</v>
      </c>
      <c r="AC287" s="426" t="s">
        <v>2646</v>
      </c>
      <c r="AD287" s="426" t="s">
        <v>2646</v>
      </c>
      <c r="AE287" s="426" t="s">
        <v>2646</v>
      </c>
      <c r="AF287" s="426" t="s">
        <v>2646</v>
      </c>
      <c r="AG287" s="426" t="s">
        <v>2646</v>
      </c>
      <c r="AH287" s="426" t="s">
        <v>2646</v>
      </c>
      <c r="AI287" s="426" t="s">
        <v>2646</v>
      </c>
      <c r="AJ287" s="68" t="s">
        <v>2646</v>
      </c>
    </row>
    <row r="288" spans="1:36">
      <c r="A288" s="392" t="s">
        <v>1631</v>
      </c>
      <c r="B288" s="427" t="s">
        <v>48</v>
      </c>
      <c r="C288" s="433" t="s">
        <v>3969</v>
      </c>
      <c r="D288" s="433" t="s">
        <v>3734</v>
      </c>
      <c r="E288" s="433" t="s">
        <v>2654</v>
      </c>
      <c r="F288" s="433" t="s">
        <v>2654</v>
      </c>
      <c r="G288" s="433" t="s">
        <v>2654</v>
      </c>
      <c r="H288" s="433" t="s">
        <v>2654</v>
      </c>
      <c r="I288" s="433" t="s">
        <v>2654</v>
      </c>
      <c r="J288" s="433" t="s">
        <v>2654</v>
      </c>
      <c r="K288" s="433" t="s">
        <v>2654</v>
      </c>
      <c r="L288" s="433" t="s">
        <v>2654</v>
      </c>
      <c r="M288" s="433" t="s">
        <v>2654</v>
      </c>
      <c r="N288" s="433" t="s">
        <v>2654</v>
      </c>
      <c r="O288" s="433" t="s">
        <v>2654</v>
      </c>
      <c r="P288" s="433" t="s">
        <v>3389</v>
      </c>
      <c r="Q288" s="433" t="s">
        <v>2654</v>
      </c>
      <c r="R288" s="433" t="s">
        <v>2654</v>
      </c>
      <c r="S288" s="426"/>
      <c r="T288" s="426"/>
      <c r="U288" s="426"/>
      <c r="V288" s="426"/>
      <c r="W288" s="426"/>
      <c r="X288" s="426"/>
      <c r="Y288" s="426"/>
      <c r="Z288" s="426"/>
      <c r="AA288" s="426"/>
      <c r="AB288" s="426"/>
      <c r="AC288" s="426"/>
      <c r="AD288" s="426"/>
      <c r="AE288" s="426"/>
      <c r="AF288" s="426"/>
      <c r="AG288" s="426"/>
      <c r="AH288" s="426"/>
      <c r="AI288" s="426"/>
    </row>
    <row r="289" spans="1:36" hidden="1">
      <c r="A289" s="392" t="s">
        <v>1632</v>
      </c>
      <c r="B289" s="427" t="s">
        <v>2647</v>
      </c>
      <c r="C289" s="433" t="s">
        <v>3728</v>
      </c>
      <c r="D289" s="433" t="s">
        <v>2676</v>
      </c>
      <c r="E289" s="433" t="s">
        <v>2654</v>
      </c>
      <c r="F289" s="433" t="s">
        <v>2654</v>
      </c>
      <c r="G289" s="433" t="s">
        <v>2654</v>
      </c>
      <c r="H289" s="433" t="s">
        <v>2654</v>
      </c>
      <c r="I289" s="433" t="s">
        <v>2654</v>
      </c>
      <c r="J289" s="433" t="s">
        <v>2654</v>
      </c>
      <c r="K289" s="433" t="s">
        <v>2654</v>
      </c>
      <c r="L289" s="433" t="s">
        <v>2654</v>
      </c>
      <c r="M289" s="433" t="s">
        <v>2654</v>
      </c>
      <c r="N289" s="433" t="s">
        <v>2654</v>
      </c>
      <c r="O289" s="433" t="s">
        <v>2654</v>
      </c>
      <c r="P289" s="433" t="s">
        <v>2647</v>
      </c>
      <c r="Q289" s="431"/>
      <c r="R289" s="431"/>
      <c r="S289" s="426" t="s">
        <v>2669</v>
      </c>
      <c r="T289" s="426" t="s">
        <v>2646</v>
      </c>
      <c r="U289" s="426" t="s">
        <v>2646</v>
      </c>
      <c r="V289" s="426" t="s">
        <v>2646</v>
      </c>
      <c r="W289" s="426" t="s">
        <v>2646</v>
      </c>
      <c r="X289" s="426" t="s">
        <v>2646</v>
      </c>
      <c r="Y289" s="426" t="s">
        <v>2646</v>
      </c>
      <c r="Z289" s="426" t="s">
        <v>2646</v>
      </c>
      <c r="AA289" s="426" t="s">
        <v>2646</v>
      </c>
      <c r="AB289" s="426" t="s">
        <v>2646</v>
      </c>
      <c r="AC289" s="426" t="s">
        <v>2646</v>
      </c>
      <c r="AD289" s="426" t="s">
        <v>2646</v>
      </c>
      <c r="AE289" s="426" t="s">
        <v>2646</v>
      </c>
      <c r="AF289" s="426" t="s">
        <v>2646</v>
      </c>
      <c r="AG289" s="426" t="s">
        <v>2646</v>
      </c>
      <c r="AH289" s="426" t="s">
        <v>2646</v>
      </c>
      <c r="AI289" s="426" t="s">
        <v>2646</v>
      </c>
      <c r="AJ289" s="68" t="s">
        <v>2646</v>
      </c>
    </row>
    <row r="290" spans="1:36" hidden="1">
      <c r="A290" s="392" t="s">
        <v>1633</v>
      </c>
      <c r="B290" s="427" t="s">
        <v>2648</v>
      </c>
      <c r="C290" s="433" t="s">
        <v>3319</v>
      </c>
      <c r="D290" s="433" t="s">
        <v>2777</v>
      </c>
      <c r="E290" s="433" t="s">
        <v>2654</v>
      </c>
      <c r="F290" s="433" t="s">
        <v>2654</v>
      </c>
      <c r="G290" s="433" t="s">
        <v>2654</v>
      </c>
      <c r="H290" s="433" t="s">
        <v>2654</v>
      </c>
      <c r="I290" s="433" t="s">
        <v>2654</v>
      </c>
      <c r="J290" s="433" t="s">
        <v>2654</v>
      </c>
      <c r="K290" s="433" t="s">
        <v>2654</v>
      </c>
      <c r="L290" s="433" t="s">
        <v>2654</v>
      </c>
      <c r="M290" s="433" t="s">
        <v>2654</v>
      </c>
      <c r="N290" s="433" t="s">
        <v>2654</v>
      </c>
      <c r="O290" s="433" t="s">
        <v>2654</v>
      </c>
      <c r="P290" s="433" t="s">
        <v>2650</v>
      </c>
      <c r="Q290" s="431"/>
      <c r="R290" s="431"/>
      <c r="S290" s="426" t="s">
        <v>2655</v>
      </c>
      <c r="T290" s="426" t="s">
        <v>2646</v>
      </c>
      <c r="U290" s="426" t="s">
        <v>2646</v>
      </c>
      <c r="V290" s="426" t="s">
        <v>2646</v>
      </c>
      <c r="W290" s="426" t="s">
        <v>2646</v>
      </c>
      <c r="X290" s="426" t="s">
        <v>2646</v>
      </c>
      <c r="Y290" s="426" t="s">
        <v>2646</v>
      </c>
      <c r="Z290" s="426" t="s">
        <v>2646</v>
      </c>
      <c r="AA290" s="426" t="s">
        <v>2646</v>
      </c>
      <c r="AB290" s="426" t="s">
        <v>2646</v>
      </c>
      <c r="AC290" s="426" t="s">
        <v>2646</v>
      </c>
      <c r="AD290" s="426" t="s">
        <v>2646</v>
      </c>
      <c r="AE290" s="426" t="s">
        <v>2646</v>
      </c>
      <c r="AF290" s="426" t="s">
        <v>2646</v>
      </c>
      <c r="AG290" s="426" t="s">
        <v>2646</v>
      </c>
      <c r="AH290" s="426" t="s">
        <v>2646</v>
      </c>
      <c r="AI290" s="426" t="s">
        <v>2646</v>
      </c>
      <c r="AJ290" s="68" t="s">
        <v>2646</v>
      </c>
    </row>
    <row r="291" spans="1:36" hidden="1">
      <c r="A291" s="392" t="s">
        <v>1634</v>
      </c>
      <c r="B291" s="427" t="s">
        <v>2649</v>
      </c>
      <c r="C291" s="433" t="s">
        <v>3317</v>
      </c>
      <c r="D291" s="433" t="s">
        <v>2676</v>
      </c>
      <c r="E291" s="433" t="s">
        <v>2654</v>
      </c>
      <c r="F291" s="433" t="s">
        <v>2654</v>
      </c>
      <c r="G291" s="433" t="s">
        <v>2654</v>
      </c>
      <c r="H291" s="433" t="s">
        <v>2654</v>
      </c>
      <c r="I291" s="433" t="s">
        <v>2654</v>
      </c>
      <c r="J291" s="433" t="s">
        <v>2654</v>
      </c>
      <c r="K291" s="433" t="s">
        <v>2654</v>
      </c>
      <c r="L291" s="433" t="s">
        <v>2654</v>
      </c>
      <c r="M291" s="433" t="s">
        <v>2654</v>
      </c>
      <c r="N291" s="433" t="s">
        <v>2654</v>
      </c>
      <c r="O291" s="433" t="s">
        <v>2654</v>
      </c>
      <c r="P291" s="433" t="s">
        <v>2650</v>
      </c>
      <c r="Q291" s="431"/>
      <c r="R291" s="431"/>
      <c r="S291" s="426" t="s">
        <v>2657</v>
      </c>
      <c r="T291" s="426" t="s">
        <v>2646</v>
      </c>
      <c r="U291" s="426" t="s">
        <v>2646</v>
      </c>
      <c r="V291" s="426" t="s">
        <v>2646</v>
      </c>
      <c r="W291" s="426" t="s">
        <v>2646</v>
      </c>
      <c r="X291" s="426" t="s">
        <v>2646</v>
      </c>
      <c r="Y291" s="426" t="s">
        <v>2646</v>
      </c>
      <c r="Z291" s="426" t="s">
        <v>2646</v>
      </c>
      <c r="AA291" s="426" t="s">
        <v>2646</v>
      </c>
      <c r="AB291" s="426" t="s">
        <v>2646</v>
      </c>
      <c r="AC291" s="426" t="s">
        <v>2646</v>
      </c>
      <c r="AD291" s="426" t="s">
        <v>2646</v>
      </c>
      <c r="AE291" s="426" t="s">
        <v>2646</v>
      </c>
      <c r="AF291" s="426" t="s">
        <v>2646</v>
      </c>
      <c r="AG291" s="426" t="s">
        <v>2646</v>
      </c>
      <c r="AH291" s="426" t="s">
        <v>2646</v>
      </c>
      <c r="AI291" s="426" t="s">
        <v>2646</v>
      </c>
      <c r="AJ291" s="68" t="s">
        <v>2646</v>
      </c>
    </row>
    <row r="292" spans="1:36" hidden="1">
      <c r="A292" s="392" t="s">
        <v>1635</v>
      </c>
      <c r="B292" s="427" t="s">
        <v>2650</v>
      </c>
      <c r="C292" s="433" t="s">
        <v>3737</v>
      </c>
      <c r="D292" s="433" t="s">
        <v>2676</v>
      </c>
      <c r="E292" s="433" t="s">
        <v>2654</v>
      </c>
      <c r="F292" s="433" t="s">
        <v>2654</v>
      </c>
      <c r="G292" s="433" t="s">
        <v>2654</v>
      </c>
      <c r="H292" s="433" t="s">
        <v>2654</v>
      </c>
      <c r="I292" s="433" t="s">
        <v>2654</v>
      </c>
      <c r="J292" s="433" t="s">
        <v>2654</v>
      </c>
      <c r="K292" s="433" t="s">
        <v>2654</v>
      </c>
      <c r="L292" s="433" t="s">
        <v>2654</v>
      </c>
      <c r="M292" s="433" t="s">
        <v>2654</v>
      </c>
      <c r="N292" s="433" t="s">
        <v>2654</v>
      </c>
      <c r="O292" s="433" t="s">
        <v>2654</v>
      </c>
      <c r="P292" s="433" t="s">
        <v>2649</v>
      </c>
      <c r="Q292" s="431"/>
      <c r="R292" s="431"/>
      <c r="S292" s="426" t="s">
        <v>2901</v>
      </c>
      <c r="T292" s="426" t="s">
        <v>2646</v>
      </c>
      <c r="U292" s="426" t="s">
        <v>2646</v>
      </c>
      <c r="V292" s="426" t="s">
        <v>2646</v>
      </c>
      <c r="W292" s="426" t="s">
        <v>2646</v>
      </c>
      <c r="X292" s="426" t="s">
        <v>2646</v>
      </c>
      <c r="Y292" s="426" t="s">
        <v>2646</v>
      </c>
      <c r="Z292" s="426" t="s">
        <v>2646</v>
      </c>
      <c r="AA292" s="426" t="s">
        <v>2646</v>
      </c>
      <c r="AB292" s="426" t="s">
        <v>2646</v>
      </c>
      <c r="AC292" s="426" t="s">
        <v>2646</v>
      </c>
      <c r="AD292" s="426" t="s">
        <v>2646</v>
      </c>
      <c r="AE292" s="426" t="s">
        <v>2646</v>
      </c>
      <c r="AF292" s="426" t="s">
        <v>2646</v>
      </c>
      <c r="AG292" s="426" t="s">
        <v>2646</v>
      </c>
      <c r="AH292" s="426" t="s">
        <v>2646</v>
      </c>
      <c r="AI292" s="426" t="s">
        <v>2646</v>
      </c>
      <c r="AJ292" s="68" t="s">
        <v>2646</v>
      </c>
    </row>
    <row r="293" spans="1:36" hidden="1">
      <c r="A293" s="392" t="s">
        <v>1636</v>
      </c>
      <c r="B293" s="427" t="s">
        <v>2651</v>
      </c>
      <c r="C293" s="433" t="s">
        <v>3317</v>
      </c>
      <c r="D293" s="433" t="s">
        <v>2777</v>
      </c>
      <c r="E293" s="433" t="s">
        <v>2654</v>
      </c>
      <c r="F293" s="433" t="s">
        <v>2654</v>
      </c>
      <c r="G293" s="433" t="s">
        <v>2654</v>
      </c>
      <c r="H293" s="433" t="s">
        <v>2654</v>
      </c>
      <c r="I293" s="433" t="s">
        <v>2654</v>
      </c>
      <c r="J293" s="433" t="s">
        <v>2654</v>
      </c>
      <c r="K293" s="433" t="s">
        <v>2654</v>
      </c>
      <c r="L293" s="433" t="s">
        <v>2654</v>
      </c>
      <c r="M293" s="433" t="s">
        <v>2654</v>
      </c>
      <c r="N293" s="433" t="s">
        <v>2654</v>
      </c>
      <c r="O293" s="433" t="s">
        <v>2654</v>
      </c>
      <c r="P293" s="433" t="s">
        <v>2650</v>
      </c>
      <c r="Q293" s="431"/>
      <c r="R293" s="431"/>
      <c r="S293" s="426" t="s">
        <v>3194</v>
      </c>
      <c r="T293" s="426" t="s">
        <v>2646</v>
      </c>
      <c r="U293" s="426" t="s">
        <v>2646</v>
      </c>
      <c r="V293" s="426" t="s">
        <v>2646</v>
      </c>
      <c r="W293" s="426" t="s">
        <v>2646</v>
      </c>
      <c r="X293" s="426" t="s">
        <v>2646</v>
      </c>
      <c r="Y293" s="426" t="s">
        <v>2646</v>
      </c>
      <c r="Z293" s="426" t="s">
        <v>2646</v>
      </c>
      <c r="AA293" s="426" t="s">
        <v>2646</v>
      </c>
      <c r="AB293" s="426" t="s">
        <v>2646</v>
      </c>
      <c r="AC293" s="426" t="s">
        <v>2646</v>
      </c>
      <c r="AD293" s="426" t="s">
        <v>2646</v>
      </c>
      <c r="AE293" s="426" t="s">
        <v>2646</v>
      </c>
      <c r="AF293" s="426" t="s">
        <v>2646</v>
      </c>
      <c r="AG293" s="426" t="s">
        <v>2646</v>
      </c>
      <c r="AH293" s="426" t="s">
        <v>2646</v>
      </c>
      <c r="AI293" s="426" t="s">
        <v>2646</v>
      </c>
      <c r="AJ293" s="68" t="s">
        <v>2646</v>
      </c>
    </row>
    <row r="294" spans="1:36">
      <c r="A294" s="392" t="s">
        <v>1636</v>
      </c>
      <c r="B294" s="427" t="s">
        <v>48</v>
      </c>
      <c r="C294" s="433" t="s">
        <v>4151</v>
      </c>
      <c r="D294" s="433" t="s">
        <v>3209</v>
      </c>
      <c r="E294" s="433" t="s">
        <v>2654</v>
      </c>
      <c r="F294" s="433" t="s">
        <v>2654</v>
      </c>
      <c r="G294" s="433" t="s">
        <v>2654</v>
      </c>
      <c r="H294" s="433" t="s">
        <v>2654</v>
      </c>
      <c r="I294" s="433" t="s">
        <v>2654</v>
      </c>
      <c r="J294" s="433" t="s">
        <v>2654</v>
      </c>
      <c r="K294" s="433" t="s">
        <v>2654</v>
      </c>
      <c r="L294" s="433" t="s">
        <v>2654</v>
      </c>
      <c r="M294" s="433" t="s">
        <v>2654</v>
      </c>
      <c r="N294" s="433" t="s">
        <v>2654</v>
      </c>
      <c r="O294" s="433" t="s">
        <v>2654</v>
      </c>
      <c r="P294" s="433" t="s">
        <v>3394</v>
      </c>
      <c r="Q294" s="433" t="s">
        <v>2654</v>
      </c>
      <c r="R294" s="433" t="s">
        <v>2654</v>
      </c>
      <c r="S294" s="426"/>
      <c r="T294" s="426"/>
      <c r="U294" s="426"/>
      <c r="V294" s="426"/>
      <c r="W294" s="426"/>
      <c r="X294" s="426"/>
      <c r="Y294" s="426"/>
      <c r="Z294" s="426"/>
      <c r="AA294" s="426"/>
      <c r="AB294" s="426"/>
      <c r="AC294" s="426"/>
      <c r="AD294" s="426"/>
      <c r="AE294" s="426"/>
      <c r="AF294" s="426"/>
      <c r="AG294" s="426"/>
      <c r="AH294" s="426"/>
      <c r="AI294" s="426"/>
    </row>
    <row r="295" spans="1:36" hidden="1">
      <c r="A295" s="392" t="s">
        <v>1637</v>
      </c>
      <c r="B295" s="427" t="s">
        <v>2647</v>
      </c>
      <c r="C295" s="433" t="s">
        <v>3060</v>
      </c>
      <c r="D295" s="433" t="s">
        <v>2720</v>
      </c>
      <c r="E295" s="433" t="s">
        <v>2654</v>
      </c>
      <c r="F295" s="433" t="s">
        <v>2654</v>
      </c>
      <c r="G295" s="433" t="s">
        <v>2654</v>
      </c>
      <c r="H295" s="433" t="s">
        <v>2654</v>
      </c>
      <c r="I295" s="433" t="s">
        <v>2654</v>
      </c>
      <c r="J295" s="433" t="s">
        <v>2654</v>
      </c>
      <c r="K295" s="433" t="s">
        <v>2654</v>
      </c>
      <c r="L295" s="433" t="s">
        <v>2654</v>
      </c>
      <c r="M295" s="433" t="s">
        <v>2654</v>
      </c>
      <c r="N295" s="433" t="s">
        <v>2654</v>
      </c>
      <c r="O295" s="433" t="s">
        <v>2654</v>
      </c>
      <c r="P295" s="433" t="s">
        <v>2649</v>
      </c>
      <c r="Q295" s="431"/>
      <c r="R295" s="431"/>
      <c r="S295" s="426" t="s">
        <v>2665</v>
      </c>
      <c r="T295" s="426" t="s">
        <v>2646</v>
      </c>
      <c r="U295" s="426" t="s">
        <v>2646</v>
      </c>
      <c r="V295" s="426" t="s">
        <v>2646</v>
      </c>
      <c r="W295" s="426" t="s">
        <v>2646</v>
      </c>
      <c r="X295" s="426" t="s">
        <v>2646</v>
      </c>
      <c r="Y295" s="426" t="s">
        <v>2646</v>
      </c>
      <c r="Z295" s="426" t="s">
        <v>2646</v>
      </c>
      <c r="AA295" s="426" t="s">
        <v>2646</v>
      </c>
      <c r="AB295" s="426" t="s">
        <v>2646</v>
      </c>
      <c r="AC295" s="426" t="s">
        <v>2646</v>
      </c>
      <c r="AD295" s="426" t="s">
        <v>2646</v>
      </c>
      <c r="AE295" s="426" t="s">
        <v>2646</v>
      </c>
      <c r="AF295" s="426" t="s">
        <v>2646</v>
      </c>
      <c r="AG295" s="426" t="s">
        <v>2646</v>
      </c>
      <c r="AH295" s="426" t="s">
        <v>2646</v>
      </c>
      <c r="AI295" s="426" t="s">
        <v>2646</v>
      </c>
      <c r="AJ295" s="68" t="s">
        <v>2646</v>
      </c>
    </row>
    <row r="296" spans="1:36" hidden="1">
      <c r="A296" s="392" t="s">
        <v>1638</v>
      </c>
      <c r="B296" s="427" t="s">
        <v>2648</v>
      </c>
      <c r="C296" s="433" t="s">
        <v>3267</v>
      </c>
      <c r="D296" s="433" t="s">
        <v>3233</v>
      </c>
      <c r="E296" s="433" t="s">
        <v>2654</v>
      </c>
      <c r="F296" s="433" t="s">
        <v>2654</v>
      </c>
      <c r="G296" s="433" t="s">
        <v>2654</v>
      </c>
      <c r="H296" s="433" t="s">
        <v>2654</v>
      </c>
      <c r="I296" s="433" t="s">
        <v>2654</v>
      </c>
      <c r="J296" s="433" t="s">
        <v>2654</v>
      </c>
      <c r="K296" s="433" t="s">
        <v>2654</v>
      </c>
      <c r="L296" s="433" t="s">
        <v>2654</v>
      </c>
      <c r="M296" s="433" t="s">
        <v>2654</v>
      </c>
      <c r="N296" s="433" t="s">
        <v>2654</v>
      </c>
      <c r="O296" s="433" t="s">
        <v>2654</v>
      </c>
      <c r="P296" s="433" t="s">
        <v>2650</v>
      </c>
      <c r="Q296" s="431"/>
      <c r="R296" s="431"/>
      <c r="S296" s="426" t="s">
        <v>2664</v>
      </c>
      <c r="T296" s="426" t="s">
        <v>2646</v>
      </c>
      <c r="U296" s="426" t="s">
        <v>2646</v>
      </c>
      <c r="V296" s="426" t="s">
        <v>2646</v>
      </c>
      <c r="W296" s="426" t="s">
        <v>2646</v>
      </c>
      <c r="X296" s="426" t="s">
        <v>2646</v>
      </c>
      <c r="Y296" s="426" t="s">
        <v>2646</v>
      </c>
      <c r="Z296" s="426" t="s">
        <v>2646</v>
      </c>
      <c r="AA296" s="426" t="s">
        <v>2646</v>
      </c>
      <c r="AB296" s="426" t="s">
        <v>2646</v>
      </c>
      <c r="AC296" s="426" t="s">
        <v>2646</v>
      </c>
      <c r="AD296" s="426" t="s">
        <v>2646</v>
      </c>
      <c r="AE296" s="426" t="s">
        <v>2646</v>
      </c>
      <c r="AF296" s="426" t="s">
        <v>2646</v>
      </c>
      <c r="AG296" s="426" t="s">
        <v>2646</v>
      </c>
      <c r="AH296" s="426" t="s">
        <v>2646</v>
      </c>
      <c r="AI296" s="426" t="s">
        <v>2646</v>
      </c>
      <c r="AJ296" s="68" t="s">
        <v>2646</v>
      </c>
    </row>
    <row r="297" spans="1:36" hidden="1">
      <c r="A297" s="392" t="s">
        <v>1639</v>
      </c>
      <c r="B297" s="427" t="s">
        <v>2649</v>
      </c>
      <c r="C297" s="433" t="s">
        <v>3583</v>
      </c>
      <c r="D297" s="433" t="s">
        <v>3018</v>
      </c>
      <c r="E297" s="433" t="s">
        <v>2654</v>
      </c>
      <c r="F297" s="433" t="s">
        <v>2654</v>
      </c>
      <c r="G297" s="433" t="s">
        <v>2654</v>
      </c>
      <c r="H297" s="433" t="s">
        <v>2654</v>
      </c>
      <c r="I297" s="433" t="s">
        <v>2654</v>
      </c>
      <c r="J297" s="433" t="s">
        <v>2654</v>
      </c>
      <c r="K297" s="433" t="s">
        <v>2654</v>
      </c>
      <c r="L297" s="433" t="s">
        <v>2654</v>
      </c>
      <c r="M297" s="433" t="s">
        <v>2654</v>
      </c>
      <c r="N297" s="433" t="s">
        <v>2654</v>
      </c>
      <c r="O297" s="433" t="s">
        <v>2654</v>
      </c>
      <c r="P297" s="433" t="s">
        <v>2647</v>
      </c>
      <c r="Q297" s="431"/>
      <c r="R297" s="431"/>
      <c r="S297" s="426" t="s">
        <v>3142</v>
      </c>
      <c r="T297" s="426" t="s">
        <v>2646</v>
      </c>
      <c r="U297" s="426" t="s">
        <v>2646</v>
      </c>
      <c r="V297" s="426" t="s">
        <v>2646</v>
      </c>
      <c r="W297" s="426" t="s">
        <v>2646</v>
      </c>
      <c r="X297" s="426" t="s">
        <v>2646</v>
      </c>
      <c r="Y297" s="426" t="s">
        <v>2646</v>
      </c>
      <c r="Z297" s="426" t="s">
        <v>2646</v>
      </c>
      <c r="AA297" s="426" t="s">
        <v>2646</v>
      </c>
      <c r="AB297" s="426" t="s">
        <v>2646</v>
      </c>
      <c r="AC297" s="426" t="s">
        <v>2646</v>
      </c>
      <c r="AD297" s="426" t="s">
        <v>2646</v>
      </c>
      <c r="AE297" s="426" t="s">
        <v>2646</v>
      </c>
      <c r="AF297" s="426" t="s">
        <v>2646</v>
      </c>
      <c r="AG297" s="426" t="s">
        <v>2646</v>
      </c>
      <c r="AH297" s="426" t="s">
        <v>2646</v>
      </c>
      <c r="AI297" s="426" t="s">
        <v>2646</v>
      </c>
      <c r="AJ297" s="68" t="s">
        <v>2646</v>
      </c>
    </row>
    <row r="298" spans="1:36" hidden="1">
      <c r="A298" s="392" t="s">
        <v>1640</v>
      </c>
      <c r="B298" s="427" t="s">
        <v>2650</v>
      </c>
      <c r="C298" s="433" t="s">
        <v>3580</v>
      </c>
      <c r="D298" s="433" t="s">
        <v>2720</v>
      </c>
      <c r="E298" s="433" t="s">
        <v>2654</v>
      </c>
      <c r="F298" s="433" t="s">
        <v>2654</v>
      </c>
      <c r="G298" s="433" t="s">
        <v>2654</v>
      </c>
      <c r="H298" s="433" t="s">
        <v>2654</v>
      </c>
      <c r="I298" s="433" t="s">
        <v>2654</v>
      </c>
      <c r="J298" s="433" t="s">
        <v>2654</v>
      </c>
      <c r="K298" s="433" t="s">
        <v>2654</v>
      </c>
      <c r="L298" s="433" t="s">
        <v>2654</v>
      </c>
      <c r="M298" s="433" t="s">
        <v>2654</v>
      </c>
      <c r="N298" s="433" t="s">
        <v>2654</v>
      </c>
      <c r="O298" s="433" t="s">
        <v>2654</v>
      </c>
      <c r="P298" s="433" t="s">
        <v>2647</v>
      </c>
      <c r="Q298" s="431"/>
      <c r="R298" s="431"/>
      <c r="S298" s="426" t="s">
        <v>316</v>
      </c>
      <c r="T298" s="426" t="s">
        <v>2646</v>
      </c>
      <c r="U298" s="426" t="s">
        <v>2646</v>
      </c>
      <c r="V298" s="426" t="s">
        <v>2646</v>
      </c>
      <c r="W298" s="426" t="s">
        <v>2646</v>
      </c>
      <c r="X298" s="426" t="s">
        <v>2646</v>
      </c>
      <c r="Y298" s="426" t="s">
        <v>2646</v>
      </c>
      <c r="Z298" s="426" t="s">
        <v>2646</v>
      </c>
      <c r="AA298" s="426" t="s">
        <v>2646</v>
      </c>
      <c r="AB298" s="426" t="s">
        <v>2646</v>
      </c>
      <c r="AC298" s="426" t="s">
        <v>2646</v>
      </c>
      <c r="AD298" s="426" t="s">
        <v>2646</v>
      </c>
      <c r="AE298" s="426" t="s">
        <v>2646</v>
      </c>
      <c r="AF298" s="426" t="s">
        <v>2646</v>
      </c>
      <c r="AG298" s="426" t="s">
        <v>2646</v>
      </c>
      <c r="AH298" s="426" t="s">
        <v>2646</v>
      </c>
      <c r="AI298" s="426" t="s">
        <v>2646</v>
      </c>
      <c r="AJ298" s="68" t="s">
        <v>2646</v>
      </c>
    </row>
    <row r="299" spans="1:36" hidden="1">
      <c r="A299" s="392" t="s">
        <v>1641</v>
      </c>
      <c r="B299" s="427" t="s">
        <v>2651</v>
      </c>
      <c r="C299" s="433" t="s">
        <v>4178</v>
      </c>
      <c r="D299" s="433" t="s">
        <v>2833</v>
      </c>
      <c r="E299" s="433" t="s">
        <v>2654</v>
      </c>
      <c r="F299" s="433" t="s">
        <v>2654</v>
      </c>
      <c r="G299" s="433" t="s">
        <v>2654</v>
      </c>
      <c r="H299" s="433" t="s">
        <v>2654</v>
      </c>
      <c r="I299" s="433" t="s">
        <v>2654</v>
      </c>
      <c r="J299" s="433" t="s">
        <v>2654</v>
      </c>
      <c r="K299" s="433" t="s">
        <v>2654</v>
      </c>
      <c r="L299" s="433" t="s">
        <v>2654</v>
      </c>
      <c r="M299" s="433" t="s">
        <v>2654</v>
      </c>
      <c r="N299" s="433" t="s">
        <v>2654</v>
      </c>
      <c r="O299" s="433" t="s">
        <v>2654</v>
      </c>
      <c r="P299" s="433" t="s">
        <v>2650</v>
      </c>
      <c r="Q299" s="431"/>
      <c r="R299" s="431"/>
      <c r="S299" s="426" t="s">
        <v>3109</v>
      </c>
      <c r="T299" s="426" t="s">
        <v>2646</v>
      </c>
      <c r="U299" s="426" t="s">
        <v>2646</v>
      </c>
      <c r="V299" s="426" t="s">
        <v>2646</v>
      </c>
      <c r="W299" s="426" t="s">
        <v>2646</v>
      </c>
      <c r="X299" s="426" t="s">
        <v>2646</v>
      </c>
      <c r="Y299" s="426" t="s">
        <v>2646</v>
      </c>
      <c r="Z299" s="426" t="s">
        <v>2646</v>
      </c>
      <c r="AA299" s="426" t="s">
        <v>2646</v>
      </c>
      <c r="AB299" s="426" t="s">
        <v>2646</v>
      </c>
      <c r="AC299" s="426" t="s">
        <v>2646</v>
      </c>
      <c r="AD299" s="426" t="s">
        <v>2646</v>
      </c>
      <c r="AE299" s="426" t="s">
        <v>2646</v>
      </c>
      <c r="AF299" s="426" t="s">
        <v>2646</v>
      </c>
      <c r="AG299" s="426" t="s">
        <v>2646</v>
      </c>
      <c r="AH299" s="426" t="s">
        <v>2646</v>
      </c>
      <c r="AI299" s="426" t="s">
        <v>2646</v>
      </c>
      <c r="AJ299" s="68" t="s">
        <v>2646</v>
      </c>
    </row>
    <row r="300" spans="1:36">
      <c r="A300" s="392" t="s">
        <v>1641</v>
      </c>
      <c r="B300" s="427" t="s">
        <v>48</v>
      </c>
      <c r="C300" s="433" t="s">
        <v>4179</v>
      </c>
      <c r="D300" s="433" t="s">
        <v>3900</v>
      </c>
      <c r="E300" s="433" t="s">
        <v>2654</v>
      </c>
      <c r="F300" s="433" t="s">
        <v>2654</v>
      </c>
      <c r="G300" s="433" t="s">
        <v>2654</v>
      </c>
      <c r="H300" s="433" t="s">
        <v>2654</v>
      </c>
      <c r="I300" s="433" t="s">
        <v>2654</v>
      </c>
      <c r="J300" s="433" t="s">
        <v>2654</v>
      </c>
      <c r="K300" s="433" t="s">
        <v>2654</v>
      </c>
      <c r="L300" s="433" t="s">
        <v>2654</v>
      </c>
      <c r="M300" s="433" t="s">
        <v>2654</v>
      </c>
      <c r="N300" s="433" t="s">
        <v>2654</v>
      </c>
      <c r="O300" s="433" t="s">
        <v>2654</v>
      </c>
      <c r="P300" s="433" t="s">
        <v>2953</v>
      </c>
      <c r="Q300" s="433" t="s">
        <v>2654</v>
      </c>
      <c r="R300" s="433" t="s">
        <v>2654</v>
      </c>
      <c r="S300" s="426"/>
      <c r="T300" s="426"/>
      <c r="U300" s="426"/>
      <c r="V300" s="426"/>
      <c r="W300" s="426"/>
      <c r="X300" s="426"/>
      <c r="Y300" s="426"/>
      <c r="Z300" s="426"/>
      <c r="AA300" s="426"/>
      <c r="AB300" s="426"/>
      <c r="AC300" s="426"/>
      <c r="AD300" s="426"/>
      <c r="AE300" s="426"/>
      <c r="AF300" s="426"/>
      <c r="AG300" s="426"/>
      <c r="AH300" s="426"/>
      <c r="AI300" s="426"/>
    </row>
    <row r="301" spans="1:36" hidden="1">
      <c r="A301" s="392" t="s">
        <v>1642</v>
      </c>
      <c r="B301" s="427" t="s">
        <v>2647</v>
      </c>
      <c r="C301" s="433" t="s">
        <v>3141</v>
      </c>
      <c r="D301" s="433" t="s">
        <v>3262</v>
      </c>
      <c r="E301" s="433" t="s">
        <v>2654</v>
      </c>
      <c r="F301" s="433" t="s">
        <v>2654</v>
      </c>
      <c r="G301" s="433" t="s">
        <v>2654</v>
      </c>
      <c r="H301" s="433" t="s">
        <v>2654</v>
      </c>
      <c r="I301" s="433" t="s">
        <v>2654</v>
      </c>
      <c r="J301" s="433" t="s">
        <v>2654</v>
      </c>
      <c r="K301" s="433" t="s">
        <v>2654</v>
      </c>
      <c r="L301" s="433" t="s">
        <v>2654</v>
      </c>
      <c r="M301" s="433" t="s">
        <v>2654</v>
      </c>
      <c r="N301" s="433" t="s">
        <v>2654</v>
      </c>
      <c r="O301" s="433" t="s">
        <v>2654</v>
      </c>
      <c r="P301" s="433" t="s">
        <v>2648</v>
      </c>
      <c r="Q301" s="431"/>
      <c r="R301" s="431"/>
      <c r="S301" s="426" t="s">
        <v>2658</v>
      </c>
      <c r="T301" s="426" t="s">
        <v>2646</v>
      </c>
      <c r="U301" s="426" t="s">
        <v>2646</v>
      </c>
      <c r="V301" s="426" t="s">
        <v>2646</v>
      </c>
      <c r="W301" s="426" t="s">
        <v>2646</v>
      </c>
      <c r="X301" s="426" t="s">
        <v>2646</v>
      </c>
      <c r="Y301" s="426" t="s">
        <v>2646</v>
      </c>
      <c r="Z301" s="426" t="s">
        <v>2646</v>
      </c>
      <c r="AA301" s="426" t="s">
        <v>2646</v>
      </c>
      <c r="AB301" s="426" t="s">
        <v>2646</v>
      </c>
      <c r="AC301" s="426" t="s">
        <v>2646</v>
      </c>
      <c r="AD301" s="426" t="s">
        <v>2646</v>
      </c>
      <c r="AE301" s="426" t="s">
        <v>2646</v>
      </c>
      <c r="AF301" s="426" t="s">
        <v>2646</v>
      </c>
      <c r="AG301" s="426" t="s">
        <v>2646</v>
      </c>
      <c r="AH301" s="426" t="s">
        <v>2646</v>
      </c>
      <c r="AI301" s="426" t="s">
        <v>2646</v>
      </c>
      <c r="AJ301" s="68" t="s">
        <v>2646</v>
      </c>
    </row>
    <row r="302" spans="1:36" hidden="1">
      <c r="A302" s="392" t="s">
        <v>1643</v>
      </c>
      <c r="B302" s="427" t="s">
        <v>2648</v>
      </c>
      <c r="C302" s="433" t="s">
        <v>3322</v>
      </c>
      <c r="D302" s="433" t="s">
        <v>3247</v>
      </c>
      <c r="E302" s="433" t="s">
        <v>2654</v>
      </c>
      <c r="F302" s="433" t="s">
        <v>2654</v>
      </c>
      <c r="G302" s="433" t="s">
        <v>2654</v>
      </c>
      <c r="H302" s="433" t="s">
        <v>2654</v>
      </c>
      <c r="I302" s="433" t="s">
        <v>2654</v>
      </c>
      <c r="J302" s="433" t="s">
        <v>2654</v>
      </c>
      <c r="K302" s="433" t="s">
        <v>2654</v>
      </c>
      <c r="L302" s="433" t="s">
        <v>2654</v>
      </c>
      <c r="M302" s="433" t="s">
        <v>2654</v>
      </c>
      <c r="N302" s="433" t="s">
        <v>2654</v>
      </c>
      <c r="O302" s="433" t="s">
        <v>2654</v>
      </c>
      <c r="P302" s="433" t="s">
        <v>4088</v>
      </c>
      <c r="Q302" s="431"/>
      <c r="R302" s="431"/>
      <c r="S302" s="426" t="s">
        <v>2673</v>
      </c>
      <c r="T302" s="426" t="s">
        <v>2646</v>
      </c>
      <c r="U302" s="426" t="s">
        <v>2646</v>
      </c>
      <c r="V302" s="426" t="s">
        <v>2646</v>
      </c>
      <c r="W302" s="426" t="s">
        <v>2646</v>
      </c>
      <c r="X302" s="426" t="s">
        <v>2646</v>
      </c>
      <c r="Y302" s="426" t="s">
        <v>2646</v>
      </c>
      <c r="Z302" s="426" t="s">
        <v>2646</v>
      </c>
      <c r="AA302" s="426" t="s">
        <v>2646</v>
      </c>
      <c r="AB302" s="426" t="s">
        <v>2646</v>
      </c>
      <c r="AC302" s="426" t="s">
        <v>2646</v>
      </c>
      <c r="AD302" s="426" t="s">
        <v>2646</v>
      </c>
      <c r="AE302" s="426" t="s">
        <v>2646</v>
      </c>
      <c r="AF302" s="426" t="s">
        <v>2646</v>
      </c>
      <c r="AG302" s="426" t="s">
        <v>2646</v>
      </c>
      <c r="AH302" s="426" t="s">
        <v>2646</v>
      </c>
      <c r="AI302" s="426" t="s">
        <v>2646</v>
      </c>
      <c r="AJ302" s="68" t="s">
        <v>2646</v>
      </c>
    </row>
    <row r="303" spans="1:36" hidden="1">
      <c r="A303" s="392" t="s">
        <v>1644</v>
      </c>
      <c r="B303" s="427" t="s">
        <v>2649</v>
      </c>
      <c r="C303" s="433" t="s">
        <v>3141</v>
      </c>
      <c r="D303" s="433" t="s">
        <v>3049</v>
      </c>
      <c r="E303" s="433" t="s">
        <v>2654</v>
      </c>
      <c r="F303" s="433" t="s">
        <v>2654</v>
      </c>
      <c r="G303" s="433" t="s">
        <v>2654</v>
      </c>
      <c r="H303" s="433" t="s">
        <v>2654</v>
      </c>
      <c r="I303" s="433" t="s">
        <v>2654</v>
      </c>
      <c r="J303" s="433" t="s">
        <v>2654</v>
      </c>
      <c r="K303" s="433" t="s">
        <v>2654</v>
      </c>
      <c r="L303" s="433" t="s">
        <v>2654</v>
      </c>
      <c r="M303" s="433" t="s">
        <v>2654</v>
      </c>
      <c r="N303" s="433" t="s">
        <v>2654</v>
      </c>
      <c r="O303" s="433" t="s">
        <v>2654</v>
      </c>
      <c r="P303" s="433" t="s">
        <v>2648</v>
      </c>
      <c r="Q303" s="431"/>
      <c r="R303" s="431"/>
      <c r="S303" s="426" t="s">
        <v>2660</v>
      </c>
      <c r="T303" s="426" t="s">
        <v>2646</v>
      </c>
      <c r="U303" s="426" t="s">
        <v>2646</v>
      </c>
      <c r="V303" s="426" t="s">
        <v>2646</v>
      </c>
      <c r="W303" s="426" t="s">
        <v>2646</v>
      </c>
      <c r="X303" s="426" t="s">
        <v>2646</v>
      </c>
      <c r="Y303" s="426" t="s">
        <v>2646</v>
      </c>
      <c r="Z303" s="426" t="s">
        <v>2646</v>
      </c>
      <c r="AA303" s="426" t="s">
        <v>2646</v>
      </c>
      <c r="AB303" s="426" t="s">
        <v>2646</v>
      </c>
      <c r="AC303" s="426" t="s">
        <v>2646</v>
      </c>
      <c r="AD303" s="426" t="s">
        <v>2646</v>
      </c>
      <c r="AE303" s="426" t="s">
        <v>2646</v>
      </c>
      <c r="AF303" s="426" t="s">
        <v>2646</v>
      </c>
      <c r="AG303" s="426" t="s">
        <v>2646</v>
      </c>
      <c r="AH303" s="426" t="s">
        <v>2646</v>
      </c>
      <c r="AI303" s="426" t="s">
        <v>2646</v>
      </c>
      <c r="AJ303" s="68" t="s">
        <v>2646</v>
      </c>
    </row>
    <row r="304" spans="1:36" hidden="1">
      <c r="A304" s="392" t="s">
        <v>1645</v>
      </c>
      <c r="B304" s="427" t="s">
        <v>2650</v>
      </c>
      <c r="C304" s="433" t="s">
        <v>4180</v>
      </c>
      <c r="D304" s="433" t="s">
        <v>3539</v>
      </c>
      <c r="E304" s="433" t="s">
        <v>2654</v>
      </c>
      <c r="F304" s="433" t="s">
        <v>2654</v>
      </c>
      <c r="G304" s="433" t="s">
        <v>2654</v>
      </c>
      <c r="H304" s="433" t="s">
        <v>2654</v>
      </c>
      <c r="I304" s="433" t="s">
        <v>2654</v>
      </c>
      <c r="J304" s="433" t="s">
        <v>2654</v>
      </c>
      <c r="K304" s="433" t="s">
        <v>2654</v>
      </c>
      <c r="L304" s="433" t="s">
        <v>2654</v>
      </c>
      <c r="M304" s="433" t="s">
        <v>2654</v>
      </c>
      <c r="N304" s="433" t="s">
        <v>2654</v>
      </c>
      <c r="O304" s="433" t="s">
        <v>2654</v>
      </c>
      <c r="P304" s="433" t="s">
        <v>2649</v>
      </c>
      <c r="Q304" s="431"/>
      <c r="R304" s="431"/>
      <c r="S304" s="426" t="s">
        <v>2778</v>
      </c>
      <c r="T304" s="426" t="s">
        <v>2646</v>
      </c>
      <c r="U304" s="426" t="s">
        <v>2646</v>
      </c>
      <c r="V304" s="426" t="s">
        <v>2646</v>
      </c>
      <c r="W304" s="426" t="s">
        <v>2646</v>
      </c>
      <c r="X304" s="426" t="s">
        <v>2646</v>
      </c>
      <c r="Y304" s="426" t="s">
        <v>2646</v>
      </c>
      <c r="Z304" s="426" t="s">
        <v>2646</v>
      </c>
      <c r="AA304" s="426" t="s">
        <v>2646</v>
      </c>
      <c r="AB304" s="426" t="s">
        <v>2646</v>
      </c>
      <c r="AC304" s="426" t="s">
        <v>2646</v>
      </c>
      <c r="AD304" s="426" t="s">
        <v>2646</v>
      </c>
      <c r="AE304" s="426" t="s">
        <v>2646</v>
      </c>
      <c r="AF304" s="426" t="s">
        <v>2646</v>
      </c>
      <c r="AG304" s="426" t="s">
        <v>2646</v>
      </c>
      <c r="AH304" s="426" t="s">
        <v>2646</v>
      </c>
      <c r="AI304" s="426" t="s">
        <v>2646</v>
      </c>
      <c r="AJ304" s="68" t="s">
        <v>2646</v>
      </c>
    </row>
    <row r="305" spans="1:36" hidden="1">
      <c r="A305" s="392" t="s">
        <v>1646</v>
      </c>
      <c r="B305" s="427" t="s">
        <v>2651</v>
      </c>
      <c r="C305" s="433" t="s">
        <v>3059</v>
      </c>
      <c r="D305" s="433" t="s">
        <v>3354</v>
      </c>
      <c r="E305" s="433" t="s">
        <v>2654</v>
      </c>
      <c r="F305" s="433" t="s">
        <v>2654</v>
      </c>
      <c r="G305" s="433" t="s">
        <v>2654</v>
      </c>
      <c r="H305" s="433" t="s">
        <v>2654</v>
      </c>
      <c r="I305" s="433" t="s">
        <v>2654</v>
      </c>
      <c r="J305" s="433" t="s">
        <v>2654</v>
      </c>
      <c r="K305" s="433" t="s">
        <v>2654</v>
      </c>
      <c r="L305" s="433" t="s">
        <v>2654</v>
      </c>
      <c r="M305" s="433" t="s">
        <v>2654</v>
      </c>
      <c r="N305" s="433" t="s">
        <v>2654</v>
      </c>
      <c r="O305" s="433" t="s">
        <v>2654</v>
      </c>
      <c r="P305" s="433" t="s">
        <v>2650</v>
      </c>
      <c r="Q305" s="431"/>
      <c r="R305" s="431"/>
      <c r="S305" s="426" t="s">
        <v>2655</v>
      </c>
      <c r="T305" s="426" t="s">
        <v>2646</v>
      </c>
      <c r="U305" s="426" t="s">
        <v>2646</v>
      </c>
      <c r="V305" s="426" t="s">
        <v>2646</v>
      </c>
      <c r="W305" s="426" t="s">
        <v>2646</v>
      </c>
      <c r="X305" s="426" t="s">
        <v>2646</v>
      </c>
      <c r="Y305" s="426" t="s">
        <v>2646</v>
      </c>
      <c r="Z305" s="426" t="s">
        <v>2646</v>
      </c>
      <c r="AA305" s="426" t="s">
        <v>2646</v>
      </c>
      <c r="AB305" s="426" t="s">
        <v>2646</v>
      </c>
      <c r="AC305" s="426" t="s">
        <v>2646</v>
      </c>
      <c r="AD305" s="426" t="s">
        <v>2646</v>
      </c>
      <c r="AE305" s="426" t="s">
        <v>2646</v>
      </c>
      <c r="AF305" s="426" t="s">
        <v>2646</v>
      </c>
      <c r="AG305" s="426" t="s">
        <v>2646</v>
      </c>
      <c r="AH305" s="426" t="s">
        <v>2646</v>
      </c>
      <c r="AI305" s="426" t="s">
        <v>2646</v>
      </c>
      <c r="AJ305" s="68" t="s">
        <v>2646</v>
      </c>
    </row>
    <row r="306" spans="1:36">
      <c r="A306" s="392" t="s">
        <v>1646</v>
      </c>
      <c r="B306" s="427" t="s">
        <v>48</v>
      </c>
      <c r="C306" s="433" t="s">
        <v>4181</v>
      </c>
      <c r="D306" s="433" t="s">
        <v>3049</v>
      </c>
      <c r="E306" s="433" t="s">
        <v>2654</v>
      </c>
      <c r="F306" s="433" t="s">
        <v>2654</v>
      </c>
      <c r="G306" s="433" t="s">
        <v>2654</v>
      </c>
      <c r="H306" s="433" t="s">
        <v>2654</v>
      </c>
      <c r="I306" s="433" t="s">
        <v>2654</v>
      </c>
      <c r="J306" s="433" t="s">
        <v>2654</v>
      </c>
      <c r="K306" s="433" t="s">
        <v>2654</v>
      </c>
      <c r="L306" s="433" t="s">
        <v>2654</v>
      </c>
      <c r="M306" s="433" t="s">
        <v>2654</v>
      </c>
      <c r="N306" s="433" t="s">
        <v>2654</v>
      </c>
      <c r="O306" s="433" t="s">
        <v>2654</v>
      </c>
      <c r="P306" s="433" t="s">
        <v>2732</v>
      </c>
      <c r="Q306" s="433" t="s">
        <v>2654</v>
      </c>
      <c r="R306" s="433" t="s">
        <v>2654</v>
      </c>
      <c r="S306" s="426"/>
      <c r="T306" s="426"/>
      <c r="U306" s="426"/>
      <c r="V306" s="426"/>
      <c r="W306" s="426"/>
      <c r="X306" s="426"/>
      <c r="Y306" s="426"/>
      <c r="Z306" s="426"/>
      <c r="AA306" s="426"/>
      <c r="AB306" s="426"/>
      <c r="AC306" s="426"/>
      <c r="AD306" s="426"/>
      <c r="AE306" s="426"/>
      <c r="AF306" s="426"/>
      <c r="AG306" s="426"/>
      <c r="AH306" s="426"/>
      <c r="AI306" s="426"/>
    </row>
    <row r="307" spans="1:36" hidden="1">
      <c r="A307" s="392" t="s">
        <v>1647</v>
      </c>
      <c r="B307" s="427" t="s">
        <v>2647</v>
      </c>
      <c r="C307" s="433" t="s">
        <v>4182</v>
      </c>
      <c r="D307" s="433" t="s">
        <v>3500</v>
      </c>
      <c r="E307" s="433" t="s">
        <v>2654</v>
      </c>
      <c r="F307" s="433" t="s">
        <v>2654</v>
      </c>
      <c r="G307" s="433" t="s">
        <v>2654</v>
      </c>
      <c r="H307" s="433" t="s">
        <v>2654</v>
      </c>
      <c r="I307" s="433" t="s">
        <v>2654</v>
      </c>
      <c r="J307" s="433" t="s">
        <v>2654</v>
      </c>
      <c r="K307" s="433" t="s">
        <v>2654</v>
      </c>
      <c r="L307" s="433" t="s">
        <v>2654</v>
      </c>
      <c r="M307" s="433" t="s">
        <v>2654</v>
      </c>
      <c r="N307" s="433" t="s">
        <v>2654</v>
      </c>
      <c r="O307" s="433" t="s">
        <v>2654</v>
      </c>
      <c r="P307" s="433" t="s">
        <v>2650</v>
      </c>
      <c r="Q307" s="431"/>
      <c r="R307" s="431"/>
      <c r="S307" s="426" t="s">
        <v>2665</v>
      </c>
      <c r="T307" s="426" t="s">
        <v>2646</v>
      </c>
      <c r="U307" s="426" t="s">
        <v>2646</v>
      </c>
      <c r="V307" s="426" t="s">
        <v>2646</v>
      </c>
      <c r="W307" s="426" t="s">
        <v>2646</v>
      </c>
      <c r="X307" s="426" t="s">
        <v>2646</v>
      </c>
      <c r="Y307" s="426" t="s">
        <v>2646</v>
      </c>
      <c r="Z307" s="426" t="s">
        <v>2646</v>
      </c>
      <c r="AA307" s="426" t="s">
        <v>2646</v>
      </c>
      <c r="AB307" s="426" t="s">
        <v>2646</v>
      </c>
      <c r="AC307" s="426" t="s">
        <v>2646</v>
      </c>
      <c r="AD307" s="426" t="s">
        <v>2646</v>
      </c>
      <c r="AE307" s="426" t="s">
        <v>2646</v>
      </c>
      <c r="AF307" s="426" t="s">
        <v>2646</v>
      </c>
      <c r="AG307" s="426" t="s">
        <v>2646</v>
      </c>
      <c r="AH307" s="426" t="s">
        <v>2646</v>
      </c>
      <c r="AI307" s="426" t="s">
        <v>2646</v>
      </c>
      <c r="AJ307" s="68" t="s">
        <v>2646</v>
      </c>
    </row>
    <row r="308" spans="1:36" hidden="1">
      <c r="A308" s="392" t="s">
        <v>1648</v>
      </c>
      <c r="B308" s="427" t="s">
        <v>2648</v>
      </c>
      <c r="C308" s="433" t="s">
        <v>3634</v>
      </c>
      <c r="D308" s="433" t="s">
        <v>3540</v>
      </c>
      <c r="E308" s="433" t="s">
        <v>2654</v>
      </c>
      <c r="F308" s="433" t="s">
        <v>2654</v>
      </c>
      <c r="G308" s="433" t="s">
        <v>2654</v>
      </c>
      <c r="H308" s="433" t="s">
        <v>2654</v>
      </c>
      <c r="I308" s="433" t="s">
        <v>2654</v>
      </c>
      <c r="J308" s="433" t="s">
        <v>2654</v>
      </c>
      <c r="K308" s="433" t="s">
        <v>2654</v>
      </c>
      <c r="L308" s="433" t="s">
        <v>2654</v>
      </c>
      <c r="M308" s="433" t="s">
        <v>2654</v>
      </c>
      <c r="N308" s="433" t="s">
        <v>2654</v>
      </c>
      <c r="O308" s="433" t="s">
        <v>2654</v>
      </c>
      <c r="P308" s="433" t="s">
        <v>2651</v>
      </c>
      <c r="Q308" s="431"/>
      <c r="R308" s="431"/>
      <c r="S308" s="426" t="s">
        <v>2665</v>
      </c>
      <c r="T308" s="426" t="s">
        <v>2646</v>
      </c>
      <c r="U308" s="426" t="s">
        <v>2646</v>
      </c>
      <c r="V308" s="426" t="s">
        <v>2646</v>
      </c>
      <c r="W308" s="426" t="s">
        <v>2646</v>
      </c>
      <c r="X308" s="426" t="s">
        <v>2646</v>
      </c>
      <c r="Y308" s="426" t="s">
        <v>2646</v>
      </c>
      <c r="Z308" s="426" t="s">
        <v>2646</v>
      </c>
      <c r="AA308" s="426" t="s">
        <v>2646</v>
      </c>
      <c r="AB308" s="426" t="s">
        <v>2646</v>
      </c>
      <c r="AC308" s="426" t="s">
        <v>2646</v>
      </c>
      <c r="AD308" s="426" t="s">
        <v>2646</v>
      </c>
      <c r="AE308" s="426" t="s">
        <v>2646</v>
      </c>
      <c r="AF308" s="426" t="s">
        <v>2646</v>
      </c>
      <c r="AG308" s="426" t="s">
        <v>2646</v>
      </c>
      <c r="AH308" s="426" t="s">
        <v>2646</v>
      </c>
      <c r="AI308" s="426" t="s">
        <v>2646</v>
      </c>
      <c r="AJ308" s="68" t="s">
        <v>2646</v>
      </c>
    </row>
    <row r="309" spans="1:36" hidden="1">
      <c r="A309" s="392" t="s">
        <v>1649</v>
      </c>
      <c r="B309" s="427" t="s">
        <v>2649</v>
      </c>
      <c r="C309" s="433" t="s">
        <v>3034</v>
      </c>
      <c r="D309" s="433" t="s">
        <v>3729</v>
      </c>
      <c r="E309" s="433" t="s">
        <v>2654</v>
      </c>
      <c r="F309" s="433" t="s">
        <v>2654</v>
      </c>
      <c r="G309" s="433" t="s">
        <v>2654</v>
      </c>
      <c r="H309" s="433" t="s">
        <v>2654</v>
      </c>
      <c r="I309" s="433" t="s">
        <v>2654</v>
      </c>
      <c r="J309" s="433" t="s">
        <v>2654</v>
      </c>
      <c r="K309" s="433" t="s">
        <v>2654</v>
      </c>
      <c r="L309" s="433" t="s">
        <v>2654</v>
      </c>
      <c r="M309" s="433" t="s">
        <v>2654</v>
      </c>
      <c r="N309" s="433" t="s">
        <v>2654</v>
      </c>
      <c r="O309" s="433" t="s">
        <v>2654</v>
      </c>
      <c r="P309" s="433" t="s">
        <v>4083</v>
      </c>
      <c r="Q309" s="431"/>
      <c r="R309" s="431"/>
      <c r="S309" s="426" t="s">
        <v>2673</v>
      </c>
      <c r="T309" s="426" t="s">
        <v>2646</v>
      </c>
      <c r="U309" s="426" t="s">
        <v>2646</v>
      </c>
      <c r="V309" s="426" t="s">
        <v>2646</v>
      </c>
      <c r="W309" s="426" t="s">
        <v>2646</v>
      </c>
      <c r="X309" s="426" t="s">
        <v>2646</v>
      </c>
      <c r="Y309" s="426" t="s">
        <v>2646</v>
      </c>
      <c r="Z309" s="426" t="s">
        <v>2646</v>
      </c>
      <c r="AA309" s="426" t="s">
        <v>2646</v>
      </c>
      <c r="AB309" s="426" t="s">
        <v>2646</v>
      </c>
      <c r="AC309" s="426" t="s">
        <v>2646</v>
      </c>
      <c r="AD309" s="426" t="s">
        <v>2646</v>
      </c>
      <c r="AE309" s="426" t="s">
        <v>2646</v>
      </c>
      <c r="AF309" s="426" t="s">
        <v>2646</v>
      </c>
      <c r="AG309" s="426" t="s">
        <v>2646</v>
      </c>
      <c r="AH309" s="426" t="s">
        <v>2646</v>
      </c>
      <c r="AI309" s="426" t="s">
        <v>2646</v>
      </c>
      <c r="AJ309" s="68" t="s">
        <v>2646</v>
      </c>
    </row>
    <row r="310" spans="1:36" hidden="1">
      <c r="A310" s="392" t="s">
        <v>1650</v>
      </c>
      <c r="B310" s="427" t="s">
        <v>2650</v>
      </c>
      <c r="C310" s="433" t="s">
        <v>4183</v>
      </c>
      <c r="D310" s="433" t="s">
        <v>3729</v>
      </c>
      <c r="E310" s="433" t="s">
        <v>2654</v>
      </c>
      <c r="F310" s="433" t="s">
        <v>2654</v>
      </c>
      <c r="G310" s="433" t="s">
        <v>2654</v>
      </c>
      <c r="H310" s="433" t="s">
        <v>2654</v>
      </c>
      <c r="I310" s="433" t="s">
        <v>2654</v>
      </c>
      <c r="J310" s="433" t="s">
        <v>2654</v>
      </c>
      <c r="K310" s="433" t="s">
        <v>2654</v>
      </c>
      <c r="L310" s="433" t="s">
        <v>2654</v>
      </c>
      <c r="M310" s="433" t="s">
        <v>2654</v>
      </c>
      <c r="N310" s="433" t="s">
        <v>2654</v>
      </c>
      <c r="O310" s="433" t="s">
        <v>2654</v>
      </c>
      <c r="P310" s="433" t="s">
        <v>2648</v>
      </c>
      <c r="Q310" s="431"/>
      <c r="R310" s="431"/>
      <c r="S310" s="426" t="s">
        <v>2665</v>
      </c>
      <c r="T310" s="426" t="s">
        <v>2646</v>
      </c>
      <c r="U310" s="426" t="s">
        <v>2646</v>
      </c>
      <c r="V310" s="426" t="s">
        <v>2646</v>
      </c>
      <c r="W310" s="426" t="s">
        <v>2646</v>
      </c>
      <c r="X310" s="426" t="s">
        <v>2646</v>
      </c>
      <c r="Y310" s="426" t="s">
        <v>2646</v>
      </c>
      <c r="Z310" s="426" t="s">
        <v>2646</v>
      </c>
      <c r="AA310" s="426" t="s">
        <v>2646</v>
      </c>
      <c r="AB310" s="426" t="s">
        <v>2646</v>
      </c>
      <c r="AC310" s="426" t="s">
        <v>2646</v>
      </c>
      <c r="AD310" s="426" t="s">
        <v>2646</v>
      </c>
      <c r="AE310" s="426" t="s">
        <v>2646</v>
      </c>
      <c r="AF310" s="426" t="s">
        <v>2646</v>
      </c>
      <c r="AG310" s="426" t="s">
        <v>2646</v>
      </c>
      <c r="AH310" s="426" t="s">
        <v>2646</v>
      </c>
      <c r="AI310" s="426" t="s">
        <v>2646</v>
      </c>
      <c r="AJ310" s="68" t="s">
        <v>2646</v>
      </c>
    </row>
    <row r="311" spans="1:36" hidden="1">
      <c r="A311" s="392" t="s">
        <v>1651</v>
      </c>
      <c r="B311" s="427" t="s">
        <v>2651</v>
      </c>
      <c r="C311" s="433" t="s">
        <v>4084</v>
      </c>
      <c r="D311" s="433" t="s">
        <v>3729</v>
      </c>
      <c r="E311" s="433" t="s">
        <v>2654</v>
      </c>
      <c r="F311" s="433" t="s">
        <v>2654</v>
      </c>
      <c r="G311" s="433" t="s">
        <v>2654</v>
      </c>
      <c r="H311" s="433" t="s">
        <v>2654</v>
      </c>
      <c r="I311" s="433" t="s">
        <v>2654</v>
      </c>
      <c r="J311" s="433" t="s">
        <v>2654</v>
      </c>
      <c r="K311" s="433" t="s">
        <v>2654</v>
      </c>
      <c r="L311" s="433" t="s">
        <v>2654</v>
      </c>
      <c r="M311" s="433" t="s">
        <v>2654</v>
      </c>
      <c r="N311" s="433" t="s">
        <v>2654</v>
      </c>
      <c r="O311" s="433" t="s">
        <v>2654</v>
      </c>
      <c r="P311" s="433" t="s">
        <v>2650</v>
      </c>
      <c r="Q311" s="431"/>
      <c r="R311" s="431"/>
      <c r="S311" s="426" t="s">
        <v>3194</v>
      </c>
      <c r="T311" s="426" t="s">
        <v>2646</v>
      </c>
      <c r="U311" s="426" t="s">
        <v>2646</v>
      </c>
      <c r="V311" s="426" t="s">
        <v>2646</v>
      </c>
      <c r="W311" s="426" t="s">
        <v>2646</v>
      </c>
      <c r="X311" s="426" t="s">
        <v>2646</v>
      </c>
      <c r="Y311" s="426" t="s">
        <v>2646</v>
      </c>
      <c r="Z311" s="426" t="s">
        <v>2646</v>
      </c>
      <c r="AA311" s="426" t="s">
        <v>2646</v>
      </c>
      <c r="AB311" s="426" t="s">
        <v>2646</v>
      </c>
      <c r="AC311" s="426" t="s">
        <v>2646</v>
      </c>
      <c r="AD311" s="426" t="s">
        <v>2646</v>
      </c>
      <c r="AE311" s="426" t="s">
        <v>2646</v>
      </c>
      <c r="AF311" s="426" t="s">
        <v>2646</v>
      </c>
      <c r="AG311" s="426" t="s">
        <v>2646</v>
      </c>
      <c r="AH311" s="426" t="s">
        <v>2646</v>
      </c>
      <c r="AI311" s="426" t="s">
        <v>2646</v>
      </c>
      <c r="AJ311" s="68" t="s">
        <v>2646</v>
      </c>
    </row>
    <row r="312" spans="1:36">
      <c r="A312" s="392" t="s">
        <v>1651</v>
      </c>
      <c r="B312" s="427" t="s">
        <v>48</v>
      </c>
      <c r="C312" s="433" t="s">
        <v>4184</v>
      </c>
      <c r="D312" s="433" t="s">
        <v>4045</v>
      </c>
      <c r="E312" s="433" t="s">
        <v>2654</v>
      </c>
      <c r="F312" s="433" t="s">
        <v>2654</v>
      </c>
      <c r="G312" s="433" t="s">
        <v>2654</v>
      </c>
      <c r="H312" s="433" t="s">
        <v>2654</v>
      </c>
      <c r="I312" s="433" t="s">
        <v>2654</v>
      </c>
      <c r="J312" s="433" t="s">
        <v>2654</v>
      </c>
      <c r="K312" s="433" t="s">
        <v>2654</v>
      </c>
      <c r="L312" s="433" t="s">
        <v>2654</v>
      </c>
      <c r="M312" s="433" t="s">
        <v>2654</v>
      </c>
      <c r="N312" s="433" t="s">
        <v>2654</v>
      </c>
      <c r="O312" s="433" t="s">
        <v>2654</v>
      </c>
      <c r="P312" s="433" t="s">
        <v>3004</v>
      </c>
      <c r="Q312" s="433" t="s">
        <v>2654</v>
      </c>
      <c r="R312" s="433" t="s">
        <v>2654</v>
      </c>
      <c r="S312" s="426"/>
      <c r="T312" s="426"/>
      <c r="U312" s="426"/>
      <c r="V312" s="426"/>
      <c r="W312" s="426"/>
      <c r="X312" s="426"/>
      <c r="Y312" s="426"/>
      <c r="Z312" s="426"/>
      <c r="AA312" s="426"/>
      <c r="AB312" s="426"/>
      <c r="AC312" s="426"/>
      <c r="AD312" s="426"/>
      <c r="AE312" s="426"/>
      <c r="AF312" s="426"/>
      <c r="AG312" s="426"/>
      <c r="AH312" s="426"/>
      <c r="AI312" s="426"/>
    </row>
    <row r="313" spans="1:36" hidden="1">
      <c r="A313" s="392" t="s">
        <v>1652</v>
      </c>
      <c r="B313" s="427" t="s">
        <v>2647</v>
      </c>
      <c r="C313" s="433" t="s">
        <v>3665</v>
      </c>
      <c r="D313" s="433" t="s">
        <v>3732</v>
      </c>
      <c r="E313" s="433" t="s">
        <v>2654</v>
      </c>
      <c r="F313" s="433" t="s">
        <v>2654</v>
      </c>
      <c r="G313" s="433" t="s">
        <v>2654</v>
      </c>
      <c r="H313" s="433" t="s">
        <v>2654</v>
      </c>
      <c r="I313" s="433" t="s">
        <v>2654</v>
      </c>
      <c r="J313" s="433" t="s">
        <v>2654</v>
      </c>
      <c r="K313" s="433" t="s">
        <v>2654</v>
      </c>
      <c r="L313" s="433" t="s">
        <v>2654</v>
      </c>
      <c r="M313" s="433" t="s">
        <v>2654</v>
      </c>
      <c r="N313" s="433" t="s">
        <v>2654</v>
      </c>
      <c r="O313" s="433" t="s">
        <v>2654</v>
      </c>
      <c r="P313" s="433" t="s">
        <v>2650</v>
      </c>
      <c r="Q313" s="431"/>
      <c r="R313" s="431"/>
      <c r="S313" s="426" t="s">
        <v>2669</v>
      </c>
      <c r="T313" s="426" t="s">
        <v>2646</v>
      </c>
      <c r="U313" s="426" t="s">
        <v>2646</v>
      </c>
      <c r="V313" s="426" t="s">
        <v>2646</v>
      </c>
      <c r="W313" s="426" t="s">
        <v>2646</v>
      </c>
      <c r="X313" s="426" t="s">
        <v>2646</v>
      </c>
      <c r="Y313" s="426" t="s">
        <v>2646</v>
      </c>
      <c r="Z313" s="426" t="s">
        <v>2646</v>
      </c>
      <c r="AA313" s="426" t="s">
        <v>2646</v>
      </c>
      <c r="AB313" s="426" t="s">
        <v>2646</v>
      </c>
      <c r="AC313" s="426" t="s">
        <v>2646</v>
      </c>
      <c r="AD313" s="426" t="s">
        <v>2646</v>
      </c>
      <c r="AE313" s="426" t="s">
        <v>2646</v>
      </c>
      <c r="AF313" s="426" t="s">
        <v>2646</v>
      </c>
      <c r="AG313" s="426" t="s">
        <v>2646</v>
      </c>
      <c r="AH313" s="426" t="s">
        <v>2646</v>
      </c>
      <c r="AI313" s="426" t="s">
        <v>2646</v>
      </c>
      <c r="AJ313" s="68" t="s">
        <v>2646</v>
      </c>
    </row>
    <row r="314" spans="1:36" hidden="1">
      <c r="A314" s="392" t="s">
        <v>1653</v>
      </c>
      <c r="B314" s="427" t="s">
        <v>2648</v>
      </c>
      <c r="C314" s="433" t="s">
        <v>2867</v>
      </c>
      <c r="D314" s="433" t="s">
        <v>3788</v>
      </c>
      <c r="E314" s="433" t="s">
        <v>2654</v>
      </c>
      <c r="F314" s="433" t="s">
        <v>2654</v>
      </c>
      <c r="G314" s="433" t="s">
        <v>2654</v>
      </c>
      <c r="H314" s="433" t="s">
        <v>2654</v>
      </c>
      <c r="I314" s="433" t="s">
        <v>2654</v>
      </c>
      <c r="J314" s="433" t="s">
        <v>2654</v>
      </c>
      <c r="K314" s="433" t="s">
        <v>2654</v>
      </c>
      <c r="L314" s="433" t="s">
        <v>2654</v>
      </c>
      <c r="M314" s="433" t="s">
        <v>2654</v>
      </c>
      <c r="N314" s="433" t="s">
        <v>2654</v>
      </c>
      <c r="O314" s="433" t="s">
        <v>2654</v>
      </c>
      <c r="P314" s="433" t="s">
        <v>2650</v>
      </c>
      <c r="Q314" s="431"/>
      <c r="R314" s="431"/>
      <c r="S314" s="426" t="s">
        <v>2665</v>
      </c>
      <c r="T314" s="426" t="s">
        <v>2646</v>
      </c>
      <c r="U314" s="426" t="s">
        <v>2646</v>
      </c>
      <c r="V314" s="426" t="s">
        <v>2646</v>
      </c>
      <c r="W314" s="426" t="s">
        <v>2646</v>
      </c>
      <c r="X314" s="426" t="s">
        <v>2646</v>
      </c>
      <c r="Y314" s="426" t="s">
        <v>2646</v>
      </c>
      <c r="Z314" s="426" t="s">
        <v>2646</v>
      </c>
      <c r="AA314" s="426" t="s">
        <v>2646</v>
      </c>
      <c r="AB314" s="426" t="s">
        <v>2646</v>
      </c>
      <c r="AC314" s="426" t="s">
        <v>2646</v>
      </c>
      <c r="AD314" s="426" t="s">
        <v>2646</v>
      </c>
      <c r="AE314" s="426" t="s">
        <v>2646</v>
      </c>
      <c r="AF314" s="426" t="s">
        <v>2646</v>
      </c>
      <c r="AG314" s="426" t="s">
        <v>2646</v>
      </c>
      <c r="AH314" s="426" t="s">
        <v>2646</v>
      </c>
      <c r="AI314" s="426" t="s">
        <v>2646</v>
      </c>
      <c r="AJ314" s="68" t="s">
        <v>2646</v>
      </c>
    </row>
    <row r="315" spans="1:36" hidden="1">
      <c r="A315" s="392" t="s">
        <v>1654</v>
      </c>
      <c r="B315" s="427" t="s">
        <v>2649</v>
      </c>
      <c r="C315" s="433" t="s">
        <v>3659</v>
      </c>
      <c r="D315" s="433" t="s">
        <v>3521</v>
      </c>
      <c r="E315" s="433" t="s">
        <v>2654</v>
      </c>
      <c r="F315" s="433" t="s">
        <v>2654</v>
      </c>
      <c r="G315" s="433" t="s">
        <v>2654</v>
      </c>
      <c r="H315" s="433" t="s">
        <v>2654</v>
      </c>
      <c r="I315" s="433" t="s">
        <v>2654</v>
      </c>
      <c r="J315" s="433" t="s">
        <v>2654</v>
      </c>
      <c r="K315" s="433" t="s">
        <v>2654</v>
      </c>
      <c r="L315" s="433" t="s">
        <v>2654</v>
      </c>
      <c r="M315" s="433" t="s">
        <v>2654</v>
      </c>
      <c r="N315" s="433" t="s">
        <v>2654</v>
      </c>
      <c r="O315" s="433" t="s">
        <v>2654</v>
      </c>
      <c r="P315" s="433" t="s">
        <v>2649</v>
      </c>
      <c r="Q315" s="431"/>
      <c r="R315" s="431"/>
      <c r="S315" s="426" t="s">
        <v>3186</v>
      </c>
      <c r="T315" s="426" t="s">
        <v>2646</v>
      </c>
      <c r="U315" s="426" t="s">
        <v>2646</v>
      </c>
      <c r="V315" s="426" t="s">
        <v>2646</v>
      </c>
      <c r="W315" s="426" t="s">
        <v>2646</v>
      </c>
      <c r="X315" s="426" t="s">
        <v>2646</v>
      </c>
      <c r="Y315" s="426" t="s">
        <v>2646</v>
      </c>
      <c r="Z315" s="426" t="s">
        <v>2646</v>
      </c>
      <c r="AA315" s="426" t="s">
        <v>2646</v>
      </c>
      <c r="AB315" s="426" t="s">
        <v>2646</v>
      </c>
      <c r="AC315" s="426" t="s">
        <v>2646</v>
      </c>
      <c r="AD315" s="426" t="s">
        <v>2646</v>
      </c>
      <c r="AE315" s="426" t="s">
        <v>2646</v>
      </c>
      <c r="AF315" s="426" t="s">
        <v>2646</v>
      </c>
      <c r="AG315" s="426" t="s">
        <v>2646</v>
      </c>
      <c r="AH315" s="426" t="s">
        <v>2646</v>
      </c>
      <c r="AI315" s="426" t="s">
        <v>2646</v>
      </c>
      <c r="AJ315" s="68" t="s">
        <v>2646</v>
      </c>
    </row>
    <row r="316" spans="1:36" hidden="1">
      <c r="A316" s="392" t="s">
        <v>1655</v>
      </c>
      <c r="B316" s="427" t="s">
        <v>2650</v>
      </c>
      <c r="C316" s="433" t="s">
        <v>3758</v>
      </c>
      <c r="D316" s="433" t="s">
        <v>4049</v>
      </c>
      <c r="E316" s="433" t="s">
        <v>2654</v>
      </c>
      <c r="F316" s="433" t="s">
        <v>2654</v>
      </c>
      <c r="G316" s="433" t="s">
        <v>2654</v>
      </c>
      <c r="H316" s="433" t="s">
        <v>2654</v>
      </c>
      <c r="I316" s="433" t="s">
        <v>2654</v>
      </c>
      <c r="J316" s="433" t="s">
        <v>2654</v>
      </c>
      <c r="K316" s="433" t="s">
        <v>2654</v>
      </c>
      <c r="L316" s="433" t="s">
        <v>2654</v>
      </c>
      <c r="M316" s="433" t="s">
        <v>2654</v>
      </c>
      <c r="N316" s="433" t="s">
        <v>2654</v>
      </c>
      <c r="O316" s="433" t="s">
        <v>2654</v>
      </c>
      <c r="P316" s="433" t="s">
        <v>2649</v>
      </c>
      <c r="Q316" s="431"/>
      <c r="R316" s="431"/>
      <c r="S316" s="426" t="s">
        <v>3194</v>
      </c>
      <c r="T316" s="426" t="s">
        <v>2646</v>
      </c>
      <c r="U316" s="426" t="s">
        <v>2646</v>
      </c>
      <c r="V316" s="426" t="s">
        <v>2646</v>
      </c>
      <c r="W316" s="426" t="s">
        <v>2646</v>
      </c>
      <c r="X316" s="426" t="s">
        <v>2646</v>
      </c>
      <c r="Y316" s="426" t="s">
        <v>2646</v>
      </c>
      <c r="Z316" s="426" t="s">
        <v>2646</v>
      </c>
      <c r="AA316" s="426" t="s">
        <v>2646</v>
      </c>
      <c r="AB316" s="426" t="s">
        <v>2646</v>
      </c>
      <c r="AC316" s="426" t="s">
        <v>2646</v>
      </c>
      <c r="AD316" s="426" t="s">
        <v>2646</v>
      </c>
      <c r="AE316" s="426" t="s">
        <v>2646</v>
      </c>
      <c r="AF316" s="426" t="s">
        <v>2646</v>
      </c>
      <c r="AG316" s="426" t="s">
        <v>2646</v>
      </c>
      <c r="AH316" s="426" t="s">
        <v>2646</v>
      </c>
      <c r="AI316" s="426" t="s">
        <v>2646</v>
      </c>
      <c r="AJ316" s="68" t="s">
        <v>2646</v>
      </c>
    </row>
    <row r="317" spans="1:36" hidden="1">
      <c r="A317" s="392" t="s">
        <v>1656</v>
      </c>
      <c r="B317" s="427" t="s">
        <v>2651</v>
      </c>
      <c r="C317" s="433" t="s">
        <v>3626</v>
      </c>
      <c r="D317" s="433" t="s">
        <v>3561</v>
      </c>
      <c r="E317" s="433" t="s">
        <v>2654</v>
      </c>
      <c r="F317" s="433" t="s">
        <v>2654</v>
      </c>
      <c r="G317" s="433" t="s">
        <v>2654</v>
      </c>
      <c r="H317" s="433" t="s">
        <v>2654</v>
      </c>
      <c r="I317" s="433" t="s">
        <v>2654</v>
      </c>
      <c r="J317" s="433" t="s">
        <v>2654</v>
      </c>
      <c r="K317" s="433" t="s">
        <v>2654</v>
      </c>
      <c r="L317" s="433" t="s">
        <v>2654</v>
      </c>
      <c r="M317" s="433" t="s">
        <v>2654</v>
      </c>
      <c r="N317" s="433" t="s">
        <v>2654</v>
      </c>
      <c r="O317" s="433" t="s">
        <v>2654</v>
      </c>
      <c r="P317" s="433" t="s">
        <v>2647</v>
      </c>
      <c r="Q317" s="431"/>
      <c r="R317" s="431"/>
      <c r="S317" s="426" t="s">
        <v>3219</v>
      </c>
      <c r="T317" s="426" t="s">
        <v>2646</v>
      </c>
      <c r="U317" s="426" t="s">
        <v>2646</v>
      </c>
      <c r="V317" s="426" t="s">
        <v>2646</v>
      </c>
      <c r="W317" s="426" t="s">
        <v>2646</v>
      </c>
      <c r="X317" s="426" t="s">
        <v>2646</v>
      </c>
      <c r="Y317" s="426" t="s">
        <v>2646</v>
      </c>
      <c r="Z317" s="426" t="s">
        <v>2646</v>
      </c>
      <c r="AA317" s="426" t="s">
        <v>2646</v>
      </c>
      <c r="AB317" s="426" t="s">
        <v>2646</v>
      </c>
      <c r="AC317" s="426" t="s">
        <v>2646</v>
      </c>
      <c r="AD317" s="426" t="s">
        <v>2646</v>
      </c>
      <c r="AE317" s="426" t="s">
        <v>2646</v>
      </c>
      <c r="AF317" s="426" t="s">
        <v>2646</v>
      </c>
      <c r="AG317" s="426" t="s">
        <v>2646</v>
      </c>
      <c r="AH317" s="426" t="s">
        <v>2646</v>
      </c>
      <c r="AI317" s="426" t="s">
        <v>2646</v>
      </c>
      <c r="AJ317" s="68" t="s">
        <v>2646</v>
      </c>
    </row>
    <row r="318" spans="1:36">
      <c r="A318" s="392" t="s">
        <v>1656</v>
      </c>
      <c r="B318" s="427" t="s">
        <v>48</v>
      </c>
      <c r="C318" s="433" t="s">
        <v>3148</v>
      </c>
      <c r="D318" s="433" t="s">
        <v>4185</v>
      </c>
      <c r="E318" s="433" t="s">
        <v>2654</v>
      </c>
      <c r="F318" s="433" t="s">
        <v>2654</v>
      </c>
      <c r="G318" s="433" t="s">
        <v>2654</v>
      </c>
      <c r="H318" s="433" t="s">
        <v>2654</v>
      </c>
      <c r="I318" s="433" t="s">
        <v>2654</v>
      </c>
      <c r="J318" s="433" t="s">
        <v>2654</v>
      </c>
      <c r="K318" s="433" t="s">
        <v>2654</v>
      </c>
      <c r="L318" s="433" t="s">
        <v>2654</v>
      </c>
      <c r="M318" s="433" t="s">
        <v>2654</v>
      </c>
      <c r="N318" s="433" t="s">
        <v>2654</v>
      </c>
      <c r="O318" s="433" t="s">
        <v>2654</v>
      </c>
      <c r="P318" s="433" t="s">
        <v>2656</v>
      </c>
      <c r="Q318" s="433" t="s">
        <v>2654</v>
      </c>
      <c r="R318" s="433" t="s">
        <v>2654</v>
      </c>
      <c r="S318" s="426"/>
      <c r="T318" s="426"/>
      <c r="U318" s="426"/>
      <c r="V318" s="426"/>
      <c r="W318" s="426"/>
      <c r="X318" s="426"/>
      <c r="Y318" s="426"/>
      <c r="Z318" s="426"/>
      <c r="AA318" s="426"/>
      <c r="AB318" s="426"/>
      <c r="AC318" s="426"/>
      <c r="AD318" s="426"/>
      <c r="AE318" s="426"/>
      <c r="AF318" s="426"/>
      <c r="AG318" s="426"/>
      <c r="AH318" s="426"/>
      <c r="AI318" s="426"/>
    </row>
    <row r="319" spans="1:36" hidden="1">
      <c r="A319" s="392" t="s">
        <v>1657</v>
      </c>
      <c r="B319" s="427" t="s">
        <v>2647</v>
      </c>
      <c r="C319" s="433" t="s">
        <v>3744</v>
      </c>
      <c r="D319" s="433" t="s">
        <v>3089</v>
      </c>
      <c r="E319" s="433" t="s">
        <v>2654</v>
      </c>
      <c r="F319" s="433" t="s">
        <v>2654</v>
      </c>
      <c r="G319" s="433" t="s">
        <v>2654</v>
      </c>
      <c r="H319" s="433" t="s">
        <v>2654</v>
      </c>
      <c r="I319" s="433" t="s">
        <v>2654</v>
      </c>
      <c r="J319" s="433" t="s">
        <v>2654</v>
      </c>
      <c r="K319" s="433" t="s">
        <v>2654</v>
      </c>
      <c r="L319" s="433" t="s">
        <v>2654</v>
      </c>
      <c r="M319" s="433" t="s">
        <v>2654</v>
      </c>
      <c r="N319" s="433" t="s">
        <v>2654</v>
      </c>
      <c r="O319" s="433" t="s">
        <v>2654</v>
      </c>
      <c r="P319" s="433" t="s">
        <v>2651</v>
      </c>
      <c r="Q319" s="431"/>
      <c r="R319" s="431"/>
      <c r="S319" s="426" t="s">
        <v>3124</v>
      </c>
      <c r="T319" s="426" t="s">
        <v>2646</v>
      </c>
      <c r="U319" s="426" t="s">
        <v>2646</v>
      </c>
      <c r="V319" s="426" t="s">
        <v>2646</v>
      </c>
      <c r="W319" s="426" t="s">
        <v>2646</v>
      </c>
      <c r="X319" s="426" t="s">
        <v>2646</v>
      </c>
      <c r="Y319" s="426" t="s">
        <v>2646</v>
      </c>
      <c r="Z319" s="426" t="s">
        <v>2646</v>
      </c>
      <c r="AA319" s="426" t="s">
        <v>2646</v>
      </c>
      <c r="AB319" s="426" t="s">
        <v>2646</v>
      </c>
      <c r="AC319" s="426" t="s">
        <v>2646</v>
      </c>
      <c r="AD319" s="426" t="s">
        <v>2646</v>
      </c>
      <c r="AE319" s="426" t="s">
        <v>2646</v>
      </c>
      <c r="AF319" s="426" t="s">
        <v>2646</v>
      </c>
      <c r="AG319" s="426" t="s">
        <v>2646</v>
      </c>
      <c r="AH319" s="426" t="s">
        <v>2646</v>
      </c>
      <c r="AI319" s="426" t="s">
        <v>2646</v>
      </c>
      <c r="AJ319" s="68" t="s">
        <v>2646</v>
      </c>
    </row>
    <row r="320" spans="1:36" hidden="1">
      <c r="A320" s="392" t="s">
        <v>1658</v>
      </c>
      <c r="B320" s="427" t="s">
        <v>2648</v>
      </c>
      <c r="C320" s="433" t="s">
        <v>3284</v>
      </c>
      <c r="D320" s="433" t="s">
        <v>3789</v>
      </c>
      <c r="E320" s="433" t="s">
        <v>2654</v>
      </c>
      <c r="F320" s="433" t="s">
        <v>2654</v>
      </c>
      <c r="G320" s="433" t="s">
        <v>2654</v>
      </c>
      <c r="H320" s="433" t="s">
        <v>2654</v>
      </c>
      <c r="I320" s="433" t="s">
        <v>2654</v>
      </c>
      <c r="J320" s="433" t="s">
        <v>2654</v>
      </c>
      <c r="K320" s="433" t="s">
        <v>2654</v>
      </c>
      <c r="L320" s="433" t="s">
        <v>2654</v>
      </c>
      <c r="M320" s="433" t="s">
        <v>2654</v>
      </c>
      <c r="N320" s="433" t="s">
        <v>2654</v>
      </c>
      <c r="O320" s="433" t="s">
        <v>2654</v>
      </c>
      <c r="P320" s="433" t="s">
        <v>2646</v>
      </c>
      <c r="Q320" s="431"/>
      <c r="R320" s="431"/>
      <c r="S320" s="426" t="s">
        <v>3220</v>
      </c>
      <c r="T320" s="426" t="s">
        <v>2646</v>
      </c>
      <c r="U320" s="426" t="s">
        <v>2646</v>
      </c>
      <c r="V320" s="426" t="s">
        <v>2646</v>
      </c>
      <c r="W320" s="426" t="s">
        <v>2646</v>
      </c>
      <c r="X320" s="426" t="s">
        <v>2646</v>
      </c>
      <c r="Y320" s="426" t="s">
        <v>2646</v>
      </c>
      <c r="Z320" s="426" t="s">
        <v>2646</v>
      </c>
      <c r="AA320" s="426" t="s">
        <v>2646</v>
      </c>
      <c r="AB320" s="426" t="s">
        <v>2646</v>
      </c>
      <c r="AC320" s="426" t="s">
        <v>2646</v>
      </c>
      <c r="AD320" s="426" t="s">
        <v>2646</v>
      </c>
      <c r="AE320" s="426" t="s">
        <v>2646</v>
      </c>
      <c r="AF320" s="426" t="s">
        <v>2646</v>
      </c>
      <c r="AG320" s="426" t="s">
        <v>2646</v>
      </c>
      <c r="AH320" s="426" t="s">
        <v>2646</v>
      </c>
      <c r="AI320" s="426" t="s">
        <v>2646</v>
      </c>
      <c r="AJ320" s="68" t="s">
        <v>2646</v>
      </c>
    </row>
    <row r="321" spans="1:36" hidden="1">
      <c r="A321" s="392" t="s">
        <v>1659</v>
      </c>
      <c r="B321" s="427" t="s">
        <v>2649</v>
      </c>
      <c r="C321" s="433" t="s">
        <v>4186</v>
      </c>
      <c r="D321" s="433" t="s">
        <v>3734</v>
      </c>
      <c r="E321" s="433" t="s">
        <v>2654</v>
      </c>
      <c r="F321" s="433" t="s">
        <v>2654</v>
      </c>
      <c r="G321" s="433" t="s">
        <v>2654</v>
      </c>
      <c r="H321" s="433" t="s">
        <v>2654</v>
      </c>
      <c r="I321" s="433" t="s">
        <v>2654</v>
      </c>
      <c r="J321" s="433" t="s">
        <v>2654</v>
      </c>
      <c r="K321" s="433" t="s">
        <v>2654</v>
      </c>
      <c r="L321" s="433" t="s">
        <v>2654</v>
      </c>
      <c r="M321" s="433" t="s">
        <v>2654</v>
      </c>
      <c r="N321" s="433" t="s">
        <v>2654</v>
      </c>
      <c r="O321" s="433" t="s">
        <v>2654</v>
      </c>
      <c r="P321" s="433" t="s">
        <v>2650</v>
      </c>
      <c r="Q321" s="431"/>
      <c r="R321" s="431"/>
      <c r="S321" s="426" t="s">
        <v>3220</v>
      </c>
      <c r="T321" s="426" t="s">
        <v>2646</v>
      </c>
      <c r="U321" s="426" t="s">
        <v>2646</v>
      </c>
      <c r="V321" s="426" t="s">
        <v>2646</v>
      </c>
      <c r="W321" s="426" t="s">
        <v>2646</v>
      </c>
      <c r="X321" s="426" t="s">
        <v>2646</v>
      </c>
      <c r="Y321" s="426" t="s">
        <v>2646</v>
      </c>
      <c r="Z321" s="426" t="s">
        <v>2646</v>
      </c>
      <c r="AA321" s="426" t="s">
        <v>2646</v>
      </c>
      <c r="AB321" s="426" t="s">
        <v>2646</v>
      </c>
      <c r="AC321" s="426" t="s">
        <v>2646</v>
      </c>
      <c r="AD321" s="426" t="s">
        <v>2646</v>
      </c>
      <c r="AE321" s="426" t="s">
        <v>2646</v>
      </c>
      <c r="AF321" s="426" t="s">
        <v>2646</v>
      </c>
      <c r="AG321" s="426" t="s">
        <v>2646</v>
      </c>
      <c r="AH321" s="426" t="s">
        <v>2646</v>
      </c>
      <c r="AI321" s="426" t="s">
        <v>2646</v>
      </c>
      <c r="AJ321" s="68" t="s">
        <v>2646</v>
      </c>
    </row>
    <row r="322" spans="1:36" hidden="1">
      <c r="A322" s="392" t="s">
        <v>1660</v>
      </c>
      <c r="B322" s="427" t="s">
        <v>2650</v>
      </c>
      <c r="C322" s="433" t="s">
        <v>3204</v>
      </c>
      <c r="D322" s="433" t="s">
        <v>3734</v>
      </c>
      <c r="E322" s="433" t="s">
        <v>2654</v>
      </c>
      <c r="F322" s="433" t="s">
        <v>2654</v>
      </c>
      <c r="G322" s="433" t="s">
        <v>2654</v>
      </c>
      <c r="H322" s="433" t="s">
        <v>2654</v>
      </c>
      <c r="I322" s="433" t="s">
        <v>2654</v>
      </c>
      <c r="J322" s="433" t="s">
        <v>2654</v>
      </c>
      <c r="K322" s="433" t="s">
        <v>2654</v>
      </c>
      <c r="L322" s="433" t="s">
        <v>2654</v>
      </c>
      <c r="M322" s="433" t="s">
        <v>2654</v>
      </c>
      <c r="N322" s="433" t="s">
        <v>2654</v>
      </c>
      <c r="O322" s="433" t="s">
        <v>2654</v>
      </c>
      <c r="P322" s="433" t="s">
        <v>2647</v>
      </c>
      <c r="Q322" s="431"/>
      <c r="R322" s="431"/>
      <c r="S322" s="426" t="s">
        <v>3132</v>
      </c>
      <c r="T322" s="426" t="s">
        <v>2646</v>
      </c>
      <c r="U322" s="426" t="s">
        <v>2646</v>
      </c>
      <c r="V322" s="426" t="s">
        <v>2646</v>
      </c>
      <c r="W322" s="426" t="s">
        <v>2646</v>
      </c>
      <c r="X322" s="426" t="s">
        <v>2646</v>
      </c>
      <c r="Y322" s="426" t="s">
        <v>2646</v>
      </c>
      <c r="Z322" s="426" t="s">
        <v>2646</v>
      </c>
      <c r="AA322" s="426" t="s">
        <v>2646</v>
      </c>
      <c r="AB322" s="426" t="s">
        <v>2646</v>
      </c>
      <c r="AC322" s="426" t="s">
        <v>2646</v>
      </c>
      <c r="AD322" s="426" t="s">
        <v>2646</v>
      </c>
      <c r="AE322" s="426" t="s">
        <v>2646</v>
      </c>
      <c r="AF322" s="426" t="s">
        <v>2646</v>
      </c>
      <c r="AG322" s="426" t="s">
        <v>2646</v>
      </c>
      <c r="AH322" s="426" t="s">
        <v>2646</v>
      </c>
      <c r="AI322" s="426" t="s">
        <v>2646</v>
      </c>
      <c r="AJ322" s="68" t="s">
        <v>2646</v>
      </c>
    </row>
    <row r="323" spans="1:36" hidden="1">
      <c r="A323" s="392" t="s">
        <v>1661</v>
      </c>
      <c r="B323" s="427" t="s">
        <v>2651</v>
      </c>
      <c r="C323" s="433" t="s">
        <v>3921</v>
      </c>
      <c r="D323" s="433" t="s">
        <v>3791</v>
      </c>
      <c r="E323" s="433" t="s">
        <v>2654</v>
      </c>
      <c r="F323" s="433" t="s">
        <v>2654</v>
      </c>
      <c r="G323" s="433" t="s">
        <v>2654</v>
      </c>
      <c r="H323" s="433" t="s">
        <v>2654</v>
      </c>
      <c r="I323" s="433" t="s">
        <v>2654</v>
      </c>
      <c r="J323" s="433" t="s">
        <v>2654</v>
      </c>
      <c r="K323" s="433" t="s">
        <v>2654</v>
      </c>
      <c r="L323" s="433" t="s">
        <v>2654</v>
      </c>
      <c r="M323" s="433" t="s">
        <v>2654</v>
      </c>
      <c r="N323" s="433" t="s">
        <v>2654</v>
      </c>
      <c r="O323" s="433" t="s">
        <v>2654</v>
      </c>
      <c r="P323" s="433" t="s">
        <v>2649</v>
      </c>
      <c r="Q323" s="431"/>
      <c r="R323" s="431"/>
      <c r="S323" s="426" t="s">
        <v>3124</v>
      </c>
      <c r="T323" s="426" t="s">
        <v>2646</v>
      </c>
      <c r="U323" s="426" t="s">
        <v>2646</v>
      </c>
      <c r="V323" s="426" t="s">
        <v>2646</v>
      </c>
      <c r="W323" s="426" t="s">
        <v>2646</v>
      </c>
      <c r="X323" s="426" t="s">
        <v>2646</v>
      </c>
      <c r="Y323" s="426" t="s">
        <v>2646</v>
      </c>
      <c r="Z323" s="426" t="s">
        <v>2646</v>
      </c>
      <c r="AA323" s="426" t="s">
        <v>2646</v>
      </c>
      <c r="AB323" s="426" t="s">
        <v>2646</v>
      </c>
      <c r="AC323" s="426" t="s">
        <v>2646</v>
      </c>
      <c r="AD323" s="426" t="s">
        <v>2646</v>
      </c>
      <c r="AE323" s="426" t="s">
        <v>2646</v>
      </c>
      <c r="AF323" s="426" t="s">
        <v>2646</v>
      </c>
      <c r="AG323" s="426" t="s">
        <v>2646</v>
      </c>
      <c r="AH323" s="426" t="s">
        <v>2646</v>
      </c>
      <c r="AI323" s="426" t="s">
        <v>2646</v>
      </c>
      <c r="AJ323" s="68" t="s">
        <v>2646</v>
      </c>
    </row>
    <row r="324" spans="1:36">
      <c r="A324" s="392" t="s">
        <v>1661</v>
      </c>
      <c r="B324" s="427" t="s">
        <v>48</v>
      </c>
      <c r="C324" s="433" t="s">
        <v>4187</v>
      </c>
      <c r="D324" s="433" t="s">
        <v>4188</v>
      </c>
      <c r="E324" s="433" t="s">
        <v>2654</v>
      </c>
      <c r="F324" s="433" t="s">
        <v>2654</v>
      </c>
      <c r="G324" s="433" t="s">
        <v>2654</v>
      </c>
      <c r="H324" s="433" t="s">
        <v>2654</v>
      </c>
      <c r="I324" s="433" t="s">
        <v>2654</v>
      </c>
      <c r="J324" s="433" t="s">
        <v>2654</v>
      </c>
      <c r="K324" s="433" t="s">
        <v>2654</v>
      </c>
      <c r="L324" s="433" t="s">
        <v>2654</v>
      </c>
      <c r="M324" s="433" t="s">
        <v>2654</v>
      </c>
      <c r="N324" s="433" t="s">
        <v>2654</v>
      </c>
      <c r="O324" s="433" t="s">
        <v>2654</v>
      </c>
      <c r="P324" s="433" t="s">
        <v>2953</v>
      </c>
      <c r="Q324" s="433" t="s">
        <v>2654</v>
      </c>
      <c r="R324" s="433" t="s">
        <v>2654</v>
      </c>
      <c r="S324" s="426"/>
      <c r="T324" s="426"/>
      <c r="U324" s="426"/>
      <c r="V324" s="426"/>
      <c r="W324" s="426"/>
      <c r="X324" s="426"/>
      <c r="Y324" s="426"/>
      <c r="Z324" s="426"/>
      <c r="AA324" s="426"/>
      <c r="AB324" s="426"/>
      <c r="AC324" s="426"/>
      <c r="AD324" s="426"/>
      <c r="AE324" s="426"/>
      <c r="AF324" s="426"/>
      <c r="AG324" s="426"/>
      <c r="AH324" s="426"/>
      <c r="AI324" s="426"/>
    </row>
    <row r="325" spans="1:36" hidden="1">
      <c r="A325" s="392" t="s">
        <v>1662</v>
      </c>
      <c r="B325" s="427" t="s">
        <v>2647</v>
      </c>
      <c r="C325" s="433" t="s">
        <v>3725</v>
      </c>
      <c r="D325" s="433" t="s">
        <v>2777</v>
      </c>
      <c r="E325" s="433" t="s">
        <v>2654</v>
      </c>
      <c r="F325" s="433" t="s">
        <v>2654</v>
      </c>
      <c r="G325" s="433" t="s">
        <v>2654</v>
      </c>
      <c r="H325" s="433" t="s">
        <v>2654</v>
      </c>
      <c r="I325" s="433" t="s">
        <v>2654</v>
      </c>
      <c r="J325" s="433" t="s">
        <v>2654</v>
      </c>
      <c r="K325" s="433" t="s">
        <v>2654</v>
      </c>
      <c r="L325" s="433" t="s">
        <v>2654</v>
      </c>
      <c r="M325" s="433" t="s">
        <v>2654</v>
      </c>
      <c r="N325" s="433" t="s">
        <v>2654</v>
      </c>
      <c r="O325" s="433" t="s">
        <v>2654</v>
      </c>
      <c r="P325" s="433" t="s">
        <v>2650</v>
      </c>
      <c r="Q325" s="431"/>
      <c r="R325" s="431"/>
      <c r="S325" s="426" t="s">
        <v>2664</v>
      </c>
      <c r="T325" s="426" t="s">
        <v>2646</v>
      </c>
      <c r="U325" s="426" t="s">
        <v>2646</v>
      </c>
      <c r="V325" s="426" t="s">
        <v>2646</v>
      </c>
      <c r="W325" s="426" t="s">
        <v>2646</v>
      </c>
      <c r="X325" s="426" t="s">
        <v>2646</v>
      </c>
      <c r="Y325" s="426" t="s">
        <v>2646</v>
      </c>
      <c r="Z325" s="426" t="s">
        <v>2646</v>
      </c>
      <c r="AA325" s="426" t="s">
        <v>2646</v>
      </c>
      <c r="AB325" s="426" t="s">
        <v>2646</v>
      </c>
      <c r="AC325" s="426" t="s">
        <v>2646</v>
      </c>
      <c r="AD325" s="426" t="s">
        <v>2646</v>
      </c>
      <c r="AE325" s="426" t="s">
        <v>2646</v>
      </c>
      <c r="AF325" s="426" t="s">
        <v>2646</v>
      </c>
      <c r="AG325" s="426" t="s">
        <v>2646</v>
      </c>
      <c r="AH325" s="426" t="s">
        <v>2646</v>
      </c>
      <c r="AI325" s="426" t="s">
        <v>2646</v>
      </c>
      <c r="AJ325" s="68" t="s">
        <v>2646</v>
      </c>
    </row>
    <row r="326" spans="1:36" hidden="1">
      <c r="A326" s="392" t="s">
        <v>1663</v>
      </c>
      <c r="B326" s="427" t="s">
        <v>2648</v>
      </c>
      <c r="C326" s="433" t="s">
        <v>3262</v>
      </c>
      <c r="D326" s="433" t="s">
        <v>2777</v>
      </c>
      <c r="E326" s="433" t="s">
        <v>2654</v>
      </c>
      <c r="F326" s="433" t="s">
        <v>2654</v>
      </c>
      <c r="G326" s="433" t="s">
        <v>2654</v>
      </c>
      <c r="H326" s="433" t="s">
        <v>2654</v>
      </c>
      <c r="I326" s="433" t="s">
        <v>2654</v>
      </c>
      <c r="J326" s="433" t="s">
        <v>2654</v>
      </c>
      <c r="K326" s="433" t="s">
        <v>2654</v>
      </c>
      <c r="L326" s="433" t="s">
        <v>2654</v>
      </c>
      <c r="M326" s="433" t="s">
        <v>2654</v>
      </c>
      <c r="N326" s="433" t="s">
        <v>2654</v>
      </c>
      <c r="O326" s="433" t="s">
        <v>2654</v>
      </c>
      <c r="P326" s="433" t="s">
        <v>2650</v>
      </c>
      <c r="Q326" s="431"/>
      <c r="R326" s="431"/>
      <c r="S326" s="426" t="s">
        <v>2860</v>
      </c>
      <c r="T326" s="426" t="s">
        <v>2646</v>
      </c>
      <c r="U326" s="426" t="s">
        <v>2646</v>
      </c>
      <c r="V326" s="426" t="s">
        <v>2646</v>
      </c>
      <c r="W326" s="426" t="s">
        <v>2646</v>
      </c>
      <c r="X326" s="426" t="s">
        <v>2646</v>
      </c>
      <c r="Y326" s="426" t="s">
        <v>2646</v>
      </c>
      <c r="Z326" s="426" t="s">
        <v>2646</v>
      </c>
      <c r="AA326" s="426" t="s">
        <v>2646</v>
      </c>
      <c r="AB326" s="426" t="s">
        <v>2646</v>
      </c>
      <c r="AC326" s="426" t="s">
        <v>2646</v>
      </c>
      <c r="AD326" s="426" t="s">
        <v>2646</v>
      </c>
      <c r="AE326" s="426" t="s">
        <v>2646</v>
      </c>
      <c r="AF326" s="426" t="s">
        <v>2646</v>
      </c>
      <c r="AG326" s="426" t="s">
        <v>2646</v>
      </c>
      <c r="AH326" s="426" t="s">
        <v>2646</v>
      </c>
      <c r="AI326" s="426" t="s">
        <v>2646</v>
      </c>
      <c r="AJ326" s="68" t="s">
        <v>2646</v>
      </c>
    </row>
    <row r="327" spans="1:36" hidden="1">
      <c r="A327" s="392" t="s">
        <v>1664</v>
      </c>
      <c r="B327" s="427" t="s">
        <v>2649</v>
      </c>
      <c r="C327" s="433" t="s">
        <v>3726</v>
      </c>
      <c r="D327" s="433" t="s">
        <v>2835</v>
      </c>
      <c r="E327" s="433" t="s">
        <v>2654</v>
      </c>
      <c r="F327" s="433" t="s">
        <v>2654</v>
      </c>
      <c r="G327" s="433" t="s">
        <v>2654</v>
      </c>
      <c r="H327" s="433" t="s">
        <v>2654</v>
      </c>
      <c r="I327" s="433" t="s">
        <v>2654</v>
      </c>
      <c r="J327" s="433" t="s">
        <v>2654</v>
      </c>
      <c r="K327" s="433" t="s">
        <v>2654</v>
      </c>
      <c r="L327" s="433" t="s">
        <v>2654</v>
      </c>
      <c r="M327" s="433" t="s">
        <v>2654</v>
      </c>
      <c r="N327" s="433" t="s">
        <v>2654</v>
      </c>
      <c r="O327" s="433" t="s">
        <v>2654</v>
      </c>
      <c r="P327" s="433" t="s">
        <v>2647</v>
      </c>
      <c r="Q327" s="431"/>
      <c r="R327" s="431"/>
      <c r="S327" s="426" t="s">
        <v>2796</v>
      </c>
      <c r="T327" s="426" t="s">
        <v>2646</v>
      </c>
      <c r="U327" s="426" t="s">
        <v>2646</v>
      </c>
      <c r="V327" s="426" t="s">
        <v>2646</v>
      </c>
      <c r="W327" s="426" t="s">
        <v>2646</v>
      </c>
      <c r="X327" s="426" t="s">
        <v>2646</v>
      </c>
      <c r="Y327" s="426" t="s">
        <v>2646</v>
      </c>
      <c r="Z327" s="426" t="s">
        <v>2646</v>
      </c>
      <c r="AA327" s="426" t="s">
        <v>2646</v>
      </c>
      <c r="AB327" s="426" t="s">
        <v>2646</v>
      </c>
      <c r="AC327" s="426" t="s">
        <v>2646</v>
      </c>
      <c r="AD327" s="426" t="s">
        <v>2646</v>
      </c>
      <c r="AE327" s="426" t="s">
        <v>2646</v>
      </c>
      <c r="AF327" s="426" t="s">
        <v>2646</v>
      </c>
      <c r="AG327" s="426" t="s">
        <v>2646</v>
      </c>
      <c r="AH327" s="426" t="s">
        <v>2646</v>
      </c>
      <c r="AI327" s="426" t="s">
        <v>2646</v>
      </c>
      <c r="AJ327" s="68" t="s">
        <v>2646</v>
      </c>
    </row>
    <row r="328" spans="1:36" hidden="1">
      <c r="A328" s="392" t="s">
        <v>1665</v>
      </c>
      <c r="B328" s="427" t="s">
        <v>2650</v>
      </c>
      <c r="C328" s="433" t="s">
        <v>3728</v>
      </c>
      <c r="D328" s="433" t="s">
        <v>2676</v>
      </c>
      <c r="E328" s="433" t="s">
        <v>2654</v>
      </c>
      <c r="F328" s="433" t="s">
        <v>2654</v>
      </c>
      <c r="G328" s="433" t="s">
        <v>2654</v>
      </c>
      <c r="H328" s="433" t="s">
        <v>2654</v>
      </c>
      <c r="I328" s="433" t="s">
        <v>2654</v>
      </c>
      <c r="J328" s="433" t="s">
        <v>2654</v>
      </c>
      <c r="K328" s="433" t="s">
        <v>2654</v>
      </c>
      <c r="L328" s="433" t="s">
        <v>2654</v>
      </c>
      <c r="M328" s="433" t="s">
        <v>2654</v>
      </c>
      <c r="N328" s="433" t="s">
        <v>2654</v>
      </c>
      <c r="O328" s="433" t="s">
        <v>2654</v>
      </c>
      <c r="P328" s="433" t="s">
        <v>2646</v>
      </c>
      <c r="Q328" s="431"/>
      <c r="R328" s="431"/>
      <c r="S328" s="426" t="s">
        <v>316</v>
      </c>
      <c r="T328" s="426" t="s">
        <v>2646</v>
      </c>
      <c r="U328" s="426" t="s">
        <v>2646</v>
      </c>
      <c r="V328" s="426" t="s">
        <v>2646</v>
      </c>
      <c r="W328" s="426" t="s">
        <v>2646</v>
      </c>
      <c r="X328" s="426" t="s">
        <v>2646</v>
      </c>
      <c r="Y328" s="426" t="s">
        <v>2646</v>
      </c>
      <c r="Z328" s="426" t="s">
        <v>2646</v>
      </c>
      <c r="AA328" s="426" t="s">
        <v>2646</v>
      </c>
      <c r="AB328" s="426" t="s">
        <v>2646</v>
      </c>
      <c r="AC328" s="426" t="s">
        <v>2646</v>
      </c>
      <c r="AD328" s="426" t="s">
        <v>2646</v>
      </c>
      <c r="AE328" s="426" t="s">
        <v>2646</v>
      </c>
      <c r="AF328" s="426" t="s">
        <v>2646</v>
      </c>
      <c r="AG328" s="426" t="s">
        <v>2646</v>
      </c>
      <c r="AH328" s="426" t="s">
        <v>2646</v>
      </c>
      <c r="AI328" s="426" t="s">
        <v>2646</v>
      </c>
      <c r="AJ328" s="68" t="s">
        <v>2646</v>
      </c>
    </row>
    <row r="329" spans="1:36" hidden="1">
      <c r="A329" s="392" t="s">
        <v>1666</v>
      </c>
      <c r="B329" s="427" t="s">
        <v>2651</v>
      </c>
      <c r="C329" s="433" t="s">
        <v>3725</v>
      </c>
      <c r="D329" s="433" t="s">
        <v>2676</v>
      </c>
      <c r="E329" s="433" t="s">
        <v>2654</v>
      </c>
      <c r="F329" s="433" t="s">
        <v>2654</v>
      </c>
      <c r="G329" s="433" t="s">
        <v>2654</v>
      </c>
      <c r="H329" s="433" t="s">
        <v>2654</v>
      </c>
      <c r="I329" s="433" t="s">
        <v>2654</v>
      </c>
      <c r="J329" s="433" t="s">
        <v>2654</v>
      </c>
      <c r="K329" s="433" t="s">
        <v>2654</v>
      </c>
      <c r="L329" s="433" t="s">
        <v>2654</v>
      </c>
      <c r="M329" s="433" t="s">
        <v>2654</v>
      </c>
      <c r="N329" s="433" t="s">
        <v>2654</v>
      </c>
      <c r="O329" s="433" t="s">
        <v>2654</v>
      </c>
      <c r="P329" s="433" t="s">
        <v>2650</v>
      </c>
      <c r="Q329" s="431"/>
      <c r="R329" s="431"/>
      <c r="S329" s="426" t="s">
        <v>2655</v>
      </c>
      <c r="T329" s="426" t="s">
        <v>2646</v>
      </c>
      <c r="U329" s="426" t="s">
        <v>2646</v>
      </c>
      <c r="V329" s="426" t="s">
        <v>2646</v>
      </c>
      <c r="W329" s="426" t="s">
        <v>2646</v>
      </c>
      <c r="X329" s="426" t="s">
        <v>2646</v>
      </c>
      <c r="Y329" s="426" t="s">
        <v>2646</v>
      </c>
      <c r="Z329" s="426" t="s">
        <v>2646</v>
      </c>
      <c r="AA329" s="426" t="s">
        <v>2646</v>
      </c>
      <c r="AB329" s="426" t="s">
        <v>2646</v>
      </c>
      <c r="AC329" s="426" t="s">
        <v>2646</v>
      </c>
      <c r="AD329" s="426" t="s">
        <v>2646</v>
      </c>
      <c r="AE329" s="426" t="s">
        <v>2646</v>
      </c>
      <c r="AF329" s="426" t="s">
        <v>2646</v>
      </c>
      <c r="AG329" s="426" t="s">
        <v>2646</v>
      </c>
      <c r="AH329" s="426" t="s">
        <v>2646</v>
      </c>
      <c r="AI329" s="426" t="s">
        <v>2646</v>
      </c>
      <c r="AJ329" s="68" t="s">
        <v>2646</v>
      </c>
    </row>
    <row r="330" spans="1:36">
      <c r="A330" s="392" t="s">
        <v>1666</v>
      </c>
      <c r="B330" s="427" t="s">
        <v>48</v>
      </c>
      <c r="C330" s="433" t="s">
        <v>4189</v>
      </c>
      <c r="D330" s="433" t="s">
        <v>3255</v>
      </c>
      <c r="E330" s="433" t="s">
        <v>2654</v>
      </c>
      <c r="F330" s="433" t="s">
        <v>2654</v>
      </c>
      <c r="G330" s="433" t="s">
        <v>2654</v>
      </c>
      <c r="H330" s="433" t="s">
        <v>2654</v>
      </c>
      <c r="I330" s="433" t="s">
        <v>2654</v>
      </c>
      <c r="J330" s="433" t="s">
        <v>2654</v>
      </c>
      <c r="K330" s="433" t="s">
        <v>2654</v>
      </c>
      <c r="L330" s="433" t="s">
        <v>2654</v>
      </c>
      <c r="M330" s="433" t="s">
        <v>2654</v>
      </c>
      <c r="N330" s="433" t="s">
        <v>2654</v>
      </c>
      <c r="O330" s="433" t="s">
        <v>2654</v>
      </c>
      <c r="P330" s="433" t="s">
        <v>2953</v>
      </c>
      <c r="Q330" s="433" t="s">
        <v>2654</v>
      </c>
      <c r="R330" s="433" t="s">
        <v>2654</v>
      </c>
      <c r="S330" s="426"/>
      <c r="T330" s="426"/>
      <c r="U330" s="426"/>
      <c r="V330" s="426"/>
      <c r="W330" s="426"/>
      <c r="X330" s="426"/>
      <c r="Y330" s="426"/>
      <c r="Z330" s="426"/>
      <c r="AA330" s="426"/>
      <c r="AB330" s="426"/>
      <c r="AC330" s="426"/>
      <c r="AD330" s="426"/>
      <c r="AE330" s="426"/>
      <c r="AF330" s="426"/>
      <c r="AG330" s="426"/>
      <c r="AH330" s="426"/>
      <c r="AI330" s="426"/>
    </row>
    <row r="331" spans="1:36" s="1" customFormat="1" hidden="1">
      <c r="A331" s="392" t="s">
        <v>1667</v>
      </c>
      <c r="B331" s="427" t="s">
        <v>2647</v>
      </c>
      <c r="C331" s="433" t="s">
        <v>3520</v>
      </c>
      <c r="D331" s="433" t="s">
        <v>2720</v>
      </c>
      <c r="E331" s="433" t="s">
        <v>2654</v>
      </c>
      <c r="F331" s="433" t="s">
        <v>2654</v>
      </c>
      <c r="G331" s="433" t="s">
        <v>2654</v>
      </c>
      <c r="H331" s="433" t="s">
        <v>2654</v>
      </c>
      <c r="I331" s="433" t="s">
        <v>2654</v>
      </c>
      <c r="J331" s="433" t="s">
        <v>2654</v>
      </c>
      <c r="K331" s="433" t="s">
        <v>2654</v>
      </c>
      <c r="L331" s="433" t="s">
        <v>2654</v>
      </c>
      <c r="M331" s="433" t="s">
        <v>2654</v>
      </c>
      <c r="N331" s="433" t="s">
        <v>2654</v>
      </c>
      <c r="O331" s="433" t="s">
        <v>2654</v>
      </c>
      <c r="P331" s="433" t="s">
        <v>2647</v>
      </c>
      <c r="Q331" s="431"/>
      <c r="R331" s="431"/>
      <c r="S331" s="426" t="s">
        <v>2778</v>
      </c>
      <c r="T331" s="426" t="s">
        <v>2646</v>
      </c>
      <c r="U331" s="426" t="s">
        <v>2646</v>
      </c>
      <c r="V331" s="426" t="s">
        <v>2646</v>
      </c>
      <c r="W331" s="426" t="s">
        <v>2646</v>
      </c>
      <c r="X331" s="426" t="s">
        <v>2646</v>
      </c>
      <c r="Y331" s="426" t="s">
        <v>2646</v>
      </c>
      <c r="Z331" s="426" t="s">
        <v>2646</v>
      </c>
      <c r="AA331" s="426" t="s">
        <v>2646</v>
      </c>
      <c r="AB331" s="426" t="s">
        <v>2646</v>
      </c>
      <c r="AC331" s="426" t="s">
        <v>2646</v>
      </c>
      <c r="AD331" s="426" t="s">
        <v>2646</v>
      </c>
      <c r="AE331" s="426" t="s">
        <v>2646</v>
      </c>
      <c r="AF331" s="426" t="s">
        <v>2646</v>
      </c>
      <c r="AG331" s="426" t="s">
        <v>2646</v>
      </c>
      <c r="AH331" s="426" t="s">
        <v>2646</v>
      </c>
      <c r="AI331" s="426" t="s">
        <v>2646</v>
      </c>
      <c r="AJ331" s="1" t="s">
        <v>2646</v>
      </c>
    </row>
    <row r="332" spans="1:36" s="1" customFormat="1" hidden="1">
      <c r="A332" s="392" t="s">
        <v>1668</v>
      </c>
      <c r="B332" s="427" t="s">
        <v>2648</v>
      </c>
      <c r="C332" s="433" t="s">
        <v>3671</v>
      </c>
      <c r="D332" s="433" t="s">
        <v>2833</v>
      </c>
      <c r="E332" s="433" t="s">
        <v>2654</v>
      </c>
      <c r="F332" s="433" t="s">
        <v>2654</v>
      </c>
      <c r="G332" s="433" t="s">
        <v>2654</v>
      </c>
      <c r="H332" s="433" t="s">
        <v>2654</v>
      </c>
      <c r="I332" s="433" t="s">
        <v>2654</v>
      </c>
      <c r="J332" s="433" t="s">
        <v>2654</v>
      </c>
      <c r="K332" s="433" t="s">
        <v>2654</v>
      </c>
      <c r="L332" s="433" t="s">
        <v>2654</v>
      </c>
      <c r="M332" s="433" t="s">
        <v>2654</v>
      </c>
      <c r="N332" s="433" t="s">
        <v>2654</v>
      </c>
      <c r="O332" s="433" t="s">
        <v>2654</v>
      </c>
      <c r="P332" s="433" t="s">
        <v>2649</v>
      </c>
      <c r="Q332" s="431"/>
      <c r="R332" s="431"/>
      <c r="S332" s="426" t="s">
        <v>2657</v>
      </c>
      <c r="T332" s="426" t="s">
        <v>2646</v>
      </c>
      <c r="U332" s="426" t="s">
        <v>2646</v>
      </c>
      <c r="V332" s="426" t="s">
        <v>2646</v>
      </c>
      <c r="W332" s="426" t="s">
        <v>2646</v>
      </c>
      <c r="X332" s="426" t="s">
        <v>2646</v>
      </c>
      <c r="Y332" s="426" t="s">
        <v>2646</v>
      </c>
      <c r="Z332" s="426" t="s">
        <v>2646</v>
      </c>
      <c r="AA332" s="426" t="s">
        <v>2646</v>
      </c>
      <c r="AB332" s="426" t="s">
        <v>2646</v>
      </c>
      <c r="AC332" s="426" t="s">
        <v>2646</v>
      </c>
      <c r="AD332" s="426" t="s">
        <v>2646</v>
      </c>
      <c r="AE332" s="426" t="s">
        <v>2646</v>
      </c>
      <c r="AF332" s="426" t="s">
        <v>2646</v>
      </c>
      <c r="AG332" s="426" t="s">
        <v>2646</v>
      </c>
      <c r="AH332" s="426" t="s">
        <v>2646</v>
      </c>
      <c r="AI332" s="426" t="s">
        <v>2646</v>
      </c>
      <c r="AJ332" s="1" t="s">
        <v>2646</v>
      </c>
    </row>
    <row r="333" spans="1:36" s="1" customFormat="1" hidden="1">
      <c r="A333" s="392" t="s">
        <v>1669</v>
      </c>
      <c r="B333" s="427" t="s">
        <v>2649</v>
      </c>
      <c r="C333" s="433" t="s">
        <v>3060</v>
      </c>
      <c r="D333" s="433" t="s">
        <v>2833</v>
      </c>
      <c r="E333" s="433" t="s">
        <v>2654</v>
      </c>
      <c r="F333" s="433" t="s">
        <v>2654</v>
      </c>
      <c r="G333" s="433" t="s">
        <v>2654</v>
      </c>
      <c r="H333" s="433" t="s">
        <v>2654</v>
      </c>
      <c r="I333" s="433" t="s">
        <v>2654</v>
      </c>
      <c r="J333" s="433" t="s">
        <v>2654</v>
      </c>
      <c r="K333" s="433" t="s">
        <v>2654</v>
      </c>
      <c r="L333" s="433" t="s">
        <v>2654</v>
      </c>
      <c r="M333" s="433" t="s">
        <v>2654</v>
      </c>
      <c r="N333" s="433" t="s">
        <v>2654</v>
      </c>
      <c r="O333" s="433" t="s">
        <v>2654</v>
      </c>
      <c r="P333" s="433" t="s">
        <v>2649</v>
      </c>
      <c r="Q333" s="431"/>
      <c r="R333" s="431"/>
      <c r="S333" s="426" t="s">
        <v>2673</v>
      </c>
      <c r="T333" s="426" t="s">
        <v>2646</v>
      </c>
      <c r="U333" s="426" t="s">
        <v>2646</v>
      </c>
      <c r="V333" s="426" t="s">
        <v>2646</v>
      </c>
      <c r="W333" s="426" t="s">
        <v>2646</v>
      </c>
      <c r="X333" s="426" t="s">
        <v>2646</v>
      </c>
      <c r="Y333" s="426" t="s">
        <v>2646</v>
      </c>
      <c r="Z333" s="426" t="s">
        <v>2646</v>
      </c>
      <c r="AA333" s="426" t="s">
        <v>2646</v>
      </c>
      <c r="AB333" s="426" t="s">
        <v>2646</v>
      </c>
      <c r="AC333" s="426" t="s">
        <v>2646</v>
      </c>
      <c r="AD333" s="426" t="s">
        <v>2646</v>
      </c>
      <c r="AE333" s="426" t="s">
        <v>2646</v>
      </c>
      <c r="AF333" s="426" t="s">
        <v>2646</v>
      </c>
      <c r="AG333" s="426" t="s">
        <v>2646</v>
      </c>
      <c r="AH333" s="426" t="s">
        <v>2646</v>
      </c>
      <c r="AI333" s="426" t="s">
        <v>2646</v>
      </c>
      <c r="AJ333" s="1" t="s">
        <v>2646</v>
      </c>
    </row>
    <row r="334" spans="1:36" s="1" customFormat="1" hidden="1">
      <c r="A334" s="392" t="s">
        <v>1670</v>
      </c>
      <c r="B334" s="427" t="s">
        <v>2650</v>
      </c>
      <c r="C334" s="433" t="s">
        <v>3184</v>
      </c>
      <c r="D334" s="433" t="s">
        <v>2833</v>
      </c>
      <c r="E334" s="433" t="s">
        <v>2654</v>
      </c>
      <c r="F334" s="433" t="s">
        <v>2654</v>
      </c>
      <c r="G334" s="433" t="s">
        <v>2654</v>
      </c>
      <c r="H334" s="433" t="s">
        <v>2654</v>
      </c>
      <c r="I334" s="433" t="s">
        <v>2654</v>
      </c>
      <c r="J334" s="433" t="s">
        <v>2654</v>
      </c>
      <c r="K334" s="433" t="s">
        <v>2654</v>
      </c>
      <c r="L334" s="433" t="s">
        <v>2654</v>
      </c>
      <c r="M334" s="433" t="s">
        <v>2654</v>
      </c>
      <c r="N334" s="433" t="s">
        <v>2654</v>
      </c>
      <c r="O334" s="433" t="s">
        <v>2654</v>
      </c>
      <c r="P334" s="433" t="s">
        <v>2648</v>
      </c>
      <c r="Q334" s="431"/>
      <c r="R334" s="431"/>
      <c r="S334" s="426" t="s">
        <v>2778</v>
      </c>
      <c r="T334" s="426" t="s">
        <v>2646</v>
      </c>
      <c r="U334" s="426" t="s">
        <v>2646</v>
      </c>
      <c r="V334" s="426" t="s">
        <v>2646</v>
      </c>
      <c r="W334" s="426" t="s">
        <v>2646</v>
      </c>
      <c r="X334" s="426" t="s">
        <v>2646</v>
      </c>
      <c r="Y334" s="426" t="s">
        <v>2646</v>
      </c>
      <c r="Z334" s="426" t="s">
        <v>2646</v>
      </c>
      <c r="AA334" s="426" t="s">
        <v>2646</v>
      </c>
      <c r="AB334" s="426" t="s">
        <v>2646</v>
      </c>
      <c r="AC334" s="426" t="s">
        <v>2646</v>
      </c>
      <c r="AD334" s="426" t="s">
        <v>2646</v>
      </c>
      <c r="AE334" s="426" t="s">
        <v>2646</v>
      </c>
      <c r="AF334" s="426" t="s">
        <v>2646</v>
      </c>
      <c r="AG334" s="426" t="s">
        <v>2646</v>
      </c>
      <c r="AH334" s="426" t="s">
        <v>2646</v>
      </c>
      <c r="AI334" s="426" t="s">
        <v>2646</v>
      </c>
      <c r="AJ334" s="1" t="s">
        <v>2646</v>
      </c>
    </row>
    <row r="335" spans="1:36" hidden="1">
      <c r="A335" s="392" t="s">
        <v>1671</v>
      </c>
      <c r="B335" s="427" t="s">
        <v>2651</v>
      </c>
      <c r="C335" s="433" t="s">
        <v>4190</v>
      </c>
      <c r="D335" s="433" t="s">
        <v>2833</v>
      </c>
      <c r="E335" s="433" t="s">
        <v>2654</v>
      </c>
      <c r="F335" s="433" t="s">
        <v>2654</v>
      </c>
      <c r="G335" s="433" t="s">
        <v>2654</v>
      </c>
      <c r="H335" s="433" t="s">
        <v>2654</v>
      </c>
      <c r="I335" s="433" t="s">
        <v>2654</v>
      </c>
      <c r="J335" s="433" t="s">
        <v>2654</v>
      </c>
      <c r="K335" s="433" t="s">
        <v>2654</v>
      </c>
      <c r="L335" s="433" t="s">
        <v>2654</v>
      </c>
      <c r="M335" s="433" t="s">
        <v>2654</v>
      </c>
      <c r="N335" s="433" t="s">
        <v>2654</v>
      </c>
      <c r="O335" s="433" t="s">
        <v>2654</v>
      </c>
      <c r="P335" s="433" t="s">
        <v>2648</v>
      </c>
      <c r="Q335" s="431"/>
      <c r="R335" s="431"/>
      <c r="S335" s="426" t="s">
        <v>2673</v>
      </c>
      <c r="T335" s="426" t="s">
        <v>2646</v>
      </c>
      <c r="U335" s="426" t="s">
        <v>2646</v>
      </c>
      <c r="V335" s="426" t="s">
        <v>2646</v>
      </c>
      <c r="W335" s="426" t="s">
        <v>2646</v>
      </c>
      <c r="X335" s="426" t="s">
        <v>2646</v>
      </c>
      <c r="Y335" s="426" t="s">
        <v>2646</v>
      </c>
      <c r="Z335" s="426" t="s">
        <v>2646</v>
      </c>
      <c r="AA335" s="426" t="s">
        <v>2646</v>
      </c>
      <c r="AB335" s="426" t="s">
        <v>2646</v>
      </c>
      <c r="AC335" s="426" t="s">
        <v>2646</v>
      </c>
      <c r="AD335" s="426" t="s">
        <v>2646</v>
      </c>
      <c r="AE335" s="426" t="s">
        <v>2646</v>
      </c>
      <c r="AF335" s="426" t="s">
        <v>2646</v>
      </c>
      <c r="AG335" s="426" t="s">
        <v>2646</v>
      </c>
      <c r="AH335" s="426" t="s">
        <v>2646</v>
      </c>
      <c r="AI335" s="426" t="s">
        <v>2646</v>
      </c>
      <c r="AJ335" s="68" t="s">
        <v>2646</v>
      </c>
    </row>
    <row r="336" spans="1:36" s="1" customFormat="1">
      <c r="A336" s="392" t="s">
        <v>1671</v>
      </c>
      <c r="B336" s="427" t="s">
        <v>48</v>
      </c>
      <c r="C336" s="433" t="s">
        <v>4191</v>
      </c>
      <c r="D336" s="433" t="s">
        <v>4158</v>
      </c>
      <c r="E336" s="433" t="s">
        <v>2654</v>
      </c>
      <c r="F336" s="433" t="s">
        <v>2654</v>
      </c>
      <c r="G336" s="433" t="s">
        <v>2654</v>
      </c>
      <c r="H336" s="433" t="s">
        <v>2654</v>
      </c>
      <c r="I336" s="433" t="s">
        <v>2654</v>
      </c>
      <c r="J336" s="433" t="s">
        <v>2654</v>
      </c>
      <c r="K336" s="433" t="s">
        <v>2654</v>
      </c>
      <c r="L336" s="433" t="s">
        <v>2654</v>
      </c>
      <c r="M336" s="433" t="s">
        <v>2654</v>
      </c>
      <c r="N336" s="433" t="s">
        <v>2654</v>
      </c>
      <c r="O336" s="433" t="s">
        <v>2654</v>
      </c>
      <c r="P336" s="433" t="s">
        <v>2832</v>
      </c>
      <c r="Q336" s="433" t="s">
        <v>2654</v>
      </c>
      <c r="R336" s="433" t="s">
        <v>2654</v>
      </c>
      <c r="S336" s="426"/>
      <c r="T336" s="426"/>
      <c r="U336" s="426"/>
      <c r="V336" s="426"/>
      <c r="W336" s="426"/>
      <c r="X336" s="426"/>
      <c r="Y336" s="426"/>
      <c r="Z336" s="426"/>
      <c r="AA336" s="426"/>
      <c r="AB336" s="426"/>
      <c r="AC336" s="426"/>
      <c r="AD336" s="426"/>
      <c r="AE336" s="426"/>
      <c r="AF336" s="426"/>
      <c r="AG336" s="426"/>
      <c r="AH336" s="426"/>
      <c r="AI336" s="426"/>
    </row>
    <row r="337" spans="1:36" s="1" customFormat="1" hidden="1">
      <c r="A337" s="392" t="s">
        <v>1672</v>
      </c>
      <c r="B337" s="427" t="s">
        <v>2647</v>
      </c>
      <c r="C337" s="433" t="s">
        <v>3448</v>
      </c>
      <c r="D337" s="433" t="s">
        <v>3262</v>
      </c>
      <c r="E337" s="433" t="s">
        <v>2654</v>
      </c>
      <c r="F337" s="433" t="s">
        <v>2654</v>
      </c>
      <c r="G337" s="433" t="s">
        <v>2654</v>
      </c>
      <c r="H337" s="433" t="s">
        <v>2654</v>
      </c>
      <c r="I337" s="433" t="s">
        <v>2654</v>
      </c>
      <c r="J337" s="433" t="s">
        <v>2654</v>
      </c>
      <c r="K337" s="433" t="s">
        <v>2654</v>
      </c>
      <c r="L337" s="433" t="s">
        <v>2654</v>
      </c>
      <c r="M337" s="433" t="s">
        <v>2654</v>
      </c>
      <c r="N337" s="433" t="s">
        <v>2654</v>
      </c>
      <c r="O337" s="433" t="s">
        <v>2654</v>
      </c>
      <c r="P337" s="433" t="s">
        <v>2649</v>
      </c>
      <c r="Q337" s="431"/>
      <c r="R337" s="431"/>
      <c r="S337" s="426" t="s">
        <v>2657</v>
      </c>
      <c r="T337" s="426" t="s">
        <v>2646</v>
      </c>
      <c r="U337" s="426" t="s">
        <v>2646</v>
      </c>
      <c r="V337" s="426" t="s">
        <v>2646</v>
      </c>
      <c r="W337" s="426" t="s">
        <v>2646</v>
      </c>
      <c r="X337" s="426" t="s">
        <v>2646</v>
      </c>
      <c r="Y337" s="426" t="s">
        <v>2646</v>
      </c>
      <c r="Z337" s="426" t="s">
        <v>2646</v>
      </c>
      <c r="AA337" s="426" t="s">
        <v>2646</v>
      </c>
      <c r="AB337" s="426" t="s">
        <v>2646</v>
      </c>
      <c r="AC337" s="426" t="s">
        <v>2646</v>
      </c>
      <c r="AD337" s="426" t="s">
        <v>2646</v>
      </c>
      <c r="AE337" s="426" t="s">
        <v>2646</v>
      </c>
      <c r="AF337" s="426" t="s">
        <v>2646</v>
      </c>
      <c r="AG337" s="426" t="s">
        <v>2646</v>
      </c>
      <c r="AH337" s="426" t="s">
        <v>2646</v>
      </c>
      <c r="AI337" s="426" t="s">
        <v>2646</v>
      </c>
      <c r="AJ337" s="1" t="s">
        <v>2646</v>
      </c>
    </row>
    <row r="338" spans="1:36" s="1" customFormat="1" hidden="1">
      <c r="A338" s="392" t="s">
        <v>1673</v>
      </c>
      <c r="B338" s="427" t="s">
        <v>2648</v>
      </c>
      <c r="C338" s="433" t="s">
        <v>3639</v>
      </c>
      <c r="D338" s="433" t="s">
        <v>3262</v>
      </c>
      <c r="E338" s="433" t="s">
        <v>2654</v>
      </c>
      <c r="F338" s="433" t="s">
        <v>2654</v>
      </c>
      <c r="G338" s="433" t="s">
        <v>2654</v>
      </c>
      <c r="H338" s="433" t="s">
        <v>2654</v>
      </c>
      <c r="I338" s="433" t="s">
        <v>2654</v>
      </c>
      <c r="J338" s="433" t="s">
        <v>2654</v>
      </c>
      <c r="K338" s="433" t="s">
        <v>2654</v>
      </c>
      <c r="L338" s="433" t="s">
        <v>2654</v>
      </c>
      <c r="M338" s="433" t="s">
        <v>2654</v>
      </c>
      <c r="N338" s="433" t="s">
        <v>2654</v>
      </c>
      <c r="O338" s="433" t="s">
        <v>2654</v>
      </c>
      <c r="P338" s="433" t="s">
        <v>2648</v>
      </c>
      <c r="Q338" s="431"/>
      <c r="R338" s="431"/>
      <c r="S338" s="426" t="s">
        <v>2665</v>
      </c>
      <c r="T338" s="426" t="s">
        <v>2646</v>
      </c>
      <c r="U338" s="426" t="s">
        <v>2646</v>
      </c>
      <c r="V338" s="426" t="s">
        <v>2646</v>
      </c>
      <c r="W338" s="426" t="s">
        <v>2646</v>
      </c>
      <c r="X338" s="426" t="s">
        <v>2646</v>
      </c>
      <c r="Y338" s="426" t="s">
        <v>2646</v>
      </c>
      <c r="Z338" s="426" t="s">
        <v>2646</v>
      </c>
      <c r="AA338" s="426" t="s">
        <v>2646</v>
      </c>
      <c r="AB338" s="426" t="s">
        <v>2646</v>
      </c>
      <c r="AC338" s="426" t="s">
        <v>2646</v>
      </c>
      <c r="AD338" s="426" t="s">
        <v>2646</v>
      </c>
      <c r="AE338" s="426" t="s">
        <v>2646</v>
      </c>
      <c r="AF338" s="426" t="s">
        <v>2646</v>
      </c>
      <c r="AG338" s="426" t="s">
        <v>2646</v>
      </c>
      <c r="AH338" s="426" t="s">
        <v>2646</v>
      </c>
      <c r="AI338" s="426" t="s">
        <v>2646</v>
      </c>
      <c r="AJ338" s="1" t="s">
        <v>2646</v>
      </c>
    </row>
    <row r="339" spans="1:36" s="1" customFormat="1" hidden="1">
      <c r="A339" s="392" t="s">
        <v>1674</v>
      </c>
      <c r="B339" s="427" t="s">
        <v>2649</v>
      </c>
      <c r="C339" s="433" t="s">
        <v>3613</v>
      </c>
      <c r="D339" s="433" t="s">
        <v>3539</v>
      </c>
      <c r="E339" s="433" t="s">
        <v>2654</v>
      </c>
      <c r="F339" s="433" t="s">
        <v>2654</v>
      </c>
      <c r="G339" s="433" t="s">
        <v>2654</v>
      </c>
      <c r="H339" s="433" t="s">
        <v>2654</v>
      </c>
      <c r="I339" s="433" t="s">
        <v>2654</v>
      </c>
      <c r="J339" s="433" t="s">
        <v>2654</v>
      </c>
      <c r="K339" s="433" t="s">
        <v>2654</v>
      </c>
      <c r="L339" s="433" t="s">
        <v>2654</v>
      </c>
      <c r="M339" s="433" t="s">
        <v>2654</v>
      </c>
      <c r="N339" s="433" t="s">
        <v>2654</v>
      </c>
      <c r="O339" s="433" t="s">
        <v>2654</v>
      </c>
      <c r="P339" s="433" t="s">
        <v>2650</v>
      </c>
      <c r="Q339" s="431"/>
      <c r="R339" s="431"/>
      <c r="S339" s="426" t="s">
        <v>2778</v>
      </c>
      <c r="T339" s="426" t="s">
        <v>2646</v>
      </c>
      <c r="U339" s="426" t="s">
        <v>2646</v>
      </c>
      <c r="V339" s="426" t="s">
        <v>2646</v>
      </c>
      <c r="W339" s="426" t="s">
        <v>2646</v>
      </c>
      <c r="X339" s="426" t="s">
        <v>2646</v>
      </c>
      <c r="Y339" s="426" t="s">
        <v>2646</v>
      </c>
      <c r="Z339" s="426" t="s">
        <v>2646</v>
      </c>
      <c r="AA339" s="426" t="s">
        <v>2646</v>
      </c>
      <c r="AB339" s="426" t="s">
        <v>2646</v>
      </c>
      <c r="AC339" s="426" t="s">
        <v>2646</v>
      </c>
      <c r="AD339" s="426" t="s">
        <v>2646</v>
      </c>
      <c r="AE339" s="426" t="s">
        <v>2646</v>
      </c>
      <c r="AF339" s="426" t="s">
        <v>2646</v>
      </c>
      <c r="AG339" s="426" t="s">
        <v>2646</v>
      </c>
      <c r="AH339" s="426" t="s">
        <v>2646</v>
      </c>
      <c r="AI339" s="426" t="s">
        <v>2646</v>
      </c>
      <c r="AJ339" s="1" t="s">
        <v>2646</v>
      </c>
    </row>
    <row r="340" spans="1:36" s="1" customFormat="1" hidden="1">
      <c r="A340" s="392" t="s">
        <v>1675</v>
      </c>
      <c r="B340" s="427" t="s">
        <v>2650</v>
      </c>
      <c r="C340" s="433" t="s">
        <v>3450</v>
      </c>
      <c r="D340" s="433" t="s">
        <v>3539</v>
      </c>
      <c r="E340" s="433" t="s">
        <v>2654</v>
      </c>
      <c r="F340" s="433" t="s">
        <v>2654</v>
      </c>
      <c r="G340" s="433" t="s">
        <v>2654</v>
      </c>
      <c r="H340" s="433" t="s">
        <v>2654</v>
      </c>
      <c r="I340" s="433" t="s">
        <v>2654</v>
      </c>
      <c r="J340" s="433" t="s">
        <v>2654</v>
      </c>
      <c r="K340" s="433" t="s">
        <v>2654</v>
      </c>
      <c r="L340" s="433" t="s">
        <v>2654</v>
      </c>
      <c r="M340" s="433" t="s">
        <v>2654</v>
      </c>
      <c r="N340" s="433" t="s">
        <v>2654</v>
      </c>
      <c r="O340" s="433" t="s">
        <v>2654</v>
      </c>
      <c r="P340" s="433" t="s">
        <v>2648</v>
      </c>
      <c r="Q340" s="431"/>
      <c r="R340" s="431"/>
      <c r="S340" s="426" t="s">
        <v>3220</v>
      </c>
      <c r="T340" s="426" t="s">
        <v>2646</v>
      </c>
      <c r="U340" s="426" t="s">
        <v>2646</v>
      </c>
      <c r="V340" s="426" t="s">
        <v>2646</v>
      </c>
      <c r="W340" s="426" t="s">
        <v>2646</v>
      </c>
      <c r="X340" s="426" t="s">
        <v>2646</v>
      </c>
      <c r="Y340" s="426" t="s">
        <v>2646</v>
      </c>
      <c r="Z340" s="426" t="s">
        <v>2646</v>
      </c>
      <c r="AA340" s="426" t="s">
        <v>2646</v>
      </c>
      <c r="AB340" s="426" t="s">
        <v>2646</v>
      </c>
      <c r="AC340" s="426" t="s">
        <v>2646</v>
      </c>
      <c r="AD340" s="426" t="s">
        <v>2646</v>
      </c>
      <c r="AE340" s="426" t="s">
        <v>2646</v>
      </c>
      <c r="AF340" s="426" t="s">
        <v>2646</v>
      </c>
      <c r="AG340" s="426" t="s">
        <v>2646</v>
      </c>
      <c r="AH340" s="426" t="s">
        <v>2646</v>
      </c>
      <c r="AI340" s="426" t="s">
        <v>2646</v>
      </c>
      <c r="AJ340" s="1" t="s">
        <v>2646</v>
      </c>
    </row>
    <row r="341" spans="1:36" s="1" customFormat="1" hidden="1">
      <c r="A341" s="392" t="s">
        <v>1676</v>
      </c>
      <c r="B341" s="427" t="s">
        <v>2651</v>
      </c>
      <c r="C341" s="433" t="s">
        <v>4192</v>
      </c>
      <c r="D341" s="433" t="s">
        <v>3354</v>
      </c>
      <c r="E341" s="433" t="s">
        <v>2654</v>
      </c>
      <c r="F341" s="433" t="s">
        <v>2654</v>
      </c>
      <c r="G341" s="433" t="s">
        <v>2654</v>
      </c>
      <c r="H341" s="433" t="s">
        <v>2654</v>
      </c>
      <c r="I341" s="433" t="s">
        <v>2654</v>
      </c>
      <c r="J341" s="433" t="s">
        <v>2654</v>
      </c>
      <c r="K341" s="433" t="s">
        <v>2654</v>
      </c>
      <c r="L341" s="433" t="s">
        <v>2654</v>
      </c>
      <c r="M341" s="433" t="s">
        <v>2654</v>
      </c>
      <c r="N341" s="433" t="s">
        <v>2654</v>
      </c>
      <c r="O341" s="433" t="s">
        <v>2654</v>
      </c>
      <c r="P341" s="433" t="s">
        <v>2650</v>
      </c>
      <c r="Q341" s="431"/>
      <c r="R341" s="431"/>
      <c r="S341" s="426" t="s">
        <v>2673</v>
      </c>
      <c r="T341" s="426" t="s">
        <v>2646</v>
      </c>
      <c r="U341" s="426" t="s">
        <v>2646</v>
      </c>
      <c r="V341" s="426" t="s">
        <v>2646</v>
      </c>
      <c r="W341" s="426" t="s">
        <v>2646</v>
      </c>
      <c r="X341" s="426" t="s">
        <v>2646</v>
      </c>
      <c r="Y341" s="426" t="s">
        <v>2646</v>
      </c>
      <c r="Z341" s="426" t="s">
        <v>2646</v>
      </c>
      <c r="AA341" s="426" t="s">
        <v>2646</v>
      </c>
      <c r="AB341" s="426" t="s">
        <v>2646</v>
      </c>
      <c r="AC341" s="426" t="s">
        <v>2646</v>
      </c>
      <c r="AD341" s="426" t="s">
        <v>2646</v>
      </c>
      <c r="AE341" s="426" t="s">
        <v>2646</v>
      </c>
      <c r="AF341" s="426" t="s">
        <v>2646</v>
      </c>
      <c r="AG341" s="426" t="s">
        <v>2646</v>
      </c>
      <c r="AH341" s="426" t="s">
        <v>2646</v>
      </c>
      <c r="AI341" s="426" t="s">
        <v>2646</v>
      </c>
      <c r="AJ341" s="1" t="s">
        <v>2646</v>
      </c>
    </row>
    <row r="342" spans="1:36" s="1" customFormat="1">
      <c r="A342" s="392" t="s">
        <v>1676</v>
      </c>
      <c r="B342" s="427" t="s">
        <v>48</v>
      </c>
      <c r="C342" s="433" t="s">
        <v>4193</v>
      </c>
      <c r="D342" s="433" t="s">
        <v>4194</v>
      </c>
      <c r="E342" s="433" t="s">
        <v>2654</v>
      </c>
      <c r="F342" s="433" t="s">
        <v>2654</v>
      </c>
      <c r="G342" s="433" t="s">
        <v>2654</v>
      </c>
      <c r="H342" s="433" t="s">
        <v>2654</v>
      </c>
      <c r="I342" s="433" t="s">
        <v>2654</v>
      </c>
      <c r="J342" s="433" t="s">
        <v>2654</v>
      </c>
      <c r="K342" s="433" t="s">
        <v>2654</v>
      </c>
      <c r="L342" s="433" t="s">
        <v>2654</v>
      </c>
      <c r="M342" s="433" t="s">
        <v>2654</v>
      </c>
      <c r="N342" s="433" t="s">
        <v>2654</v>
      </c>
      <c r="O342" s="433" t="s">
        <v>2654</v>
      </c>
      <c r="P342" s="433" t="s">
        <v>2656</v>
      </c>
      <c r="Q342" s="433" t="s">
        <v>2654</v>
      </c>
      <c r="R342" s="433" t="s">
        <v>2654</v>
      </c>
      <c r="S342" s="426"/>
      <c r="T342" s="426"/>
      <c r="U342" s="426"/>
      <c r="V342" s="426"/>
      <c r="W342" s="426"/>
      <c r="X342" s="426"/>
      <c r="Y342" s="426"/>
      <c r="Z342" s="426"/>
      <c r="AA342" s="426"/>
      <c r="AB342" s="426"/>
      <c r="AC342" s="426"/>
      <c r="AD342" s="426"/>
      <c r="AE342" s="426"/>
      <c r="AF342" s="426"/>
      <c r="AG342" s="426"/>
      <c r="AH342" s="426"/>
      <c r="AI342" s="426"/>
    </row>
    <row r="343" spans="1:36" s="1" customFormat="1" hidden="1">
      <c r="A343" s="392" t="s">
        <v>1677</v>
      </c>
      <c r="B343" s="427" t="s">
        <v>2647</v>
      </c>
      <c r="C343" s="433" t="s">
        <v>3656</v>
      </c>
      <c r="D343" s="433" t="s">
        <v>3729</v>
      </c>
      <c r="E343" s="433" t="s">
        <v>2654</v>
      </c>
      <c r="F343" s="433" t="s">
        <v>2654</v>
      </c>
      <c r="G343" s="433" t="s">
        <v>2654</v>
      </c>
      <c r="H343" s="433" t="s">
        <v>2654</v>
      </c>
      <c r="I343" s="433" t="s">
        <v>2654</v>
      </c>
      <c r="J343" s="433" t="s">
        <v>2654</v>
      </c>
      <c r="K343" s="433" t="s">
        <v>2654</v>
      </c>
      <c r="L343" s="433" t="s">
        <v>2654</v>
      </c>
      <c r="M343" s="433" t="s">
        <v>2654</v>
      </c>
      <c r="N343" s="433" t="s">
        <v>2654</v>
      </c>
      <c r="O343" s="433" t="s">
        <v>2654</v>
      </c>
      <c r="P343" s="433" t="s">
        <v>2647</v>
      </c>
      <c r="Q343" s="431"/>
      <c r="R343" s="431"/>
      <c r="S343" s="426" t="s">
        <v>2655</v>
      </c>
      <c r="T343" s="426" t="s">
        <v>2646</v>
      </c>
      <c r="U343" s="426" t="s">
        <v>2646</v>
      </c>
      <c r="V343" s="426" t="s">
        <v>2646</v>
      </c>
      <c r="W343" s="426" t="s">
        <v>2646</v>
      </c>
      <c r="X343" s="426" t="s">
        <v>2646</v>
      </c>
      <c r="Y343" s="426" t="s">
        <v>2646</v>
      </c>
      <c r="Z343" s="426" t="s">
        <v>2646</v>
      </c>
      <c r="AA343" s="426" t="s">
        <v>2646</v>
      </c>
      <c r="AB343" s="426" t="s">
        <v>2646</v>
      </c>
      <c r="AC343" s="426" t="s">
        <v>2646</v>
      </c>
      <c r="AD343" s="426" t="s">
        <v>2646</v>
      </c>
      <c r="AE343" s="426" t="s">
        <v>2646</v>
      </c>
      <c r="AF343" s="426" t="s">
        <v>2646</v>
      </c>
      <c r="AG343" s="426" t="s">
        <v>2646</v>
      </c>
      <c r="AH343" s="426" t="s">
        <v>2646</v>
      </c>
      <c r="AI343" s="426" t="s">
        <v>2646</v>
      </c>
      <c r="AJ343" s="1" t="s">
        <v>2646</v>
      </c>
    </row>
    <row r="344" spans="1:36" s="1" customFormat="1" hidden="1">
      <c r="A344" s="392" t="s">
        <v>1678</v>
      </c>
      <c r="B344" s="427" t="s">
        <v>2648</v>
      </c>
      <c r="C344" s="433" t="s">
        <v>3642</v>
      </c>
      <c r="D344" s="433" t="s">
        <v>3540</v>
      </c>
      <c r="E344" s="433" t="s">
        <v>2654</v>
      </c>
      <c r="F344" s="433" t="s">
        <v>2654</v>
      </c>
      <c r="G344" s="433" t="s">
        <v>2654</v>
      </c>
      <c r="H344" s="433" t="s">
        <v>2654</v>
      </c>
      <c r="I344" s="433" t="s">
        <v>2654</v>
      </c>
      <c r="J344" s="433" t="s">
        <v>2654</v>
      </c>
      <c r="K344" s="433" t="s">
        <v>2654</v>
      </c>
      <c r="L344" s="433" t="s">
        <v>2654</v>
      </c>
      <c r="M344" s="433" t="s">
        <v>2654</v>
      </c>
      <c r="N344" s="433" t="s">
        <v>2654</v>
      </c>
      <c r="O344" s="433" t="s">
        <v>2654</v>
      </c>
      <c r="P344" s="433" t="s">
        <v>2650</v>
      </c>
      <c r="Q344" s="431"/>
      <c r="R344" s="431"/>
      <c r="S344" s="426" t="s">
        <v>3194</v>
      </c>
      <c r="T344" s="426" t="s">
        <v>2646</v>
      </c>
      <c r="U344" s="426" t="s">
        <v>2646</v>
      </c>
      <c r="V344" s="426" t="s">
        <v>2646</v>
      </c>
      <c r="W344" s="426" t="s">
        <v>2646</v>
      </c>
      <c r="X344" s="426" t="s">
        <v>2646</v>
      </c>
      <c r="Y344" s="426" t="s">
        <v>2646</v>
      </c>
      <c r="Z344" s="426" t="s">
        <v>2646</v>
      </c>
      <c r="AA344" s="426" t="s">
        <v>2646</v>
      </c>
      <c r="AB344" s="426" t="s">
        <v>2646</v>
      </c>
      <c r="AC344" s="426" t="s">
        <v>2646</v>
      </c>
      <c r="AD344" s="426" t="s">
        <v>2646</v>
      </c>
      <c r="AE344" s="426" t="s">
        <v>2646</v>
      </c>
      <c r="AF344" s="426" t="s">
        <v>2646</v>
      </c>
      <c r="AG344" s="426" t="s">
        <v>2646</v>
      </c>
      <c r="AH344" s="426" t="s">
        <v>2646</v>
      </c>
      <c r="AI344" s="426" t="s">
        <v>2646</v>
      </c>
      <c r="AJ344" s="1" t="s">
        <v>2646</v>
      </c>
    </row>
    <row r="345" spans="1:36" s="1" customFormat="1" hidden="1">
      <c r="A345" s="392" t="s">
        <v>1679</v>
      </c>
      <c r="B345" s="427" t="s">
        <v>2649</v>
      </c>
      <c r="C345" s="433" t="s">
        <v>3642</v>
      </c>
      <c r="D345" s="433" t="s">
        <v>3519</v>
      </c>
      <c r="E345" s="433" t="s">
        <v>2654</v>
      </c>
      <c r="F345" s="433" t="s">
        <v>2654</v>
      </c>
      <c r="G345" s="433" t="s">
        <v>2654</v>
      </c>
      <c r="H345" s="433" t="s">
        <v>2654</v>
      </c>
      <c r="I345" s="433" t="s">
        <v>2654</v>
      </c>
      <c r="J345" s="433" t="s">
        <v>2654</v>
      </c>
      <c r="K345" s="433" t="s">
        <v>2654</v>
      </c>
      <c r="L345" s="433" t="s">
        <v>2654</v>
      </c>
      <c r="M345" s="433" t="s">
        <v>2654</v>
      </c>
      <c r="N345" s="433" t="s">
        <v>2654</v>
      </c>
      <c r="O345" s="433" t="s">
        <v>2654</v>
      </c>
      <c r="P345" s="433" t="s">
        <v>2648</v>
      </c>
      <c r="Q345" s="431"/>
      <c r="R345" s="431"/>
      <c r="S345" s="426" t="s">
        <v>2673</v>
      </c>
      <c r="T345" s="426" t="s">
        <v>2646</v>
      </c>
      <c r="U345" s="426" t="s">
        <v>2646</v>
      </c>
      <c r="V345" s="426" t="s">
        <v>2646</v>
      </c>
      <c r="W345" s="426" t="s">
        <v>2646</v>
      </c>
      <c r="X345" s="426" t="s">
        <v>2646</v>
      </c>
      <c r="Y345" s="426" t="s">
        <v>2646</v>
      </c>
      <c r="Z345" s="426" t="s">
        <v>2646</v>
      </c>
      <c r="AA345" s="426" t="s">
        <v>2646</v>
      </c>
      <c r="AB345" s="426" t="s">
        <v>2646</v>
      </c>
      <c r="AC345" s="426" t="s">
        <v>2646</v>
      </c>
      <c r="AD345" s="426" t="s">
        <v>2646</v>
      </c>
      <c r="AE345" s="426" t="s">
        <v>2646</v>
      </c>
      <c r="AF345" s="426" t="s">
        <v>2646</v>
      </c>
      <c r="AG345" s="426" t="s">
        <v>2646</v>
      </c>
      <c r="AH345" s="426" t="s">
        <v>2646</v>
      </c>
      <c r="AI345" s="426" t="s">
        <v>2646</v>
      </c>
      <c r="AJ345" s="1" t="s">
        <v>2646</v>
      </c>
    </row>
    <row r="346" spans="1:36" hidden="1">
      <c r="A346" s="392" t="s">
        <v>1680</v>
      </c>
      <c r="B346" s="427" t="s">
        <v>2650</v>
      </c>
      <c r="C346" s="433" t="s">
        <v>3656</v>
      </c>
      <c r="D346" s="433" t="s">
        <v>3729</v>
      </c>
      <c r="E346" s="433" t="s">
        <v>2654</v>
      </c>
      <c r="F346" s="433" t="s">
        <v>2654</v>
      </c>
      <c r="G346" s="433" t="s">
        <v>2654</v>
      </c>
      <c r="H346" s="433" t="s">
        <v>2654</v>
      </c>
      <c r="I346" s="433" t="s">
        <v>2654</v>
      </c>
      <c r="J346" s="433" t="s">
        <v>2654</v>
      </c>
      <c r="K346" s="433" t="s">
        <v>2654</v>
      </c>
      <c r="L346" s="433" t="s">
        <v>2654</v>
      </c>
      <c r="M346" s="433" t="s">
        <v>2654</v>
      </c>
      <c r="N346" s="433" t="s">
        <v>2654</v>
      </c>
      <c r="O346" s="433" t="s">
        <v>2654</v>
      </c>
      <c r="P346" s="433" t="s">
        <v>2649</v>
      </c>
      <c r="Q346" s="431"/>
      <c r="R346" s="431"/>
      <c r="S346" s="426" t="s">
        <v>2669</v>
      </c>
      <c r="T346" s="426" t="s">
        <v>2646</v>
      </c>
      <c r="U346" s="426" t="s">
        <v>2646</v>
      </c>
      <c r="V346" s="426" t="s">
        <v>2646</v>
      </c>
      <c r="W346" s="426" t="s">
        <v>2646</v>
      </c>
      <c r="X346" s="426" t="s">
        <v>2646</v>
      </c>
      <c r="Y346" s="426" t="s">
        <v>2646</v>
      </c>
      <c r="Z346" s="426" t="s">
        <v>2646</v>
      </c>
      <c r="AA346" s="426" t="s">
        <v>2646</v>
      </c>
      <c r="AB346" s="426" t="s">
        <v>2646</v>
      </c>
      <c r="AC346" s="426" t="s">
        <v>2646</v>
      </c>
      <c r="AD346" s="426" t="s">
        <v>2646</v>
      </c>
      <c r="AE346" s="426" t="s">
        <v>2646</v>
      </c>
      <c r="AF346" s="426" t="s">
        <v>2646</v>
      </c>
      <c r="AG346" s="426" t="s">
        <v>2646</v>
      </c>
      <c r="AH346" s="426" t="s">
        <v>2646</v>
      </c>
      <c r="AI346" s="426" t="s">
        <v>2646</v>
      </c>
      <c r="AJ346" s="68" t="s">
        <v>2646</v>
      </c>
    </row>
    <row r="347" spans="1:36" s="1" customFormat="1" hidden="1">
      <c r="A347" s="392" t="s">
        <v>1681</v>
      </c>
      <c r="B347" s="427" t="s">
        <v>2651</v>
      </c>
      <c r="C347" s="433" t="s">
        <v>3642</v>
      </c>
      <c r="D347" s="433" t="s">
        <v>3729</v>
      </c>
      <c r="E347" s="433" t="s">
        <v>2654</v>
      </c>
      <c r="F347" s="433" t="s">
        <v>2654</v>
      </c>
      <c r="G347" s="433" t="s">
        <v>2654</v>
      </c>
      <c r="H347" s="433" t="s">
        <v>2654</v>
      </c>
      <c r="I347" s="433" t="s">
        <v>2654</v>
      </c>
      <c r="J347" s="433" t="s">
        <v>2654</v>
      </c>
      <c r="K347" s="433" t="s">
        <v>2654</v>
      </c>
      <c r="L347" s="433" t="s">
        <v>2654</v>
      </c>
      <c r="M347" s="433" t="s">
        <v>2654</v>
      </c>
      <c r="N347" s="433" t="s">
        <v>2654</v>
      </c>
      <c r="O347" s="433" t="s">
        <v>2654</v>
      </c>
      <c r="P347" s="433" t="s">
        <v>2650</v>
      </c>
      <c r="Q347" s="431"/>
      <c r="R347" s="431"/>
      <c r="S347" s="426" t="s">
        <v>2660</v>
      </c>
      <c r="T347" s="426" t="s">
        <v>2646</v>
      </c>
      <c r="U347" s="426" t="s">
        <v>2646</v>
      </c>
      <c r="V347" s="426" t="s">
        <v>2646</v>
      </c>
      <c r="W347" s="426" t="s">
        <v>2646</v>
      </c>
      <c r="X347" s="426" t="s">
        <v>2646</v>
      </c>
      <c r="Y347" s="426" t="s">
        <v>2646</v>
      </c>
      <c r="Z347" s="426" t="s">
        <v>2646</v>
      </c>
      <c r="AA347" s="426" t="s">
        <v>2646</v>
      </c>
      <c r="AB347" s="426" t="s">
        <v>2646</v>
      </c>
      <c r="AC347" s="426" t="s">
        <v>2646</v>
      </c>
      <c r="AD347" s="426" t="s">
        <v>2646</v>
      </c>
      <c r="AE347" s="426" t="s">
        <v>2646</v>
      </c>
      <c r="AF347" s="426" t="s">
        <v>2646</v>
      </c>
      <c r="AG347" s="426" t="s">
        <v>2646</v>
      </c>
      <c r="AH347" s="426" t="s">
        <v>2646</v>
      </c>
      <c r="AI347" s="426" t="s">
        <v>2646</v>
      </c>
      <c r="AJ347" s="1" t="s">
        <v>2646</v>
      </c>
    </row>
    <row r="348" spans="1:36" s="1" customFormat="1">
      <c r="A348" s="392" t="s">
        <v>1681</v>
      </c>
      <c r="B348" s="427" t="s">
        <v>48</v>
      </c>
      <c r="C348" s="433" t="s">
        <v>4195</v>
      </c>
      <c r="D348" s="433" t="s">
        <v>3897</v>
      </c>
      <c r="E348" s="433" t="s">
        <v>2654</v>
      </c>
      <c r="F348" s="433" t="s">
        <v>2654</v>
      </c>
      <c r="G348" s="433" t="s">
        <v>2654</v>
      </c>
      <c r="H348" s="433" t="s">
        <v>2654</v>
      </c>
      <c r="I348" s="433" t="s">
        <v>2654</v>
      </c>
      <c r="J348" s="433" t="s">
        <v>2654</v>
      </c>
      <c r="K348" s="433" t="s">
        <v>2654</v>
      </c>
      <c r="L348" s="433" t="s">
        <v>2654</v>
      </c>
      <c r="M348" s="433" t="s">
        <v>2654</v>
      </c>
      <c r="N348" s="433" t="s">
        <v>2654</v>
      </c>
      <c r="O348" s="433" t="s">
        <v>2654</v>
      </c>
      <c r="P348" s="433" t="s">
        <v>2781</v>
      </c>
      <c r="Q348" s="433" t="s">
        <v>2654</v>
      </c>
      <c r="R348" s="433" t="s">
        <v>2654</v>
      </c>
      <c r="S348" s="426"/>
      <c r="T348" s="426"/>
      <c r="U348" s="426"/>
      <c r="V348" s="426"/>
      <c r="W348" s="426"/>
      <c r="X348" s="426"/>
      <c r="Y348" s="426"/>
      <c r="Z348" s="426"/>
      <c r="AA348" s="426"/>
      <c r="AB348" s="426"/>
      <c r="AC348" s="426"/>
      <c r="AD348" s="426"/>
      <c r="AE348" s="426"/>
      <c r="AF348" s="426"/>
      <c r="AG348" s="426"/>
      <c r="AH348" s="426"/>
      <c r="AI348" s="426"/>
    </row>
    <row r="349" spans="1:36" s="1" customFormat="1" hidden="1">
      <c r="A349" s="392" t="s">
        <v>1682</v>
      </c>
      <c r="B349" s="427" t="s">
        <v>2647</v>
      </c>
      <c r="C349" s="433" t="s">
        <v>3721</v>
      </c>
      <c r="D349" s="433" t="s">
        <v>3561</v>
      </c>
      <c r="E349" s="433" t="s">
        <v>2654</v>
      </c>
      <c r="F349" s="433" t="s">
        <v>2654</v>
      </c>
      <c r="G349" s="433" t="s">
        <v>2654</v>
      </c>
      <c r="H349" s="433" t="s">
        <v>2654</v>
      </c>
      <c r="I349" s="433" t="s">
        <v>2654</v>
      </c>
      <c r="J349" s="433" t="s">
        <v>2654</v>
      </c>
      <c r="K349" s="433" t="s">
        <v>2654</v>
      </c>
      <c r="L349" s="433" t="s">
        <v>2654</v>
      </c>
      <c r="M349" s="433" t="s">
        <v>2654</v>
      </c>
      <c r="N349" s="433" t="s">
        <v>2654</v>
      </c>
      <c r="O349" s="433" t="s">
        <v>2654</v>
      </c>
      <c r="P349" s="433" t="s">
        <v>2649</v>
      </c>
      <c r="Q349" s="431"/>
      <c r="R349" s="431"/>
      <c r="S349" s="426" t="s">
        <v>2778</v>
      </c>
      <c r="T349" s="426" t="s">
        <v>2646</v>
      </c>
      <c r="U349" s="426" t="s">
        <v>2646</v>
      </c>
      <c r="V349" s="426" t="s">
        <v>2646</v>
      </c>
      <c r="W349" s="426" t="s">
        <v>2646</v>
      </c>
      <c r="X349" s="426" t="s">
        <v>2646</v>
      </c>
      <c r="Y349" s="426" t="s">
        <v>2646</v>
      </c>
      <c r="Z349" s="426" t="s">
        <v>2646</v>
      </c>
      <c r="AA349" s="426" t="s">
        <v>2646</v>
      </c>
      <c r="AB349" s="426" t="s">
        <v>2646</v>
      </c>
      <c r="AC349" s="426" t="s">
        <v>2646</v>
      </c>
      <c r="AD349" s="426" t="s">
        <v>2646</v>
      </c>
      <c r="AE349" s="426" t="s">
        <v>2646</v>
      </c>
      <c r="AF349" s="426" t="s">
        <v>2646</v>
      </c>
      <c r="AG349" s="426" t="s">
        <v>2646</v>
      </c>
      <c r="AH349" s="426" t="s">
        <v>2646</v>
      </c>
      <c r="AI349" s="426" t="s">
        <v>2646</v>
      </c>
      <c r="AJ349" s="1" t="s">
        <v>2646</v>
      </c>
    </row>
    <row r="350" spans="1:36" s="1" customFormat="1" hidden="1">
      <c r="A350" s="392" t="s">
        <v>1683</v>
      </c>
      <c r="B350" s="427" t="s">
        <v>2648</v>
      </c>
      <c r="C350" s="433" t="s">
        <v>4196</v>
      </c>
      <c r="D350" s="433" t="s">
        <v>3732</v>
      </c>
      <c r="E350" s="433" t="s">
        <v>2654</v>
      </c>
      <c r="F350" s="433" t="s">
        <v>2654</v>
      </c>
      <c r="G350" s="433" t="s">
        <v>2654</v>
      </c>
      <c r="H350" s="433" t="s">
        <v>2654</v>
      </c>
      <c r="I350" s="433" t="s">
        <v>2654</v>
      </c>
      <c r="J350" s="433" t="s">
        <v>2654</v>
      </c>
      <c r="K350" s="433" t="s">
        <v>2654</v>
      </c>
      <c r="L350" s="433" t="s">
        <v>2654</v>
      </c>
      <c r="M350" s="433" t="s">
        <v>2654</v>
      </c>
      <c r="N350" s="433" t="s">
        <v>2654</v>
      </c>
      <c r="O350" s="433" t="s">
        <v>2654</v>
      </c>
      <c r="P350" s="433" t="s">
        <v>2649</v>
      </c>
      <c r="Q350" s="431"/>
      <c r="R350" s="431"/>
      <c r="S350" s="426" t="s">
        <v>2665</v>
      </c>
      <c r="T350" s="426" t="s">
        <v>2646</v>
      </c>
      <c r="U350" s="426" t="s">
        <v>2646</v>
      </c>
      <c r="V350" s="426" t="s">
        <v>2646</v>
      </c>
      <c r="W350" s="426" t="s">
        <v>2646</v>
      </c>
      <c r="X350" s="426" t="s">
        <v>2646</v>
      </c>
      <c r="Y350" s="426" t="s">
        <v>2646</v>
      </c>
      <c r="Z350" s="426" t="s">
        <v>2646</v>
      </c>
      <c r="AA350" s="426" t="s">
        <v>2646</v>
      </c>
      <c r="AB350" s="426" t="s">
        <v>2646</v>
      </c>
      <c r="AC350" s="426" t="s">
        <v>2646</v>
      </c>
      <c r="AD350" s="426" t="s">
        <v>2646</v>
      </c>
      <c r="AE350" s="426" t="s">
        <v>2646</v>
      </c>
      <c r="AF350" s="426" t="s">
        <v>2646</v>
      </c>
      <c r="AG350" s="426" t="s">
        <v>2646</v>
      </c>
      <c r="AH350" s="426" t="s">
        <v>2646</v>
      </c>
      <c r="AI350" s="426" t="s">
        <v>2646</v>
      </c>
      <c r="AJ350" s="1" t="s">
        <v>2646</v>
      </c>
    </row>
    <row r="351" spans="1:36" s="1" customFormat="1" hidden="1">
      <c r="A351" s="392" t="s">
        <v>1684</v>
      </c>
      <c r="B351" s="427" t="s">
        <v>2649</v>
      </c>
      <c r="C351" s="433" t="s">
        <v>2884</v>
      </c>
      <c r="D351" s="433" t="s">
        <v>3561</v>
      </c>
      <c r="E351" s="433" t="s">
        <v>2654</v>
      </c>
      <c r="F351" s="433" t="s">
        <v>2654</v>
      </c>
      <c r="G351" s="433" t="s">
        <v>2654</v>
      </c>
      <c r="H351" s="433" t="s">
        <v>2654</v>
      </c>
      <c r="I351" s="433" t="s">
        <v>2654</v>
      </c>
      <c r="J351" s="433" t="s">
        <v>2654</v>
      </c>
      <c r="K351" s="433" t="s">
        <v>2654</v>
      </c>
      <c r="L351" s="433" t="s">
        <v>2654</v>
      </c>
      <c r="M351" s="433" t="s">
        <v>2654</v>
      </c>
      <c r="N351" s="433" t="s">
        <v>2654</v>
      </c>
      <c r="O351" s="433" t="s">
        <v>2654</v>
      </c>
      <c r="P351" s="433" t="s">
        <v>2648</v>
      </c>
      <c r="Q351" s="431"/>
      <c r="R351" s="431"/>
      <c r="S351" s="426" t="s">
        <v>2778</v>
      </c>
      <c r="T351" s="426" t="s">
        <v>2646</v>
      </c>
      <c r="U351" s="426" t="s">
        <v>2646</v>
      </c>
      <c r="V351" s="426" t="s">
        <v>2646</v>
      </c>
      <c r="W351" s="426" t="s">
        <v>2646</v>
      </c>
      <c r="X351" s="426" t="s">
        <v>2646</v>
      </c>
      <c r="Y351" s="426" t="s">
        <v>2646</v>
      </c>
      <c r="Z351" s="426" t="s">
        <v>2646</v>
      </c>
      <c r="AA351" s="426" t="s">
        <v>2646</v>
      </c>
      <c r="AB351" s="426" t="s">
        <v>2646</v>
      </c>
      <c r="AC351" s="426" t="s">
        <v>2646</v>
      </c>
      <c r="AD351" s="426" t="s">
        <v>2646</v>
      </c>
      <c r="AE351" s="426" t="s">
        <v>2646</v>
      </c>
      <c r="AF351" s="426" t="s">
        <v>2646</v>
      </c>
      <c r="AG351" s="426" t="s">
        <v>2646</v>
      </c>
      <c r="AH351" s="426" t="s">
        <v>2646</v>
      </c>
      <c r="AI351" s="426" t="s">
        <v>2646</v>
      </c>
      <c r="AJ351" s="1" t="s">
        <v>2646</v>
      </c>
    </row>
    <row r="352" spans="1:36" s="1" customFormat="1" hidden="1">
      <c r="A352" s="392" t="s">
        <v>1685</v>
      </c>
      <c r="B352" s="427" t="s">
        <v>2650</v>
      </c>
      <c r="C352" s="433" t="s">
        <v>3759</v>
      </c>
      <c r="D352" s="433" t="s">
        <v>3561</v>
      </c>
      <c r="E352" s="433" t="s">
        <v>2654</v>
      </c>
      <c r="F352" s="433" t="s">
        <v>2654</v>
      </c>
      <c r="G352" s="433" t="s">
        <v>2654</v>
      </c>
      <c r="H352" s="433" t="s">
        <v>2654</v>
      </c>
      <c r="I352" s="433" t="s">
        <v>2654</v>
      </c>
      <c r="J352" s="433" t="s">
        <v>2654</v>
      </c>
      <c r="K352" s="433" t="s">
        <v>2654</v>
      </c>
      <c r="L352" s="433" t="s">
        <v>2654</v>
      </c>
      <c r="M352" s="433" t="s">
        <v>2654</v>
      </c>
      <c r="N352" s="433" t="s">
        <v>2654</v>
      </c>
      <c r="O352" s="433" t="s">
        <v>2654</v>
      </c>
      <c r="P352" s="433" t="s">
        <v>2648</v>
      </c>
      <c r="Q352" s="431"/>
      <c r="R352" s="431"/>
      <c r="S352" s="426" t="s">
        <v>3109</v>
      </c>
      <c r="T352" s="426" t="s">
        <v>2646</v>
      </c>
      <c r="U352" s="426" t="s">
        <v>2646</v>
      </c>
      <c r="V352" s="426" t="s">
        <v>2646</v>
      </c>
      <c r="W352" s="426" t="s">
        <v>2646</v>
      </c>
      <c r="X352" s="426" t="s">
        <v>2646</v>
      </c>
      <c r="Y352" s="426" t="s">
        <v>2646</v>
      </c>
      <c r="Z352" s="426" t="s">
        <v>2646</v>
      </c>
      <c r="AA352" s="426" t="s">
        <v>2646</v>
      </c>
      <c r="AB352" s="426" t="s">
        <v>2646</v>
      </c>
      <c r="AC352" s="426" t="s">
        <v>2646</v>
      </c>
      <c r="AD352" s="426" t="s">
        <v>2646</v>
      </c>
      <c r="AE352" s="426" t="s">
        <v>2646</v>
      </c>
      <c r="AF352" s="426" t="s">
        <v>2646</v>
      </c>
      <c r="AG352" s="426" t="s">
        <v>2646</v>
      </c>
      <c r="AH352" s="426" t="s">
        <v>2646</v>
      </c>
      <c r="AI352" s="426" t="s">
        <v>2646</v>
      </c>
      <c r="AJ352" s="1" t="s">
        <v>2646</v>
      </c>
    </row>
    <row r="353" spans="1:36" s="1" customFormat="1" hidden="1">
      <c r="A353" s="392" t="s">
        <v>1686</v>
      </c>
      <c r="B353" s="427" t="s">
        <v>2651</v>
      </c>
      <c r="C353" s="433" t="s">
        <v>3665</v>
      </c>
      <c r="D353" s="433" t="s">
        <v>3788</v>
      </c>
      <c r="E353" s="433" t="s">
        <v>2654</v>
      </c>
      <c r="F353" s="433" t="s">
        <v>2654</v>
      </c>
      <c r="G353" s="433" t="s">
        <v>2654</v>
      </c>
      <c r="H353" s="433" t="s">
        <v>2654</v>
      </c>
      <c r="I353" s="433" t="s">
        <v>2654</v>
      </c>
      <c r="J353" s="433" t="s">
        <v>2654</v>
      </c>
      <c r="K353" s="433" t="s">
        <v>2654</v>
      </c>
      <c r="L353" s="433" t="s">
        <v>2654</v>
      </c>
      <c r="M353" s="433" t="s">
        <v>2654</v>
      </c>
      <c r="N353" s="433" t="s">
        <v>2654</v>
      </c>
      <c r="O353" s="433" t="s">
        <v>2654</v>
      </c>
      <c r="P353" s="433" t="s">
        <v>2650</v>
      </c>
      <c r="Q353" s="431"/>
      <c r="R353" s="431"/>
      <c r="S353" s="426" t="s">
        <v>2673</v>
      </c>
      <c r="T353" s="426" t="s">
        <v>2646</v>
      </c>
      <c r="U353" s="426" t="s">
        <v>2646</v>
      </c>
      <c r="V353" s="426" t="s">
        <v>2646</v>
      </c>
      <c r="W353" s="426" t="s">
        <v>2646</v>
      </c>
      <c r="X353" s="426" t="s">
        <v>2646</v>
      </c>
      <c r="Y353" s="426" t="s">
        <v>2646</v>
      </c>
      <c r="Z353" s="426" t="s">
        <v>2646</v>
      </c>
      <c r="AA353" s="426" t="s">
        <v>2646</v>
      </c>
      <c r="AB353" s="426" t="s">
        <v>2646</v>
      </c>
      <c r="AC353" s="426" t="s">
        <v>2646</v>
      </c>
      <c r="AD353" s="426" t="s">
        <v>2646</v>
      </c>
      <c r="AE353" s="426" t="s">
        <v>2646</v>
      </c>
      <c r="AF353" s="426" t="s">
        <v>2646</v>
      </c>
      <c r="AG353" s="426" t="s">
        <v>2646</v>
      </c>
      <c r="AH353" s="426" t="s">
        <v>2646</v>
      </c>
      <c r="AI353" s="426" t="s">
        <v>2646</v>
      </c>
      <c r="AJ353" s="1" t="s">
        <v>2646</v>
      </c>
    </row>
    <row r="354" spans="1:36" s="1" customFormat="1">
      <c r="A354" s="392" t="s">
        <v>1686</v>
      </c>
      <c r="B354" s="427" t="s">
        <v>48</v>
      </c>
      <c r="C354" s="433" t="s">
        <v>3865</v>
      </c>
      <c r="D354" s="433" t="s">
        <v>3561</v>
      </c>
      <c r="E354" s="433" t="s">
        <v>2654</v>
      </c>
      <c r="F354" s="433" t="s">
        <v>2654</v>
      </c>
      <c r="G354" s="433" t="s">
        <v>2654</v>
      </c>
      <c r="H354" s="433" t="s">
        <v>2654</v>
      </c>
      <c r="I354" s="433" t="s">
        <v>2654</v>
      </c>
      <c r="J354" s="433" t="s">
        <v>2654</v>
      </c>
      <c r="K354" s="433" t="s">
        <v>2654</v>
      </c>
      <c r="L354" s="433" t="s">
        <v>2654</v>
      </c>
      <c r="M354" s="433" t="s">
        <v>2654</v>
      </c>
      <c r="N354" s="433" t="s">
        <v>2654</v>
      </c>
      <c r="O354" s="433" t="s">
        <v>2654</v>
      </c>
      <c r="P354" s="433" t="s">
        <v>2781</v>
      </c>
      <c r="Q354" s="433" t="s">
        <v>2654</v>
      </c>
      <c r="R354" s="433" t="s">
        <v>2654</v>
      </c>
      <c r="S354" s="426"/>
      <c r="T354" s="426"/>
      <c r="U354" s="426"/>
      <c r="V354" s="426"/>
      <c r="W354" s="426"/>
      <c r="X354" s="426"/>
      <c r="Y354" s="426"/>
      <c r="Z354" s="426"/>
      <c r="AA354" s="426"/>
      <c r="AB354" s="426"/>
      <c r="AC354" s="426"/>
      <c r="AD354" s="426"/>
      <c r="AE354" s="426"/>
      <c r="AF354" s="426"/>
      <c r="AG354" s="426"/>
      <c r="AH354" s="426"/>
      <c r="AI354" s="426"/>
    </row>
    <row r="355" spans="1:36" s="1" customFormat="1" hidden="1">
      <c r="A355" s="392" t="s">
        <v>1687</v>
      </c>
      <c r="B355" s="427" t="s">
        <v>2647</v>
      </c>
      <c r="C355" s="433" t="s">
        <v>3838</v>
      </c>
      <c r="D355" s="433" t="s">
        <v>3089</v>
      </c>
      <c r="E355" s="433" t="s">
        <v>2654</v>
      </c>
      <c r="F355" s="433" t="s">
        <v>2654</v>
      </c>
      <c r="G355" s="433" t="s">
        <v>2654</v>
      </c>
      <c r="H355" s="433" t="s">
        <v>2654</v>
      </c>
      <c r="I355" s="433" t="s">
        <v>2654</v>
      </c>
      <c r="J355" s="433" t="s">
        <v>2654</v>
      </c>
      <c r="K355" s="433" t="s">
        <v>2654</v>
      </c>
      <c r="L355" s="433" t="s">
        <v>2654</v>
      </c>
      <c r="M355" s="433" t="s">
        <v>2654</v>
      </c>
      <c r="N355" s="433" t="s">
        <v>2654</v>
      </c>
      <c r="O355" s="433" t="s">
        <v>2654</v>
      </c>
      <c r="P355" s="433" t="s">
        <v>2648</v>
      </c>
      <c r="Q355" s="431"/>
      <c r="R355" s="431"/>
      <c r="S355" s="426" t="s">
        <v>3132</v>
      </c>
      <c r="T355" s="426" t="s">
        <v>2646</v>
      </c>
      <c r="U355" s="426" t="s">
        <v>2646</v>
      </c>
      <c r="V355" s="426" t="s">
        <v>2646</v>
      </c>
      <c r="W355" s="426" t="s">
        <v>2646</v>
      </c>
      <c r="X355" s="426" t="s">
        <v>2646</v>
      </c>
      <c r="Y355" s="426" t="s">
        <v>2646</v>
      </c>
      <c r="Z355" s="426" t="s">
        <v>2646</v>
      </c>
      <c r="AA355" s="426" t="s">
        <v>2646</v>
      </c>
      <c r="AB355" s="426" t="s">
        <v>2646</v>
      </c>
      <c r="AC355" s="426" t="s">
        <v>2646</v>
      </c>
      <c r="AD355" s="426" t="s">
        <v>2646</v>
      </c>
      <c r="AE355" s="426" t="s">
        <v>2646</v>
      </c>
      <c r="AF355" s="426" t="s">
        <v>2646</v>
      </c>
      <c r="AG355" s="426" t="s">
        <v>2646</v>
      </c>
      <c r="AH355" s="426" t="s">
        <v>2646</v>
      </c>
      <c r="AI355" s="426" t="s">
        <v>2646</v>
      </c>
      <c r="AJ355" s="1" t="s">
        <v>2646</v>
      </c>
    </row>
    <row r="356" spans="1:36" s="1" customFormat="1" hidden="1">
      <c r="A356" s="392" t="s">
        <v>1688</v>
      </c>
      <c r="B356" s="427" t="s">
        <v>2648</v>
      </c>
      <c r="C356" s="433" t="s">
        <v>4186</v>
      </c>
      <c r="D356" s="433" t="s">
        <v>3089</v>
      </c>
      <c r="E356" s="433" t="s">
        <v>2654</v>
      </c>
      <c r="F356" s="433" t="s">
        <v>2654</v>
      </c>
      <c r="G356" s="433" t="s">
        <v>2654</v>
      </c>
      <c r="H356" s="433" t="s">
        <v>2654</v>
      </c>
      <c r="I356" s="433" t="s">
        <v>2654</v>
      </c>
      <c r="J356" s="433" t="s">
        <v>2654</v>
      </c>
      <c r="K356" s="433" t="s">
        <v>2654</v>
      </c>
      <c r="L356" s="433" t="s">
        <v>2654</v>
      </c>
      <c r="M356" s="433" t="s">
        <v>2654</v>
      </c>
      <c r="N356" s="433" t="s">
        <v>2654</v>
      </c>
      <c r="O356" s="433" t="s">
        <v>2654</v>
      </c>
      <c r="P356" s="433" t="s">
        <v>2650</v>
      </c>
      <c r="Q356" s="431"/>
      <c r="R356" s="431"/>
      <c r="S356" s="426" t="s">
        <v>3124</v>
      </c>
      <c r="T356" s="426" t="s">
        <v>2646</v>
      </c>
      <c r="U356" s="426" t="s">
        <v>2646</v>
      </c>
      <c r="V356" s="426" t="s">
        <v>2646</v>
      </c>
      <c r="W356" s="426" t="s">
        <v>2646</v>
      </c>
      <c r="X356" s="426" t="s">
        <v>2646</v>
      </c>
      <c r="Y356" s="426" t="s">
        <v>2646</v>
      </c>
      <c r="Z356" s="426" t="s">
        <v>2646</v>
      </c>
      <c r="AA356" s="426" t="s">
        <v>2646</v>
      </c>
      <c r="AB356" s="426" t="s">
        <v>2646</v>
      </c>
      <c r="AC356" s="426" t="s">
        <v>2646</v>
      </c>
      <c r="AD356" s="426" t="s">
        <v>2646</v>
      </c>
      <c r="AE356" s="426" t="s">
        <v>2646</v>
      </c>
      <c r="AF356" s="426" t="s">
        <v>2646</v>
      </c>
      <c r="AG356" s="426" t="s">
        <v>2646</v>
      </c>
      <c r="AH356" s="426" t="s">
        <v>2646</v>
      </c>
      <c r="AI356" s="426" t="s">
        <v>2646</v>
      </c>
      <c r="AJ356" s="1" t="s">
        <v>2646</v>
      </c>
    </row>
    <row r="357" spans="1:36" hidden="1">
      <c r="A357" s="392" t="s">
        <v>1689</v>
      </c>
      <c r="B357" s="427" t="s">
        <v>2649</v>
      </c>
      <c r="C357" s="433" t="s">
        <v>3921</v>
      </c>
      <c r="D357" s="433" t="s">
        <v>3909</v>
      </c>
      <c r="E357" s="433" t="s">
        <v>2654</v>
      </c>
      <c r="F357" s="433" t="s">
        <v>2654</v>
      </c>
      <c r="G357" s="433" t="s">
        <v>2654</v>
      </c>
      <c r="H357" s="433" t="s">
        <v>2654</v>
      </c>
      <c r="I357" s="433" t="s">
        <v>2654</v>
      </c>
      <c r="J357" s="433" t="s">
        <v>2654</v>
      </c>
      <c r="K357" s="433" t="s">
        <v>2654</v>
      </c>
      <c r="L357" s="433" t="s">
        <v>2654</v>
      </c>
      <c r="M357" s="433" t="s">
        <v>2654</v>
      </c>
      <c r="N357" s="433" t="s">
        <v>2654</v>
      </c>
      <c r="O357" s="433" t="s">
        <v>2654</v>
      </c>
      <c r="P357" s="433" t="s">
        <v>2649</v>
      </c>
      <c r="Q357" s="431"/>
      <c r="R357" s="431"/>
      <c r="S357" s="426" t="s">
        <v>3124</v>
      </c>
      <c r="T357" s="426" t="s">
        <v>2646</v>
      </c>
      <c r="U357" s="426" t="s">
        <v>2646</v>
      </c>
      <c r="V357" s="426" t="s">
        <v>2646</v>
      </c>
      <c r="W357" s="426" t="s">
        <v>2646</v>
      </c>
      <c r="X357" s="426" t="s">
        <v>2646</v>
      </c>
      <c r="Y357" s="426" t="s">
        <v>2646</v>
      </c>
      <c r="Z357" s="426" t="s">
        <v>2646</v>
      </c>
      <c r="AA357" s="426" t="s">
        <v>2646</v>
      </c>
      <c r="AB357" s="426" t="s">
        <v>2646</v>
      </c>
      <c r="AC357" s="426" t="s">
        <v>2646</v>
      </c>
      <c r="AD357" s="426" t="s">
        <v>2646</v>
      </c>
      <c r="AE357" s="426" t="s">
        <v>2646</v>
      </c>
      <c r="AF357" s="426" t="s">
        <v>2646</v>
      </c>
      <c r="AG357" s="426" t="s">
        <v>2646</v>
      </c>
      <c r="AH357" s="426" t="s">
        <v>2646</v>
      </c>
      <c r="AI357" s="426" t="s">
        <v>2646</v>
      </c>
      <c r="AJ357" s="68" t="s">
        <v>2646</v>
      </c>
    </row>
    <row r="358" spans="1:36" hidden="1">
      <c r="A358" s="392" t="s">
        <v>1690</v>
      </c>
      <c r="B358" s="427" t="s">
        <v>2650</v>
      </c>
      <c r="C358" s="433" t="s">
        <v>3617</v>
      </c>
      <c r="D358" s="433" t="s">
        <v>3789</v>
      </c>
      <c r="E358" s="433" t="s">
        <v>2654</v>
      </c>
      <c r="F358" s="433" t="s">
        <v>2654</v>
      </c>
      <c r="G358" s="433" t="s">
        <v>2654</v>
      </c>
      <c r="H358" s="433" t="s">
        <v>2654</v>
      </c>
      <c r="I358" s="433" t="s">
        <v>2654</v>
      </c>
      <c r="J358" s="433" t="s">
        <v>2654</v>
      </c>
      <c r="K358" s="433" t="s">
        <v>2654</v>
      </c>
      <c r="L358" s="433" t="s">
        <v>2654</v>
      </c>
      <c r="M358" s="433" t="s">
        <v>2654</v>
      </c>
      <c r="N358" s="433" t="s">
        <v>2654</v>
      </c>
      <c r="O358" s="433" t="s">
        <v>2654</v>
      </c>
      <c r="P358" s="433" t="s">
        <v>2648</v>
      </c>
      <c r="Q358" s="431"/>
      <c r="R358" s="431"/>
      <c r="S358" s="426" t="s">
        <v>3124</v>
      </c>
      <c r="T358" s="426" t="s">
        <v>2646</v>
      </c>
      <c r="U358" s="426" t="s">
        <v>2646</v>
      </c>
      <c r="V358" s="426" t="s">
        <v>2646</v>
      </c>
      <c r="W358" s="426" t="s">
        <v>2646</v>
      </c>
      <c r="X358" s="426" t="s">
        <v>2646</v>
      </c>
      <c r="Y358" s="426" t="s">
        <v>2646</v>
      </c>
      <c r="Z358" s="426" t="s">
        <v>2646</v>
      </c>
      <c r="AA358" s="426" t="s">
        <v>2646</v>
      </c>
      <c r="AB358" s="426" t="s">
        <v>2646</v>
      </c>
      <c r="AC358" s="426" t="s">
        <v>2646</v>
      </c>
      <c r="AD358" s="426" t="s">
        <v>2646</v>
      </c>
      <c r="AE358" s="426" t="s">
        <v>2646</v>
      </c>
      <c r="AF358" s="426" t="s">
        <v>2646</v>
      </c>
      <c r="AG358" s="426" t="s">
        <v>2646</v>
      </c>
      <c r="AH358" s="426" t="s">
        <v>2646</v>
      </c>
      <c r="AI358" s="426" t="s">
        <v>2646</v>
      </c>
      <c r="AJ358" s="68" t="s">
        <v>2646</v>
      </c>
    </row>
    <row r="359" spans="1:36" hidden="1">
      <c r="A359" s="392" t="s">
        <v>1691</v>
      </c>
      <c r="B359" s="427" t="s">
        <v>2651</v>
      </c>
      <c r="C359" s="433" t="s">
        <v>3733</v>
      </c>
      <c r="D359" s="433" t="s">
        <v>3734</v>
      </c>
      <c r="E359" s="433" t="s">
        <v>2654</v>
      </c>
      <c r="F359" s="433" t="s">
        <v>2654</v>
      </c>
      <c r="G359" s="433" t="s">
        <v>2654</v>
      </c>
      <c r="H359" s="433" t="s">
        <v>2654</v>
      </c>
      <c r="I359" s="433" t="s">
        <v>2654</v>
      </c>
      <c r="J359" s="433" t="s">
        <v>2654</v>
      </c>
      <c r="K359" s="433" t="s">
        <v>2654</v>
      </c>
      <c r="L359" s="433" t="s">
        <v>2654</v>
      </c>
      <c r="M359" s="433" t="s">
        <v>2654</v>
      </c>
      <c r="N359" s="433" t="s">
        <v>2654</v>
      </c>
      <c r="O359" s="433" t="s">
        <v>2654</v>
      </c>
      <c r="P359" s="433" t="s">
        <v>2648</v>
      </c>
      <c r="Q359" s="431"/>
      <c r="R359" s="431"/>
      <c r="S359" s="426" t="s">
        <v>3132</v>
      </c>
      <c r="T359" s="426" t="s">
        <v>2646</v>
      </c>
      <c r="U359" s="426" t="s">
        <v>2646</v>
      </c>
      <c r="V359" s="426" t="s">
        <v>2646</v>
      </c>
      <c r="W359" s="426" t="s">
        <v>2646</v>
      </c>
      <c r="X359" s="426" t="s">
        <v>2646</v>
      </c>
      <c r="Y359" s="426" t="s">
        <v>2646</v>
      </c>
      <c r="Z359" s="426" t="s">
        <v>2646</v>
      </c>
      <c r="AA359" s="426" t="s">
        <v>2646</v>
      </c>
      <c r="AB359" s="426" t="s">
        <v>2646</v>
      </c>
      <c r="AC359" s="426" t="s">
        <v>2646</v>
      </c>
      <c r="AD359" s="426" t="s">
        <v>2646</v>
      </c>
      <c r="AE359" s="426" t="s">
        <v>2646</v>
      </c>
      <c r="AF359" s="426" t="s">
        <v>2646</v>
      </c>
      <c r="AG359" s="426" t="s">
        <v>2646</v>
      </c>
      <c r="AH359" s="426" t="s">
        <v>2646</v>
      </c>
      <c r="AI359" s="426" t="s">
        <v>2646</v>
      </c>
      <c r="AJ359" s="68" t="s">
        <v>2646</v>
      </c>
    </row>
    <row r="360" spans="1:36">
      <c r="A360" s="392" t="s">
        <v>1691</v>
      </c>
      <c r="B360" s="427" t="s">
        <v>48</v>
      </c>
      <c r="C360" s="433" t="s">
        <v>4197</v>
      </c>
      <c r="D360" s="433" t="s">
        <v>3910</v>
      </c>
      <c r="E360" s="433" t="s">
        <v>2654</v>
      </c>
      <c r="F360" s="433" t="s">
        <v>2654</v>
      </c>
      <c r="G360" s="433" t="s">
        <v>2654</v>
      </c>
      <c r="H360" s="433" t="s">
        <v>2654</v>
      </c>
      <c r="I360" s="433" t="s">
        <v>2654</v>
      </c>
      <c r="J360" s="433" t="s">
        <v>2654</v>
      </c>
      <c r="K360" s="433" t="s">
        <v>2654</v>
      </c>
      <c r="L360" s="433" t="s">
        <v>2654</v>
      </c>
      <c r="M360" s="433" t="s">
        <v>2654</v>
      </c>
      <c r="N360" s="433" t="s">
        <v>2654</v>
      </c>
      <c r="O360" s="433" t="s">
        <v>2654</v>
      </c>
      <c r="P360" s="433" t="s">
        <v>2953</v>
      </c>
      <c r="Q360" s="433" t="s">
        <v>2654</v>
      </c>
      <c r="R360" s="433" t="s">
        <v>2654</v>
      </c>
      <c r="S360" s="426"/>
      <c r="T360" s="426"/>
      <c r="U360" s="426"/>
      <c r="V360" s="426"/>
      <c r="W360" s="426"/>
      <c r="X360" s="426"/>
      <c r="Y360" s="426"/>
      <c r="Z360" s="426"/>
      <c r="AA360" s="426"/>
      <c r="AB360" s="426"/>
      <c r="AC360" s="426"/>
      <c r="AD360" s="426"/>
      <c r="AE360" s="426"/>
      <c r="AF360" s="426"/>
      <c r="AG360" s="426"/>
      <c r="AH360" s="426"/>
      <c r="AI360" s="426"/>
    </row>
    <row r="361" spans="1:36" hidden="1">
      <c r="A361" s="392" t="s">
        <v>1692</v>
      </c>
      <c r="B361" s="427" t="s">
        <v>2647</v>
      </c>
      <c r="C361" s="433" t="s">
        <v>4198</v>
      </c>
      <c r="D361" s="433" t="s">
        <v>3851</v>
      </c>
      <c r="E361" s="433" t="s">
        <v>3049</v>
      </c>
      <c r="F361" s="433" t="s">
        <v>3425</v>
      </c>
      <c r="G361" s="433" t="s">
        <v>2775</v>
      </c>
      <c r="H361" s="433" t="s">
        <v>3037</v>
      </c>
      <c r="I361" s="433" t="s">
        <v>2848</v>
      </c>
      <c r="J361" s="433" t="s">
        <v>2737</v>
      </c>
      <c r="K361" s="433" t="s">
        <v>2777</v>
      </c>
      <c r="L361" s="433" t="s">
        <v>2687</v>
      </c>
      <c r="M361" s="433" t="s">
        <v>2732</v>
      </c>
      <c r="N361" s="433" t="s">
        <v>2654</v>
      </c>
      <c r="O361" s="433" t="s">
        <v>3185</v>
      </c>
      <c r="P361" s="433" t="s">
        <v>4078</v>
      </c>
      <c r="Q361" s="431"/>
      <c r="R361" s="431"/>
      <c r="S361" s="426" t="s">
        <v>2669</v>
      </c>
      <c r="T361" s="426" t="s">
        <v>2646</v>
      </c>
      <c r="U361" s="426" t="s">
        <v>2646</v>
      </c>
      <c r="V361" s="426" t="s">
        <v>2646</v>
      </c>
      <c r="W361" s="426" t="s">
        <v>2646</v>
      </c>
      <c r="X361" s="426" t="s">
        <v>2646</v>
      </c>
      <c r="Y361" s="426" t="s">
        <v>2646</v>
      </c>
      <c r="Z361" s="426" t="s">
        <v>2646</v>
      </c>
      <c r="AA361" s="426" t="s">
        <v>2646</v>
      </c>
      <c r="AB361" s="426" t="s">
        <v>2646</v>
      </c>
      <c r="AC361" s="426" t="s">
        <v>2646</v>
      </c>
      <c r="AD361" s="426" t="s">
        <v>2646</v>
      </c>
      <c r="AE361" s="426" t="s">
        <v>2646</v>
      </c>
      <c r="AF361" s="426" t="s">
        <v>2646</v>
      </c>
      <c r="AG361" s="426" t="s">
        <v>2646</v>
      </c>
      <c r="AH361" s="426" t="s">
        <v>2646</v>
      </c>
      <c r="AI361" s="426" t="s">
        <v>2646</v>
      </c>
      <c r="AJ361" s="68" t="s">
        <v>2646</v>
      </c>
    </row>
    <row r="362" spans="1:36" hidden="1">
      <c r="A362" s="392" t="s">
        <v>1693</v>
      </c>
      <c r="B362" s="427" t="s">
        <v>2648</v>
      </c>
      <c r="C362" s="433" t="s">
        <v>4199</v>
      </c>
      <c r="D362" s="433" t="s">
        <v>3851</v>
      </c>
      <c r="E362" s="433" t="s">
        <v>3247</v>
      </c>
      <c r="F362" s="433" t="s">
        <v>3305</v>
      </c>
      <c r="G362" s="433" t="s">
        <v>2751</v>
      </c>
      <c r="H362" s="433" t="s">
        <v>2858</v>
      </c>
      <c r="I362" s="433" t="s">
        <v>2808</v>
      </c>
      <c r="J362" s="433" t="s">
        <v>2869</v>
      </c>
      <c r="K362" s="433" t="s">
        <v>2948</v>
      </c>
      <c r="L362" s="433" t="s">
        <v>2970</v>
      </c>
      <c r="M362" s="433" t="s">
        <v>2732</v>
      </c>
      <c r="N362" s="433" t="s">
        <v>2678</v>
      </c>
      <c r="O362" s="433" t="s">
        <v>4200</v>
      </c>
      <c r="P362" s="433" t="s">
        <v>4080</v>
      </c>
      <c r="Q362" s="431"/>
      <c r="R362" s="431"/>
      <c r="S362" s="426" t="s">
        <v>2778</v>
      </c>
      <c r="T362" s="426" t="s">
        <v>2646</v>
      </c>
      <c r="U362" s="426" t="s">
        <v>2646</v>
      </c>
      <c r="V362" s="426" t="s">
        <v>2646</v>
      </c>
      <c r="W362" s="426" t="s">
        <v>2646</v>
      </c>
      <c r="X362" s="426" t="s">
        <v>2646</v>
      </c>
      <c r="Y362" s="426" t="s">
        <v>2646</v>
      </c>
      <c r="Z362" s="426" t="s">
        <v>2646</v>
      </c>
      <c r="AA362" s="426" t="s">
        <v>2646</v>
      </c>
      <c r="AB362" s="426" t="s">
        <v>2646</v>
      </c>
      <c r="AC362" s="426" t="s">
        <v>2646</v>
      </c>
      <c r="AD362" s="426" t="s">
        <v>2646</v>
      </c>
      <c r="AE362" s="426" t="s">
        <v>2646</v>
      </c>
      <c r="AF362" s="426" t="s">
        <v>2646</v>
      </c>
      <c r="AG362" s="426" t="s">
        <v>2646</v>
      </c>
      <c r="AH362" s="426" t="s">
        <v>2646</v>
      </c>
      <c r="AI362" s="426" t="s">
        <v>2646</v>
      </c>
      <c r="AJ362" s="68" t="s">
        <v>2646</v>
      </c>
    </row>
    <row r="363" spans="1:36" hidden="1">
      <c r="A363" s="392" t="s">
        <v>1694</v>
      </c>
      <c r="B363" s="427" t="s">
        <v>2649</v>
      </c>
      <c r="C363" s="433" t="s">
        <v>3876</v>
      </c>
      <c r="D363" s="433" t="s">
        <v>3364</v>
      </c>
      <c r="E363" s="433" t="s">
        <v>3801</v>
      </c>
      <c r="F363" s="433" t="s">
        <v>3178</v>
      </c>
      <c r="G363" s="433" t="s">
        <v>3248</v>
      </c>
      <c r="H363" s="433" t="s">
        <v>2745</v>
      </c>
      <c r="I363" s="433" t="s">
        <v>2706</v>
      </c>
      <c r="J363" s="433" t="s">
        <v>3046</v>
      </c>
      <c r="K363" s="433" t="s">
        <v>2928</v>
      </c>
      <c r="L363" s="433" t="s">
        <v>2674</v>
      </c>
      <c r="M363" s="433" t="s">
        <v>2677</v>
      </c>
      <c r="N363" s="433" t="s">
        <v>2654</v>
      </c>
      <c r="O363" s="433" t="s">
        <v>4201</v>
      </c>
      <c r="P363" s="433" t="s">
        <v>4059</v>
      </c>
      <c r="Q363" s="431"/>
      <c r="R363" s="431"/>
      <c r="S363" s="426" t="s">
        <v>2669</v>
      </c>
      <c r="T363" s="426" t="s">
        <v>2646</v>
      </c>
      <c r="U363" s="426" t="s">
        <v>2646</v>
      </c>
      <c r="V363" s="426" t="s">
        <v>2646</v>
      </c>
      <c r="W363" s="426" t="s">
        <v>2646</v>
      </c>
      <c r="X363" s="426" t="s">
        <v>2646</v>
      </c>
      <c r="Y363" s="426" t="s">
        <v>2646</v>
      </c>
      <c r="Z363" s="426" t="s">
        <v>2646</v>
      </c>
      <c r="AA363" s="426" t="s">
        <v>2646</v>
      </c>
      <c r="AB363" s="426" t="s">
        <v>2646</v>
      </c>
      <c r="AC363" s="426" t="s">
        <v>2646</v>
      </c>
      <c r="AD363" s="426" t="s">
        <v>2646</v>
      </c>
      <c r="AE363" s="426" t="s">
        <v>2646</v>
      </c>
      <c r="AF363" s="426" t="s">
        <v>2646</v>
      </c>
      <c r="AG363" s="426" t="s">
        <v>2646</v>
      </c>
      <c r="AH363" s="426" t="s">
        <v>2646</v>
      </c>
      <c r="AI363" s="426" t="s">
        <v>2646</v>
      </c>
      <c r="AJ363" s="68" t="s">
        <v>2646</v>
      </c>
    </row>
    <row r="364" spans="1:36" hidden="1">
      <c r="A364" s="392" t="s">
        <v>1695</v>
      </c>
      <c r="B364" s="427" t="s">
        <v>2650</v>
      </c>
      <c r="C364" s="433" t="s">
        <v>4202</v>
      </c>
      <c r="D364" s="433" t="s">
        <v>3364</v>
      </c>
      <c r="E364" s="433" t="s">
        <v>3739</v>
      </c>
      <c r="F364" s="433" t="s">
        <v>3405</v>
      </c>
      <c r="G364" s="433" t="s">
        <v>3043</v>
      </c>
      <c r="H364" s="433" t="s">
        <v>2808</v>
      </c>
      <c r="I364" s="433" t="s">
        <v>2877</v>
      </c>
      <c r="J364" s="433" t="s">
        <v>2753</v>
      </c>
      <c r="K364" s="433" t="s">
        <v>2970</v>
      </c>
      <c r="L364" s="433" t="s">
        <v>2899</v>
      </c>
      <c r="M364" s="433" t="s">
        <v>2680</v>
      </c>
      <c r="N364" s="433" t="s">
        <v>2654</v>
      </c>
      <c r="O364" s="433" t="s">
        <v>4203</v>
      </c>
      <c r="P364" s="433" t="s">
        <v>2650</v>
      </c>
      <c r="Q364" s="431"/>
      <c r="R364" s="431"/>
      <c r="S364" s="426" t="s">
        <v>2655</v>
      </c>
      <c r="T364" s="426" t="s">
        <v>2646</v>
      </c>
      <c r="U364" s="426" t="s">
        <v>2646</v>
      </c>
      <c r="V364" s="426" t="s">
        <v>2646</v>
      </c>
      <c r="W364" s="426" t="s">
        <v>2646</v>
      </c>
      <c r="X364" s="426" t="s">
        <v>2646</v>
      </c>
      <c r="Y364" s="426" t="s">
        <v>2646</v>
      </c>
      <c r="Z364" s="426" t="s">
        <v>2646</v>
      </c>
      <c r="AA364" s="426" t="s">
        <v>2646</v>
      </c>
      <c r="AB364" s="426" t="s">
        <v>2646</v>
      </c>
      <c r="AC364" s="426" t="s">
        <v>2646</v>
      </c>
      <c r="AD364" s="426" t="s">
        <v>2646</v>
      </c>
      <c r="AE364" s="426" t="s">
        <v>2646</v>
      </c>
      <c r="AF364" s="426" t="s">
        <v>2646</v>
      </c>
      <c r="AG364" s="426" t="s">
        <v>2646</v>
      </c>
      <c r="AH364" s="426" t="s">
        <v>2646</v>
      </c>
      <c r="AI364" s="426" t="s">
        <v>2646</v>
      </c>
      <c r="AJ364" s="68" t="s">
        <v>2646</v>
      </c>
    </row>
    <row r="365" spans="1:36" hidden="1">
      <c r="A365" s="392" t="s">
        <v>1696</v>
      </c>
      <c r="B365" s="427" t="s">
        <v>2651</v>
      </c>
      <c r="C365" s="433" t="s">
        <v>4204</v>
      </c>
      <c r="D365" s="433" t="s">
        <v>3851</v>
      </c>
      <c r="E365" s="433" t="s">
        <v>3461</v>
      </c>
      <c r="F365" s="433" t="s">
        <v>3028</v>
      </c>
      <c r="G365" s="433" t="s">
        <v>3037</v>
      </c>
      <c r="H365" s="433" t="s">
        <v>2782</v>
      </c>
      <c r="I365" s="433" t="s">
        <v>2824</v>
      </c>
      <c r="J365" s="433" t="s">
        <v>2695</v>
      </c>
      <c r="K365" s="433" t="s">
        <v>2754</v>
      </c>
      <c r="L365" s="433" t="s">
        <v>2896</v>
      </c>
      <c r="M365" s="433" t="s">
        <v>2724</v>
      </c>
      <c r="N365" s="433" t="s">
        <v>2654</v>
      </c>
      <c r="O365" s="433" t="s">
        <v>4205</v>
      </c>
      <c r="P365" s="433" t="s">
        <v>4059</v>
      </c>
      <c r="Q365" s="431"/>
      <c r="R365" s="431"/>
      <c r="S365" s="426" t="s">
        <v>2657</v>
      </c>
      <c r="T365" s="426" t="s">
        <v>2646</v>
      </c>
      <c r="U365" s="426" t="s">
        <v>2646</v>
      </c>
      <c r="V365" s="426" t="s">
        <v>2646</v>
      </c>
      <c r="W365" s="426" t="s">
        <v>2646</v>
      </c>
      <c r="X365" s="426" t="s">
        <v>2646</v>
      </c>
      <c r="Y365" s="426" t="s">
        <v>2646</v>
      </c>
      <c r="Z365" s="426" t="s">
        <v>2646</v>
      </c>
      <c r="AA365" s="426" t="s">
        <v>2646</v>
      </c>
      <c r="AB365" s="426" t="s">
        <v>2646</v>
      </c>
      <c r="AC365" s="426" t="s">
        <v>2646</v>
      </c>
      <c r="AD365" s="426" t="s">
        <v>2646</v>
      </c>
      <c r="AE365" s="426" t="s">
        <v>2646</v>
      </c>
      <c r="AF365" s="426" t="s">
        <v>2646</v>
      </c>
      <c r="AG365" s="426" t="s">
        <v>2646</v>
      </c>
      <c r="AH365" s="426" t="s">
        <v>2646</v>
      </c>
      <c r="AI365" s="426" t="s">
        <v>2646</v>
      </c>
      <c r="AJ365" s="68" t="s">
        <v>2646</v>
      </c>
    </row>
    <row r="366" spans="1:36">
      <c r="A366" s="392" t="s">
        <v>1696</v>
      </c>
      <c r="B366" s="427" t="s">
        <v>48</v>
      </c>
      <c r="C366" s="433" t="s">
        <v>4206</v>
      </c>
      <c r="D366" s="433" t="s">
        <v>3869</v>
      </c>
      <c r="E366" s="433" t="s">
        <v>4207</v>
      </c>
      <c r="F366" s="433" t="s">
        <v>4208</v>
      </c>
      <c r="G366" s="433" t="s">
        <v>4209</v>
      </c>
      <c r="H366" s="433" t="s">
        <v>4210</v>
      </c>
      <c r="I366" s="433" t="s">
        <v>4028</v>
      </c>
      <c r="J366" s="433" t="s">
        <v>4211</v>
      </c>
      <c r="K366" s="433" t="s">
        <v>3832</v>
      </c>
      <c r="L366" s="433" t="s">
        <v>4076</v>
      </c>
      <c r="M366" s="433" t="s">
        <v>3228</v>
      </c>
      <c r="N366" s="433" t="s">
        <v>2668</v>
      </c>
      <c r="O366" s="433" t="s">
        <v>4212</v>
      </c>
      <c r="P366" s="433" t="s">
        <v>4024</v>
      </c>
      <c r="Q366" s="433" t="s">
        <v>2654</v>
      </c>
      <c r="R366" s="433" t="s">
        <v>2654</v>
      </c>
      <c r="S366" s="426"/>
      <c r="T366" s="426"/>
      <c r="U366" s="426"/>
      <c r="V366" s="426"/>
      <c r="W366" s="426"/>
      <c r="X366" s="426"/>
      <c r="Y366" s="426"/>
      <c r="Z366" s="426"/>
      <c r="AA366" s="426"/>
      <c r="AB366" s="426"/>
      <c r="AC366" s="426"/>
      <c r="AD366" s="426"/>
      <c r="AE366" s="426"/>
      <c r="AF366" s="426"/>
      <c r="AG366" s="426"/>
      <c r="AH366" s="426"/>
      <c r="AI366" s="426"/>
    </row>
    <row r="367" spans="1:36" s="77" customFormat="1" hidden="1">
      <c r="A367" s="392" t="s">
        <v>1697</v>
      </c>
      <c r="B367" s="427" t="s">
        <v>2647</v>
      </c>
      <c r="C367" s="433" t="s">
        <v>4106</v>
      </c>
      <c r="D367" s="433" t="s">
        <v>3364</v>
      </c>
      <c r="E367" s="433" t="s">
        <v>3055</v>
      </c>
      <c r="F367" s="433" t="s">
        <v>3072</v>
      </c>
      <c r="G367" s="433" t="s">
        <v>2733</v>
      </c>
      <c r="H367" s="433" t="s">
        <v>2819</v>
      </c>
      <c r="I367" s="433" t="s">
        <v>2767</v>
      </c>
      <c r="J367" s="433" t="s">
        <v>2700</v>
      </c>
      <c r="K367" s="433" t="s">
        <v>2724</v>
      </c>
      <c r="L367" s="433" t="s">
        <v>2680</v>
      </c>
      <c r="M367" s="433" t="s">
        <v>2654</v>
      </c>
      <c r="N367" s="433" t="s">
        <v>2654</v>
      </c>
      <c r="O367" s="433" t="s">
        <v>3852</v>
      </c>
      <c r="P367" s="433" t="s">
        <v>4213</v>
      </c>
      <c r="Q367" s="431"/>
      <c r="R367" s="431"/>
      <c r="S367" s="426" t="s">
        <v>2660</v>
      </c>
      <c r="T367" s="426" t="s">
        <v>2646</v>
      </c>
      <c r="U367" s="426" t="s">
        <v>2646</v>
      </c>
      <c r="V367" s="426" t="s">
        <v>2646</v>
      </c>
      <c r="W367" s="426" t="s">
        <v>3076</v>
      </c>
      <c r="X367" s="426" t="s">
        <v>2662</v>
      </c>
      <c r="Y367" s="426" t="s">
        <v>2646</v>
      </c>
      <c r="Z367" s="426" t="s">
        <v>2646</v>
      </c>
      <c r="AA367" s="426" t="s">
        <v>2646</v>
      </c>
      <c r="AB367" s="426" t="s">
        <v>2646</v>
      </c>
      <c r="AC367" s="426" t="s">
        <v>2646</v>
      </c>
      <c r="AD367" s="426" t="s">
        <v>2646</v>
      </c>
      <c r="AE367" s="426" t="s">
        <v>2646</v>
      </c>
      <c r="AF367" s="426" t="s">
        <v>2646</v>
      </c>
      <c r="AG367" s="426" t="s">
        <v>2646</v>
      </c>
      <c r="AH367" s="426" t="s">
        <v>2646</v>
      </c>
      <c r="AI367" s="426" t="s">
        <v>2646</v>
      </c>
      <c r="AJ367" s="77" t="s">
        <v>2646</v>
      </c>
    </row>
    <row r="368" spans="1:36" hidden="1">
      <c r="A368" s="392" t="s">
        <v>1698</v>
      </c>
      <c r="B368" s="427" t="s">
        <v>2648</v>
      </c>
      <c r="C368" s="433" t="s">
        <v>4214</v>
      </c>
      <c r="D368" s="433" t="s">
        <v>3710</v>
      </c>
      <c r="E368" s="433" t="s">
        <v>2771</v>
      </c>
      <c r="F368" s="433" t="s">
        <v>2883</v>
      </c>
      <c r="G368" s="433" t="s">
        <v>2772</v>
      </c>
      <c r="H368" s="433" t="s">
        <v>2741</v>
      </c>
      <c r="I368" s="433" t="s">
        <v>2767</v>
      </c>
      <c r="J368" s="433" t="s">
        <v>2870</v>
      </c>
      <c r="K368" s="433" t="s">
        <v>2680</v>
      </c>
      <c r="L368" s="433" t="s">
        <v>2654</v>
      </c>
      <c r="M368" s="433" t="s">
        <v>2654</v>
      </c>
      <c r="N368" s="433" t="s">
        <v>2654</v>
      </c>
      <c r="O368" s="433" t="s">
        <v>4215</v>
      </c>
      <c r="P368" s="433" t="s">
        <v>4078</v>
      </c>
      <c r="Q368" s="431"/>
      <c r="R368" s="431"/>
      <c r="S368" s="426" t="s">
        <v>2660</v>
      </c>
      <c r="T368" s="426" t="s">
        <v>2646</v>
      </c>
      <c r="U368" s="426" t="s">
        <v>3225</v>
      </c>
      <c r="V368" s="426" t="s">
        <v>3225</v>
      </c>
      <c r="W368" s="426" t="s">
        <v>3076</v>
      </c>
      <c r="X368" s="426" t="s">
        <v>2662</v>
      </c>
      <c r="Y368" s="426" t="s">
        <v>2646</v>
      </c>
      <c r="Z368" s="426" t="s">
        <v>2646</v>
      </c>
      <c r="AA368" s="426" t="s">
        <v>2646</v>
      </c>
      <c r="AB368" s="426" t="s">
        <v>2646</v>
      </c>
      <c r="AC368" s="426" t="s">
        <v>2646</v>
      </c>
      <c r="AD368" s="426" t="s">
        <v>2646</v>
      </c>
      <c r="AE368" s="426" t="s">
        <v>2646</v>
      </c>
      <c r="AF368" s="426" t="s">
        <v>2646</v>
      </c>
      <c r="AG368" s="426" t="s">
        <v>2646</v>
      </c>
      <c r="AH368" s="426" t="s">
        <v>2646</v>
      </c>
      <c r="AI368" s="426" t="s">
        <v>2646</v>
      </c>
      <c r="AJ368" s="68" t="s">
        <v>2646</v>
      </c>
    </row>
    <row r="369" spans="1:36" hidden="1">
      <c r="A369" s="392" t="s">
        <v>1699</v>
      </c>
      <c r="B369" s="427" t="s">
        <v>2649</v>
      </c>
      <c r="C369" s="433" t="s">
        <v>4216</v>
      </c>
      <c r="D369" s="433" t="s">
        <v>3686</v>
      </c>
      <c r="E369" s="433" t="s">
        <v>3253</v>
      </c>
      <c r="F369" s="433" t="s">
        <v>3011</v>
      </c>
      <c r="G369" s="433" t="s">
        <v>2877</v>
      </c>
      <c r="H369" s="433" t="s">
        <v>2908</v>
      </c>
      <c r="I369" s="433" t="s">
        <v>2928</v>
      </c>
      <c r="J369" s="433" t="s">
        <v>2825</v>
      </c>
      <c r="K369" s="433" t="s">
        <v>2724</v>
      </c>
      <c r="L369" s="433" t="s">
        <v>2654</v>
      </c>
      <c r="M369" s="433" t="s">
        <v>2654</v>
      </c>
      <c r="N369" s="433" t="s">
        <v>2654</v>
      </c>
      <c r="O369" s="433" t="s">
        <v>4217</v>
      </c>
      <c r="P369" s="433" t="s">
        <v>4087</v>
      </c>
      <c r="Q369" s="431"/>
      <c r="R369" s="431"/>
      <c r="S369" s="426" t="s">
        <v>2655</v>
      </c>
      <c r="T369" s="426" t="s">
        <v>2646</v>
      </c>
      <c r="U369" s="426" t="s">
        <v>2646</v>
      </c>
      <c r="V369" s="426" t="s">
        <v>2646</v>
      </c>
      <c r="W369" s="426" t="s">
        <v>3076</v>
      </c>
      <c r="X369" s="426" t="s">
        <v>2662</v>
      </c>
      <c r="Y369" s="426" t="s">
        <v>2646</v>
      </c>
      <c r="Z369" s="426" t="s">
        <v>2646</v>
      </c>
      <c r="AA369" s="426" t="s">
        <v>2646</v>
      </c>
      <c r="AB369" s="426" t="s">
        <v>2646</v>
      </c>
      <c r="AC369" s="426" t="s">
        <v>2646</v>
      </c>
      <c r="AD369" s="426" t="s">
        <v>2646</v>
      </c>
      <c r="AE369" s="426" t="s">
        <v>2646</v>
      </c>
      <c r="AF369" s="426" t="s">
        <v>2646</v>
      </c>
      <c r="AG369" s="426" t="s">
        <v>2646</v>
      </c>
      <c r="AH369" s="426" t="s">
        <v>2646</v>
      </c>
      <c r="AI369" s="426" t="s">
        <v>2646</v>
      </c>
      <c r="AJ369" s="68" t="s">
        <v>2646</v>
      </c>
    </row>
    <row r="370" spans="1:36" hidden="1">
      <c r="A370" s="392" t="s">
        <v>1700</v>
      </c>
      <c r="B370" s="427" t="s">
        <v>2650</v>
      </c>
      <c r="C370" s="433" t="s">
        <v>4218</v>
      </c>
      <c r="D370" s="433" t="s">
        <v>3710</v>
      </c>
      <c r="E370" s="433" t="s">
        <v>3072</v>
      </c>
      <c r="F370" s="433" t="s">
        <v>3249</v>
      </c>
      <c r="G370" s="433" t="s">
        <v>2737</v>
      </c>
      <c r="H370" s="433" t="s">
        <v>2731</v>
      </c>
      <c r="I370" s="433" t="s">
        <v>2773</v>
      </c>
      <c r="J370" s="433" t="s">
        <v>2896</v>
      </c>
      <c r="K370" s="433" t="s">
        <v>2680</v>
      </c>
      <c r="L370" s="433" t="s">
        <v>2654</v>
      </c>
      <c r="M370" s="433" t="s">
        <v>2654</v>
      </c>
      <c r="N370" s="433" t="s">
        <v>2654</v>
      </c>
      <c r="O370" s="433" t="s">
        <v>4219</v>
      </c>
      <c r="P370" s="433" t="s">
        <v>4080</v>
      </c>
      <c r="Q370" s="431"/>
      <c r="R370" s="431"/>
      <c r="S370" s="426" t="s">
        <v>2660</v>
      </c>
      <c r="T370" s="426" t="s">
        <v>2646</v>
      </c>
      <c r="U370" s="426" t="s">
        <v>2646</v>
      </c>
      <c r="V370" s="426" t="s">
        <v>2646</v>
      </c>
      <c r="W370" s="426" t="s">
        <v>3076</v>
      </c>
      <c r="X370" s="426" t="s">
        <v>2662</v>
      </c>
      <c r="Y370" s="426" t="s">
        <v>2646</v>
      </c>
      <c r="Z370" s="426" t="s">
        <v>2646</v>
      </c>
      <c r="AA370" s="426" t="s">
        <v>2646</v>
      </c>
      <c r="AB370" s="426" t="s">
        <v>2646</v>
      </c>
      <c r="AC370" s="426" t="s">
        <v>2646</v>
      </c>
      <c r="AD370" s="426" t="s">
        <v>2646</v>
      </c>
      <c r="AE370" s="426" t="s">
        <v>2646</v>
      </c>
      <c r="AF370" s="426" t="s">
        <v>2646</v>
      </c>
      <c r="AG370" s="426" t="s">
        <v>2646</v>
      </c>
      <c r="AH370" s="426" t="s">
        <v>2646</v>
      </c>
      <c r="AI370" s="426" t="s">
        <v>2646</v>
      </c>
      <c r="AJ370" s="68" t="s">
        <v>2646</v>
      </c>
    </row>
    <row r="371" spans="1:36" hidden="1">
      <c r="A371" s="392" t="s">
        <v>1701</v>
      </c>
      <c r="B371" s="427" t="s">
        <v>2651</v>
      </c>
      <c r="C371" s="433" t="s">
        <v>4220</v>
      </c>
      <c r="D371" s="433" t="s">
        <v>3364</v>
      </c>
      <c r="E371" s="433" t="s">
        <v>2783</v>
      </c>
      <c r="F371" s="433" t="s">
        <v>2698</v>
      </c>
      <c r="G371" s="433" t="s">
        <v>2706</v>
      </c>
      <c r="H371" s="433" t="s">
        <v>2686</v>
      </c>
      <c r="I371" s="433" t="s">
        <v>2767</v>
      </c>
      <c r="J371" s="433" t="s">
        <v>2700</v>
      </c>
      <c r="K371" s="433" t="s">
        <v>2896</v>
      </c>
      <c r="L371" s="433" t="s">
        <v>2678</v>
      </c>
      <c r="M371" s="433" t="s">
        <v>2654</v>
      </c>
      <c r="N371" s="433" t="s">
        <v>2654</v>
      </c>
      <c r="O371" s="433" t="s">
        <v>3930</v>
      </c>
      <c r="P371" s="433" t="s">
        <v>4059</v>
      </c>
      <c r="Q371" s="431"/>
      <c r="R371" s="431"/>
      <c r="S371" s="426" t="s">
        <v>2673</v>
      </c>
      <c r="T371" s="426" t="s">
        <v>2646</v>
      </c>
      <c r="U371" s="426" t="s">
        <v>2646</v>
      </c>
      <c r="V371" s="426" t="s">
        <v>2646</v>
      </c>
      <c r="W371" s="426" t="s">
        <v>3076</v>
      </c>
      <c r="X371" s="426" t="s">
        <v>2662</v>
      </c>
      <c r="Y371" s="426" t="s">
        <v>2646</v>
      </c>
      <c r="Z371" s="426" t="s">
        <v>2646</v>
      </c>
      <c r="AA371" s="426" t="s">
        <v>2646</v>
      </c>
      <c r="AB371" s="426" t="s">
        <v>2646</v>
      </c>
      <c r="AC371" s="426" t="s">
        <v>2646</v>
      </c>
      <c r="AD371" s="426" t="s">
        <v>2646</v>
      </c>
      <c r="AE371" s="426" t="s">
        <v>2646</v>
      </c>
      <c r="AF371" s="426" t="s">
        <v>2646</v>
      </c>
      <c r="AG371" s="426" t="s">
        <v>2646</v>
      </c>
      <c r="AH371" s="426" t="s">
        <v>2646</v>
      </c>
      <c r="AI371" s="426" t="s">
        <v>2646</v>
      </c>
      <c r="AJ371" s="68" t="s">
        <v>2646</v>
      </c>
    </row>
    <row r="372" spans="1:36">
      <c r="A372" s="392" t="s">
        <v>1701</v>
      </c>
      <c r="B372" s="427" t="s">
        <v>48</v>
      </c>
      <c r="C372" s="433" t="s">
        <v>4221</v>
      </c>
      <c r="D372" s="433" t="s">
        <v>3871</v>
      </c>
      <c r="E372" s="433" t="s">
        <v>3829</v>
      </c>
      <c r="F372" s="433" t="s">
        <v>4038</v>
      </c>
      <c r="G372" s="433" t="s">
        <v>3879</v>
      </c>
      <c r="H372" s="433" t="s">
        <v>4034</v>
      </c>
      <c r="I372" s="433" t="s">
        <v>3847</v>
      </c>
      <c r="J372" s="433" t="s">
        <v>3675</v>
      </c>
      <c r="K372" s="433" t="s">
        <v>3389</v>
      </c>
      <c r="L372" s="433" t="s">
        <v>2659</v>
      </c>
      <c r="M372" s="433" t="s">
        <v>2654</v>
      </c>
      <c r="N372" s="433" t="s">
        <v>2654</v>
      </c>
      <c r="O372" s="433" t="s">
        <v>3949</v>
      </c>
      <c r="P372" s="433" t="s">
        <v>4222</v>
      </c>
      <c r="Q372" s="433" t="s">
        <v>2654</v>
      </c>
      <c r="R372" s="433" t="s">
        <v>2654</v>
      </c>
      <c r="S372" s="426"/>
      <c r="T372" s="426"/>
      <c r="U372" s="426"/>
      <c r="V372" s="426"/>
      <c r="W372" s="426"/>
      <c r="X372" s="426"/>
      <c r="Y372" s="426"/>
      <c r="Z372" s="426"/>
      <c r="AA372" s="426"/>
      <c r="AB372" s="426"/>
      <c r="AC372" s="426"/>
      <c r="AD372" s="426"/>
      <c r="AE372" s="426"/>
      <c r="AF372" s="426"/>
      <c r="AG372" s="426"/>
      <c r="AH372" s="426"/>
      <c r="AI372" s="426"/>
    </row>
    <row r="373" spans="1:36" hidden="1">
      <c r="A373" s="392" t="s">
        <v>1702</v>
      </c>
      <c r="B373" s="427" t="s">
        <v>2647</v>
      </c>
      <c r="C373" s="433" t="s">
        <v>4186</v>
      </c>
      <c r="D373" s="433" t="s">
        <v>3851</v>
      </c>
      <c r="E373" s="433" t="s">
        <v>2877</v>
      </c>
      <c r="F373" s="433" t="s">
        <v>2753</v>
      </c>
      <c r="G373" s="433" t="s">
        <v>2731</v>
      </c>
      <c r="H373" s="433" t="s">
        <v>2849</v>
      </c>
      <c r="I373" s="433" t="s">
        <v>2680</v>
      </c>
      <c r="J373" s="433" t="s">
        <v>2654</v>
      </c>
      <c r="K373" s="433" t="s">
        <v>2654</v>
      </c>
      <c r="L373" s="433" t="s">
        <v>2654</v>
      </c>
      <c r="M373" s="433" t="s">
        <v>2654</v>
      </c>
      <c r="N373" s="433" t="s">
        <v>2654</v>
      </c>
      <c r="O373" s="433" t="s">
        <v>4103</v>
      </c>
      <c r="P373" s="433" t="s">
        <v>4085</v>
      </c>
      <c r="Q373" s="431"/>
      <c r="R373" s="431"/>
      <c r="S373" s="426" t="s">
        <v>2778</v>
      </c>
      <c r="T373" s="426" t="s">
        <v>2646</v>
      </c>
      <c r="U373" s="426" t="s">
        <v>3226</v>
      </c>
      <c r="V373" s="426" t="s">
        <v>2646</v>
      </c>
      <c r="W373" s="426" t="s">
        <v>3076</v>
      </c>
      <c r="X373" s="426" t="s">
        <v>2671</v>
      </c>
      <c r="Y373" s="426" t="s">
        <v>3227</v>
      </c>
      <c r="Z373" s="426" t="s">
        <v>2646</v>
      </c>
      <c r="AA373" s="426" t="s">
        <v>2646</v>
      </c>
      <c r="AB373" s="426" t="s">
        <v>2646</v>
      </c>
      <c r="AC373" s="426" t="s">
        <v>2646</v>
      </c>
      <c r="AD373" s="426" t="s">
        <v>2646</v>
      </c>
      <c r="AE373" s="426" t="s">
        <v>2646</v>
      </c>
      <c r="AF373" s="426" t="s">
        <v>2646</v>
      </c>
      <c r="AG373" s="426" t="s">
        <v>2646</v>
      </c>
      <c r="AH373" s="426" t="s">
        <v>2646</v>
      </c>
      <c r="AI373" s="426" t="s">
        <v>2646</v>
      </c>
      <c r="AJ373" s="68" t="s">
        <v>2646</v>
      </c>
    </row>
    <row r="374" spans="1:36" hidden="1">
      <c r="A374" s="392" t="s">
        <v>1703</v>
      </c>
      <c r="B374" s="427" t="s">
        <v>2648</v>
      </c>
      <c r="C374" s="433" t="s">
        <v>3625</v>
      </c>
      <c r="D374" s="433" t="s">
        <v>3710</v>
      </c>
      <c r="E374" s="433" t="s">
        <v>3300</v>
      </c>
      <c r="F374" s="433" t="s">
        <v>2954</v>
      </c>
      <c r="G374" s="433" t="s">
        <v>2700</v>
      </c>
      <c r="H374" s="433" t="s">
        <v>2678</v>
      </c>
      <c r="I374" s="433" t="s">
        <v>2654</v>
      </c>
      <c r="J374" s="433" t="s">
        <v>2654</v>
      </c>
      <c r="K374" s="433" t="s">
        <v>2654</v>
      </c>
      <c r="L374" s="433" t="s">
        <v>2654</v>
      </c>
      <c r="M374" s="433" t="s">
        <v>2654</v>
      </c>
      <c r="N374" s="433" t="s">
        <v>2654</v>
      </c>
      <c r="O374" s="433" t="s">
        <v>4223</v>
      </c>
      <c r="P374" s="433" t="s">
        <v>4087</v>
      </c>
      <c r="Q374" s="431"/>
      <c r="R374" s="431"/>
      <c r="S374" s="426" t="s">
        <v>2669</v>
      </c>
      <c r="T374" s="426" t="s">
        <v>3172</v>
      </c>
      <c r="U374" s="426" t="s">
        <v>3229</v>
      </c>
      <c r="V374" s="426" t="s">
        <v>3229</v>
      </c>
      <c r="W374" s="426" t="s">
        <v>3076</v>
      </c>
      <c r="X374" s="426" t="s">
        <v>2671</v>
      </c>
      <c r="Y374" s="426" t="s">
        <v>3227</v>
      </c>
      <c r="Z374" s="426" t="s">
        <v>2646</v>
      </c>
      <c r="AA374" s="426" t="s">
        <v>2646</v>
      </c>
      <c r="AB374" s="426" t="s">
        <v>2646</v>
      </c>
      <c r="AC374" s="426" t="s">
        <v>2646</v>
      </c>
      <c r="AD374" s="426" t="s">
        <v>2646</v>
      </c>
      <c r="AE374" s="426" t="s">
        <v>2646</v>
      </c>
      <c r="AF374" s="426" t="s">
        <v>2646</v>
      </c>
      <c r="AG374" s="426" t="s">
        <v>2646</v>
      </c>
      <c r="AH374" s="426" t="s">
        <v>2646</v>
      </c>
      <c r="AI374" s="426" t="s">
        <v>2646</v>
      </c>
      <c r="AJ374" s="68" t="s">
        <v>2646</v>
      </c>
    </row>
    <row r="375" spans="1:36" hidden="1">
      <c r="A375" s="392" t="s">
        <v>1704</v>
      </c>
      <c r="B375" s="427" t="s">
        <v>2649</v>
      </c>
      <c r="C375" s="433" t="s">
        <v>2784</v>
      </c>
      <c r="D375" s="433" t="s">
        <v>3851</v>
      </c>
      <c r="E375" s="433" t="s">
        <v>2808</v>
      </c>
      <c r="F375" s="433" t="s">
        <v>2819</v>
      </c>
      <c r="G375" s="433" t="s">
        <v>2754</v>
      </c>
      <c r="H375" s="433" t="s">
        <v>2896</v>
      </c>
      <c r="I375" s="433" t="s">
        <v>2656</v>
      </c>
      <c r="J375" s="433" t="s">
        <v>2654</v>
      </c>
      <c r="K375" s="433" t="s">
        <v>2654</v>
      </c>
      <c r="L375" s="433" t="s">
        <v>2654</v>
      </c>
      <c r="M375" s="433" t="s">
        <v>2654</v>
      </c>
      <c r="N375" s="433" t="s">
        <v>2654</v>
      </c>
      <c r="O375" s="433" t="s">
        <v>4224</v>
      </c>
      <c r="P375" s="433" t="s">
        <v>4059</v>
      </c>
      <c r="Q375" s="431"/>
      <c r="R375" s="431"/>
      <c r="S375" s="426" t="s">
        <v>2673</v>
      </c>
      <c r="T375" s="426" t="s">
        <v>3105</v>
      </c>
      <c r="U375" s="426" t="s">
        <v>3226</v>
      </c>
      <c r="V375" s="426" t="s">
        <v>3057</v>
      </c>
      <c r="W375" s="426" t="s">
        <v>3076</v>
      </c>
      <c r="X375" s="426" t="s">
        <v>2671</v>
      </c>
      <c r="Y375" s="426" t="s">
        <v>3227</v>
      </c>
      <c r="Z375" s="426" t="s">
        <v>2646</v>
      </c>
      <c r="AA375" s="426" t="s">
        <v>2646</v>
      </c>
      <c r="AB375" s="426" t="s">
        <v>2646</v>
      </c>
      <c r="AC375" s="426" t="s">
        <v>2646</v>
      </c>
      <c r="AD375" s="426" t="s">
        <v>2646</v>
      </c>
      <c r="AE375" s="426" t="s">
        <v>2646</v>
      </c>
      <c r="AF375" s="426" t="s">
        <v>2646</v>
      </c>
      <c r="AG375" s="426" t="s">
        <v>2646</v>
      </c>
      <c r="AH375" s="426" t="s">
        <v>2646</v>
      </c>
      <c r="AI375" s="426" t="s">
        <v>2646</v>
      </c>
      <c r="AJ375" s="68" t="s">
        <v>2646</v>
      </c>
    </row>
    <row r="376" spans="1:36" hidden="1">
      <c r="A376" s="392" t="s">
        <v>1705</v>
      </c>
      <c r="B376" s="427" t="s">
        <v>2650</v>
      </c>
      <c r="C376" s="433" t="s">
        <v>3787</v>
      </c>
      <c r="D376" s="433" t="s">
        <v>3851</v>
      </c>
      <c r="E376" s="433" t="s">
        <v>2713</v>
      </c>
      <c r="F376" s="433" t="s">
        <v>2722</v>
      </c>
      <c r="G376" s="433" t="s">
        <v>2907</v>
      </c>
      <c r="H376" s="433" t="s">
        <v>2738</v>
      </c>
      <c r="I376" s="433" t="s">
        <v>2656</v>
      </c>
      <c r="J376" s="433" t="s">
        <v>2654</v>
      </c>
      <c r="K376" s="433" t="s">
        <v>2654</v>
      </c>
      <c r="L376" s="433" t="s">
        <v>2654</v>
      </c>
      <c r="M376" s="433" t="s">
        <v>2654</v>
      </c>
      <c r="N376" s="433" t="s">
        <v>2654</v>
      </c>
      <c r="O376" s="433" t="s">
        <v>4225</v>
      </c>
      <c r="P376" s="433" t="s">
        <v>4080</v>
      </c>
      <c r="Q376" s="431"/>
      <c r="R376" s="431"/>
      <c r="S376" s="426" t="s">
        <v>2688</v>
      </c>
      <c r="T376" s="426" t="s">
        <v>2646</v>
      </c>
      <c r="U376" s="426" t="s">
        <v>3111</v>
      </c>
      <c r="V376" s="426" t="s">
        <v>2797</v>
      </c>
      <c r="W376" s="426" t="s">
        <v>3076</v>
      </c>
      <c r="X376" s="426" t="s">
        <v>2671</v>
      </c>
      <c r="Y376" s="426" t="s">
        <v>3227</v>
      </c>
      <c r="Z376" s="426" t="s">
        <v>2646</v>
      </c>
      <c r="AA376" s="426" t="s">
        <v>2646</v>
      </c>
      <c r="AB376" s="426" t="s">
        <v>2646</v>
      </c>
      <c r="AC376" s="426" t="s">
        <v>2646</v>
      </c>
      <c r="AD376" s="426" t="s">
        <v>2646</v>
      </c>
      <c r="AE376" s="426" t="s">
        <v>2646</v>
      </c>
      <c r="AF376" s="426" t="s">
        <v>2646</v>
      </c>
      <c r="AG376" s="426" t="s">
        <v>2646</v>
      </c>
      <c r="AH376" s="426" t="s">
        <v>2646</v>
      </c>
      <c r="AI376" s="426" t="s">
        <v>2646</v>
      </c>
      <c r="AJ376" s="68" t="s">
        <v>2646</v>
      </c>
    </row>
    <row r="377" spans="1:36" hidden="1">
      <c r="A377" s="392" t="s">
        <v>1706</v>
      </c>
      <c r="B377" s="427" t="s">
        <v>2651</v>
      </c>
      <c r="C377" s="433" t="s">
        <v>3575</v>
      </c>
      <c r="D377" s="433" t="s">
        <v>3710</v>
      </c>
      <c r="E377" s="433" t="s">
        <v>2699</v>
      </c>
      <c r="F377" s="433" t="s">
        <v>2777</v>
      </c>
      <c r="G377" s="433" t="s">
        <v>2674</v>
      </c>
      <c r="H377" s="433" t="s">
        <v>2677</v>
      </c>
      <c r="I377" s="433" t="s">
        <v>2678</v>
      </c>
      <c r="J377" s="433" t="s">
        <v>2654</v>
      </c>
      <c r="K377" s="433" t="s">
        <v>2654</v>
      </c>
      <c r="L377" s="433" t="s">
        <v>2654</v>
      </c>
      <c r="M377" s="433" t="s">
        <v>2654</v>
      </c>
      <c r="N377" s="433" t="s">
        <v>2654</v>
      </c>
      <c r="O377" s="433" t="s">
        <v>2983</v>
      </c>
      <c r="P377" s="433" t="s">
        <v>4080</v>
      </c>
      <c r="Q377" s="431"/>
      <c r="R377" s="431"/>
      <c r="S377" s="426" t="s">
        <v>2778</v>
      </c>
      <c r="T377" s="426" t="s">
        <v>3054</v>
      </c>
      <c r="U377" s="426" t="s">
        <v>3231</v>
      </c>
      <c r="V377" s="426" t="s">
        <v>3231</v>
      </c>
      <c r="W377" s="426" t="s">
        <v>3076</v>
      </c>
      <c r="X377" s="426" t="s">
        <v>2671</v>
      </c>
      <c r="Y377" s="426" t="s">
        <v>3227</v>
      </c>
      <c r="Z377" s="426" t="s">
        <v>2646</v>
      </c>
      <c r="AA377" s="426" t="s">
        <v>2646</v>
      </c>
      <c r="AB377" s="426" t="s">
        <v>2646</v>
      </c>
      <c r="AC377" s="426" t="s">
        <v>2646</v>
      </c>
      <c r="AD377" s="426" t="s">
        <v>2646</v>
      </c>
      <c r="AE377" s="426" t="s">
        <v>2646</v>
      </c>
      <c r="AF377" s="426" t="s">
        <v>2646</v>
      </c>
      <c r="AG377" s="426" t="s">
        <v>2646</v>
      </c>
      <c r="AH377" s="426" t="s">
        <v>2646</v>
      </c>
      <c r="AI377" s="426" t="s">
        <v>2646</v>
      </c>
      <c r="AJ377" s="68" t="s">
        <v>2646</v>
      </c>
    </row>
    <row r="378" spans="1:36">
      <c r="A378" s="392" t="s">
        <v>1706</v>
      </c>
      <c r="B378" s="427" t="s">
        <v>48</v>
      </c>
      <c r="C378" s="433" t="s">
        <v>3959</v>
      </c>
      <c r="D378" s="433" t="s">
        <v>4007</v>
      </c>
      <c r="E378" s="433" t="s">
        <v>4226</v>
      </c>
      <c r="F378" s="433" t="s">
        <v>3938</v>
      </c>
      <c r="G378" s="433" t="s">
        <v>2928</v>
      </c>
      <c r="H378" s="433" t="s">
        <v>3887</v>
      </c>
      <c r="I378" s="433" t="s">
        <v>2792</v>
      </c>
      <c r="J378" s="433" t="s">
        <v>2654</v>
      </c>
      <c r="K378" s="433" t="s">
        <v>2654</v>
      </c>
      <c r="L378" s="433" t="s">
        <v>2654</v>
      </c>
      <c r="M378" s="433" t="s">
        <v>2654</v>
      </c>
      <c r="N378" s="433" t="s">
        <v>2654</v>
      </c>
      <c r="O378" s="433" t="s">
        <v>4227</v>
      </c>
      <c r="P378" s="433" t="s">
        <v>3292</v>
      </c>
      <c r="Q378" s="433" t="s">
        <v>2654</v>
      </c>
      <c r="R378" s="433" t="s">
        <v>2654</v>
      </c>
      <c r="S378" s="426"/>
      <c r="T378" s="426"/>
      <c r="U378" s="426"/>
      <c r="V378" s="426"/>
      <c r="W378" s="426"/>
      <c r="X378" s="426"/>
      <c r="Y378" s="426"/>
      <c r="Z378" s="426"/>
      <c r="AA378" s="426"/>
      <c r="AB378" s="426"/>
      <c r="AC378" s="426"/>
      <c r="AD378" s="426"/>
      <c r="AE378" s="426"/>
      <c r="AF378" s="426"/>
      <c r="AG378" s="426"/>
      <c r="AH378" s="426"/>
      <c r="AI378" s="426"/>
    </row>
    <row r="379" spans="1:36" hidden="1">
      <c r="A379" s="392" t="s">
        <v>1707</v>
      </c>
      <c r="B379" s="427" t="s">
        <v>2647</v>
      </c>
      <c r="C379" s="433" t="s">
        <v>3754</v>
      </c>
      <c r="D379" s="433" t="s">
        <v>3851</v>
      </c>
      <c r="E379" s="433" t="s">
        <v>2849</v>
      </c>
      <c r="F379" s="433" t="s">
        <v>2656</v>
      </c>
      <c r="G379" s="433" t="s">
        <v>2654</v>
      </c>
      <c r="H379" s="433" t="s">
        <v>2654</v>
      </c>
      <c r="I379" s="433" t="s">
        <v>2654</v>
      </c>
      <c r="J379" s="433" t="s">
        <v>2654</v>
      </c>
      <c r="K379" s="433" t="s">
        <v>2654</v>
      </c>
      <c r="L379" s="433" t="s">
        <v>2654</v>
      </c>
      <c r="M379" s="433" t="s">
        <v>2654</v>
      </c>
      <c r="N379" s="433" t="s">
        <v>2654</v>
      </c>
      <c r="O379" s="433" t="s">
        <v>2985</v>
      </c>
      <c r="P379" s="433" t="s">
        <v>4078</v>
      </c>
      <c r="Q379" s="431"/>
      <c r="R379" s="431"/>
      <c r="S379" s="426" t="s">
        <v>2660</v>
      </c>
      <c r="T379" s="426" t="s">
        <v>3234</v>
      </c>
      <c r="U379" s="426" t="s">
        <v>3053</v>
      </c>
      <c r="V379" s="426" t="s">
        <v>3234</v>
      </c>
      <c r="W379" s="426" t="s">
        <v>3076</v>
      </c>
      <c r="X379" s="426" t="s">
        <v>2692</v>
      </c>
      <c r="Y379" s="426" t="s">
        <v>3235</v>
      </c>
      <c r="Z379" s="426" t="s">
        <v>2944</v>
      </c>
      <c r="AA379" s="426" t="s">
        <v>2646</v>
      </c>
      <c r="AB379" s="426" t="s">
        <v>2646</v>
      </c>
      <c r="AC379" s="426" t="s">
        <v>2646</v>
      </c>
      <c r="AD379" s="426" t="s">
        <v>2646</v>
      </c>
      <c r="AE379" s="426" t="s">
        <v>2646</v>
      </c>
      <c r="AF379" s="426" t="s">
        <v>2646</v>
      </c>
      <c r="AG379" s="426" t="s">
        <v>2646</v>
      </c>
      <c r="AH379" s="426" t="s">
        <v>2646</v>
      </c>
      <c r="AI379" s="426" t="s">
        <v>2646</v>
      </c>
      <c r="AJ379" s="68" t="s">
        <v>2646</v>
      </c>
    </row>
    <row r="380" spans="1:36" hidden="1">
      <c r="A380" s="392" t="s">
        <v>1708</v>
      </c>
      <c r="B380" s="427" t="s">
        <v>2648</v>
      </c>
      <c r="C380" s="433" t="s">
        <v>3664</v>
      </c>
      <c r="D380" s="433" t="s">
        <v>3364</v>
      </c>
      <c r="E380" s="433" t="s">
        <v>2674</v>
      </c>
      <c r="F380" s="433" t="s">
        <v>2732</v>
      </c>
      <c r="G380" s="433" t="s">
        <v>2654</v>
      </c>
      <c r="H380" s="433" t="s">
        <v>2654</v>
      </c>
      <c r="I380" s="433" t="s">
        <v>2654</v>
      </c>
      <c r="J380" s="433" t="s">
        <v>2654</v>
      </c>
      <c r="K380" s="433" t="s">
        <v>2654</v>
      </c>
      <c r="L380" s="433" t="s">
        <v>2654</v>
      </c>
      <c r="M380" s="433" t="s">
        <v>2654</v>
      </c>
      <c r="N380" s="433" t="s">
        <v>2654</v>
      </c>
      <c r="O380" s="433" t="s">
        <v>2800</v>
      </c>
      <c r="P380" s="433" t="s">
        <v>4087</v>
      </c>
      <c r="Q380" s="431"/>
      <c r="R380" s="431"/>
      <c r="S380" s="426" t="s">
        <v>3187</v>
      </c>
      <c r="T380" s="426" t="s">
        <v>2821</v>
      </c>
      <c r="U380" s="426" t="s">
        <v>3012</v>
      </c>
      <c r="V380" s="426" t="s">
        <v>3236</v>
      </c>
      <c r="W380" s="426" t="s">
        <v>3076</v>
      </c>
      <c r="X380" s="426" t="s">
        <v>2692</v>
      </c>
      <c r="Y380" s="426" t="s">
        <v>3235</v>
      </c>
      <c r="Z380" s="426" t="s">
        <v>2872</v>
      </c>
      <c r="AA380" s="426" t="s">
        <v>2646</v>
      </c>
      <c r="AB380" s="426" t="s">
        <v>2646</v>
      </c>
      <c r="AC380" s="426" t="s">
        <v>2646</v>
      </c>
      <c r="AD380" s="426" t="s">
        <v>2646</v>
      </c>
      <c r="AE380" s="426" t="s">
        <v>2646</v>
      </c>
      <c r="AF380" s="426" t="s">
        <v>2646</v>
      </c>
      <c r="AG380" s="426" t="s">
        <v>2646</v>
      </c>
      <c r="AH380" s="426" t="s">
        <v>2646</v>
      </c>
      <c r="AI380" s="426" t="s">
        <v>2646</v>
      </c>
      <c r="AJ380" s="68" t="s">
        <v>2646</v>
      </c>
    </row>
    <row r="381" spans="1:36" hidden="1">
      <c r="A381" s="392" t="s">
        <v>1709</v>
      </c>
      <c r="B381" s="427" t="s">
        <v>2649</v>
      </c>
      <c r="C381" s="433" t="s">
        <v>3863</v>
      </c>
      <c r="D381" s="433" t="s">
        <v>3364</v>
      </c>
      <c r="E381" s="433" t="s">
        <v>2674</v>
      </c>
      <c r="F381" s="433" t="s">
        <v>2708</v>
      </c>
      <c r="G381" s="433" t="s">
        <v>2654</v>
      </c>
      <c r="H381" s="433" t="s">
        <v>2654</v>
      </c>
      <c r="I381" s="433" t="s">
        <v>2654</v>
      </c>
      <c r="J381" s="433" t="s">
        <v>2654</v>
      </c>
      <c r="K381" s="433" t="s">
        <v>2654</v>
      </c>
      <c r="L381" s="433" t="s">
        <v>2654</v>
      </c>
      <c r="M381" s="433" t="s">
        <v>2654</v>
      </c>
      <c r="N381" s="433" t="s">
        <v>2654</v>
      </c>
      <c r="O381" s="433" t="s">
        <v>2985</v>
      </c>
      <c r="P381" s="433" t="s">
        <v>4059</v>
      </c>
      <c r="Q381" s="431"/>
      <c r="R381" s="431"/>
      <c r="S381" s="426" t="s">
        <v>2658</v>
      </c>
      <c r="T381" s="426" t="s">
        <v>3062</v>
      </c>
      <c r="U381" s="426" t="s">
        <v>3238</v>
      </c>
      <c r="V381" s="426" t="s">
        <v>3239</v>
      </c>
      <c r="W381" s="426" t="s">
        <v>3076</v>
      </c>
      <c r="X381" s="426" t="s">
        <v>2692</v>
      </c>
      <c r="Y381" s="426" t="s">
        <v>3235</v>
      </c>
      <c r="Z381" s="426" t="s">
        <v>2837</v>
      </c>
      <c r="AA381" s="426" t="s">
        <v>2646</v>
      </c>
      <c r="AB381" s="426" t="s">
        <v>2646</v>
      </c>
      <c r="AC381" s="426" t="s">
        <v>2646</v>
      </c>
      <c r="AD381" s="426" t="s">
        <v>2646</v>
      </c>
      <c r="AE381" s="426" t="s">
        <v>2646</v>
      </c>
      <c r="AF381" s="426" t="s">
        <v>2646</v>
      </c>
      <c r="AG381" s="426" t="s">
        <v>2646</v>
      </c>
      <c r="AH381" s="426" t="s">
        <v>2646</v>
      </c>
      <c r="AI381" s="426" t="s">
        <v>2646</v>
      </c>
      <c r="AJ381" s="68" t="s">
        <v>2646</v>
      </c>
    </row>
    <row r="382" spans="1:36" hidden="1">
      <c r="A382" s="392" t="s">
        <v>1710</v>
      </c>
      <c r="B382" s="427" t="s">
        <v>2650</v>
      </c>
      <c r="C382" s="433" t="s">
        <v>3192</v>
      </c>
      <c r="D382" s="433" t="s">
        <v>3873</v>
      </c>
      <c r="E382" s="433" t="s">
        <v>2825</v>
      </c>
      <c r="F382" s="433" t="s">
        <v>2656</v>
      </c>
      <c r="G382" s="433" t="s">
        <v>2654</v>
      </c>
      <c r="H382" s="433" t="s">
        <v>2654</v>
      </c>
      <c r="I382" s="433" t="s">
        <v>2654</v>
      </c>
      <c r="J382" s="433" t="s">
        <v>2654</v>
      </c>
      <c r="K382" s="433" t="s">
        <v>2654</v>
      </c>
      <c r="L382" s="433" t="s">
        <v>2654</v>
      </c>
      <c r="M382" s="433" t="s">
        <v>2654</v>
      </c>
      <c r="N382" s="433" t="s">
        <v>2654</v>
      </c>
      <c r="O382" s="433" t="s">
        <v>2683</v>
      </c>
      <c r="P382" s="433" t="s">
        <v>4078</v>
      </c>
      <c r="Q382" s="431"/>
      <c r="R382" s="431"/>
      <c r="S382" s="426" t="s">
        <v>2786</v>
      </c>
      <c r="T382" s="426" t="s">
        <v>3000</v>
      </c>
      <c r="U382" s="426" t="s">
        <v>3030</v>
      </c>
      <c r="V382" s="426" t="s">
        <v>3130</v>
      </c>
      <c r="W382" s="426" t="s">
        <v>3076</v>
      </c>
      <c r="X382" s="426" t="s">
        <v>2692</v>
      </c>
      <c r="Y382" s="426" t="s">
        <v>3235</v>
      </c>
      <c r="Z382" s="426" t="s">
        <v>3240</v>
      </c>
      <c r="AA382" s="426" t="s">
        <v>2646</v>
      </c>
      <c r="AB382" s="426" t="s">
        <v>2646</v>
      </c>
      <c r="AC382" s="426" t="s">
        <v>2646</v>
      </c>
      <c r="AD382" s="426" t="s">
        <v>2646</v>
      </c>
      <c r="AE382" s="426" t="s">
        <v>2646</v>
      </c>
      <c r="AF382" s="426" t="s">
        <v>2646</v>
      </c>
      <c r="AG382" s="426" t="s">
        <v>2646</v>
      </c>
      <c r="AH382" s="426" t="s">
        <v>2646</v>
      </c>
      <c r="AI382" s="426" t="s">
        <v>2646</v>
      </c>
      <c r="AJ382" s="68" t="s">
        <v>2646</v>
      </c>
    </row>
    <row r="383" spans="1:36" hidden="1">
      <c r="A383" s="392" t="s">
        <v>1711</v>
      </c>
      <c r="B383" s="427" t="s">
        <v>2651</v>
      </c>
      <c r="C383" s="433" t="s">
        <v>3478</v>
      </c>
      <c r="D383" s="433" t="s">
        <v>3364</v>
      </c>
      <c r="E383" s="433" t="s">
        <v>2917</v>
      </c>
      <c r="F383" s="433" t="s">
        <v>2994</v>
      </c>
      <c r="G383" s="433" t="s">
        <v>2724</v>
      </c>
      <c r="H383" s="433" t="s">
        <v>2654</v>
      </c>
      <c r="I383" s="433" t="s">
        <v>2654</v>
      </c>
      <c r="J383" s="433" t="s">
        <v>2654</v>
      </c>
      <c r="K383" s="433" t="s">
        <v>2654</v>
      </c>
      <c r="L383" s="433" t="s">
        <v>2654</v>
      </c>
      <c r="M383" s="433" t="s">
        <v>2654</v>
      </c>
      <c r="N383" s="433" t="s">
        <v>2654</v>
      </c>
      <c r="O383" s="433" t="s">
        <v>3706</v>
      </c>
      <c r="P383" s="433" t="s">
        <v>4087</v>
      </c>
      <c r="Q383" s="431"/>
      <c r="R383" s="431"/>
      <c r="S383" s="426" t="s">
        <v>2660</v>
      </c>
      <c r="T383" s="426" t="s">
        <v>3241</v>
      </c>
      <c r="U383" s="426" t="s">
        <v>3242</v>
      </c>
      <c r="V383" s="426" t="s">
        <v>3130</v>
      </c>
      <c r="W383" s="426" t="s">
        <v>3076</v>
      </c>
      <c r="X383" s="426" t="s">
        <v>2692</v>
      </c>
      <c r="Y383" s="426" t="s">
        <v>3235</v>
      </c>
      <c r="Z383" s="426" t="s">
        <v>2931</v>
      </c>
      <c r="AA383" s="426" t="s">
        <v>2646</v>
      </c>
      <c r="AB383" s="426" t="s">
        <v>2646</v>
      </c>
      <c r="AC383" s="426" t="s">
        <v>2646</v>
      </c>
      <c r="AD383" s="426" t="s">
        <v>2646</v>
      </c>
      <c r="AE383" s="426" t="s">
        <v>2646</v>
      </c>
      <c r="AF383" s="426" t="s">
        <v>2646</v>
      </c>
      <c r="AG383" s="426" t="s">
        <v>2646</v>
      </c>
      <c r="AH383" s="426" t="s">
        <v>2646</v>
      </c>
      <c r="AI383" s="426" t="s">
        <v>2646</v>
      </c>
      <c r="AJ383" s="68" t="s">
        <v>2646</v>
      </c>
    </row>
    <row r="384" spans="1:36">
      <c r="A384" s="392" t="s">
        <v>1711</v>
      </c>
      <c r="B384" s="427" t="s">
        <v>48</v>
      </c>
      <c r="C384" s="433" t="s">
        <v>4228</v>
      </c>
      <c r="D384" s="433" t="s">
        <v>4229</v>
      </c>
      <c r="E384" s="433" t="s">
        <v>4069</v>
      </c>
      <c r="F384" s="433" t="s">
        <v>3474</v>
      </c>
      <c r="G384" s="433" t="s">
        <v>2678</v>
      </c>
      <c r="H384" s="433" t="s">
        <v>2654</v>
      </c>
      <c r="I384" s="433" t="s">
        <v>2654</v>
      </c>
      <c r="J384" s="433" t="s">
        <v>2654</v>
      </c>
      <c r="K384" s="433" t="s">
        <v>2654</v>
      </c>
      <c r="L384" s="433" t="s">
        <v>2654</v>
      </c>
      <c r="M384" s="433" t="s">
        <v>2654</v>
      </c>
      <c r="N384" s="433" t="s">
        <v>2654</v>
      </c>
      <c r="O384" s="433" t="s">
        <v>2792</v>
      </c>
      <c r="P384" s="433" t="s">
        <v>4141</v>
      </c>
      <c r="Q384" s="433" t="s">
        <v>2654</v>
      </c>
      <c r="R384" s="433" t="s">
        <v>2654</v>
      </c>
      <c r="S384" s="426"/>
      <c r="T384" s="426"/>
      <c r="U384" s="426"/>
      <c r="V384" s="426"/>
      <c r="W384" s="426"/>
      <c r="X384" s="426"/>
      <c r="Y384" s="426"/>
      <c r="Z384" s="426"/>
      <c r="AA384" s="426"/>
      <c r="AB384" s="426"/>
      <c r="AC384" s="426"/>
      <c r="AD384" s="426"/>
      <c r="AE384" s="426"/>
      <c r="AF384" s="426"/>
      <c r="AG384" s="426"/>
      <c r="AH384" s="426"/>
      <c r="AI384" s="426"/>
    </row>
    <row r="385" spans="1:36" hidden="1">
      <c r="A385" s="392" t="s">
        <v>1712</v>
      </c>
      <c r="B385" s="427" t="s">
        <v>2647</v>
      </c>
      <c r="C385" s="433" t="s">
        <v>3363</v>
      </c>
      <c r="D385" s="433" t="s">
        <v>3872</v>
      </c>
      <c r="E385" s="433" t="s">
        <v>2708</v>
      </c>
      <c r="F385" s="433" t="s">
        <v>2654</v>
      </c>
      <c r="G385" s="433" t="s">
        <v>2654</v>
      </c>
      <c r="H385" s="433" t="s">
        <v>2654</v>
      </c>
      <c r="I385" s="433" t="s">
        <v>2654</v>
      </c>
      <c r="J385" s="433" t="s">
        <v>2654</v>
      </c>
      <c r="K385" s="433" t="s">
        <v>2654</v>
      </c>
      <c r="L385" s="433" t="s">
        <v>2654</v>
      </c>
      <c r="M385" s="433" t="s">
        <v>2654</v>
      </c>
      <c r="N385" s="433" t="s">
        <v>2654</v>
      </c>
      <c r="O385" s="433" t="s">
        <v>2654</v>
      </c>
      <c r="P385" s="433" t="s">
        <v>4230</v>
      </c>
      <c r="Q385" s="431"/>
      <c r="R385" s="431"/>
      <c r="S385" s="426" t="s">
        <v>2658</v>
      </c>
      <c r="T385" s="426" t="s">
        <v>3245</v>
      </c>
      <c r="U385" s="426" t="s">
        <v>3048</v>
      </c>
      <c r="V385" s="426" t="s">
        <v>3066</v>
      </c>
      <c r="W385" s="426" t="s">
        <v>3076</v>
      </c>
      <c r="X385" s="426" t="s">
        <v>2727</v>
      </c>
      <c r="Y385" s="426" t="s">
        <v>3246</v>
      </c>
      <c r="Z385" s="426" t="s">
        <v>2847</v>
      </c>
      <c r="AA385" s="426" t="s">
        <v>2922</v>
      </c>
      <c r="AB385" s="426" t="s">
        <v>2646</v>
      </c>
      <c r="AC385" s="426" t="s">
        <v>2646</v>
      </c>
      <c r="AD385" s="426" t="s">
        <v>2646</v>
      </c>
      <c r="AE385" s="426" t="s">
        <v>2646</v>
      </c>
      <c r="AF385" s="426" t="s">
        <v>2646</v>
      </c>
      <c r="AG385" s="426" t="s">
        <v>2646</v>
      </c>
      <c r="AH385" s="426" t="s">
        <v>2646</v>
      </c>
      <c r="AI385" s="426" t="s">
        <v>2646</v>
      </c>
      <c r="AJ385" s="68" t="s">
        <v>2646</v>
      </c>
    </row>
    <row r="386" spans="1:36" hidden="1">
      <c r="A386" s="392" t="s">
        <v>1713</v>
      </c>
      <c r="B386" s="427" t="s">
        <v>2648</v>
      </c>
      <c r="C386" s="433" t="s">
        <v>3619</v>
      </c>
      <c r="D386" s="433" t="s">
        <v>3364</v>
      </c>
      <c r="E386" s="433" t="s">
        <v>2654</v>
      </c>
      <c r="F386" s="433" t="s">
        <v>2654</v>
      </c>
      <c r="G386" s="433" t="s">
        <v>2654</v>
      </c>
      <c r="H386" s="433" t="s">
        <v>2654</v>
      </c>
      <c r="I386" s="433" t="s">
        <v>2654</v>
      </c>
      <c r="J386" s="433" t="s">
        <v>2654</v>
      </c>
      <c r="K386" s="433" t="s">
        <v>2654</v>
      </c>
      <c r="L386" s="433" t="s">
        <v>2654</v>
      </c>
      <c r="M386" s="433" t="s">
        <v>2654</v>
      </c>
      <c r="N386" s="433" t="s">
        <v>2654</v>
      </c>
      <c r="O386" s="433" t="s">
        <v>2654</v>
      </c>
      <c r="P386" s="433" t="s">
        <v>4231</v>
      </c>
      <c r="Q386" s="431"/>
      <c r="R386" s="431"/>
      <c r="S386" s="426" t="s">
        <v>2778</v>
      </c>
      <c r="T386" s="426" t="s">
        <v>3120</v>
      </c>
      <c r="U386" s="426" t="s">
        <v>3191</v>
      </c>
      <c r="V386" s="426" t="s">
        <v>3250</v>
      </c>
      <c r="W386" s="426" t="s">
        <v>3076</v>
      </c>
      <c r="X386" s="426" t="s">
        <v>2727</v>
      </c>
      <c r="Y386" s="426" t="s">
        <v>3246</v>
      </c>
      <c r="Z386" s="426" t="s">
        <v>2847</v>
      </c>
      <c r="AA386" s="426" t="s">
        <v>2931</v>
      </c>
      <c r="AB386" s="426" t="s">
        <v>2646</v>
      </c>
      <c r="AC386" s="426" t="s">
        <v>2646</v>
      </c>
      <c r="AD386" s="426" t="s">
        <v>2646</v>
      </c>
      <c r="AE386" s="426" t="s">
        <v>2646</v>
      </c>
      <c r="AF386" s="426" t="s">
        <v>2646</v>
      </c>
      <c r="AG386" s="426" t="s">
        <v>2646</v>
      </c>
      <c r="AH386" s="426" t="s">
        <v>2646</v>
      </c>
      <c r="AI386" s="426" t="s">
        <v>2646</v>
      </c>
      <c r="AJ386" s="68" t="s">
        <v>2646</v>
      </c>
    </row>
    <row r="387" spans="1:36" hidden="1">
      <c r="A387" s="392" t="s">
        <v>1714</v>
      </c>
      <c r="B387" s="427" t="s">
        <v>2649</v>
      </c>
      <c r="C387" s="433" t="s">
        <v>3244</v>
      </c>
      <c r="D387" s="433" t="s">
        <v>3710</v>
      </c>
      <c r="E387" s="433" t="s">
        <v>2654</v>
      </c>
      <c r="F387" s="433" t="s">
        <v>2654</v>
      </c>
      <c r="G387" s="433" t="s">
        <v>2654</v>
      </c>
      <c r="H387" s="433" t="s">
        <v>2654</v>
      </c>
      <c r="I387" s="433" t="s">
        <v>2654</v>
      </c>
      <c r="J387" s="433" t="s">
        <v>2654</v>
      </c>
      <c r="K387" s="433" t="s">
        <v>2654</v>
      </c>
      <c r="L387" s="433" t="s">
        <v>2654</v>
      </c>
      <c r="M387" s="433" t="s">
        <v>2654</v>
      </c>
      <c r="N387" s="433" t="s">
        <v>2654</v>
      </c>
      <c r="O387" s="433" t="s">
        <v>2654</v>
      </c>
      <c r="P387" s="433" t="s">
        <v>4093</v>
      </c>
      <c r="Q387" s="431"/>
      <c r="R387" s="431"/>
      <c r="S387" s="426" t="s">
        <v>2669</v>
      </c>
      <c r="T387" s="426" t="s">
        <v>2690</v>
      </c>
      <c r="U387" s="426" t="s">
        <v>3196</v>
      </c>
      <c r="V387" s="426" t="s">
        <v>2711</v>
      </c>
      <c r="W387" s="426" t="s">
        <v>3076</v>
      </c>
      <c r="X387" s="426" t="s">
        <v>2727</v>
      </c>
      <c r="Y387" s="426" t="s">
        <v>3246</v>
      </c>
      <c r="Z387" s="426" t="s">
        <v>2847</v>
      </c>
      <c r="AA387" s="426" t="s">
        <v>2872</v>
      </c>
      <c r="AB387" s="426" t="s">
        <v>2646</v>
      </c>
      <c r="AC387" s="426" t="s">
        <v>2646</v>
      </c>
      <c r="AD387" s="426" t="s">
        <v>2646</v>
      </c>
      <c r="AE387" s="426" t="s">
        <v>2646</v>
      </c>
      <c r="AF387" s="426" t="s">
        <v>2646</v>
      </c>
      <c r="AG387" s="426" t="s">
        <v>2646</v>
      </c>
      <c r="AH387" s="426" t="s">
        <v>2646</v>
      </c>
      <c r="AI387" s="426" t="s">
        <v>2646</v>
      </c>
      <c r="AJ387" s="68" t="s">
        <v>2646</v>
      </c>
    </row>
    <row r="388" spans="1:36" hidden="1">
      <c r="A388" s="392" t="s">
        <v>1715</v>
      </c>
      <c r="B388" s="427" t="s">
        <v>2650</v>
      </c>
      <c r="C388" s="433" t="s">
        <v>3720</v>
      </c>
      <c r="D388" s="433" t="s">
        <v>3364</v>
      </c>
      <c r="E388" s="433" t="s">
        <v>2654</v>
      </c>
      <c r="F388" s="433" t="s">
        <v>2654</v>
      </c>
      <c r="G388" s="433" t="s">
        <v>2654</v>
      </c>
      <c r="H388" s="433" t="s">
        <v>2654</v>
      </c>
      <c r="I388" s="433" t="s">
        <v>2654</v>
      </c>
      <c r="J388" s="433" t="s">
        <v>2654</v>
      </c>
      <c r="K388" s="433" t="s">
        <v>2654</v>
      </c>
      <c r="L388" s="433" t="s">
        <v>2654</v>
      </c>
      <c r="M388" s="433" t="s">
        <v>2654</v>
      </c>
      <c r="N388" s="433" t="s">
        <v>2654</v>
      </c>
      <c r="O388" s="433" t="s">
        <v>2654</v>
      </c>
      <c r="P388" s="433" t="s">
        <v>4129</v>
      </c>
      <c r="Q388" s="431"/>
      <c r="R388" s="431"/>
      <c r="S388" s="426" t="s">
        <v>2655</v>
      </c>
      <c r="T388" s="426" t="s">
        <v>3251</v>
      </c>
      <c r="U388" s="426" t="s">
        <v>3251</v>
      </c>
      <c r="V388" s="426" t="s">
        <v>3251</v>
      </c>
      <c r="W388" s="426" t="s">
        <v>3076</v>
      </c>
      <c r="X388" s="426" t="s">
        <v>2727</v>
      </c>
      <c r="Y388" s="426" t="s">
        <v>3246</v>
      </c>
      <c r="Z388" s="426" t="s">
        <v>3252</v>
      </c>
      <c r="AA388" s="426" t="s">
        <v>3240</v>
      </c>
      <c r="AB388" s="426" t="s">
        <v>2646</v>
      </c>
      <c r="AC388" s="426" t="s">
        <v>2646</v>
      </c>
      <c r="AD388" s="426" t="s">
        <v>2646</v>
      </c>
      <c r="AE388" s="426" t="s">
        <v>2646</v>
      </c>
      <c r="AF388" s="426" t="s">
        <v>2646</v>
      </c>
      <c r="AG388" s="426" t="s">
        <v>2646</v>
      </c>
      <c r="AH388" s="426" t="s">
        <v>2646</v>
      </c>
      <c r="AI388" s="426" t="s">
        <v>2646</v>
      </c>
      <c r="AJ388" s="68" t="s">
        <v>2646</v>
      </c>
    </row>
    <row r="389" spans="1:36" hidden="1">
      <c r="A389" s="392" t="s">
        <v>1716</v>
      </c>
      <c r="B389" s="427" t="s">
        <v>2651</v>
      </c>
      <c r="C389" s="433" t="s">
        <v>3485</v>
      </c>
      <c r="D389" s="433" t="s">
        <v>3364</v>
      </c>
      <c r="E389" s="433" t="s">
        <v>2654</v>
      </c>
      <c r="F389" s="433" t="s">
        <v>2654</v>
      </c>
      <c r="G389" s="433" t="s">
        <v>2654</v>
      </c>
      <c r="H389" s="433" t="s">
        <v>2654</v>
      </c>
      <c r="I389" s="433" t="s">
        <v>2654</v>
      </c>
      <c r="J389" s="433" t="s">
        <v>2654</v>
      </c>
      <c r="K389" s="433" t="s">
        <v>2654</v>
      </c>
      <c r="L389" s="433" t="s">
        <v>2654</v>
      </c>
      <c r="M389" s="433" t="s">
        <v>2654</v>
      </c>
      <c r="N389" s="433" t="s">
        <v>2654</v>
      </c>
      <c r="O389" s="433" t="s">
        <v>2654</v>
      </c>
      <c r="P389" s="433" t="s">
        <v>4078</v>
      </c>
      <c r="Q389" s="431"/>
      <c r="R389" s="431"/>
      <c r="S389" s="426" t="s">
        <v>2655</v>
      </c>
      <c r="T389" s="426" t="s">
        <v>3117</v>
      </c>
      <c r="U389" s="426" t="s">
        <v>3023</v>
      </c>
      <c r="V389" s="426" t="s">
        <v>3066</v>
      </c>
      <c r="W389" s="426" t="s">
        <v>3076</v>
      </c>
      <c r="X389" s="426" t="s">
        <v>2727</v>
      </c>
      <c r="Y389" s="426" t="s">
        <v>3246</v>
      </c>
      <c r="Z389" s="426" t="s">
        <v>2847</v>
      </c>
      <c r="AA389" s="426" t="s">
        <v>2810</v>
      </c>
      <c r="AB389" s="426" t="s">
        <v>2646</v>
      </c>
      <c r="AC389" s="426" t="s">
        <v>2646</v>
      </c>
      <c r="AD389" s="426" t="s">
        <v>2646</v>
      </c>
      <c r="AE389" s="426" t="s">
        <v>2646</v>
      </c>
      <c r="AF389" s="426" t="s">
        <v>2646</v>
      </c>
      <c r="AG389" s="426" t="s">
        <v>2646</v>
      </c>
      <c r="AH389" s="426" t="s">
        <v>2646</v>
      </c>
      <c r="AI389" s="426" t="s">
        <v>2646</v>
      </c>
      <c r="AJ389" s="68" t="s">
        <v>2646</v>
      </c>
    </row>
    <row r="390" spans="1:36">
      <c r="A390" s="392" t="s">
        <v>1716</v>
      </c>
      <c r="B390" s="427" t="s">
        <v>48</v>
      </c>
      <c r="C390" s="433" t="s">
        <v>4232</v>
      </c>
      <c r="D390" s="433" t="s">
        <v>3874</v>
      </c>
      <c r="E390" s="433" t="s">
        <v>2934</v>
      </c>
      <c r="F390" s="433" t="s">
        <v>2654</v>
      </c>
      <c r="G390" s="433" t="s">
        <v>2654</v>
      </c>
      <c r="H390" s="433" t="s">
        <v>2654</v>
      </c>
      <c r="I390" s="433" t="s">
        <v>2654</v>
      </c>
      <c r="J390" s="433" t="s">
        <v>2654</v>
      </c>
      <c r="K390" s="433" t="s">
        <v>2654</v>
      </c>
      <c r="L390" s="433" t="s">
        <v>2654</v>
      </c>
      <c r="M390" s="433" t="s">
        <v>2654</v>
      </c>
      <c r="N390" s="433" t="s">
        <v>2654</v>
      </c>
      <c r="O390" s="433" t="s">
        <v>2654</v>
      </c>
      <c r="P390" s="433" t="s">
        <v>3855</v>
      </c>
      <c r="Q390" s="433" t="s">
        <v>2654</v>
      </c>
      <c r="R390" s="433" t="s">
        <v>2654</v>
      </c>
      <c r="S390" s="426"/>
      <c r="T390" s="426"/>
      <c r="U390" s="426"/>
      <c r="V390" s="426"/>
      <c r="W390" s="426"/>
      <c r="X390" s="426"/>
      <c r="Y390" s="426"/>
      <c r="Z390" s="426"/>
      <c r="AA390" s="426"/>
      <c r="AB390" s="426"/>
      <c r="AC390" s="426"/>
      <c r="AD390" s="426"/>
      <c r="AE390" s="426"/>
      <c r="AF390" s="426"/>
      <c r="AG390" s="426"/>
      <c r="AH390" s="426"/>
      <c r="AI390" s="426"/>
    </row>
    <row r="391" spans="1:36" hidden="1">
      <c r="A391" s="392" t="s">
        <v>1717</v>
      </c>
      <c r="B391" s="427" t="s">
        <v>2647</v>
      </c>
      <c r="C391" s="433" t="s">
        <v>3289</v>
      </c>
      <c r="D391" s="433" t="s">
        <v>3364</v>
      </c>
      <c r="E391" s="433" t="s">
        <v>2654</v>
      </c>
      <c r="F391" s="433" t="s">
        <v>2654</v>
      </c>
      <c r="G391" s="433" t="s">
        <v>2654</v>
      </c>
      <c r="H391" s="433" t="s">
        <v>2654</v>
      </c>
      <c r="I391" s="433" t="s">
        <v>2654</v>
      </c>
      <c r="J391" s="433" t="s">
        <v>2654</v>
      </c>
      <c r="K391" s="433" t="s">
        <v>2654</v>
      </c>
      <c r="L391" s="433" t="s">
        <v>2654</v>
      </c>
      <c r="M391" s="433" t="s">
        <v>2654</v>
      </c>
      <c r="N391" s="433" t="s">
        <v>2654</v>
      </c>
      <c r="O391" s="433" t="s">
        <v>2654</v>
      </c>
      <c r="P391" s="433" t="s">
        <v>4233</v>
      </c>
      <c r="Q391" s="431"/>
      <c r="R391" s="431"/>
      <c r="S391" s="426" t="s">
        <v>2657</v>
      </c>
      <c r="T391" s="426" t="s">
        <v>3062</v>
      </c>
      <c r="U391" s="426" t="s">
        <v>3048</v>
      </c>
      <c r="V391" s="426" t="s">
        <v>3259</v>
      </c>
      <c r="W391" s="426" t="s">
        <v>3076</v>
      </c>
      <c r="X391" s="426" t="s">
        <v>2758</v>
      </c>
      <c r="Y391" s="426" t="s">
        <v>3260</v>
      </c>
      <c r="Z391" s="426" t="s">
        <v>3261</v>
      </c>
      <c r="AA391" s="426" t="s">
        <v>3200</v>
      </c>
      <c r="AB391" s="426" t="s">
        <v>2646</v>
      </c>
      <c r="AC391" s="426" t="s">
        <v>2646</v>
      </c>
      <c r="AD391" s="426" t="s">
        <v>2646</v>
      </c>
      <c r="AE391" s="426" t="s">
        <v>2646</v>
      </c>
      <c r="AF391" s="426" t="s">
        <v>2646</v>
      </c>
      <c r="AG391" s="426" t="s">
        <v>2646</v>
      </c>
      <c r="AH391" s="426" t="s">
        <v>2646</v>
      </c>
      <c r="AI391" s="426" t="s">
        <v>2646</v>
      </c>
      <c r="AJ391" s="68" t="s">
        <v>2646</v>
      </c>
    </row>
    <row r="392" spans="1:36" hidden="1">
      <c r="A392" s="392" t="s">
        <v>1718</v>
      </c>
      <c r="B392" s="427" t="s">
        <v>2648</v>
      </c>
      <c r="C392" s="433" t="s">
        <v>3627</v>
      </c>
      <c r="D392" s="433" t="s">
        <v>3364</v>
      </c>
      <c r="E392" s="433" t="s">
        <v>2654</v>
      </c>
      <c r="F392" s="433" t="s">
        <v>2654</v>
      </c>
      <c r="G392" s="433" t="s">
        <v>2654</v>
      </c>
      <c r="H392" s="433" t="s">
        <v>2654</v>
      </c>
      <c r="I392" s="433" t="s">
        <v>2654</v>
      </c>
      <c r="J392" s="433" t="s">
        <v>2654</v>
      </c>
      <c r="K392" s="433" t="s">
        <v>2654</v>
      </c>
      <c r="L392" s="433" t="s">
        <v>2654</v>
      </c>
      <c r="M392" s="433" t="s">
        <v>2654</v>
      </c>
      <c r="N392" s="433" t="s">
        <v>2654</v>
      </c>
      <c r="O392" s="433" t="s">
        <v>2654</v>
      </c>
      <c r="P392" s="433" t="s">
        <v>4078</v>
      </c>
      <c r="Q392" s="431"/>
      <c r="R392" s="431"/>
      <c r="S392" s="426" t="s">
        <v>2669</v>
      </c>
      <c r="T392" s="426" t="s">
        <v>3130</v>
      </c>
      <c r="U392" s="426" t="s">
        <v>3048</v>
      </c>
      <c r="V392" s="426" t="s">
        <v>3259</v>
      </c>
      <c r="W392" s="426" t="s">
        <v>3076</v>
      </c>
      <c r="X392" s="426" t="s">
        <v>2758</v>
      </c>
      <c r="Y392" s="426" t="s">
        <v>3260</v>
      </c>
      <c r="Z392" s="426" t="s">
        <v>3261</v>
      </c>
      <c r="AA392" s="426" t="s">
        <v>3105</v>
      </c>
      <c r="AB392" s="426" t="s">
        <v>2646</v>
      </c>
      <c r="AC392" s="426" t="s">
        <v>2646</v>
      </c>
      <c r="AD392" s="426" t="s">
        <v>2646</v>
      </c>
      <c r="AE392" s="426" t="s">
        <v>2646</v>
      </c>
      <c r="AF392" s="426" t="s">
        <v>2646</v>
      </c>
      <c r="AG392" s="426" t="s">
        <v>2646</v>
      </c>
      <c r="AH392" s="426" t="s">
        <v>2646</v>
      </c>
      <c r="AI392" s="426" t="s">
        <v>2646</v>
      </c>
      <c r="AJ392" s="68" t="s">
        <v>2646</v>
      </c>
    </row>
    <row r="393" spans="1:36" hidden="1">
      <c r="A393" s="392" t="s">
        <v>1719</v>
      </c>
      <c r="B393" s="427" t="s">
        <v>2649</v>
      </c>
      <c r="C393" s="433" t="s">
        <v>3709</v>
      </c>
      <c r="D393" s="433" t="s">
        <v>3710</v>
      </c>
      <c r="E393" s="433" t="s">
        <v>2654</v>
      </c>
      <c r="F393" s="433" t="s">
        <v>2654</v>
      </c>
      <c r="G393" s="433" t="s">
        <v>2654</v>
      </c>
      <c r="H393" s="433" t="s">
        <v>2654</v>
      </c>
      <c r="I393" s="433" t="s">
        <v>2654</v>
      </c>
      <c r="J393" s="433" t="s">
        <v>2654</v>
      </c>
      <c r="K393" s="433" t="s">
        <v>2654</v>
      </c>
      <c r="L393" s="433" t="s">
        <v>2654</v>
      </c>
      <c r="M393" s="433" t="s">
        <v>2654</v>
      </c>
      <c r="N393" s="433" t="s">
        <v>2654</v>
      </c>
      <c r="O393" s="433" t="s">
        <v>2654</v>
      </c>
      <c r="P393" s="433" t="s">
        <v>4078</v>
      </c>
      <c r="Q393" s="431"/>
      <c r="R393" s="431"/>
      <c r="S393" s="426" t="s">
        <v>2669</v>
      </c>
      <c r="T393" s="426" t="s">
        <v>3263</v>
      </c>
      <c r="U393" s="426" t="s">
        <v>3251</v>
      </c>
      <c r="V393" s="426" t="s">
        <v>3251</v>
      </c>
      <c r="W393" s="426" t="s">
        <v>3076</v>
      </c>
      <c r="X393" s="426" t="s">
        <v>2758</v>
      </c>
      <c r="Y393" s="426" t="s">
        <v>3260</v>
      </c>
      <c r="Z393" s="426" t="s">
        <v>2847</v>
      </c>
      <c r="AA393" s="426" t="s">
        <v>2931</v>
      </c>
      <c r="AB393" s="426" t="s">
        <v>2646</v>
      </c>
      <c r="AC393" s="426" t="s">
        <v>2646</v>
      </c>
      <c r="AD393" s="426" t="s">
        <v>2646</v>
      </c>
      <c r="AE393" s="426" t="s">
        <v>2646</v>
      </c>
      <c r="AF393" s="426" t="s">
        <v>2646</v>
      </c>
      <c r="AG393" s="426" t="s">
        <v>2646</v>
      </c>
      <c r="AH393" s="426" t="s">
        <v>2646</v>
      </c>
      <c r="AI393" s="426" t="s">
        <v>2646</v>
      </c>
      <c r="AJ393" s="68" t="s">
        <v>2646</v>
      </c>
    </row>
    <row r="394" spans="1:36" hidden="1">
      <c r="A394" s="392" t="s">
        <v>1720</v>
      </c>
      <c r="B394" s="427" t="s">
        <v>2650</v>
      </c>
      <c r="C394" s="433" t="s">
        <v>3627</v>
      </c>
      <c r="D394" s="433" t="s">
        <v>3364</v>
      </c>
      <c r="E394" s="433" t="s">
        <v>2654</v>
      </c>
      <c r="F394" s="433" t="s">
        <v>2654</v>
      </c>
      <c r="G394" s="433" t="s">
        <v>2654</v>
      </c>
      <c r="H394" s="433" t="s">
        <v>2654</v>
      </c>
      <c r="I394" s="433" t="s">
        <v>2654</v>
      </c>
      <c r="J394" s="433" t="s">
        <v>2654</v>
      </c>
      <c r="K394" s="433" t="s">
        <v>2654</v>
      </c>
      <c r="L394" s="433" t="s">
        <v>2654</v>
      </c>
      <c r="M394" s="433" t="s">
        <v>2654</v>
      </c>
      <c r="N394" s="433" t="s">
        <v>2654</v>
      </c>
      <c r="O394" s="433" t="s">
        <v>2654</v>
      </c>
      <c r="P394" s="433" t="s">
        <v>4129</v>
      </c>
      <c r="Q394" s="431"/>
      <c r="R394" s="431"/>
      <c r="S394" s="426" t="s">
        <v>2655</v>
      </c>
      <c r="T394" s="426" t="s">
        <v>3264</v>
      </c>
      <c r="U394" s="426" t="s">
        <v>3202</v>
      </c>
      <c r="V394" s="426" t="s">
        <v>3265</v>
      </c>
      <c r="W394" s="426" t="s">
        <v>3076</v>
      </c>
      <c r="X394" s="426" t="s">
        <v>2758</v>
      </c>
      <c r="Y394" s="426" t="s">
        <v>3260</v>
      </c>
      <c r="Z394" s="426" t="s">
        <v>3261</v>
      </c>
      <c r="AA394" s="426" t="s">
        <v>2837</v>
      </c>
      <c r="AB394" s="426" t="s">
        <v>3266</v>
      </c>
      <c r="AC394" s="426" t="s">
        <v>2646</v>
      </c>
      <c r="AD394" s="426" t="s">
        <v>2646</v>
      </c>
      <c r="AE394" s="426" t="s">
        <v>2646</v>
      </c>
      <c r="AF394" s="426" t="s">
        <v>2646</v>
      </c>
      <c r="AG394" s="426" t="s">
        <v>2646</v>
      </c>
      <c r="AH394" s="426" t="s">
        <v>2646</v>
      </c>
      <c r="AI394" s="426" t="s">
        <v>2646</v>
      </c>
      <c r="AJ394" s="68" t="s">
        <v>2646</v>
      </c>
    </row>
    <row r="395" spans="1:36" hidden="1">
      <c r="A395" s="392" t="s">
        <v>1721</v>
      </c>
      <c r="B395" s="427" t="s">
        <v>2651</v>
      </c>
      <c r="C395" s="433" t="s">
        <v>3651</v>
      </c>
      <c r="D395" s="433" t="s">
        <v>3710</v>
      </c>
      <c r="E395" s="433" t="s">
        <v>2654</v>
      </c>
      <c r="F395" s="433" t="s">
        <v>2654</v>
      </c>
      <c r="G395" s="433" t="s">
        <v>2654</v>
      </c>
      <c r="H395" s="433" t="s">
        <v>2654</v>
      </c>
      <c r="I395" s="433" t="s">
        <v>2654</v>
      </c>
      <c r="J395" s="433" t="s">
        <v>2654</v>
      </c>
      <c r="K395" s="433" t="s">
        <v>2654</v>
      </c>
      <c r="L395" s="433" t="s">
        <v>2654</v>
      </c>
      <c r="M395" s="433" t="s">
        <v>2654</v>
      </c>
      <c r="N395" s="433" t="s">
        <v>2654</v>
      </c>
      <c r="O395" s="433" t="s">
        <v>2654</v>
      </c>
      <c r="P395" s="433" t="s">
        <v>4087</v>
      </c>
      <c r="Q395" s="431"/>
      <c r="R395" s="431"/>
      <c r="S395" s="426" t="s">
        <v>2664</v>
      </c>
      <c r="T395" s="426" t="s">
        <v>2756</v>
      </c>
      <c r="U395" s="426" t="s">
        <v>3196</v>
      </c>
      <c r="V395" s="426" t="s">
        <v>3030</v>
      </c>
      <c r="W395" s="426" t="s">
        <v>3076</v>
      </c>
      <c r="X395" s="426" t="s">
        <v>2758</v>
      </c>
      <c r="Y395" s="426" t="s">
        <v>3260</v>
      </c>
      <c r="Z395" s="426" t="s">
        <v>3261</v>
      </c>
      <c r="AA395" s="426" t="s">
        <v>2937</v>
      </c>
      <c r="AB395" s="426" t="s">
        <v>3110</v>
      </c>
      <c r="AC395" s="426" t="s">
        <v>2646</v>
      </c>
      <c r="AD395" s="426" t="s">
        <v>2646</v>
      </c>
      <c r="AE395" s="426" t="s">
        <v>2646</v>
      </c>
      <c r="AF395" s="426" t="s">
        <v>2646</v>
      </c>
      <c r="AG395" s="426" t="s">
        <v>2646</v>
      </c>
      <c r="AH395" s="426" t="s">
        <v>2646</v>
      </c>
      <c r="AI395" s="426" t="s">
        <v>2646</v>
      </c>
      <c r="AJ395" s="68" t="s">
        <v>2646</v>
      </c>
    </row>
    <row r="396" spans="1:36">
      <c r="A396" s="392" t="s">
        <v>1721</v>
      </c>
      <c r="B396" s="427" t="s">
        <v>48</v>
      </c>
      <c r="C396" s="433" t="s">
        <v>4234</v>
      </c>
      <c r="D396" s="433" t="s">
        <v>3856</v>
      </c>
      <c r="E396" s="433" t="s">
        <v>2654</v>
      </c>
      <c r="F396" s="433" t="s">
        <v>2654</v>
      </c>
      <c r="G396" s="433" t="s">
        <v>2654</v>
      </c>
      <c r="H396" s="433" t="s">
        <v>2654</v>
      </c>
      <c r="I396" s="433" t="s">
        <v>2654</v>
      </c>
      <c r="J396" s="433" t="s">
        <v>2654</v>
      </c>
      <c r="K396" s="433" t="s">
        <v>2654</v>
      </c>
      <c r="L396" s="433" t="s">
        <v>2654</v>
      </c>
      <c r="M396" s="433" t="s">
        <v>2654</v>
      </c>
      <c r="N396" s="433" t="s">
        <v>2654</v>
      </c>
      <c r="O396" s="433" t="s">
        <v>2654</v>
      </c>
      <c r="P396" s="433" t="s">
        <v>2687</v>
      </c>
      <c r="Q396" s="433" t="s">
        <v>2654</v>
      </c>
      <c r="R396" s="433" t="s">
        <v>2654</v>
      </c>
      <c r="S396" s="426"/>
      <c r="T396" s="426"/>
      <c r="U396" s="426"/>
      <c r="V396" s="426"/>
      <c r="W396" s="426"/>
      <c r="X396" s="426"/>
      <c r="Y396" s="426"/>
      <c r="Z396" s="426"/>
      <c r="AA396" s="426"/>
      <c r="AB396" s="426"/>
      <c r="AC396" s="426"/>
      <c r="AD396" s="426"/>
      <c r="AE396" s="426"/>
      <c r="AF396" s="426"/>
      <c r="AG396" s="426"/>
      <c r="AH396" s="426"/>
      <c r="AI396" s="426"/>
    </row>
    <row r="397" spans="1:36" hidden="1">
      <c r="A397" s="392" t="s">
        <v>1722</v>
      </c>
      <c r="B397" s="427" t="s">
        <v>2647</v>
      </c>
      <c r="C397" s="433" t="s">
        <v>4235</v>
      </c>
      <c r="D397" s="433" t="s">
        <v>3858</v>
      </c>
      <c r="E397" s="433" t="s">
        <v>2908</v>
      </c>
      <c r="F397" s="433" t="s">
        <v>2699</v>
      </c>
      <c r="G397" s="433" t="s">
        <v>2753</v>
      </c>
      <c r="H397" s="433" t="s">
        <v>2921</v>
      </c>
      <c r="I397" s="433" t="s">
        <v>2731</v>
      </c>
      <c r="J397" s="433" t="s">
        <v>2849</v>
      </c>
      <c r="K397" s="433" t="s">
        <v>2870</v>
      </c>
      <c r="L397" s="433" t="s">
        <v>2791</v>
      </c>
      <c r="M397" s="433" t="s">
        <v>2654</v>
      </c>
      <c r="N397" s="433" t="s">
        <v>2654</v>
      </c>
      <c r="O397" s="433" t="s">
        <v>4236</v>
      </c>
      <c r="P397" s="433" t="s">
        <v>4093</v>
      </c>
      <c r="Q397" s="431"/>
      <c r="R397" s="431"/>
      <c r="S397" s="426" t="s">
        <v>2844</v>
      </c>
      <c r="T397" s="426" t="s">
        <v>2646</v>
      </c>
      <c r="U397" s="426" t="s">
        <v>2646</v>
      </c>
      <c r="V397" s="426" t="s">
        <v>2646</v>
      </c>
      <c r="W397" s="426" t="s">
        <v>2646</v>
      </c>
      <c r="X397" s="426" t="s">
        <v>2646</v>
      </c>
      <c r="Y397" s="426" t="s">
        <v>2646</v>
      </c>
      <c r="Z397" s="426" t="s">
        <v>2646</v>
      </c>
      <c r="AA397" s="426" t="s">
        <v>2646</v>
      </c>
      <c r="AB397" s="426" t="s">
        <v>2646</v>
      </c>
      <c r="AC397" s="426" t="s">
        <v>2646</v>
      </c>
      <c r="AD397" s="426" t="s">
        <v>2646</v>
      </c>
      <c r="AE397" s="426" t="s">
        <v>2646</v>
      </c>
      <c r="AF397" s="426" t="s">
        <v>2646</v>
      </c>
      <c r="AG397" s="426" t="s">
        <v>2646</v>
      </c>
      <c r="AH397" s="426" t="s">
        <v>2646</v>
      </c>
      <c r="AI397" s="426" t="s">
        <v>2646</v>
      </c>
      <c r="AJ397" s="68" t="s">
        <v>2646</v>
      </c>
    </row>
    <row r="398" spans="1:36" hidden="1">
      <c r="A398" s="392" t="s">
        <v>1723</v>
      </c>
      <c r="B398" s="427" t="s">
        <v>2648</v>
      </c>
      <c r="C398" s="433" t="s">
        <v>3690</v>
      </c>
      <c r="D398" s="433" t="s">
        <v>3364</v>
      </c>
      <c r="E398" s="433" t="s">
        <v>2877</v>
      </c>
      <c r="F398" s="433" t="s">
        <v>2966</v>
      </c>
      <c r="G398" s="433" t="s">
        <v>2801</v>
      </c>
      <c r="H398" s="433" t="s">
        <v>2907</v>
      </c>
      <c r="I398" s="433" t="s">
        <v>2707</v>
      </c>
      <c r="J398" s="433" t="s">
        <v>2738</v>
      </c>
      <c r="K398" s="433" t="s">
        <v>2687</v>
      </c>
      <c r="L398" s="433" t="s">
        <v>2708</v>
      </c>
      <c r="M398" s="433" t="s">
        <v>2654</v>
      </c>
      <c r="N398" s="433" t="s">
        <v>2654</v>
      </c>
      <c r="O398" s="433" t="s">
        <v>4237</v>
      </c>
      <c r="P398" s="433" t="s">
        <v>4061</v>
      </c>
      <c r="Q398" s="431"/>
      <c r="R398" s="431"/>
      <c r="S398" s="426" t="s">
        <v>3268</v>
      </c>
      <c r="T398" s="426" t="s">
        <v>2646</v>
      </c>
      <c r="U398" s="426" t="s">
        <v>2646</v>
      </c>
      <c r="V398" s="426" t="s">
        <v>2646</v>
      </c>
      <c r="W398" s="426" t="s">
        <v>2646</v>
      </c>
      <c r="X398" s="426" t="s">
        <v>2646</v>
      </c>
      <c r="Y398" s="426" t="s">
        <v>2646</v>
      </c>
      <c r="Z398" s="426" t="s">
        <v>2646</v>
      </c>
      <c r="AA398" s="426" t="s">
        <v>2646</v>
      </c>
      <c r="AB398" s="426" t="s">
        <v>2646</v>
      </c>
      <c r="AC398" s="426" t="s">
        <v>2646</v>
      </c>
      <c r="AD398" s="426" t="s">
        <v>2646</v>
      </c>
      <c r="AE398" s="426" t="s">
        <v>2646</v>
      </c>
      <c r="AF398" s="426" t="s">
        <v>2646</v>
      </c>
      <c r="AG398" s="426" t="s">
        <v>2646</v>
      </c>
      <c r="AH398" s="426" t="s">
        <v>2646</v>
      </c>
      <c r="AI398" s="426" t="s">
        <v>2646</v>
      </c>
      <c r="AJ398" s="68" t="s">
        <v>2646</v>
      </c>
    </row>
    <row r="399" spans="1:36" hidden="1">
      <c r="A399" s="392" t="s">
        <v>1724</v>
      </c>
      <c r="B399" s="427" t="s">
        <v>2649</v>
      </c>
      <c r="C399" s="433" t="s">
        <v>3854</v>
      </c>
      <c r="D399" s="433" t="s">
        <v>3364</v>
      </c>
      <c r="E399" s="433" t="s">
        <v>2916</v>
      </c>
      <c r="F399" s="433" t="s">
        <v>2801</v>
      </c>
      <c r="G399" s="433" t="s">
        <v>3046</v>
      </c>
      <c r="H399" s="433" t="s">
        <v>3036</v>
      </c>
      <c r="I399" s="433" t="s">
        <v>2676</v>
      </c>
      <c r="J399" s="433" t="s">
        <v>2738</v>
      </c>
      <c r="K399" s="433" t="s">
        <v>2807</v>
      </c>
      <c r="L399" s="433" t="s">
        <v>2678</v>
      </c>
      <c r="M399" s="433" t="s">
        <v>2654</v>
      </c>
      <c r="N399" s="433" t="s">
        <v>2654</v>
      </c>
      <c r="O399" s="433" t="s">
        <v>4238</v>
      </c>
      <c r="P399" s="433" t="s">
        <v>4078</v>
      </c>
      <c r="Q399" s="431"/>
      <c r="R399" s="431"/>
      <c r="S399" s="426" t="s">
        <v>2655</v>
      </c>
      <c r="T399" s="426" t="s">
        <v>3269</v>
      </c>
      <c r="U399" s="426" t="s">
        <v>3270</v>
      </c>
      <c r="V399" s="426" t="s">
        <v>3269</v>
      </c>
      <c r="W399" s="426" t="s">
        <v>3271</v>
      </c>
      <c r="X399" s="426" t="s">
        <v>2888</v>
      </c>
      <c r="Y399" s="426" t="s">
        <v>3272</v>
      </c>
      <c r="Z399" s="426" t="s">
        <v>2646</v>
      </c>
      <c r="AA399" s="426" t="s">
        <v>2646</v>
      </c>
      <c r="AB399" s="426" t="s">
        <v>2646</v>
      </c>
      <c r="AC399" s="426" t="s">
        <v>2646</v>
      </c>
      <c r="AD399" s="426" t="s">
        <v>2646</v>
      </c>
      <c r="AE399" s="426" t="s">
        <v>2646</v>
      </c>
      <c r="AF399" s="426" t="s">
        <v>2646</v>
      </c>
      <c r="AG399" s="426" t="s">
        <v>2646</v>
      </c>
      <c r="AH399" s="426" t="s">
        <v>2646</v>
      </c>
      <c r="AI399" s="426" t="s">
        <v>2646</v>
      </c>
      <c r="AJ399" s="68" t="s">
        <v>2646</v>
      </c>
    </row>
    <row r="400" spans="1:36" hidden="1">
      <c r="A400" s="392" t="s">
        <v>1725</v>
      </c>
      <c r="B400" s="427" t="s">
        <v>2650</v>
      </c>
      <c r="C400" s="433" t="s">
        <v>4239</v>
      </c>
      <c r="D400" s="433" t="s">
        <v>3364</v>
      </c>
      <c r="E400" s="433" t="s">
        <v>2943</v>
      </c>
      <c r="F400" s="433" t="s">
        <v>3300</v>
      </c>
      <c r="G400" s="433" t="s">
        <v>2741</v>
      </c>
      <c r="H400" s="433" t="s">
        <v>2767</v>
      </c>
      <c r="I400" s="433" t="s">
        <v>2849</v>
      </c>
      <c r="J400" s="433" t="s">
        <v>2700</v>
      </c>
      <c r="K400" s="433" t="s">
        <v>2899</v>
      </c>
      <c r="L400" s="433" t="s">
        <v>2656</v>
      </c>
      <c r="M400" s="433" t="s">
        <v>2654</v>
      </c>
      <c r="N400" s="433" t="s">
        <v>2654</v>
      </c>
      <c r="O400" s="433" t="s">
        <v>4240</v>
      </c>
      <c r="P400" s="433" t="s">
        <v>4087</v>
      </c>
      <c r="Q400" s="431"/>
      <c r="R400" s="431"/>
      <c r="S400" s="426" t="s">
        <v>2768</v>
      </c>
      <c r="T400" s="426" t="s">
        <v>2646</v>
      </c>
      <c r="U400" s="426" t="s">
        <v>2646</v>
      </c>
      <c r="V400" s="426" t="s">
        <v>2646</v>
      </c>
      <c r="W400" s="426" t="s">
        <v>2646</v>
      </c>
      <c r="X400" s="426" t="s">
        <v>2646</v>
      </c>
      <c r="Y400" s="426" t="s">
        <v>2646</v>
      </c>
      <c r="Z400" s="426" t="s">
        <v>2646</v>
      </c>
      <c r="AA400" s="426" t="s">
        <v>2646</v>
      </c>
      <c r="AB400" s="426" t="s">
        <v>2646</v>
      </c>
      <c r="AC400" s="426" t="s">
        <v>2646</v>
      </c>
      <c r="AD400" s="426" t="s">
        <v>2646</v>
      </c>
      <c r="AE400" s="426" t="s">
        <v>2646</v>
      </c>
      <c r="AF400" s="426" t="s">
        <v>2646</v>
      </c>
      <c r="AG400" s="426" t="s">
        <v>2646</v>
      </c>
      <c r="AH400" s="426" t="s">
        <v>2646</v>
      </c>
      <c r="AI400" s="426" t="s">
        <v>2646</v>
      </c>
      <c r="AJ400" s="68" t="s">
        <v>2646</v>
      </c>
    </row>
    <row r="401" spans="1:36" hidden="1">
      <c r="A401" s="392" t="s">
        <v>1726</v>
      </c>
      <c r="B401" s="427" t="s">
        <v>2651</v>
      </c>
      <c r="C401" s="433" t="s">
        <v>4239</v>
      </c>
      <c r="D401" s="433" t="s">
        <v>3364</v>
      </c>
      <c r="E401" s="433" t="s">
        <v>2819</v>
      </c>
      <c r="F401" s="433" t="s">
        <v>2978</v>
      </c>
      <c r="G401" s="433" t="s">
        <v>3119</v>
      </c>
      <c r="H401" s="433" t="s">
        <v>3047</v>
      </c>
      <c r="I401" s="433" t="s">
        <v>2723</v>
      </c>
      <c r="J401" s="433" t="s">
        <v>2870</v>
      </c>
      <c r="K401" s="433" t="s">
        <v>2746</v>
      </c>
      <c r="L401" s="433" t="s">
        <v>2680</v>
      </c>
      <c r="M401" s="433" t="s">
        <v>2654</v>
      </c>
      <c r="N401" s="433" t="s">
        <v>2654</v>
      </c>
      <c r="O401" s="433" t="s">
        <v>4241</v>
      </c>
      <c r="P401" s="433" t="s">
        <v>2651</v>
      </c>
      <c r="Q401" s="431"/>
      <c r="R401" s="431"/>
      <c r="S401" s="426" t="s">
        <v>2673</v>
      </c>
      <c r="T401" s="426" t="s">
        <v>2646</v>
      </c>
      <c r="U401" s="426" t="s">
        <v>2646</v>
      </c>
      <c r="V401" s="426" t="s">
        <v>2646</v>
      </c>
      <c r="W401" s="426" t="s">
        <v>2646</v>
      </c>
      <c r="X401" s="426" t="s">
        <v>2646</v>
      </c>
      <c r="Y401" s="426" t="s">
        <v>2646</v>
      </c>
      <c r="Z401" s="426" t="s">
        <v>2646</v>
      </c>
      <c r="AA401" s="426" t="s">
        <v>2646</v>
      </c>
      <c r="AB401" s="426" t="s">
        <v>2646</v>
      </c>
      <c r="AC401" s="426" t="s">
        <v>2646</v>
      </c>
      <c r="AD401" s="426" t="s">
        <v>2646</v>
      </c>
      <c r="AE401" s="426" t="s">
        <v>2646</v>
      </c>
      <c r="AF401" s="426" t="s">
        <v>2646</v>
      </c>
      <c r="AG401" s="426" t="s">
        <v>2646</v>
      </c>
      <c r="AH401" s="426" t="s">
        <v>2646</v>
      </c>
      <c r="AI401" s="426" t="s">
        <v>2646</v>
      </c>
      <c r="AJ401" s="68" t="s">
        <v>2646</v>
      </c>
    </row>
    <row r="402" spans="1:36">
      <c r="A402" s="392" t="s">
        <v>1726</v>
      </c>
      <c r="B402" s="427" t="s">
        <v>48</v>
      </c>
      <c r="C402" s="433" t="s">
        <v>4242</v>
      </c>
      <c r="D402" s="433" t="s">
        <v>4243</v>
      </c>
      <c r="E402" s="433" t="s">
        <v>3045</v>
      </c>
      <c r="F402" s="433" t="s">
        <v>4244</v>
      </c>
      <c r="G402" s="433" t="s">
        <v>2850</v>
      </c>
      <c r="H402" s="433" t="s">
        <v>4245</v>
      </c>
      <c r="I402" s="433" t="s">
        <v>2777</v>
      </c>
      <c r="J402" s="433" t="s">
        <v>3396</v>
      </c>
      <c r="K402" s="433" t="s">
        <v>3935</v>
      </c>
      <c r="L402" s="433" t="s">
        <v>3145</v>
      </c>
      <c r="M402" s="433" t="s">
        <v>2654</v>
      </c>
      <c r="N402" s="433" t="s">
        <v>2654</v>
      </c>
      <c r="O402" s="433" t="s">
        <v>4246</v>
      </c>
      <c r="P402" s="433" t="s">
        <v>2993</v>
      </c>
      <c r="Q402" s="433" t="s">
        <v>2654</v>
      </c>
      <c r="R402" s="433" t="s">
        <v>2654</v>
      </c>
      <c r="S402" s="426"/>
      <c r="T402" s="426"/>
      <c r="U402" s="426"/>
      <c r="V402" s="426"/>
      <c r="W402" s="426"/>
      <c r="X402" s="426"/>
      <c r="Y402" s="426"/>
      <c r="Z402" s="426"/>
      <c r="AA402" s="426"/>
      <c r="AB402" s="426"/>
      <c r="AC402" s="426"/>
      <c r="AD402" s="426"/>
      <c r="AE402" s="426"/>
      <c r="AF402" s="426"/>
      <c r="AG402" s="426"/>
      <c r="AH402" s="426"/>
      <c r="AI402" s="426"/>
    </row>
    <row r="403" spans="1:36" hidden="1">
      <c r="A403" s="392" t="s">
        <v>1727</v>
      </c>
      <c r="B403" s="427" t="s">
        <v>2647</v>
      </c>
      <c r="C403" s="433" t="s">
        <v>3712</v>
      </c>
      <c r="D403" s="433" t="s">
        <v>3851</v>
      </c>
      <c r="E403" s="433" t="s">
        <v>2835</v>
      </c>
      <c r="F403" s="433" t="s">
        <v>2928</v>
      </c>
      <c r="G403" s="433" t="s">
        <v>2700</v>
      </c>
      <c r="H403" s="433" t="s">
        <v>2896</v>
      </c>
      <c r="I403" s="433" t="s">
        <v>2724</v>
      </c>
      <c r="J403" s="433" t="s">
        <v>2654</v>
      </c>
      <c r="K403" s="433" t="s">
        <v>2654</v>
      </c>
      <c r="L403" s="433" t="s">
        <v>2654</v>
      </c>
      <c r="M403" s="433" t="s">
        <v>2654</v>
      </c>
      <c r="N403" s="433" t="s">
        <v>2654</v>
      </c>
      <c r="O403" s="433" t="s">
        <v>3391</v>
      </c>
      <c r="P403" s="433" t="s">
        <v>4087</v>
      </c>
      <c r="Q403" s="431"/>
      <c r="R403" s="431"/>
      <c r="S403" s="426" t="s">
        <v>3273</v>
      </c>
      <c r="T403" s="426" t="s">
        <v>2646</v>
      </c>
      <c r="U403" s="426" t="s">
        <v>2646</v>
      </c>
      <c r="V403" s="426" t="s">
        <v>2646</v>
      </c>
      <c r="W403" s="426" t="s">
        <v>3274</v>
      </c>
      <c r="X403" s="426" t="s">
        <v>2662</v>
      </c>
      <c r="Y403" s="426" t="s">
        <v>3275</v>
      </c>
      <c r="Z403" s="426" t="s">
        <v>2646</v>
      </c>
      <c r="AA403" s="426" t="s">
        <v>2646</v>
      </c>
      <c r="AB403" s="426" t="s">
        <v>2646</v>
      </c>
      <c r="AC403" s="426" t="s">
        <v>2646</v>
      </c>
      <c r="AD403" s="426" t="s">
        <v>2646</v>
      </c>
      <c r="AE403" s="426" t="s">
        <v>2646</v>
      </c>
      <c r="AF403" s="426" t="s">
        <v>2646</v>
      </c>
      <c r="AG403" s="426" t="s">
        <v>2646</v>
      </c>
      <c r="AH403" s="426" t="s">
        <v>2646</v>
      </c>
      <c r="AI403" s="426" t="s">
        <v>2646</v>
      </c>
      <c r="AJ403" s="68" t="s">
        <v>2646</v>
      </c>
    </row>
    <row r="404" spans="1:36" hidden="1">
      <c r="A404" s="392" t="s">
        <v>1728</v>
      </c>
      <c r="B404" s="427" t="s">
        <v>2648</v>
      </c>
      <c r="C404" s="433" t="s">
        <v>4247</v>
      </c>
      <c r="D404" s="433" t="s">
        <v>3364</v>
      </c>
      <c r="E404" s="433" t="s">
        <v>2917</v>
      </c>
      <c r="F404" s="433" t="s">
        <v>2835</v>
      </c>
      <c r="G404" s="433" t="s">
        <v>2754</v>
      </c>
      <c r="H404" s="433" t="s">
        <v>2970</v>
      </c>
      <c r="I404" s="433" t="s">
        <v>2825</v>
      </c>
      <c r="J404" s="433" t="s">
        <v>2708</v>
      </c>
      <c r="K404" s="433" t="s">
        <v>2654</v>
      </c>
      <c r="L404" s="433" t="s">
        <v>2654</v>
      </c>
      <c r="M404" s="433" t="s">
        <v>2654</v>
      </c>
      <c r="N404" s="433" t="s">
        <v>2654</v>
      </c>
      <c r="O404" s="433" t="s">
        <v>4248</v>
      </c>
      <c r="P404" s="433" t="s">
        <v>4249</v>
      </c>
      <c r="Q404" s="431"/>
      <c r="R404" s="431"/>
      <c r="S404" s="426" t="s">
        <v>2655</v>
      </c>
      <c r="T404" s="426" t="s">
        <v>3276</v>
      </c>
      <c r="U404" s="426" t="s">
        <v>3277</v>
      </c>
      <c r="V404" s="426" t="s">
        <v>3277</v>
      </c>
      <c r="W404" s="426" t="s">
        <v>3274</v>
      </c>
      <c r="X404" s="426" t="s">
        <v>2662</v>
      </c>
      <c r="Y404" s="426" t="s">
        <v>3275</v>
      </c>
      <c r="Z404" s="426" t="s">
        <v>2646</v>
      </c>
      <c r="AA404" s="426" t="s">
        <v>2646</v>
      </c>
      <c r="AB404" s="426" t="s">
        <v>2646</v>
      </c>
      <c r="AC404" s="426" t="s">
        <v>2646</v>
      </c>
      <c r="AD404" s="426" t="s">
        <v>2646</v>
      </c>
      <c r="AE404" s="426" t="s">
        <v>2646</v>
      </c>
      <c r="AF404" s="426" t="s">
        <v>2646</v>
      </c>
      <c r="AG404" s="426" t="s">
        <v>2646</v>
      </c>
      <c r="AH404" s="426" t="s">
        <v>2646</v>
      </c>
      <c r="AI404" s="426" t="s">
        <v>2646</v>
      </c>
      <c r="AJ404" s="68" t="s">
        <v>2646</v>
      </c>
    </row>
    <row r="405" spans="1:36" hidden="1">
      <c r="A405" s="392" t="s">
        <v>1729</v>
      </c>
      <c r="B405" s="427" t="s">
        <v>2649</v>
      </c>
      <c r="C405" s="433" t="s">
        <v>3945</v>
      </c>
      <c r="D405" s="433" t="s">
        <v>3851</v>
      </c>
      <c r="E405" s="433" t="s">
        <v>2921</v>
      </c>
      <c r="F405" s="433" t="s">
        <v>2754</v>
      </c>
      <c r="G405" s="433" t="s">
        <v>2738</v>
      </c>
      <c r="H405" s="433" t="s">
        <v>2674</v>
      </c>
      <c r="I405" s="433" t="s">
        <v>2678</v>
      </c>
      <c r="J405" s="433" t="s">
        <v>2654</v>
      </c>
      <c r="K405" s="433" t="s">
        <v>2654</v>
      </c>
      <c r="L405" s="433" t="s">
        <v>2654</v>
      </c>
      <c r="M405" s="433" t="s">
        <v>2654</v>
      </c>
      <c r="N405" s="433" t="s">
        <v>2654</v>
      </c>
      <c r="O405" s="433" t="s">
        <v>4250</v>
      </c>
      <c r="P405" s="433" t="s">
        <v>4093</v>
      </c>
      <c r="Q405" s="431"/>
      <c r="R405" s="431"/>
      <c r="S405" s="426" t="s">
        <v>2660</v>
      </c>
      <c r="T405" s="426" t="s">
        <v>2646</v>
      </c>
      <c r="U405" s="426" t="s">
        <v>3279</v>
      </c>
      <c r="V405" s="426" t="s">
        <v>3279</v>
      </c>
      <c r="W405" s="426" t="s">
        <v>3274</v>
      </c>
      <c r="X405" s="426" t="s">
        <v>2662</v>
      </c>
      <c r="Y405" s="426" t="s">
        <v>3275</v>
      </c>
      <c r="Z405" s="426" t="s">
        <v>2646</v>
      </c>
      <c r="AA405" s="426" t="s">
        <v>2646</v>
      </c>
      <c r="AB405" s="426" t="s">
        <v>2646</v>
      </c>
      <c r="AC405" s="426" t="s">
        <v>2646</v>
      </c>
      <c r="AD405" s="426" t="s">
        <v>2646</v>
      </c>
      <c r="AE405" s="426" t="s">
        <v>2646</v>
      </c>
      <c r="AF405" s="426" t="s">
        <v>2646</v>
      </c>
      <c r="AG405" s="426" t="s">
        <v>2646</v>
      </c>
      <c r="AH405" s="426" t="s">
        <v>2646</v>
      </c>
      <c r="AI405" s="426" t="s">
        <v>2646</v>
      </c>
      <c r="AJ405" s="68" t="s">
        <v>2646</v>
      </c>
    </row>
    <row r="406" spans="1:36" hidden="1">
      <c r="A406" s="392" t="s">
        <v>1730</v>
      </c>
      <c r="B406" s="427" t="s">
        <v>2650</v>
      </c>
      <c r="C406" s="433" t="s">
        <v>3794</v>
      </c>
      <c r="D406" s="433" t="s">
        <v>3851</v>
      </c>
      <c r="E406" s="433" t="s">
        <v>2676</v>
      </c>
      <c r="F406" s="433" t="s">
        <v>2994</v>
      </c>
      <c r="G406" s="433" t="s">
        <v>3007</v>
      </c>
      <c r="H406" s="433" t="s">
        <v>2896</v>
      </c>
      <c r="I406" s="433" t="s">
        <v>2724</v>
      </c>
      <c r="J406" s="433" t="s">
        <v>2654</v>
      </c>
      <c r="K406" s="433" t="s">
        <v>2654</v>
      </c>
      <c r="L406" s="433" t="s">
        <v>2654</v>
      </c>
      <c r="M406" s="433" t="s">
        <v>2654</v>
      </c>
      <c r="N406" s="433" t="s">
        <v>2654</v>
      </c>
      <c r="O406" s="433" t="s">
        <v>4251</v>
      </c>
      <c r="P406" s="433" t="s">
        <v>4083</v>
      </c>
      <c r="Q406" s="431"/>
      <c r="R406" s="431"/>
      <c r="S406" s="426" t="s">
        <v>2885</v>
      </c>
      <c r="T406" s="426" t="s">
        <v>2646</v>
      </c>
      <c r="U406" s="426" t="s">
        <v>2646</v>
      </c>
      <c r="V406" s="426" t="s">
        <v>2646</v>
      </c>
      <c r="W406" s="426" t="s">
        <v>3274</v>
      </c>
      <c r="X406" s="426" t="s">
        <v>2662</v>
      </c>
      <c r="Y406" s="426" t="s">
        <v>3275</v>
      </c>
      <c r="Z406" s="426" t="s">
        <v>2646</v>
      </c>
      <c r="AA406" s="426" t="s">
        <v>2646</v>
      </c>
      <c r="AB406" s="426" t="s">
        <v>2646</v>
      </c>
      <c r="AC406" s="426" t="s">
        <v>2646</v>
      </c>
      <c r="AD406" s="426" t="s">
        <v>2646</v>
      </c>
      <c r="AE406" s="426" t="s">
        <v>2646</v>
      </c>
      <c r="AF406" s="426" t="s">
        <v>2646</v>
      </c>
      <c r="AG406" s="426" t="s">
        <v>2646</v>
      </c>
      <c r="AH406" s="426" t="s">
        <v>2646</v>
      </c>
      <c r="AI406" s="426" t="s">
        <v>2646</v>
      </c>
      <c r="AJ406" s="68" t="s">
        <v>2646</v>
      </c>
    </row>
    <row r="407" spans="1:36" hidden="1">
      <c r="A407" s="392" t="s">
        <v>1731</v>
      </c>
      <c r="B407" s="427" t="s">
        <v>2651</v>
      </c>
      <c r="C407" s="433" t="s">
        <v>3840</v>
      </c>
      <c r="D407" s="433" t="s">
        <v>3686</v>
      </c>
      <c r="E407" s="433" t="s">
        <v>2754</v>
      </c>
      <c r="F407" s="433" t="s">
        <v>2700</v>
      </c>
      <c r="G407" s="433" t="s">
        <v>2667</v>
      </c>
      <c r="H407" s="433" t="s">
        <v>2896</v>
      </c>
      <c r="I407" s="433" t="s">
        <v>2708</v>
      </c>
      <c r="J407" s="433" t="s">
        <v>2678</v>
      </c>
      <c r="K407" s="433" t="s">
        <v>2654</v>
      </c>
      <c r="L407" s="433" t="s">
        <v>2654</v>
      </c>
      <c r="M407" s="433" t="s">
        <v>2654</v>
      </c>
      <c r="N407" s="433" t="s">
        <v>2654</v>
      </c>
      <c r="O407" s="433" t="s">
        <v>4252</v>
      </c>
      <c r="P407" s="433" t="s">
        <v>4087</v>
      </c>
      <c r="Q407" s="431"/>
      <c r="R407" s="431"/>
      <c r="S407" s="426" t="s">
        <v>2836</v>
      </c>
      <c r="T407" s="426" t="s">
        <v>2646</v>
      </c>
      <c r="U407" s="426" t="s">
        <v>2646</v>
      </c>
      <c r="V407" s="426" t="s">
        <v>2646</v>
      </c>
      <c r="W407" s="426" t="s">
        <v>3274</v>
      </c>
      <c r="X407" s="426" t="s">
        <v>2662</v>
      </c>
      <c r="Y407" s="426" t="s">
        <v>3275</v>
      </c>
      <c r="Z407" s="426" t="s">
        <v>2646</v>
      </c>
      <c r="AA407" s="426" t="s">
        <v>2646</v>
      </c>
      <c r="AB407" s="426" t="s">
        <v>2646</v>
      </c>
      <c r="AC407" s="426" t="s">
        <v>2646</v>
      </c>
      <c r="AD407" s="426" t="s">
        <v>2646</v>
      </c>
      <c r="AE407" s="426" t="s">
        <v>2646</v>
      </c>
      <c r="AF407" s="426" t="s">
        <v>2646</v>
      </c>
      <c r="AG407" s="426" t="s">
        <v>2646</v>
      </c>
      <c r="AH407" s="426" t="s">
        <v>2646</v>
      </c>
      <c r="AI407" s="426" t="s">
        <v>2646</v>
      </c>
      <c r="AJ407" s="68" t="s">
        <v>2646</v>
      </c>
    </row>
    <row r="408" spans="1:36">
      <c r="A408" s="392" t="s">
        <v>1731</v>
      </c>
      <c r="B408" s="427" t="s">
        <v>48</v>
      </c>
      <c r="C408" s="433" t="s">
        <v>4253</v>
      </c>
      <c r="D408" s="433" t="s">
        <v>3710</v>
      </c>
      <c r="E408" s="433" t="s">
        <v>4254</v>
      </c>
      <c r="F408" s="433" t="s">
        <v>3674</v>
      </c>
      <c r="G408" s="433" t="s">
        <v>2738</v>
      </c>
      <c r="H408" s="433" t="s">
        <v>3707</v>
      </c>
      <c r="I408" s="433" t="s">
        <v>3555</v>
      </c>
      <c r="J408" s="433" t="s">
        <v>2678</v>
      </c>
      <c r="K408" s="433" t="s">
        <v>2654</v>
      </c>
      <c r="L408" s="433" t="s">
        <v>2654</v>
      </c>
      <c r="M408" s="433" t="s">
        <v>2654</v>
      </c>
      <c r="N408" s="433" t="s">
        <v>2654</v>
      </c>
      <c r="O408" s="433" t="s">
        <v>3680</v>
      </c>
      <c r="P408" s="433" t="s">
        <v>2831</v>
      </c>
      <c r="Q408" s="433" t="s">
        <v>2654</v>
      </c>
      <c r="R408" s="433" t="s">
        <v>2654</v>
      </c>
      <c r="S408" s="426"/>
      <c r="T408" s="426"/>
      <c r="U408" s="426"/>
      <c r="V408" s="426"/>
      <c r="W408" s="426"/>
      <c r="X408" s="426"/>
      <c r="Y408" s="426"/>
      <c r="Z408" s="426"/>
      <c r="AA408" s="426"/>
      <c r="AB408" s="426"/>
      <c r="AC408" s="426"/>
      <c r="AD408" s="426"/>
      <c r="AE408" s="426"/>
      <c r="AF408" s="426"/>
      <c r="AG408" s="426"/>
      <c r="AH408" s="426"/>
      <c r="AI408" s="426"/>
    </row>
    <row r="409" spans="1:36" hidden="1">
      <c r="A409" s="392" t="s">
        <v>1732</v>
      </c>
      <c r="B409" s="427" t="s">
        <v>2647</v>
      </c>
      <c r="C409" s="433" t="s">
        <v>3146</v>
      </c>
      <c r="D409" s="433" t="s">
        <v>3364</v>
      </c>
      <c r="E409" s="433" t="s">
        <v>2791</v>
      </c>
      <c r="F409" s="433" t="s">
        <v>2656</v>
      </c>
      <c r="G409" s="433" t="s">
        <v>2654</v>
      </c>
      <c r="H409" s="433" t="s">
        <v>2654</v>
      </c>
      <c r="I409" s="433" t="s">
        <v>2654</v>
      </c>
      <c r="J409" s="433" t="s">
        <v>2654</v>
      </c>
      <c r="K409" s="433" t="s">
        <v>2654</v>
      </c>
      <c r="L409" s="433" t="s">
        <v>2654</v>
      </c>
      <c r="M409" s="433" t="s">
        <v>2654</v>
      </c>
      <c r="N409" s="433" t="s">
        <v>2654</v>
      </c>
      <c r="O409" s="433" t="s">
        <v>2681</v>
      </c>
      <c r="P409" s="433" t="s">
        <v>4078</v>
      </c>
      <c r="Q409" s="431"/>
      <c r="R409" s="431"/>
      <c r="S409" s="426" t="s">
        <v>2660</v>
      </c>
      <c r="T409" s="426" t="s">
        <v>3063</v>
      </c>
      <c r="U409" s="426" t="s">
        <v>3282</v>
      </c>
      <c r="V409" s="426" t="s">
        <v>3069</v>
      </c>
      <c r="W409" s="426" t="s">
        <v>3274</v>
      </c>
      <c r="X409" s="426" t="s">
        <v>2671</v>
      </c>
      <c r="Y409" s="426" t="s">
        <v>3283</v>
      </c>
      <c r="Z409" s="426" t="s">
        <v>2646</v>
      </c>
      <c r="AA409" s="426" t="s">
        <v>2646</v>
      </c>
      <c r="AB409" s="426" t="s">
        <v>2646</v>
      </c>
      <c r="AC409" s="426" t="s">
        <v>2646</v>
      </c>
      <c r="AD409" s="426" t="s">
        <v>2646</v>
      </c>
      <c r="AE409" s="426" t="s">
        <v>2646</v>
      </c>
      <c r="AF409" s="426" t="s">
        <v>2646</v>
      </c>
      <c r="AG409" s="426" t="s">
        <v>2646</v>
      </c>
      <c r="AH409" s="426" t="s">
        <v>2646</v>
      </c>
      <c r="AI409" s="426" t="s">
        <v>2646</v>
      </c>
      <c r="AJ409" s="68" t="s">
        <v>2646</v>
      </c>
    </row>
    <row r="410" spans="1:36" hidden="1">
      <c r="A410" s="392" t="s">
        <v>1733</v>
      </c>
      <c r="B410" s="427" t="s">
        <v>2648</v>
      </c>
      <c r="C410" s="433" t="s">
        <v>3211</v>
      </c>
      <c r="D410" s="433" t="s">
        <v>3710</v>
      </c>
      <c r="E410" s="433" t="s">
        <v>2773</v>
      </c>
      <c r="F410" s="433" t="s">
        <v>2732</v>
      </c>
      <c r="G410" s="433" t="s">
        <v>2708</v>
      </c>
      <c r="H410" s="433" t="s">
        <v>2680</v>
      </c>
      <c r="I410" s="433" t="s">
        <v>2654</v>
      </c>
      <c r="J410" s="433" t="s">
        <v>2654</v>
      </c>
      <c r="K410" s="433" t="s">
        <v>2654</v>
      </c>
      <c r="L410" s="433" t="s">
        <v>2654</v>
      </c>
      <c r="M410" s="433" t="s">
        <v>2654</v>
      </c>
      <c r="N410" s="433" t="s">
        <v>2654</v>
      </c>
      <c r="O410" s="433" t="s">
        <v>4255</v>
      </c>
      <c r="P410" s="433" t="s">
        <v>4093</v>
      </c>
      <c r="Q410" s="431"/>
      <c r="R410" s="431"/>
      <c r="S410" s="426" t="s">
        <v>2655</v>
      </c>
      <c r="T410" s="426" t="s">
        <v>2817</v>
      </c>
      <c r="U410" s="426" t="s">
        <v>3285</v>
      </c>
      <c r="V410" s="426" t="s">
        <v>3069</v>
      </c>
      <c r="W410" s="426" t="s">
        <v>3274</v>
      </c>
      <c r="X410" s="426" t="s">
        <v>2671</v>
      </c>
      <c r="Y410" s="426" t="s">
        <v>3283</v>
      </c>
      <c r="Z410" s="426" t="s">
        <v>2646</v>
      </c>
      <c r="AA410" s="426" t="s">
        <v>2646</v>
      </c>
      <c r="AB410" s="426" t="s">
        <v>2646</v>
      </c>
      <c r="AC410" s="426" t="s">
        <v>2646</v>
      </c>
      <c r="AD410" s="426" t="s">
        <v>2646</v>
      </c>
      <c r="AE410" s="426" t="s">
        <v>2646</v>
      </c>
      <c r="AF410" s="426" t="s">
        <v>2646</v>
      </c>
      <c r="AG410" s="426" t="s">
        <v>2646</v>
      </c>
      <c r="AH410" s="426" t="s">
        <v>2646</v>
      </c>
      <c r="AI410" s="426" t="s">
        <v>2646</v>
      </c>
      <c r="AJ410" s="68" t="s">
        <v>2646</v>
      </c>
    </row>
    <row r="411" spans="1:36" hidden="1">
      <c r="A411" s="392" t="s">
        <v>1734</v>
      </c>
      <c r="B411" s="427" t="s">
        <v>2649</v>
      </c>
      <c r="C411" s="433" t="s">
        <v>3637</v>
      </c>
      <c r="D411" s="433" t="s">
        <v>3364</v>
      </c>
      <c r="E411" s="433" t="s">
        <v>2723</v>
      </c>
      <c r="F411" s="433" t="s">
        <v>2807</v>
      </c>
      <c r="G411" s="433" t="s">
        <v>2677</v>
      </c>
      <c r="H411" s="433" t="s">
        <v>2732</v>
      </c>
      <c r="I411" s="433" t="s">
        <v>2654</v>
      </c>
      <c r="J411" s="433" t="s">
        <v>2654</v>
      </c>
      <c r="K411" s="433" t="s">
        <v>2654</v>
      </c>
      <c r="L411" s="433" t="s">
        <v>2654</v>
      </c>
      <c r="M411" s="433" t="s">
        <v>2654</v>
      </c>
      <c r="N411" s="433" t="s">
        <v>2654</v>
      </c>
      <c r="O411" s="433" t="s">
        <v>4256</v>
      </c>
      <c r="P411" s="433" t="s">
        <v>4257</v>
      </c>
      <c r="Q411" s="431"/>
      <c r="R411" s="431"/>
      <c r="S411" s="426" t="s">
        <v>2660</v>
      </c>
      <c r="T411" s="426" t="s">
        <v>3286</v>
      </c>
      <c r="U411" s="426" t="s">
        <v>3287</v>
      </c>
      <c r="V411" s="426" t="s">
        <v>3288</v>
      </c>
      <c r="W411" s="426" t="s">
        <v>3274</v>
      </c>
      <c r="X411" s="426" t="s">
        <v>2671</v>
      </c>
      <c r="Y411" s="426" t="s">
        <v>3283</v>
      </c>
      <c r="Z411" s="426" t="s">
        <v>2646</v>
      </c>
      <c r="AA411" s="426" t="s">
        <v>2646</v>
      </c>
      <c r="AB411" s="426" t="s">
        <v>2646</v>
      </c>
      <c r="AC411" s="426" t="s">
        <v>2646</v>
      </c>
      <c r="AD411" s="426" t="s">
        <v>2646</v>
      </c>
      <c r="AE411" s="426" t="s">
        <v>2646</v>
      </c>
      <c r="AF411" s="426" t="s">
        <v>2646</v>
      </c>
      <c r="AG411" s="426" t="s">
        <v>2646</v>
      </c>
      <c r="AH411" s="426" t="s">
        <v>2646</v>
      </c>
      <c r="AI411" s="426" t="s">
        <v>2646</v>
      </c>
      <c r="AJ411" s="68" t="s">
        <v>2646</v>
      </c>
    </row>
    <row r="412" spans="1:36" hidden="1">
      <c r="A412" s="392" t="s">
        <v>1735</v>
      </c>
      <c r="B412" s="427" t="s">
        <v>2650</v>
      </c>
      <c r="C412" s="433" t="s">
        <v>3148</v>
      </c>
      <c r="D412" s="433" t="s">
        <v>3686</v>
      </c>
      <c r="E412" s="433" t="s">
        <v>2835</v>
      </c>
      <c r="F412" s="433" t="s">
        <v>2656</v>
      </c>
      <c r="G412" s="433" t="s">
        <v>2654</v>
      </c>
      <c r="H412" s="433" t="s">
        <v>2654</v>
      </c>
      <c r="I412" s="433" t="s">
        <v>2654</v>
      </c>
      <c r="J412" s="433" t="s">
        <v>2654</v>
      </c>
      <c r="K412" s="433" t="s">
        <v>2654</v>
      </c>
      <c r="L412" s="433" t="s">
        <v>2654</v>
      </c>
      <c r="M412" s="433" t="s">
        <v>2654</v>
      </c>
      <c r="N412" s="433" t="s">
        <v>2654</v>
      </c>
      <c r="O412" s="433" t="s">
        <v>2659</v>
      </c>
      <c r="P412" s="433" t="s">
        <v>4129</v>
      </c>
      <c r="Q412" s="431"/>
      <c r="R412" s="431"/>
      <c r="S412" s="426" t="s">
        <v>2655</v>
      </c>
      <c r="T412" s="426" t="s">
        <v>3239</v>
      </c>
      <c r="U412" s="426" t="s">
        <v>3290</v>
      </c>
      <c r="V412" s="426" t="s">
        <v>2703</v>
      </c>
      <c r="W412" s="426" t="s">
        <v>3274</v>
      </c>
      <c r="X412" s="426" t="s">
        <v>2671</v>
      </c>
      <c r="Y412" s="426" t="s">
        <v>3283</v>
      </c>
      <c r="Z412" s="426" t="s">
        <v>2646</v>
      </c>
      <c r="AA412" s="426" t="s">
        <v>2646</v>
      </c>
      <c r="AB412" s="426" t="s">
        <v>2646</v>
      </c>
      <c r="AC412" s="426" t="s">
        <v>2646</v>
      </c>
      <c r="AD412" s="426" t="s">
        <v>2646</v>
      </c>
      <c r="AE412" s="426" t="s">
        <v>2646</v>
      </c>
      <c r="AF412" s="426" t="s">
        <v>2646</v>
      </c>
      <c r="AG412" s="426" t="s">
        <v>2646</v>
      </c>
      <c r="AH412" s="426" t="s">
        <v>2646</v>
      </c>
      <c r="AI412" s="426" t="s">
        <v>2646</v>
      </c>
      <c r="AJ412" s="68" t="s">
        <v>2646</v>
      </c>
    </row>
    <row r="413" spans="1:36" hidden="1">
      <c r="A413" s="392" t="s">
        <v>1736</v>
      </c>
      <c r="B413" s="427" t="s">
        <v>2651</v>
      </c>
      <c r="C413" s="433" t="s">
        <v>3625</v>
      </c>
      <c r="D413" s="433" t="s">
        <v>3364</v>
      </c>
      <c r="E413" s="433" t="s">
        <v>2677</v>
      </c>
      <c r="F413" s="433" t="s">
        <v>2678</v>
      </c>
      <c r="G413" s="433" t="s">
        <v>2678</v>
      </c>
      <c r="H413" s="433" t="s">
        <v>2654</v>
      </c>
      <c r="I413" s="433" t="s">
        <v>2654</v>
      </c>
      <c r="J413" s="433" t="s">
        <v>2654</v>
      </c>
      <c r="K413" s="433" t="s">
        <v>2654</v>
      </c>
      <c r="L413" s="433" t="s">
        <v>2654</v>
      </c>
      <c r="M413" s="433" t="s">
        <v>2654</v>
      </c>
      <c r="N413" s="433" t="s">
        <v>2654</v>
      </c>
      <c r="O413" s="433" t="s">
        <v>3596</v>
      </c>
      <c r="P413" s="433" t="s">
        <v>4083</v>
      </c>
      <c r="Q413" s="431"/>
      <c r="R413" s="431"/>
      <c r="S413" s="426" t="s">
        <v>2709</v>
      </c>
      <c r="T413" s="426" t="s">
        <v>2816</v>
      </c>
      <c r="U413" s="426" t="s">
        <v>3291</v>
      </c>
      <c r="V413" s="426" t="s">
        <v>3023</v>
      </c>
      <c r="W413" s="426" t="s">
        <v>3274</v>
      </c>
      <c r="X413" s="426" t="s">
        <v>2671</v>
      </c>
      <c r="Y413" s="426" t="s">
        <v>3283</v>
      </c>
      <c r="Z413" s="426" t="s">
        <v>2646</v>
      </c>
      <c r="AA413" s="426" t="s">
        <v>2646</v>
      </c>
      <c r="AB413" s="426" t="s">
        <v>2646</v>
      </c>
      <c r="AC413" s="426" t="s">
        <v>2646</v>
      </c>
      <c r="AD413" s="426" t="s">
        <v>2646</v>
      </c>
      <c r="AE413" s="426" t="s">
        <v>2646</v>
      </c>
      <c r="AF413" s="426" t="s">
        <v>2646</v>
      </c>
      <c r="AG413" s="426" t="s">
        <v>2646</v>
      </c>
      <c r="AH413" s="426" t="s">
        <v>2646</v>
      </c>
      <c r="AI413" s="426" t="s">
        <v>2646</v>
      </c>
      <c r="AJ413" s="68" t="s">
        <v>2646</v>
      </c>
    </row>
    <row r="414" spans="1:36">
      <c r="A414" s="392" t="s">
        <v>1736</v>
      </c>
      <c r="B414" s="427" t="s">
        <v>48</v>
      </c>
      <c r="C414" s="433" t="s">
        <v>3711</v>
      </c>
      <c r="D414" s="433" t="s">
        <v>3364</v>
      </c>
      <c r="E414" s="433" t="s">
        <v>2682</v>
      </c>
      <c r="F414" s="433" t="s">
        <v>3389</v>
      </c>
      <c r="G414" s="433" t="s">
        <v>2953</v>
      </c>
      <c r="H414" s="433" t="s">
        <v>2719</v>
      </c>
      <c r="I414" s="433" t="s">
        <v>2654</v>
      </c>
      <c r="J414" s="433" t="s">
        <v>2654</v>
      </c>
      <c r="K414" s="433" t="s">
        <v>2654</v>
      </c>
      <c r="L414" s="433" t="s">
        <v>2654</v>
      </c>
      <c r="M414" s="433" t="s">
        <v>2654</v>
      </c>
      <c r="N414" s="433" t="s">
        <v>2654</v>
      </c>
      <c r="O414" s="433" t="s">
        <v>2656</v>
      </c>
      <c r="P414" s="433" t="s">
        <v>4258</v>
      </c>
      <c r="Q414" s="433" t="s">
        <v>2654</v>
      </c>
      <c r="R414" s="433" t="s">
        <v>2654</v>
      </c>
      <c r="S414" s="426"/>
      <c r="T414" s="426"/>
      <c r="U414" s="426"/>
      <c r="V414" s="426"/>
      <c r="W414" s="426"/>
      <c r="X414" s="426"/>
      <c r="Y414" s="426"/>
      <c r="Z414" s="426"/>
      <c r="AA414" s="426"/>
      <c r="AB414" s="426"/>
      <c r="AC414" s="426"/>
      <c r="AD414" s="426"/>
      <c r="AE414" s="426"/>
      <c r="AF414" s="426"/>
      <c r="AG414" s="426"/>
      <c r="AH414" s="426"/>
      <c r="AI414" s="426"/>
    </row>
    <row r="415" spans="1:36" hidden="1">
      <c r="A415" s="392" t="s">
        <v>1737</v>
      </c>
      <c r="B415" s="427" t="s">
        <v>2647</v>
      </c>
      <c r="C415" s="433" t="s">
        <v>3514</v>
      </c>
      <c r="D415" s="433" t="s">
        <v>3710</v>
      </c>
      <c r="E415" s="433" t="s">
        <v>2656</v>
      </c>
      <c r="F415" s="433" t="s">
        <v>2654</v>
      </c>
      <c r="G415" s="433" t="s">
        <v>2654</v>
      </c>
      <c r="H415" s="433" t="s">
        <v>2654</v>
      </c>
      <c r="I415" s="433" t="s">
        <v>2654</v>
      </c>
      <c r="J415" s="433" t="s">
        <v>2654</v>
      </c>
      <c r="K415" s="433" t="s">
        <v>2654</v>
      </c>
      <c r="L415" s="433" t="s">
        <v>2654</v>
      </c>
      <c r="M415" s="433" t="s">
        <v>2654</v>
      </c>
      <c r="N415" s="433" t="s">
        <v>2654</v>
      </c>
      <c r="O415" s="433" t="s">
        <v>2654</v>
      </c>
      <c r="P415" s="433" t="s">
        <v>4078</v>
      </c>
      <c r="Q415" s="431"/>
      <c r="R415" s="431"/>
      <c r="S415" s="426" t="s">
        <v>2655</v>
      </c>
      <c r="T415" s="426" t="s">
        <v>3293</v>
      </c>
      <c r="U415" s="426" t="s">
        <v>3294</v>
      </c>
      <c r="V415" s="426" t="s">
        <v>3294</v>
      </c>
      <c r="W415" s="426" t="s">
        <v>3295</v>
      </c>
      <c r="X415" s="426" t="s">
        <v>2813</v>
      </c>
      <c r="Y415" s="426" t="s">
        <v>2898</v>
      </c>
      <c r="Z415" s="426" t="s">
        <v>3026</v>
      </c>
      <c r="AA415" s="426" t="s">
        <v>2646</v>
      </c>
      <c r="AB415" s="426" t="s">
        <v>2646</v>
      </c>
      <c r="AC415" s="426" t="s">
        <v>2646</v>
      </c>
      <c r="AD415" s="426" t="s">
        <v>2646</v>
      </c>
      <c r="AE415" s="426" t="s">
        <v>2646</v>
      </c>
      <c r="AF415" s="426" t="s">
        <v>2646</v>
      </c>
      <c r="AG415" s="426" t="s">
        <v>2646</v>
      </c>
      <c r="AH415" s="426" t="s">
        <v>2646</v>
      </c>
      <c r="AI415" s="426" t="s">
        <v>2646</v>
      </c>
      <c r="AJ415" s="68" t="s">
        <v>2646</v>
      </c>
    </row>
    <row r="416" spans="1:36" hidden="1">
      <c r="A416" s="392" t="s">
        <v>1738</v>
      </c>
      <c r="B416" s="427" t="s">
        <v>2648</v>
      </c>
      <c r="C416" s="433" t="s">
        <v>3865</v>
      </c>
      <c r="D416" s="433" t="s">
        <v>3710</v>
      </c>
      <c r="E416" s="433" t="s">
        <v>2738</v>
      </c>
      <c r="F416" s="433" t="s">
        <v>2654</v>
      </c>
      <c r="G416" s="433" t="s">
        <v>2654</v>
      </c>
      <c r="H416" s="433" t="s">
        <v>2654</v>
      </c>
      <c r="I416" s="433" t="s">
        <v>2654</v>
      </c>
      <c r="J416" s="433" t="s">
        <v>2654</v>
      </c>
      <c r="K416" s="433" t="s">
        <v>2654</v>
      </c>
      <c r="L416" s="433" t="s">
        <v>2654</v>
      </c>
      <c r="M416" s="433" t="s">
        <v>2654</v>
      </c>
      <c r="N416" s="433" t="s">
        <v>2654</v>
      </c>
      <c r="O416" s="433" t="s">
        <v>2668</v>
      </c>
      <c r="P416" s="433" t="s">
        <v>4080</v>
      </c>
      <c r="Q416" s="431"/>
      <c r="R416" s="431"/>
      <c r="S416" s="426" t="s">
        <v>2655</v>
      </c>
      <c r="T416" s="426" t="s">
        <v>3023</v>
      </c>
      <c r="U416" s="426" t="s">
        <v>3291</v>
      </c>
      <c r="V416" s="426" t="s">
        <v>3290</v>
      </c>
      <c r="W416" s="426" t="s">
        <v>3296</v>
      </c>
      <c r="X416" s="426" t="s">
        <v>2813</v>
      </c>
      <c r="Y416" s="426" t="s">
        <v>3297</v>
      </c>
      <c r="Z416" s="426" t="s">
        <v>2937</v>
      </c>
      <c r="AA416" s="426" t="s">
        <v>2646</v>
      </c>
      <c r="AB416" s="426" t="s">
        <v>2646</v>
      </c>
      <c r="AC416" s="426" t="s">
        <v>2646</v>
      </c>
      <c r="AD416" s="426" t="s">
        <v>2646</v>
      </c>
      <c r="AE416" s="426" t="s">
        <v>2646</v>
      </c>
      <c r="AF416" s="426" t="s">
        <v>2646</v>
      </c>
      <c r="AG416" s="426" t="s">
        <v>2646</v>
      </c>
      <c r="AH416" s="426" t="s">
        <v>2646</v>
      </c>
      <c r="AI416" s="426" t="s">
        <v>2646</v>
      </c>
      <c r="AJ416" s="68" t="s">
        <v>2646</v>
      </c>
    </row>
    <row r="417" spans="1:36" hidden="1">
      <c r="A417" s="392" t="s">
        <v>1739</v>
      </c>
      <c r="B417" s="427" t="s">
        <v>2649</v>
      </c>
      <c r="C417" s="433" t="s">
        <v>3607</v>
      </c>
      <c r="D417" s="433" t="s">
        <v>3686</v>
      </c>
      <c r="E417" s="433" t="s">
        <v>2680</v>
      </c>
      <c r="F417" s="433" t="s">
        <v>2654</v>
      </c>
      <c r="G417" s="433" t="s">
        <v>2654</v>
      </c>
      <c r="H417" s="433" t="s">
        <v>2654</v>
      </c>
      <c r="I417" s="433" t="s">
        <v>2654</v>
      </c>
      <c r="J417" s="433" t="s">
        <v>2654</v>
      </c>
      <c r="K417" s="433" t="s">
        <v>2654</v>
      </c>
      <c r="L417" s="433" t="s">
        <v>2654</v>
      </c>
      <c r="M417" s="433" t="s">
        <v>2654</v>
      </c>
      <c r="N417" s="433" t="s">
        <v>2654</v>
      </c>
      <c r="O417" s="433" t="s">
        <v>2654</v>
      </c>
      <c r="P417" s="433" t="s">
        <v>4093</v>
      </c>
      <c r="Q417" s="431"/>
      <c r="R417" s="431"/>
      <c r="S417" s="426" t="s">
        <v>2778</v>
      </c>
      <c r="T417" s="426" t="s">
        <v>3298</v>
      </c>
      <c r="U417" s="426" t="s">
        <v>3299</v>
      </c>
      <c r="V417" s="426" t="s">
        <v>3299</v>
      </c>
      <c r="W417" s="426" t="s">
        <v>3296</v>
      </c>
      <c r="X417" s="426" t="s">
        <v>2813</v>
      </c>
      <c r="Y417" s="426" t="s">
        <v>3297</v>
      </c>
      <c r="Z417" s="426" t="s">
        <v>2820</v>
      </c>
      <c r="AA417" s="426" t="s">
        <v>2646</v>
      </c>
      <c r="AB417" s="426" t="s">
        <v>2646</v>
      </c>
      <c r="AC417" s="426" t="s">
        <v>2646</v>
      </c>
      <c r="AD417" s="426" t="s">
        <v>2646</v>
      </c>
      <c r="AE417" s="426" t="s">
        <v>2646</v>
      </c>
      <c r="AF417" s="426" t="s">
        <v>2646</v>
      </c>
      <c r="AG417" s="426" t="s">
        <v>2646</v>
      </c>
      <c r="AH417" s="426" t="s">
        <v>2646</v>
      </c>
      <c r="AI417" s="426" t="s">
        <v>2646</v>
      </c>
      <c r="AJ417" s="68" t="s">
        <v>2646</v>
      </c>
    </row>
    <row r="418" spans="1:36" hidden="1">
      <c r="A418" s="392" t="s">
        <v>1740</v>
      </c>
      <c r="B418" s="427" t="s">
        <v>2650</v>
      </c>
      <c r="C418" s="433" t="s">
        <v>3709</v>
      </c>
      <c r="D418" s="433" t="s">
        <v>3710</v>
      </c>
      <c r="E418" s="433" t="s">
        <v>2738</v>
      </c>
      <c r="F418" s="433" t="s">
        <v>2678</v>
      </c>
      <c r="G418" s="433" t="s">
        <v>2678</v>
      </c>
      <c r="H418" s="433" t="s">
        <v>2654</v>
      </c>
      <c r="I418" s="433" t="s">
        <v>2654</v>
      </c>
      <c r="J418" s="433" t="s">
        <v>2654</v>
      </c>
      <c r="K418" s="433" t="s">
        <v>2654</v>
      </c>
      <c r="L418" s="433" t="s">
        <v>2654</v>
      </c>
      <c r="M418" s="433" t="s">
        <v>2654</v>
      </c>
      <c r="N418" s="433" t="s">
        <v>2654</v>
      </c>
      <c r="O418" s="433" t="s">
        <v>2866</v>
      </c>
      <c r="P418" s="433" t="s">
        <v>4061</v>
      </c>
      <c r="Q418" s="431"/>
      <c r="R418" s="431"/>
      <c r="S418" s="426" t="s">
        <v>2901</v>
      </c>
      <c r="T418" s="426" t="s">
        <v>3135</v>
      </c>
      <c r="U418" s="426" t="s">
        <v>3207</v>
      </c>
      <c r="V418" s="426" t="s">
        <v>2881</v>
      </c>
      <c r="W418" s="426" t="s">
        <v>3274</v>
      </c>
      <c r="X418" s="426" t="s">
        <v>2813</v>
      </c>
      <c r="Y418" s="426" t="s">
        <v>3040</v>
      </c>
      <c r="Z418" s="426" t="s">
        <v>2923</v>
      </c>
      <c r="AA418" s="426" t="s">
        <v>2646</v>
      </c>
      <c r="AB418" s="426" t="s">
        <v>2646</v>
      </c>
      <c r="AC418" s="426" t="s">
        <v>2646</v>
      </c>
      <c r="AD418" s="426" t="s">
        <v>2646</v>
      </c>
      <c r="AE418" s="426" t="s">
        <v>2646</v>
      </c>
      <c r="AF418" s="426" t="s">
        <v>2646</v>
      </c>
      <c r="AG418" s="426" t="s">
        <v>2646</v>
      </c>
      <c r="AH418" s="426" t="s">
        <v>2646</v>
      </c>
      <c r="AI418" s="426" t="s">
        <v>2646</v>
      </c>
      <c r="AJ418" s="68" t="s">
        <v>2646</v>
      </c>
    </row>
    <row r="419" spans="1:36" hidden="1">
      <c r="A419" s="392" t="s">
        <v>1741</v>
      </c>
      <c r="B419" s="427" t="s">
        <v>2651</v>
      </c>
      <c r="C419" s="433" t="s">
        <v>3478</v>
      </c>
      <c r="D419" s="433" t="s">
        <v>3364</v>
      </c>
      <c r="E419" s="433" t="s">
        <v>2724</v>
      </c>
      <c r="F419" s="433" t="s">
        <v>2654</v>
      </c>
      <c r="G419" s="433" t="s">
        <v>2654</v>
      </c>
      <c r="H419" s="433" t="s">
        <v>2654</v>
      </c>
      <c r="I419" s="433" t="s">
        <v>2654</v>
      </c>
      <c r="J419" s="433" t="s">
        <v>2654</v>
      </c>
      <c r="K419" s="433" t="s">
        <v>2654</v>
      </c>
      <c r="L419" s="433" t="s">
        <v>2654</v>
      </c>
      <c r="M419" s="433" t="s">
        <v>2654</v>
      </c>
      <c r="N419" s="433" t="s">
        <v>2654</v>
      </c>
      <c r="O419" s="433" t="s">
        <v>2793</v>
      </c>
      <c r="P419" s="433" t="s">
        <v>4129</v>
      </c>
      <c r="Q419" s="431"/>
      <c r="R419" s="431"/>
      <c r="S419" s="426" t="s">
        <v>2664</v>
      </c>
      <c r="T419" s="426" t="s">
        <v>3080</v>
      </c>
      <c r="U419" s="426" t="s">
        <v>3301</v>
      </c>
      <c r="V419" s="426" t="s">
        <v>3286</v>
      </c>
      <c r="W419" s="426" t="s">
        <v>3274</v>
      </c>
      <c r="X419" s="426" t="s">
        <v>2813</v>
      </c>
      <c r="Y419" s="426" t="s">
        <v>3040</v>
      </c>
      <c r="Z419" s="426" t="s">
        <v>3181</v>
      </c>
      <c r="AA419" s="426" t="s">
        <v>2646</v>
      </c>
      <c r="AB419" s="426" t="s">
        <v>2646</v>
      </c>
      <c r="AC419" s="426" t="s">
        <v>2646</v>
      </c>
      <c r="AD419" s="426" t="s">
        <v>2646</v>
      </c>
      <c r="AE419" s="426" t="s">
        <v>2646</v>
      </c>
      <c r="AF419" s="426" t="s">
        <v>2646</v>
      </c>
      <c r="AG419" s="426" t="s">
        <v>2646</v>
      </c>
      <c r="AH419" s="426" t="s">
        <v>2646</v>
      </c>
      <c r="AI419" s="426" t="s">
        <v>2646</v>
      </c>
      <c r="AJ419" s="68" t="s">
        <v>2646</v>
      </c>
    </row>
    <row r="420" spans="1:36">
      <c r="A420" s="392" t="s">
        <v>1741</v>
      </c>
      <c r="B420" s="427" t="s">
        <v>48</v>
      </c>
      <c r="C420" s="433" t="s">
        <v>4259</v>
      </c>
      <c r="D420" s="433" t="s">
        <v>3856</v>
      </c>
      <c r="E420" s="433" t="s">
        <v>2864</v>
      </c>
      <c r="F420" s="433" t="s">
        <v>2668</v>
      </c>
      <c r="G420" s="433" t="s">
        <v>2668</v>
      </c>
      <c r="H420" s="433" t="s">
        <v>2654</v>
      </c>
      <c r="I420" s="433" t="s">
        <v>2654</v>
      </c>
      <c r="J420" s="433" t="s">
        <v>2654</v>
      </c>
      <c r="K420" s="433" t="s">
        <v>2654</v>
      </c>
      <c r="L420" s="433" t="s">
        <v>2654</v>
      </c>
      <c r="M420" s="433" t="s">
        <v>2654</v>
      </c>
      <c r="N420" s="433" t="s">
        <v>2654</v>
      </c>
      <c r="O420" s="433" t="s">
        <v>2681</v>
      </c>
      <c r="P420" s="433" t="s">
        <v>2807</v>
      </c>
      <c r="Q420" s="433" t="s">
        <v>2654</v>
      </c>
      <c r="R420" s="433" t="s">
        <v>2654</v>
      </c>
      <c r="S420" s="426"/>
      <c r="T420" s="426"/>
      <c r="U420" s="426"/>
      <c r="V420" s="426"/>
      <c r="W420" s="426"/>
      <c r="X420" s="426"/>
      <c r="Y420" s="426"/>
      <c r="Z420" s="426"/>
      <c r="AA420" s="426"/>
      <c r="AB420" s="426"/>
      <c r="AC420" s="426"/>
      <c r="AD420" s="426"/>
      <c r="AE420" s="426"/>
      <c r="AF420" s="426"/>
      <c r="AG420" s="426"/>
      <c r="AH420" s="426"/>
      <c r="AI420" s="426"/>
    </row>
    <row r="421" spans="1:36" hidden="1">
      <c r="A421" s="392" t="s">
        <v>1742</v>
      </c>
      <c r="B421" s="427" t="s">
        <v>2647</v>
      </c>
      <c r="C421" s="433" t="s">
        <v>3733</v>
      </c>
      <c r="D421" s="433" t="s">
        <v>3364</v>
      </c>
      <c r="E421" s="433" t="s">
        <v>2656</v>
      </c>
      <c r="F421" s="433" t="s">
        <v>2654</v>
      </c>
      <c r="G421" s="433" t="s">
        <v>2654</v>
      </c>
      <c r="H421" s="433" t="s">
        <v>2654</v>
      </c>
      <c r="I421" s="433" t="s">
        <v>2654</v>
      </c>
      <c r="J421" s="433" t="s">
        <v>2654</v>
      </c>
      <c r="K421" s="433" t="s">
        <v>2654</v>
      </c>
      <c r="L421" s="433" t="s">
        <v>2654</v>
      </c>
      <c r="M421" s="433" t="s">
        <v>2654</v>
      </c>
      <c r="N421" s="433" t="s">
        <v>2654</v>
      </c>
      <c r="O421" s="433" t="s">
        <v>2654</v>
      </c>
      <c r="P421" s="433" t="s">
        <v>4080</v>
      </c>
      <c r="Q421" s="431"/>
      <c r="R421" s="431"/>
      <c r="S421" s="426" t="s">
        <v>2657</v>
      </c>
      <c r="T421" s="426" t="s">
        <v>2838</v>
      </c>
      <c r="U421" s="426" t="s">
        <v>3287</v>
      </c>
      <c r="V421" s="426" t="s">
        <v>3229</v>
      </c>
      <c r="W421" s="426" t="s">
        <v>3303</v>
      </c>
      <c r="X421" s="426" t="s">
        <v>2840</v>
      </c>
      <c r="Y421" s="426" t="s">
        <v>3068</v>
      </c>
      <c r="Z421" s="426" t="s">
        <v>3304</v>
      </c>
      <c r="AA421" s="426" t="s">
        <v>2965</v>
      </c>
      <c r="AB421" s="426" t="s">
        <v>2646</v>
      </c>
      <c r="AC421" s="426" t="s">
        <v>2646</v>
      </c>
      <c r="AD421" s="426" t="s">
        <v>2646</v>
      </c>
      <c r="AE421" s="426" t="s">
        <v>2646</v>
      </c>
      <c r="AF421" s="426" t="s">
        <v>2646</v>
      </c>
      <c r="AG421" s="426" t="s">
        <v>2646</v>
      </c>
      <c r="AH421" s="426" t="s">
        <v>2646</v>
      </c>
      <c r="AI421" s="426" t="s">
        <v>2646</v>
      </c>
      <c r="AJ421" s="68" t="s">
        <v>2646</v>
      </c>
    </row>
    <row r="422" spans="1:36" hidden="1">
      <c r="A422" s="392" t="s">
        <v>1743</v>
      </c>
      <c r="B422" s="427" t="s">
        <v>2648</v>
      </c>
      <c r="C422" s="433" t="s">
        <v>3516</v>
      </c>
      <c r="D422" s="433" t="s">
        <v>3710</v>
      </c>
      <c r="E422" s="433" t="s">
        <v>2656</v>
      </c>
      <c r="F422" s="433" t="s">
        <v>2654</v>
      </c>
      <c r="G422" s="433" t="s">
        <v>2654</v>
      </c>
      <c r="H422" s="433" t="s">
        <v>2654</v>
      </c>
      <c r="I422" s="433" t="s">
        <v>2654</v>
      </c>
      <c r="J422" s="433" t="s">
        <v>2654</v>
      </c>
      <c r="K422" s="433" t="s">
        <v>2654</v>
      </c>
      <c r="L422" s="433" t="s">
        <v>2654</v>
      </c>
      <c r="M422" s="433" t="s">
        <v>2654</v>
      </c>
      <c r="N422" s="433" t="s">
        <v>2654</v>
      </c>
      <c r="O422" s="433" t="s">
        <v>2654</v>
      </c>
      <c r="P422" s="433" t="s">
        <v>4093</v>
      </c>
      <c r="Q422" s="431"/>
      <c r="R422" s="431"/>
      <c r="S422" s="426" t="s">
        <v>2778</v>
      </c>
      <c r="T422" s="426" t="s">
        <v>2945</v>
      </c>
      <c r="U422" s="426" t="s">
        <v>3086</v>
      </c>
      <c r="V422" s="426" t="s">
        <v>3086</v>
      </c>
      <c r="W422" s="426" t="s">
        <v>3303</v>
      </c>
      <c r="X422" s="426" t="s">
        <v>2840</v>
      </c>
      <c r="Y422" s="426" t="s">
        <v>3068</v>
      </c>
      <c r="Z422" s="426" t="s">
        <v>2845</v>
      </c>
      <c r="AA422" s="426" t="s">
        <v>2646</v>
      </c>
      <c r="AB422" s="426" t="s">
        <v>2646</v>
      </c>
      <c r="AC422" s="426" t="s">
        <v>2646</v>
      </c>
      <c r="AD422" s="426" t="s">
        <v>2646</v>
      </c>
      <c r="AE422" s="426" t="s">
        <v>2646</v>
      </c>
      <c r="AF422" s="426" t="s">
        <v>2646</v>
      </c>
      <c r="AG422" s="426" t="s">
        <v>2646</v>
      </c>
      <c r="AH422" s="426" t="s">
        <v>2646</v>
      </c>
      <c r="AI422" s="426" t="s">
        <v>2646</v>
      </c>
      <c r="AJ422" s="68" t="s">
        <v>2646</v>
      </c>
    </row>
    <row r="423" spans="1:36" hidden="1">
      <c r="A423" s="392" t="s">
        <v>1744</v>
      </c>
      <c r="B423" s="427" t="s">
        <v>2649</v>
      </c>
      <c r="C423" s="433" t="s">
        <v>3074</v>
      </c>
      <c r="D423" s="433" t="s">
        <v>3364</v>
      </c>
      <c r="E423" s="433" t="s">
        <v>2791</v>
      </c>
      <c r="F423" s="433" t="s">
        <v>2654</v>
      </c>
      <c r="G423" s="433" t="s">
        <v>2654</v>
      </c>
      <c r="H423" s="433" t="s">
        <v>2654</v>
      </c>
      <c r="I423" s="433" t="s">
        <v>2654</v>
      </c>
      <c r="J423" s="433" t="s">
        <v>2654</v>
      </c>
      <c r="K423" s="433" t="s">
        <v>2654</v>
      </c>
      <c r="L423" s="433" t="s">
        <v>2654</v>
      </c>
      <c r="M423" s="433" t="s">
        <v>2654</v>
      </c>
      <c r="N423" s="433" t="s">
        <v>2654</v>
      </c>
      <c r="O423" s="433" t="s">
        <v>2793</v>
      </c>
      <c r="P423" s="433" t="s">
        <v>4057</v>
      </c>
      <c r="Q423" s="431"/>
      <c r="R423" s="431"/>
      <c r="S423" s="426" t="s">
        <v>2658</v>
      </c>
      <c r="T423" s="426" t="s">
        <v>3231</v>
      </c>
      <c r="U423" s="426" t="s">
        <v>3307</v>
      </c>
      <c r="V423" s="426" t="s">
        <v>3308</v>
      </c>
      <c r="W423" s="426" t="s">
        <v>3309</v>
      </c>
      <c r="X423" s="426" t="s">
        <v>2840</v>
      </c>
      <c r="Y423" s="426" t="s">
        <v>3310</v>
      </c>
      <c r="Z423" s="426" t="s">
        <v>3181</v>
      </c>
      <c r="AA423" s="426" t="s">
        <v>2646</v>
      </c>
      <c r="AB423" s="426" t="s">
        <v>2646</v>
      </c>
      <c r="AC423" s="426" t="s">
        <v>2646</v>
      </c>
      <c r="AD423" s="426" t="s">
        <v>2646</v>
      </c>
      <c r="AE423" s="426" t="s">
        <v>2646</v>
      </c>
      <c r="AF423" s="426" t="s">
        <v>2646</v>
      </c>
      <c r="AG423" s="426" t="s">
        <v>2646</v>
      </c>
      <c r="AH423" s="426" t="s">
        <v>2646</v>
      </c>
      <c r="AI423" s="426" t="s">
        <v>2646</v>
      </c>
      <c r="AJ423" s="68" t="s">
        <v>2646</v>
      </c>
    </row>
    <row r="424" spans="1:36" hidden="1">
      <c r="A424" s="392" t="s">
        <v>1745</v>
      </c>
      <c r="B424" s="427" t="s">
        <v>2650</v>
      </c>
      <c r="C424" s="433" t="s">
        <v>3781</v>
      </c>
      <c r="D424" s="433" t="s">
        <v>3710</v>
      </c>
      <c r="E424" s="433" t="s">
        <v>2687</v>
      </c>
      <c r="F424" s="433" t="s">
        <v>2654</v>
      </c>
      <c r="G424" s="433" t="s">
        <v>2654</v>
      </c>
      <c r="H424" s="433" t="s">
        <v>2654</v>
      </c>
      <c r="I424" s="433" t="s">
        <v>2654</v>
      </c>
      <c r="J424" s="433" t="s">
        <v>2654</v>
      </c>
      <c r="K424" s="433" t="s">
        <v>2654</v>
      </c>
      <c r="L424" s="433" t="s">
        <v>2654</v>
      </c>
      <c r="M424" s="433" t="s">
        <v>2654</v>
      </c>
      <c r="N424" s="433" t="s">
        <v>2654</v>
      </c>
      <c r="O424" s="433" t="s">
        <v>2668</v>
      </c>
      <c r="P424" s="433" t="s">
        <v>4087</v>
      </c>
      <c r="Q424" s="431"/>
      <c r="R424" s="431"/>
      <c r="S424" s="426" t="s">
        <v>2669</v>
      </c>
      <c r="T424" s="426" t="s">
        <v>2942</v>
      </c>
      <c r="U424" s="426" t="s">
        <v>3311</v>
      </c>
      <c r="V424" s="426" t="s">
        <v>3311</v>
      </c>
      <c r="W424" s="426" t="s">
        <v>3303</v>
      </c>
      <c r="X424" s="426" t="s">
        <v>2840</v>
      </c>
      <c r="Y424" s="426" t="s">
        <v>3068</v>
      </c>
      <c r="Z424" s="426" t="s">
        <v>2820</v>
      </c>
      <c r="AA424" s="426" t="s">
        <v>2646</v>
      </c>
      <c r="AB424" s="426" t="s">
        <v>2646</v>
      </c>
      <c r="AC424" s="426" t="s">
        <v>2646</v>
      </c>
      <c r="AD424" s="426" t="s">
        <v>2646</v>
      </c>
      <c r="AE424" s="426" t="s">
        <v>2646</v>
      </c>
      <c r="AF424" s="426" t="s">
        <v>2646</v>
      </c>
      <c r="AG424" s="426" t="s">
        <v>2646</v>
      </c>
      <c r="AH424" s="426" t="s">
        <v>2646</v>
      </c>
      <c r="AI424" s="426" t="s">
        <v>2646</v>
      </c>
      <c r="AJ424" s="68" t="s">
        <v>2646</v>
      </c>
    </row>
    <row r="425" spans="1:36" hidden="1">
      <c r="A425" s="392" t="s">
        <v>1746</v>
      </c>
      <c r="B425" s="427" t="s">
        <v>2651</v>
      </c>
      <c r="C425" s="433" t="s">
        <v>3735</v>
      </c>
      <c r="D425" s="433" t="s">
        <v>3364</v>
      </c>
      <c r="E425" s="433" t="s">
        <v>2791</v>
      </c>
      <c r="F425" s="433" t="s">
        <v>2654</v>
      </c>
      <c r="G425" s="433" t="s">
        <v>2654</v>
      </c>
      <c r="H425" s="433" t="s">
        <v>2654</v>
      </c>
      <c r="I425" s="433" t="s">
        <v>2654</v>
      </c>
      <c r="J425" s="433" t="s">
        <v>2654</v>
      </c>
      <c r="K425" s="433" t="s">
        <v>2654</v>
      </c>
      <c r="L425" s="433" t="s">
        <v>2654</v>
      </c>
      <c r="M425" s="433" t="s">
        <v>2654</v>
      </c>
      <c r="N425" s="433" t="s">
        <v>2654</v>
      </c>
      <c r="O425" s="433" t="s">
        <v>2793</v>
      </c>
      <c r="P425" s="433" t="s">
        <v>4260</v>
      </c>
      <c r="Q425" s="431"/>
      <c r="R425" s="431"/>
      <c r="S425" s="426" t="s">
        <v>2657</v>
      </c>
      <c r="T425" s="426" t="s">
        <v>3054</v>
      </c>
      <c r="U425" s="426" t="s">
        <v>3312</v>
      </c>
      <c r="V425" s="426" t="s">
        <v>2950</v>
      </c>
      <c r="W425" s="426" t="s">
        <v>3303</v>
      </c>
      <c r="X425" s="426" t="s">
        <v>2840</v>
      </c>
      <c r="Y425" s="426" t="s">
        <v>3068</v>
      </c>
      <c r="Z425" s="426" t="s">
        <v>3313</v>
      </c>
      <c r="AA425" s="426" t="s">
        <v>2646</v>
      </c>
      <c r="AB425" s="426" t="s">
        <v>2646</v>
      </c>
      <c r="AC425" s="426" t="s">
        <v>2646</v>
      </c>
      <c r="AD425" s="426" t="s">
        <v>2646</v>
      </c>
      <c r="AE425" s="426" t="s">
        <v>2646</v>
      </c>
      <c r="AF425" s="426" t="s">
        <v>2646</v>
      </c>
      <c r="AG425" s="426" t="s">
        <v>2646</v>
      </c>
      <c r="AH425" s="426" t="s">
        <v>2646</v>
      </c>
      <c r="AI425" s="426" t="s">
        <v>2646</v>
      </c>
      <c r="AJ425" s="68" t="s">
        <v>2646</v>
      </c>
    </row>
    <row r="426" spans="1:36">
      <c r="A426" s="392" t="s">
        <v>1746</v>
      </c>
      <c r="B426" s="427" t="s">
        <v>48</v>
      </c>
      <c r="C426" s="433" t="s">
        <v>4261</v>
      </c>
      <c r="D426" s="433" t="s">
        <v>3856</v>
      </c>
      <c r="E426" s="433" t="s">
        <v>2909</v>
      </c>
      <c r="F426" s="433" t="s">
        <v>2654</v>
      </c>
      <c r="G426" s="433" t="s">
        <v>2654</v>
      </c>
      <c r="H426" s="433" t="s">
        <v>2654</v>
      </c>
      <c r="I426" s="433" t="s">
        <v>2654</v>
      </c>
      <c r="J426" s="433" t="s">
        <v>2654</v>
      </c>
      <c r="K426" s="433" t="s">
        <v>2654</v>
      </c>
      <c r="L426" s="433" t="s">
        <v>2654</v>
      </c>
      <c r="M426" s="433" t="s">
        <v>2654</v>
      </c>
      <c r="N426" s="433" t="s">
        <v>2654</v>
      </c>
      <c r="O426" s="433" t="s">
        <v>2793</v>
      </c>
      <c r="P426" s="433" t="s">
        <v>3760</v>
      </c>
      <c r="Q426" s="433" t="s">
        <v>2654</v>
      </c>
      <c r="R426" s="433" t="s">
        <v>2654</v>
      </c>
      <c r="S426" s="426"/>
      <c r="T426" s="426"/>
      <c r="U426" s="426"/>
      <c r="V426" s="426"/>
      <c r="W426" s="426"/>
      <c r="X426" s="426"/>
      <c r="Y426" s="426"/>
      <c r="Z426" s="426"/>
      <c r="AA426" s="426"/>
      <c r="AB426" s="426"/>
      <c r="AC426" s="426"/>
      <c r="AD426" s="426"/>
      <c r="AE426" s="426"/>
      <c r="AF426" s="426"/>
      <c r="AG426" s="426"/>
      <c r="AH426" s="426"/>
      <c r="AI426" s="426"/>
    </row>
    <row r="427" spans="1:36" hidden="1">
      <c r="A427" s="392" t="s">
        <v>1747</v>
      </c>
      <c r="B427" s="427" t="s">
        <v>2647</v>
      </c>
      <c r="C427" s="433" t="s">
        <v>3945</v>
      </c>
      <c r="D427" s="433" t="s">
        <v>3364</v>
      </c>
      <c r="E427" s="433" t="s">
        <v>2732</v>
      </c>
      <c r="F427" s="433" t="s">
        <v>2654</v>
      </c>
      <c r="G427" s="433" t="s">
        <v>2654</v>
      </c>
      <c r="H427" s="433" t="s">
        <v>2654</v>
      </c>
      <c r="I427" s="433" t="s">
        <v>2654</v>
      </c>
      <c r="J427" s="433" t="s">
        <v>2654</v>
      </c>
      <c r="K427" s="433" t="s">
        <v>2654</v>
      </c>
      <c r="L427" s="433" t="s">
        <v>2654</v>
      </c>
      <c r="M427" s="433" t="s">
        <v>2654</v>
      </c>
      <c r="N427" s="433" t="s">
        <v>2654</v>
      </c>
      <c r="O427" s="433" t="s">
        <v>2793</v>
      </c>
      <c r="P427" s="433" t="s">
        <v>4087</v>
      </c>
      <c r="Q427" s="431"/>
      <c r="R427" s="431"/>
      <c r="S427" s="426" t="s">
        <v>2655</v>
      </c>
      <c r="T427" s="426" t="s">
        <v>3080</v>
      </c>
      <c r="U427" s="426" t="s">
        <v>3314</v>
      </c>
      <c r="V427" s="426" t="s">
        <v>3188</v>
      </c>
      <c r="W427" s="426" t="s">
        <v>3315</v>
      </c>
      <c r="X427" s="426" t="s">
        <v>2758</v>
      </c>
      <c r="Y427" s="426" t="s">
        <v>3316</v>
      </c>
      <c r="Z427" s="426" t="s">
        <v>3181</v>
      </c>
      <c r="AA427" s="426" t="s">
        <v>2646</v>
      </c>
      <c r="AB427" s="426" t="s">
        <v>2646</v>
      </c>
      <c r="AC427" s="426" t="s">
        <v>2646</v>
      </c>
      <c r="AD427" s="426" t="s">
        <v>2646</v>
      </c>
      <c r="AE427" s="426" t="s">
        <v>2646</v>
      </c>
      <c r="AF427" s="426" t="s">
        <v>2646</v>
      </c>
      <c r="AG427" s="426" t="s">
        <v>2646</v>
      </c>
      <c r="AH427" s="426" t="s">
        <v>2646</v>
      </c>
      <c r="AI427" s="426" t="s">
        <v>2646</v>
      </c>
      <c r="AJ427" s="68" t="s">
        <v>2646</v>
      </c>
    </row>
    <row r="428" spans="1:36" hidden="1">
      <c r="A428" s="392" t="s">
        <v>1748</v>
      </c>
      <c r="B428" s="427" t="s">
        <v>2648</v>
      </c>
      <c r="C428" s="433" t="s">
        <v>3712</v>
      </c>
      <c r="D428" s="433" t="s">
        <v>3710</v>
      </c>
      <c r="E428" s="433" t="s">
        <v>2899</v>
      </c>
      <c r="F428" s="433" t="s">
        <v>2654</v>
      </c>
      <c r="G428" s="433" t="s">
        <v>2654</v>
      </c>
      <c r="H428" s="433" t="s">
        <v>2654</v>
      </c>
      <c r="I428" s="433" t="s">
        <v>2654</v>
      </c>
      <c r="J428" s="433" t="s">
        <v>2654</v>
      </c>
      <c r="K428" s="433" t="s">
        <v>2654</v>
      </c>
      <c r="L428" s="433" t="s">
        <v>2654</v>
      </c>
      <c r="M428" s="433" t="s">
        <v>2654</v>
      </c>
      <c r="N428" s="433" t="s">
        <v>2654</v>
      </c>
      <c r="O428" s="433" t="s">
        <v>2793</v>
      </c>
      <c r="P428" s="433" t="s">
        <v>4078</v>
      </c>
      <c r="Q428" s="431"/>
      <c r="R428" s="431"/>
      <c r="S428" s="426" t="s">
        <v>2669</v>
      </c>
      <c r="T428" s="426" t="s">
        <v>3052</v>
      </c>
      <c r="U428" s="426" t="s">
        <v>2938</v>
      </c>
      <c r="V428" s="426" t="s">
        <v>3236</v>
      </c>
      <c r="W428" s="426" t="s">
        <v>3274</v>
      </c>
      <c r="X428" s="426" t="s">
        <v>2758</v>
      </c>
      <c r="Y428" s="426" t="s">
        <v>3318</v>
      </c>
      <c r="Z428" s="426" t="s">
        <v>3181</v>
      </c>
      <c r="AA428" s="426" t="s">
        <v>2646</v>
      </c>
      <c r="AB428" s="426" t="s">
        <v>2646</v>
      </c>
      <c r="AC428" s="426" t="s">
        <v>2646</v>
      </c>
      <c r="AD428" s="426" t="s">
        <v>2646</v>
      </c>
      <c r="AE428" s="426" t="s">
        <v>2646</v>
      </c>
      <c r="AF428" s="426" t="s">
        <v>2646</v>
      </c>
      <c r="AG428" s="426" t="s">
        <v>2646</v>
      </c>
      <c r="AH428" s="426" t="s">
        <v>2646</v>
      </c>
      <c r="AI428" s="426" t="s">
        <v>2646</v>
      </c>
      <c r="AJ428" s="68" t="s">
        <v>2646</v>
      </c>
    </row>
    <row r="429" spans="1:36" hidden="1">
      <c r="A429" s="392" t="s">
        <v>1749</v>
      </c>
      <c r="B429" s="427" t="s">
        <v>2649</v>
      </c>
      <c r="C429" s="433" t="s">
        <v>4122</v>
      </c>
      <c r="D429" s="433" t="s">
        <v>3364</v>
      </c>
      <c r="E429" s="433" t="s">
        <v>2708</v>
      </c>
      <c r="F429" s="433" t="s">
        <v>2654</v>
      </c>
      <c r="G429" s="433" t="s">
        <v>2654</v>
      </c>
      <c r="H429" s="433" t="s">
        <v>2654</v>
      </c>
      <c r="I429" s="433" t="s">
        <v>2654</v>
      </c>
      <c r="J429" s="433" t="s">
        <v>2654</v>
      </c>
      <c r="K429" s="433" t="s">
        <v>2654</v>
      </c>
      <c r="L429" s="433" t="s">
        <v>2654</v>
      </c>
      <c r="M429" s="433" t="s">
        <v>2654</v>
      </c>
      <c r="N429" s="433" t="s">
        <v>2654</v>
      </c>
      <c r="O429" s="433" t="s">
        <v>2654</v>
      </c>
      <c r="P429" s="433" t="s">
        <v>4083</v>
      </c>
      <c r="Q429" s="431"/>
      <c r="R429" s="431"/>
      <c r="S429" s="426" t="s">
        <v>2655</v>
      </c>
      <c r="T429" s="426" t="s">
        <v>3172</v>
      </c>
      <c r="U429" s="426" t="s">
        <v>3320</v>
      </c>
      <c r="V429" s="426" t="s">
        <v>3052</v>
      </c>
      <c r="W429" s="426" t="s">
        <v>3274</v>
      </c>
      <c r="X429" s="426" t="s">
        <v>2758</v>
      </c>
      <c r="Y429" s="426" t="s">
        <v>3318</v>
      </c>
      <c r="Z429" s="426" t="s">
        <v>2944</v>
      </c>
      <c r="AA429" s="426" t="s">
        <v>2646</v>
      </c>
      <c r="AB429" s="426" t="s">
        <v>2646</v>
      </c>
      <c r="AC429" s="426" t="s">
        <v>2646</v>
      </c>
      <c r="AD429" s="426" t="s">
        <v>2646</v>
      </c>
      <c r="AE429" s="426" t="s">
        <v>2646</v>
      </c>
      <c r="AF429" s="426" t="s">
        <v>2646</v>
      </c>
      <c r="AG429" s="426" t="s">
        <v>2646</v>
      </c>
      <c r="AH429" s="426" t="s">
        <v>2646</v>
      </c>
      <c r="AI429" s="426" t="s">
        <v>2646</v>
      </c>
      <c r="AJ429" s="68" t="s">
        <v>2646</v>
      </c>
    </row>
    <row r="430" spans="1:36" hidden="1">
      <c r="A430" s="392" t="s">
        <v>1750</v>
      </c>
      <c r="B430" s="427" t="s">
        <v>2650</v>
      </c>
      <c r="C430" s="433" t="s">
        <v>3717</v>
      </c>
      <c r="D430" s="433" t="s">
        <v>3364</v>
      </c>
      <c r="E430" s="433" t="s">
        <v>2656</v>
      </c>
      <c r="F430" s="433" t="s">
        <v>2654</v>
      </c>
      <c r="G430" s="433" t="s">
        <v>2654</v>
      </c>
      <c r="H430" s="433" t="s">
        <v>2654</v>
      </c>
      <c r="I430" s="433" t="s">
        <v>2654</v>
      </c>
      <c r="J430" s="433" t="s">
        <v>2654</v>
      </c>
      <c r="K430" s="433" t="s">
        <v>2654</v>
      </c>
      <c r="L430" s="433" t="s">
        <v>2654</v>
      </c>
      <c r="M430" s="433" t="s">
        <v>2654</v>
      </c>
      <c r="N430" s="433" t="s">
        <v>2654</v>
      </c>
      <c r="O430" s="433" t="s">
        <v>2654</v>
      </c>
      <c r="P430" s="433" t="s">
        <v>4093</v>
      </c>
      <c r="Q430" s="431"/>
      <c r="R430" s="431"/>
      <c r="S430" s="426" t="s">
        <v>2901</v>
      </c>
      <c r="T430" s="426" t="s">
        <v>2856</v>
      </c>
      <c r="U430" s="426" t="s">
        <v>2938</v>
      </c>
      <c r="V430" s="426" t="s">
        <v>3286</v>
      </c>
      <c r="W430" s="426" t="s">
        <v>3274</v>
      </c>
      <c r="X430" s="426" t="s">
        <v>2758</v>
      </c>
      <c r="Y430" s="426" t="s">
        <v>3318</v>
      </c>
      <c r="Z430" s="426" t="s">
        <v>2944</v>
      </c>
      <c r="AA430" s="426" t="s">
        <v>2646</v>
      </c>
      <c r="AB430" s="426" t="s">
        <v>2646</v>
      </c>
      <c r="AC430" s="426" t="s">
        <v>2646</v>
      </c>
      <c r="AD430" s="426" t="s">
        <v>2646</v>
      </c>
      <c r="AE430" s="426" t="s">
        <v>2646</v>
      </c>
      <c r="AF430" s="426" t="s">
        <v>2646</v>
      </c>
      <c r="AG430" s="426" t="s">
        <v>2646</v>
      </c>
      <c r="AH430" s="426" t="s">
        <v>2646</v>
      </c>
      <c r="AI430" s="426" t="s">
        <v>2646</v>
      </c>
      <c r="AJ430" s="68" t="s">
        <v>2646</v>
      </c>
    </row>
    <row r="431" spans="1:36" hidden="1">
      <c r="A431" s="392" t="s">
        <v>1751</v>
      </c>
      <c r="B431" s="427" t="s">
        <v>2651</v>
      </c>
      <c r="C431" s="433" t="s">
        <v>4262</v>
      </c>
      <c r="D431" s="433" t="s">
        <v>3710</v>
      </c>
      <c r="E431" s="433" t="s">
        <v>2994</v>
      </c>
      <c r="F431" s="433" t="s">
        <v>2654</v>
      </c>
      <c r="G431" s="433" t="s">
        <v>2654</v>
      </c>
      <c r="H431" s="433" t="s">
        <v>2654</v>
      </c>
      <c r="I431" s="433" t="s">
        <v>2654</v>
      </c>
      <c r="J431" s="433" t="s">
        <v>2654</v>
      </c>
      <c r="K431" s="433" t="s">
        <v>2654</v>
      </c>
      <c r="L431" s="433" t="s">
        <v>2654</v>
      </c>
      <c r="M431" s="433" t="s">
        <v>2654</v>
      </c>
      <c r="N431" s="433" t="s">
        <v>2654</v>
      </c>
      <c r="O431" s="433" t="s">
        <v>2681</v>
      </c>
      <c r="P431" s="433" t="s">
        <v>4087</v>
      </c>
      <c r="Q431" s="431"/>
      <c r="R431" s="431"/>
      <c r="S431" s="426" t="s">
        <v>2796</v>
      </c>
      <c r="T431" s="426" t="s">
        <v>2880</v>
      </c>
      <c r="U431" s="426" t="s">
        <v>3320</v>
      </c>
      <c r="V431" s="426" t="s">
        <v>3053</v>
      </c>
      <c r="W431" s="426" t="s">
        <v>3274</v>
      </c>
      <c r="X431" s="426" t="s">
        <v>2758</v>
      </c>
      <c r="Y431" s="426" t="s">
        <v>3318</v>
      </c>
      <c r="Z431" s="426" t="s">
        <v>2944</v>
      </c>
      <c r="AA431" s="426" t="s">
        <v>2646</v>
      </c>
      <c r="AB431" s="426" t="s">
        <v>2646</v>
      </c>
      <c r="AC431" s="426" t="s">
        <v>2646</v>
      </c>
      <c r="AD431" s="426" t="s">
        <v>2646</v>
      </c>
      <c r="AE431" s="426" t="s">
        <v>2646</v>
      </c>
      <c r="AF431" s="426" t="s">
        <v>2646</v>
      </c>
      <c r="AG431" s="426" t="s">
        <v>2646</v>
      </c>
      <c r="AH431" s="426" t="s">
        <v>2646</v>
      </c>
      <c r="AI431" s="426" t="s">
        <v>2646</v>
      </c>
      <c r="AJ431" s="68" t="s">
        <v>2646</v>
      </c>
    </row>
    <row r="432" spans="1:36">
      <c r="A432" s="392" t="s">
        <v>1751</v>
      </c>
      <c r="B432" s="427" t="s">
        <v>48</v>
      </c>
      <c r="C432" s="433" t="s">
        <v>4263</v>
      </c>
      <c r="D432" s="433" t="s">
        <v>3856</v>
      </c>
      <c r="E432" s="433" t="s">
        <v>4131</v>
      </c>
      <c r="F432" s="433" t="s">
        <v>2654</v>
      </c>
      <c r="G432" s="433" t="s">
        <v>2654</v>
      </c>
      <c r="H432" s="433" t="s">
        <v>2654</v>
      </c>
      <c r="I432" s="433" t="s">
        <v>2654</v>
      </c>
      <c r="J432" s="433" t="s">
        <v>2654</v>
      </c>
      <c r="K432" s="433" t="s">
        <v>2654</v>
      </c>
      <c r="L432" s="433" t="s">
        <v>2654</v>
      </c>
      <c r="M432" s="433" t="s">
        <v>2654</v>
      </c>
      <c r="N432" s="433" t="s">
        <v>2654</v>
      </c>
      <c r="O432" s="433" t="s">
        <v>2793</v>
      </c>
      <c r="P432" s="433" t="s">
        <v>3457</v>
      </c>
      <c r="Q432" s="433" t="s">
        <v>2654</v>
      </c>
      <c r="R432" s="433" t="s">
        <v>2654</v>
      </c>
      <c r="S432" s="426"/>
      <c r="T432" s="426"/>
      <c r="U432" s="426"/>
      <c r="V432" s="426"/>
      <c r="W432" s="426"/>
      <c r="X432" s="426"/>
      <c r="Y432" s="426"/>
      <c r="Z432" s="426"/>
      <c r="AA432" s="426"/>
      <c r="AB432" s="426"/>
      <c r="AC432" s="426"/>
      <c r="AD432" s="426"/>
      <c r="AE432" s="426"/>
      <c r="AF432" s="426"/>
      <c r="AG432" s="426"/>
      <c r="AH432" s="426"/>
      <c r="AI432" s="426"/>
    </row>
    <row r="433" spans="1:36" hidden="1">
      <c r="A433" s="392" t="s">
        <v>1752</v>
      </c>
      <c r="B433" s="427" t="s">
        <v>2647</v>
      </c>
      <c r="C433" s="433" t="s">
        <v>4264</v>
      </c>
      <c r="D433" s="433" t="s">
        <v>3851</v>
      </c>
      <c r="E433" s="433" t="s">
        <v>3085</v>
      </c>
      <c r="F433" s="433" t="s">
        <v>3739</v>
      </c>
      <c r="G433" s="433" t="s">
        <v>3028</v>
      </c>
      <c r="H433" s="433" t="s">
        <v>2879</v>
      </c>
      <c r="I433" s="433" t="s">
        <v>2729</v>
      </c>
      <c r="J433" s="433" t="s">
        <v>2916</v>
      </c>
      <c r="K433" s="433" t="s">
        <v>2707</v>
      </c>
      <c r="L433" s="433" t="s">
        <v>2807</v>
      </c>
      <c r="M433" s="433" t="s">
        <v>2656</v>
      </c>
      <c r="N433" s="433" t="s">
        <v>2654</v>
      </c>
      <c r="O433" s="433" t="s">
        <v>4265</v>
      </c>
      <c r="P433" s="433" t="s">
        <v>4087</v>
      </c>
      <c r="Q433" s="431"/>
      <c r="R433" s="431"/>
      <c r="S433" s="426" t="s">
        <v>2660</v>
      </c>
      <c r="T433" s="426" t="s">
        <v>2646</v>
      </c>
      <c r="U433" s="426" t="s">
        <v>3323</v>
      </c>
      <c r="V433" s="426" t="s">
        <v>3323</v>
      </c>
      <c r="W433" s="426" t="s">
        <v>3324</v>
      </c>
      <c r="X433" s="426" t="s">
        <v>3325</v>
      </c>
      <c r="Y433" s="426" t="s">
        <v>2888</v>
      </c>
      <c r="Z433" s="426" t="s">
        <v>2646</v>
      </c>
      <c r="AA433" s="426" t="s">
        <v>2646</v>
      </c>
      <c r="AB433" s="426" t="s">
        <v>2646</v>
      </c>
      <c r="AC433" s="426" t="s">
        <v>2646</v>
      </c>
      <c r="AD433" s="426" t="s">
        <v>2646</v>
      </c>
      <c r="AE433" s="426" t="s">
        <v>2646</v>
      </c>
      <c r="AF433" s="426" t="s">
        <v>2646</v>
      </c>
      <c r="AG433" s="426" t="s">
        <v>2646</v>
      </c>
      <c r="AH433" s="426" t="s">
        <v>2646</v>
      </c>
      <c r="AI433" s="426" t="s">
        <v>2646</v>
      </c>
      <c r="AJ433" s="68" t="s">
        <v>2646</v>
      </c>
    </row>
    <row r="434" spans="1:36" hidden="1">
      <c r="A434" s="392" t="s">
        <v>1753</v>
      </c>
      <c r="B434" s="427" t="s">
        <v>2648</v>
      </c>
      <c r="C434" s="433" t="s">
        <v>4266</v>
      </c>
      <c r="D434" s="433" t="s">
        <v>3851</v>
      </c>
      <c r="E434" s="433" t="s">
        <v>3767</v>
      </c>
      <c r="F434" s="433" t="s">
        <v>3795</v>
      </c>
      <c r="G434" s="433" t="s">
        <v>3185</v>
      </c>
      <c r="H434" s="433" t="s">
        <v>2783</v>
      </c>
      <c r="I434" s="433" t="s">
        <v>2782</v>
      </c>
      <c r="J434" s="433" t="s">
        <v>2947</v>
      </c>
      <c r="K434" s="433" t="s">
        <v>2927</v>
      </c>
      <c r="L434" s="433" t="s">
        <v>3036</v>
      </c>
      <c r="M434" s="433" t="s">
        <v>2667</v>
      </c>
      <c r="N434" s="433" t="s">
        <v>2656</v>
      </c>
      <c r="O434" s="433" t="s">
        <v>4267</v>
      </c>
      <c r="P434" s="433" t="s">
        <v>4059</v>
      </c>
      <c r="Q434" s="431"/>
      <c r="R434" s="431"/>
      <c r="S434" s="426" t="s">
        <v>2657</v>
      </c>
      <c r="T434" s="426" t="s">
        <v>2646</v>
      </c>
      <c r="U434" s="426" t="s">
        <v>2646</v>
      </c>
      <c r="V434" s="426" t="s">
        <v>2646</v>
      </c>
      <c r="W434" s="426" t="s">
        <v>3326</v>
      </c>
      <c r="X434" s="426" t="s">
        <v>2798</v>
      </c>
      <c r="Y434" s="426" t="s">
        <v>2888</v>
      </c>
      <c r="Z434" s="426" t="s">
        <v>2646</v>
      </c>
      <c r="AA434" s="426" t="s">
        <v>2646</v>
      </c>
      <c r="AB434" s="426" t="s">
        <v>2646</v>
      </c>
      <c r="AC434" s="426" t="s">
        <v>2646</v>
      </c>
      <c r="AD434" s="426" t="s">
        <v>2646</v>
      </c>
      <c r="AE434" s="426" t="s">
        <v>2646</v>
      </c>
      <c r="AF434" s="426" t="s">
        <v>2646</v>
      </c>
      <c r="AG434" s="426" t="s">
        <v>2646</v>
      </c>
      <c r="AH434" s="426" t="s">
        <v>2646</v>
      </c>
      <c r="AI434" s="426" t="s">
        <v>2646</v>
      </c>
      <c r="AJ434" s="68" t="s">
        <v>2646</v>
      </c>
    </row>
    <row r="435" spans="1:36" hidden="1">
      <c r="A435" s="392" t="s">
        <v>1754</v>
      </c>
      <c r="B435" s="427" t="s">
        <v>2649</v>
      </c>
      <c r="C435" s="433" t="s">
        <v>4268</v>
      </c>
      <c r="D435" s="433" t="s">
        <v>3851</v>
      </c>
      <c r="E435" s="433" t="s">
        <v>3822</v>
      </c>
      <c r="F435" s="433" t="s">
        <v>3770</v>
      </c>
      <c r="G435" s="433" t="s">
        <v>3539</v>
      </c>
      <c r="H435" s="433" t="s">
        <v>2771</v>
      </c>
      <c r="I435" s="433" t="s">
        <v>3248</v>
      </c>
      <c r="J435" s="433" t="s">
        <v>2824</v>
      </c>
      <c r="K435" s="433" t="s">
        <v>2859</v>
      </c>
      <c r="L435" s="433" t="s">
        <v>2903</v>
      </c>
      <c r="M435" s="433" t="s">
        <v>2970</v>
      </c>
      <c r="N435" s="433" t="s">
        <v>2791</v>
      </c>
      <c r="O435" s="433" t="s">
        <v>4269</v>
      </c>
      <c r="P435" s="433" t="s">
        <v>4078</v>
      </c>
      <c r="Q435" s="431"/>
      <c r="R435" s="431"/>
      <c r="S435" s="426" t="s">
        <v>2786</v>
      </c>
      <c r="T435" s="426" t="s">
        <v>2646</v>
      </c>
      <c r="U435" s="426" t="s">
        <v>2646</v>
      </c>
      <c r="V435" s="426" t="s">
        <v>2646</v>
      </c>
      <c r="W435" s="426" t="s">
        <v>3326</v>
      </c>
      <c r="X435" s="426" t="s">
        <v>2798</v>
      </c>
      <c r="Y435" s="426" t="s">
        <v>2888</v>
      </c>
      <c r="Z435" s="426" t="s">
        <v>2646</v>
      </c>
      <c r="AA435" s="426" t="s">
        <v>2646</v>
      </c>
      <c r="AB435" s="426" t="s">
        <v>2646</v>
      </c>
      <c r="AC435" s="426" t="s">
        <v>2646</v>
      </c>
      <c r="AD435" s="426" t="s">
        <v>2646</v>
      </c>
      <c r="AE435" s="426" t="s">
        <v>2646</v>
      </c>
      <c r="AF435" s="426" t="s">
        <v>2646</v>
      </c>
      <c r="AG435" s="426" t="s">
        <v>2646</v>
      </c>
      <c r="AH435" s="426" t="s">
        <v>2646</v>
      </c>
      <c r="AI435" s="426" t="s">
        <v>2646</v>
      </c>
      <c r="AJ435" s="68" t="s">
        <v>2646</v>
      </c>
    </row>
    <row r="436" spans="1:36" hidden="1">
      <c r="A436" s="392" t="s">
        <v>1755</v>
      </c>
      <c r="B436" s="427" t="s">
        <v>2650</v>
      </c>
      <c r="C436" s="433" t="s">
        <v>4270</v>
      </c>
      <c r="D436" s="433" t="s">
        <v>3710</v>
      </c>
      <c r="E436" s="433" t="s">
        <v>3016</v>
      </c>
      <c r="F436" s="433" t="s">
        <v>3539</v>
      </c>
      <c r="G436" s="433" t="s">
        <v>3798</v>
      </c>
      <c r="H436" s="433" t="s">
        <v>3465</v>
      </c>
      <c r="I436" s="433" t="s">
        <v>3061</v>
      </c>
      <c r="J436" s="433" t="s">
        <v>2752</v>
      </c>
      <c r="K436" s="433" t="s">
        <v>2966</v>
      </c>
      <c r="L436" s="433" t="s">
        <v>2903</v>
      </c>
      <c r="M436" s="433" t="s">
        <v>2714</v>
      </c>
      <c r="N436" s="433" t="s">
        <v>2791</v>
      </c>
      <c r="O436" s="433" t="s">
        <v>4271</v>
      </c>
      <c r="P436" s="433" t="s">
        <v>4059</v>
      </c>
      <c r="Q436" s="431"/>
      <c r="R436" s="431"/>
      <c r="S436" s="426" t="s">
        <v>2669</v>
      </c>
      <c r="T436" s="426" t="s">
        <v>2646</v>
      </c>
      <c r="U436" s="426" t="s">
        <v>3327</v>
      </c>
      <c r="V436" s="426" t="s">
        <v>3327</v>
      </c>
      <c r="W436" s="426" t="s">
        <v>3294</v>
      </c>
      <c r="X436" s="426" t="s">
        <v>3098</v>
      </c>
      <c r="Y436" s="426" t="s">
        <v>2888</v>
      </c>
      <c r="Z436" s="426" t="s">
        <v>2646</v>
      </c>
      <c r="AA436" s="426" t="s">
        <v>2646</v>
      </c>
      <c r="AB436" s="426" t="s">
        <v>2646</v>
      </c>
      <c r="AC436" s="426" t="s">
        <v>2646</v>
      </c>
      <c r="AD436" s="426" t="s">
        <v>2646</v>
      </c>
      <c r="AE436" s="426" t="s">
        <v>2646</v>
      </c>
      <c r="AF436" s="426" t="s">
        <v>2646</v>
      </c>
      <c r="AG436" s="426" t="s">
        <v>2646</v>
      </c>
      <c r="AH436" s="426" t="s">
        <v>2646</v>
      </c>
      <c r="AI436" s="426" t="s">
        <v>2646</v>
      </c>
      <c r="AJ436" s="68" t="s">
        <v>2646</v>
      </c>
    </row>
    <row r="437" spans="1:36" hidden="1">
      <c r="A437" s="392" t="s">
        <v>1756</v>
      </c>
      <c r="B437" s="427" t="s">
        <v>2651</v>
      </c>
      <c r="C437" s="433" t="s">
        <v>4272</v>
      </c>
      <c r="D437" s="433" t="s">
        <v>3860</v>
      </c>
      <c r="E437" s="433" t="s">
        <v>3421</v>
      </c>
      <c r="F437" s="433" t="s">
        <v>2775</v>
      </c>
      <c r="G437" s="433" t="s">
        <v>2868</v>
      </c>
      <c r="H437" s="433" t="s">
        <v>2776</v>
      </c>
      <c r="I437" s="433" t="s">
        <v>3300</v>
      </c>
      <c r="J437" s="433" t="s">
        <v>2859</v>
      </c>
      <c r="K437" s="433" t="s">
        <v>2875</v>
      </c>
      <c r="L437" s="433" t="s">
        <v>2700</v>
      </c>
      <c r="M437" s="433" t="s">
        <v>2656</v>
      </c>
      <c r="N437" s="433" t="s">
        <v>2654</v>
      </c>
      <c r="O437" s="433" t="s">
        <v>4273</v>
      </c>
      <c r="P437" s="433" t="s">
        <v>4126</v>
      </c>
      <c r="Q437" s="431"/>
      <c r="R437" s="431"/>
      <c r="S437" s="426" t="s">
        <v>2657</v>
      </c>
      <c r="T437" s="426" t="s">
        <v>2646</v>
      </c>
      <c r="U437" s="426" t="s">
        <v>3205</v>
      </c>
      <c r="V437" s="426" t="s">
        <v>3205</v>
      </c>
      <c r="W437" s="426" t="s">
        <v>3324</v>
      </c>
      <c r="X437" s="426" t="s">
        <v>3325</v>
      </c>
      <c r="Y437" s="426" t="s">
        <v>2888</v>
      </c>
      <c r="Z437" s="426" t="s">
        <v>2646</v>
      </c>
      <c r="AA437" s="426" t="s">
        <v>2646</v>
      </c>
      <c r="AB437" s="426" t="s">
        <v>2646</v>
      </c>
      <c r="AC437" s="426" t="s">
        <v>2646</v>
      </c>
      <c r="AD437" s="426" t="s">
        <v>2646</v>
      </c>
      <c r="AE437" s="426" t="s">
        <v>2646</v>
      </c>
      <c r="AF437" s="426" t="s">
        <v>2646</v>
      </c>
      <c r="AG437" s="426" t="s">
        <v>2646</v>
      </c>
      <c r="AH437" s="426" t="s">
        <v>2646</v>
      </c>
      <c r="AI437" s="426" t="s">
        <v>2646</v>
      </c>
      <c r="AJ437" s="68" t="s">
        <v>2646</v>
      </c>
    </row>
    <row r="438" spans="1:36">
      <c r="A438" s="392" t="s">
        <v>1756</v>
      </c>
      <c r="B438" s="427" t="s">
        <v>48</v>
      </c>
      <c r="C438" s="433" t="s">
        <v>4274</v>
      </c>
      <c r="D438" s="433" t="s">
        <v>3963</v>
      </c>
      <c r="E438" s="433" t="s">
        <v>3823</v>
      </c>
      <c r="F438" s="433" t="s">
        <v>4275</v>
      </c>
      <c r="G438" s="433" t="s">
        <v>3405</v>
      </c>
      <c r="H438" s="433" t="s">
        <v>3032</v>
      </c>
      <c r="I438" s="433" t="s">
        <v>2776</v>
      </c>
      <c r="J438" s="433" t="s">
        <v>4276</v>
      </c>
      <c r="K438" s="433" t="s">
        <v>4277</v>
      </c>
      <c r="L438" s="433" t="s">
        <v>4224</v>
      </c>
      <c r="M438" s="433" t="s">
        <v>3777</v>
      </c>
      <c r="N438" s="433" t="s">
        <v>3145</v>
      </c>
      <c r="O438" s="433" t="s">
        <v>3529</v>
      </c>
      <c r="P438" s="433" t="s">
        <v>3095</v>
      </c>
      <c r="Q438" s="433" t="s">
        <v>2654</v>
      </c>
      <c r="R438" s="433" t="s">
        <v>2654</v>
      </c>
      <c r="S438" s="426"/>
      <c r="T438" s="426"/>
      <c r="U438" s="426"/>
      <c r="V438" s="426"/>
      <c r="W438" s="426"/>
      <c r="X438" s="426"/>
      <c r="Y438" s="426"/>
      <c r="Z438" s="426"/>
      <c r="AA438" s="426"/>
      <c r="AB438" s="426"/>
      <c r="AC438" s="426"/>
      <c r="AD438" s="426"/>
      <c r="AE438" s="426"/>
      <c r="AF438" s="426"/>
      <c r="AG438" s="426"/>
      <c r="AH438" s="426"/>
      <c r="AI438" s="426"/>
    </row>
    <row r="439" spans="1:36" hidden="1">
      <c r="A439" s="392" t="s">
        <v>1757</v>
      </c>
      <c r="B439" s="427" t="s">
        <v>2647</v>
      </c>
      <c r="C439" s="433" t="s">
        <v>4135</v>
      </c>
      <c r="D439" s="433" t="s">
        <v>3710</v>
      </c>
      <c r="E439" s="433" t="s">
        <v>3752</v>
      </c>
      <c r="F439" s="433" t="s">
        <v>2720</v>
      </c>
      <c r="G439" s="433" t="s">
        <v>2765</v>
      </c>
      <c r="H439" s="433" t="s">
        <v>2859</v>
      </c>
      <c r="I439" s="433" t="s">
        <v>3036</v>
      </c>
      <c r="J439" s="433" t="s">
        <v>2674</v>
      </c>
      <c r="K439" s="433" t="s">
        <v>2656</v>
      </c>
      <c r="L439" s="433" t="s">
        <v>2654</v>
      </c>
      <c r="M439" s="433" t="s">
        <v>2654</v>
      </c>
      <c r="N439" s="433" t="s">
        <v>2654</v>
      </c>
      <c r="O439" s="433" t="s">
        <v>4278</v>
      </c>
      <c r="P439" s="433" t="s">
        <v>4126</v>
      </c>
      <c r="Q439" s="431"/>
      <c r="R439" s="431"/>
      <c r="S439" s="426" t="s">
        <v>3187</v>
      </c>
      <c r="T439" s="426" t="s">
        <v>3288</v>
      </c>
      <c r="U439" s="426" t="s">
        <v>3328</v>
      </c>
      <c r="V439" s="426" t="s">
        <v>3328</v>
      </c>
      <c r="W439" s="426" t="s">
        <v>3324</v>
      </c>
      <c r="X439" s="426" t="s">
        <v>3329</v>
      </c>
      <c r="Y439" s="426" t="s">
        <v>2662</v>
      </c>
      <c r="Z439" s="426" t="s">
        <v>2646</v>
      </c>
      <c r="AA439" s="426" t="s">
        <v>2646</v>
      </c>
      <c r="AB439" s="426" t="s">
        <v>2646</v>
      </c>
      <c r="AC439" s="426" t="s">
        <v>2646</v>
      </c>
      <c r="AD439" s="426" t="s">
        <v>2646</v>
      </c>
      <c r="AE439" s="426" t="s">
        <v>2646</v>
      </c>
      <c r="AF439" s="426" t="s">
        <v>2646</v>
      </c>
      <c r="AG439" s="426" t="s">
        <v>2646</v>
      </c>
      <c r="AH439" s="426" t="s">
        <v>2646</v>
      </c>
      <c r="AI439" s="426" t="s">
        <v>2646</v>
      </c>
      <c r="AJ439" s="68" t="s">
        <v>2646</v>
      </c>
    </row>
    <row r="440" spans="1:36" hidden="1">
      <c r="A440" s="392" t="s">
        <v>1758</v>
      </c>
      <c r="B440" s="427" t="s">
        <v>2648</v>
      </c>
      <c r="C440" s="433" t="s">
        <v>3876</v>
      </c>
      <c r="D440" s="433" t="s">
        <v>3722</v>
      </c>
      <c r="E440" s="433" t="s">
        <v>3035</v>
      </c>
      <c r="F440" s="433" t="s">
        <v>2913</v>
      </c>
      <c r="G440" s="433" t="s">
        <v>3072</v>
      </c>
      <c r="H440" s="433" t="s">
        <v>3258</v>
      </c>
      <c r="I440" s="433" t="s">
        <v>3047</v>
      </c>
      <c r="J440" s="433" t="s">
        <v>2674</v>
      </c>
      <c r="K440" s="433" t="s">
        <v>2732</v>
      </c>
      <c r="L440" s="433" t="s">
        <v>2680</v>
      </c>
      <c r="M440" s="433" t="s">
        <v>2680</v>
      </c>
      <c r="N440" s="433" t="s">
        <v>2654</v>
      </c>
      <c r="O440" s="433" t="s">
        <v>4279</v>
      </c>
      <c r="P440" s="433" t="s">
        <v>4231</v>
      </c>
      <c r="Q440" s="431"/>
      <c r="R440" s="431"/>
      <c r="S440" s="426" t="s">
        <v>2655</v>
      </c>
      <c r="T440" s="426" t="s">
        <v>2646</v>
      </c>
      <c r="U440" s="426" t="s">
        <v>2646</v>
      </c>
      <c r="V440" s="426" t="s">
        <v>2646</v>
      </c>
      <c r="W440" s="426" t="s">
        <v>3330</v>
      </c>
      <c r="X440" s="426" t="s">
        <v>3331</v>
      </c>
      <c r="Y440" s="426" t="s">
        <v>2662</v>
      </c>
      <c r="Z440" s="426" t="s">
        <v>2646</v>
      </c>
      <c r="AA440" s="426" t="s">
        <v>2646</v>
      </c>
      <c r="AB440" s="426" t="s">
        <v>2646</v>
      </c>
      <c r="AC440" s="426" t="s">
        <v>2646</v>
      </c>
      <c r="AD440" s="426" t="s">
        <v>2646</v>
      </c>
      <c r="AE440" s="426" t="s">
        <v>2646</v>
      </c>
      <c r="AF440" s="426" t="s">
        <v>2646</v>
      </c>
      <c r="AG440" s="426" t="s">
        <v>2646</v>
      </c>
      <c r="AH440" s="426" t="s">
        <v>2646</v>
      </c>
      <c r="AI440" s="426" t="s">
        <v>2646</v>
      </c>
      <c r="AJ440" s="68" t="s">
        <v>2646</v>
      </c>
    </row>
    <row r="441" spans="1:36" hidden="1">
      <c r="A441" s="392" t="s">
        <v>1759</v>
      </c>
      <c r="B441" s="427" t="s">
        <v>2649</v>
      </c>
      <c r="C441" s="433" t="s">
        <v>3955</v>
      </c>
      <c r="D441" s="433" t="s">
        <v>3710</v>
      </c>
      <c r="E441" s="433" t="s">
        <v>3055</v>
      </c>
      <c r="F441" s="433" t="s">
        <v>2772</v>
      </c>
      <c r="G441" s="433" t="s">
        <v>2843</v>
      </c>
      <c r="H441" s="433" t="s">
        <v>3371</v>
      </c>
      <c r="I441" s="433" t="s">
        <v>2917</v>
      </c>
      <c r="J441" s="433" t="s">
        <v>2700</v>
      </c>
      <c r="K441" s="433" t="s">
        <v>2724</v>
      </c>
      <c r="L441" s="433" t="s">
        <v>2678</v>
      </c>
      <c r="M441" s="433" t="s">
        <v>2654</v>
      </c>
      <c r="N441" s="433" t="s">
        <v>2654</v>
      </c>
      <c r="O441" s="433" t="s">
        <v>4020</v>
      </c>
      <c r="P441" s="433" t="s">
        <v>4087</v>
      </c>
      <c r="Q441" s="431"/>
      <c r="R441" s="431"/>
      <c r="S441" s="426" t="s">
        <v>2657</v>
      </c>
      <c r="T441" s="426" t="s">
        <v>3332</v>
      </c>
      <c r="U441" s="426" t="s">
        <v>3333</v>
      </c>
      <c r="V441" s="426" t="s">
        <v>3333</v>
      </c>
      <c r="W441" s="426" t="s">
        <v>3334</v>
      </c>
      <c r="X441" s="426" t="s">
        <v>2806</v>
      </c>
      <c r="Y441" s="426" t="s">
        <v>2662</v>
      </c>
      <c r="Z441" s="426" t="s">
        <v>2646</v>
      </c>
      <c r="AA441" s="426" t="s">
        <v>2646</v>
      </c>
      <c r="AB441" s="426" t="s">
        <v>2646</v>
      </c>
      <c r="AC441" s="426" t="s">
        <v>2646</v>
      </c>
      <c r="AD441" s="426" t="s">
        <v>2646</v>
      </c>
      <c r="AE441" s="426" t="s">
        <v>2646</v>
      </c>
      <c r="AF441" s="426" t="s">
        <v>2646</v>
      </c>
      <c r="AG441" s="426" t="s">
        <v>2646</v>
      </c>
      <c r="AH441" s="426" t="s">
        <v>2646</v>
      </c>
      <c r="AI441" s="426" t="s">
        <v>2646</v>
      </c>
      <c r="AJ441" s="68" t="s">
        <v>2646</v>
      </c>
    </row>
    <row r="442" spans="1:36" hidden="1">
      <c r="A442" s="392" t="s">
        <v>1760</v>
      </c>
      <c r="B442" s="427" t="s">
        <v>2650</v>
      </c>
      <c r="C442" s="433" t="s">
        <v>3701</v>
      </c>
      <c r="D442" s="433" t="s">
        <v>3364</v>
      </c>
      <c r="E442" s="433" t="s">
        <v>3752</v>
      </c>
      <c r="F442" s="433" t="s">
        <v>2729</v>
      </c>
      <c r="G442" s="433" t="s">
        <v>3029</v>
      </c>
      <c r="H442" s="433" t="s">
        <v>2966</v>
      </c>
      <c r="I442" s="433" t="s">
        <v>2767</v>
      </c>
      <c r="J442" s="433" t="s">
        <v>2870</v>
      </c>
      <c r="K442" s="433" t="s">
        <v>2678</v>
      </c>
      <c r="L442" s="433" t="s">
        <v>2654</v>
      </c>
      <c r="M442" s="433" t="s">
        <v>2654</v>
      </c>
      <c r="N442" s="433" t="s">
        <v>2654</v>
      </c>
      <c r="O442" s="433" t="s">
        <v>4280</v>
      </c>
      <c r="P442" s="433" t="s">
        <v>4080</v>
      </c>
      <c r="Q442" s="431"/>
      <c r="R442" s="431"/>
      <c r="S442" s="426" t="s">
        <v>2655</v>
      </c>
      <c r="T442" s="426" t="s">
        <v>2646</v>
      </c>
      <c r="U442" s="426" t="s">
        <v>2646</v>
      </c>
      <c r="V442" s="426" t="s">
        <v>2646</v>
      </c>
      <c r="W442" s="426" t="s">
        <v>3294</v>
      </c>
      <c r="X442" s="426" t="s">
        <v>3107</v>
      </c>
      <c r="Y442" s="426" t="s">
        <v>2662</v>
      </c>
      <c r="Z442" s="426" t="s">
        <v>2646</v>
      </c>
      <c r="AA442" s="426" t="s">
        <v>2646</v>
      </c>
      <c r="AB442" s="426" t="s">
        <v>2646</v>
      </c>
      <c r="AC442" s="426" t="s">
        <v>2646</v>
      </c>
      <c r="AD442" s="426" t="s">
        <v>2646</v>
      </c>
      <c r="AE442" s="426" t="s">
        <v>2646</v>
      </c>
      <c r="AF442" s="426" t="s">
        <v>2646</v>
      </c>
      <c r="AG442" s="426" t="s">
        <v>2646</v>
      </c>
      <c r="AH442" s="426" t="s">
        <v>2646</v>
      </c>
      <c r="AI442" s="426" t="s">
        <v>2646</v>
      </c>
      <c r="AJ442" s="68" t="s">
        <v>2646</v>
      </c>
    </row>
    <row r="443" spans="1:36" hidden="1">
      <c r="A443" s="392" t="s">
        <v>1761</v>
      </c>
      <c r="B443" s="427" t="s">
        <v>2651</v>
      </c>
      <c r="C443" s="433" t="s">
        <v>4106</v>
      </c>
      <c r="D443" s="433" t="s">
        <v>3647</v>
      </c>
      <c r="E443" s="433" t="s">
        <v>2833</v>
      </c>
      <c r="F443" s="433" t="s">
        <v>2745</v>
      </c>
      <c r="G443" s="433" t="s">
        <v>2877</v>
      </c>
      <c r="H443" s="433" t="s">
        <v>2966</v>
      </c>
      <c r="I443" s="433" t="s">
        <v>2903</v>
      </c>
      <c r="J443" s="433" t="s">
        <v>3007</v>
      </c>
      <c r="K443" s="433" t="s">
        <v>2708</v>
      </c>
      <c r="L443" s="433" t="s">
        <v>2678</v>
      </c>
      <c r="M443" s="433" t="s">
        <v>2654</v>
      </c>
      <c r="N443" s="433" t="s">
        <v>2654</v>
      </c>
      <c r="O443" s="433" t="s">
        <v>4281</v>
      </c>
      <c r="P443" s="433" t="s">
        <v>4139</v>
      </c>
      <c r="Q443" s="431"/>
      <c r="R443" s="431"/>
      <c r="S443" s="426" t="s">
        <v>2658</v>
      </c>
      <c r="T443" s="426" t="s">
        <v>2646</v>
      </c>
      <c r="U443" s="426" t="s">
        <v>2646</v>
      </c>
      <c r="V443" s="426" t="s">
        <v>2646</v>
      </c>
      <c r="W443" s="426" t="s">
        <v>3294</v>
      </c>
      <c r="X443" s="426" t="s">
        <v>3107</v>
      </c>
      <c r="Y443" s="426" t="s">
        <v>2662</v>
      </c>
      <c r="Z443" s="426" t="s">
        <v>2646</v>
      </c>
      <c r="AA443" s="426" t="s">
        <v>2646</v>
      </c>
      <c r="AB443" s="426" t="s">
        <v>2646</v>
      </c>
      <c r="AC443" s="426" t="s">
        <v>2646</v>
      </c>
      <c r="AD443" s="426" t="s">
        <v>2646</v>
      </c>
      <c r="AE443" s="426" t="s">
        <v>2646</v>
      </c>
      <c r="AF443" s="426" t="s">
        <v>2646</v>
      </c>
      <c r="AG443" s="426" t="s">
        <v>2646</v>
      </c>
      <c r="AH443" s="426" t="s">
        <v>2646</v>
      </c>
      <c r="AI443" s="426" t="s">
        <v>2646</v>
      </c>
      <c r="AJ443" s="68" t="s">
        <v>2646</v>
      </c>
    </row>
    <row r="444" spans="1:36">
      <c r="A444" s="392" t="s">
        <v>1761</v>
      </c>
      <c r="B444" s="427" t="s">
        <v>48</v>
      </c>
      <c r="C444" s="433" t="s">
        <v>4282</v>
      </c>
      <c r="D444" s="433" t="s">
        <v>4283</v>
      </c>
      <c r="E444" s="433" t="s">
        <v>4284</v>
      </c>
      <c r="F444" s="433" t="s">
        <v>2894</v>
      </c>
      <c r="G444" s="433" t="s">
        <v>2959</v>
      </c>
      <c r="H444" s="433" t="s">
        <v>3813</v>
      </c>
      <c r="I444" s="433" t="s">
        <v>2917</v>
      </c>
      <c r="J444" s="433" t="s">
        <v>4285</v>
      </c>
      <c r="K444" s="433" t="s">
        <v>3214</v>
      </c>
      <c r="L444" s="433" t="s">
        <v>2934</v>
      </c>
      <c r="M444" s="433" t="s">
        <v>2683</v>
      </c>
      <c r="N444" s="433" t="s">
        <v>2654</v>
      </c>
      <c r="O444" s="433" t="s">
        <v>4286</v>
      </c>
      <c r="P444" s="433" t="s">
        <v>2700</v>
      </c>
      <c r="Q444" s="433" t="s">
        <v>2654</v>
      </c>
      <c r="R444" s="433" t="s">
        <v>2654</v>
      </c>
      <c r="S444" s="426"/>
      <c r="T444" s="426"/>
      <c r="U444" s="426"/>
      <c r="V444" s="426"/>
      <c r="W444" s="426"/>
      <c r="X444" s="426"/>
      <c r="Y444" s="426"/>
      <c r="Z444" s="426"/>
      <c r="AA444" s="426"/>
      <c r="AB444" s="426"/>
      <c r="AC444" s="426"/>
      <c r="AD444" s="426"/>
      <c r="AE444" s="426"/>
      <c r="AF444" s="426"/>
      <c r="AG444" s="426"/>
      <c r="AH444" s="426"/>
      <c r="AI444" s="426"/>
    </row>
    <row r="445" spans="1:36" hidden="1">
      <c r="A445" s="392" t="s">
        <v>1762</v>
      </c>
      <c r="B445" s="427" t="s">
        <v>2647</v>
      </c>
      <c r="C445" s="433" t="s">
        <v>3698</v>
      </c>
      <c r="D445" s="433" t="s">
        <v>3710</v>
      </c>
      <c r="E445" s="433" t="s">
        <v>3072</v>
      </c>
      <c r="F445" s="433" t="s">
        <v>2818</v>
      </c>
      <c r="G445" s="433" t="s">
        <v>2819</v>
      </c>
      <c r="H445" s="433" t="s">
        <v>2777</v>
      </c>
      <c r="I445" s="433" t="s">
        <v>2870</v>
      </c>
      <c r="J445" s="433" t="s">
        <v>2654</v>
      </c>
      <c r="K445" s="433" t="s">
        <v>2654</v>
      </c>
      <c r="L445" s="433" t="s">
        <v>2654</v>
      </c>
      <c r="M445" s="433" t="s">
        <v>2654</v>
      </c>
      <c r="N445" s="433" t="s">
        <v>2654</v>
      </c>
      <c r="O445" s="433" t="s">
        <v>4041</v>
      </c>
      <c r="P445" s="433" t="s">
        <v>4093</v>
      </c>
      <c r="Q445" s="431"/>
      <c r="R445" s="431"/>
      <c r="S445" s="426" t="s">
        <v>2655</v>
      </c>
      <c r="T445" s="426" t="s">
        <v>2646</v>
      </c>
      <c r="U445" s="426" t="s">
        <v>3064</v>
      </c>
      <c r="V445" s="426" t="s">
        <v>2646</v>
      </c>
      <c r="W445" s="426" t="s">
        <v>3294</v>
      </c>
      <c r="X445" s="426" t="s">
        <v>3335</v>
      </c>
      <c r="Y445" s="426" t="s">
        <v>2671</v>
      </c>
      <c r="Z445" s="426" t="s">
        <v>2646</v>
      </c>
      <c r="AA445" s="426" t="s">
        <v>2646</v>
      </c>
      <c r="AB445" s="426" t="s">
        <v>2646</v>
      </c>
      <c r="AC445" s="426" t="s">
        <v>2646</v>
      </c>
      <c r="AD445" s="426" t="s">
        <v>2646</v>
      </c>
      <c r="AE445" s="426" t="s">
        <v>2646</v>
      </c>
      <c r="AF445" s="426" t="s">
        <v>2646</v>
      </c>
      <c r="AG445" s="426" t="s">
        <v>2646</v>
      </c>
      <c r="AH445" s="426" t="s">
        <v>2646</v>
      </c>
      <c r="AI445" s="426" t="s">
        <v>2646</v>
      </c>
      <c r="AJ445" s="68" t="s">
        <v>2646</v>
      </c>
    </row>
    <row r="446" spans="1:36" hidden="1">
      <c r="A446" s="392" t="s">
        <v>1763</v>
      </c>
      <c r="B446" s="427" t="s">
        <v>2648</v>
      </c>
      <c r="C446" s="433" t="s">
        <v>3884</v>
      </c>
      <c r="D446" s="433" t="s">
        <v>3710</v>
      </c>
      <c r="E446" s="433" t="s">
        <v>3033</v>
      </c>
      <c r="F446" s="433" t="s">
        <v>3051</v>
      </c>
      <c r="G446" s="433" t="s">
        <v>2738</v>
      </c>
      <c r="H446" s="433" t="s">
        <v>2746</v>
      </c>
      <c r="I446" s="433" t="s">
        <v>2678</v>
      </c>
      <c r="J446" s="433" t="s">
        <v>2654</v>
      </c>
      <c r="K446" s="433" t="s">
        <v>2654</v>
      </c>
      <c r="L446" s="433" t="s">
        <v>2654</v>
      </c>
      <c r="M446" s="433" t="s">
        <v>2654</v>
      </c>
      <c r="N446" s="433" t="s">
        <v>2654</v>
      </c>
      <c r="O446" s="433" t="s">
        <v>4287</v>
      </c>
      <c r="P446" s="433" t="s">
        <v>4078</v>
      </c>
      <c r="Q446" s="431"/>
      <c r="R446" s="431"/>
      <c r="S446" s="426" t="s">
        <v>2660</v>
      </c>
      <c r="T446" s="426" t="s">
        <v>2646</v>
      </c>
      <c r="U446" s="426" t="s">
        <v>2646</v>
      </c>
      <c r="V446" s="426" t="s">
        <v>2646</v>
      </c>
      <c r="W446" s="426" t="s">
        <v>3326</v>
      </c>
      <c r="X446" s="426" t="s">
        <v>2951</v>
      </c>
      <c r="Y446" s="426" t="s">
        <v>2671</v>
      </c>
      <c r="Z446" s="426" t="s">
        <v>2646</v>
      </c>
      <c r="AA446" s="426" t="s">
        <v>2646</v>
      </c>
      <c r="AB446" s="426" t="s">
        <v>2646</v>
      </c>
      <c r="AC446" s="426" t="s">
        <v>2646</v>
      </c>
      <c r="AD446" s="426" t="s">
        <v>2646</v>
      </c>
      <c r="AE446" s="426" t="s">
        <v>2646</v>
      </c>
      <c r="AF446" s="426" t="s">
        <v>2646</v>
      </c>
      <c r="AG446" s="426" t="s">
        <v>2646</v>
      </c>
      <c r="AH446" s="426" t="s">
        <v>2646</v>
      </c>
      <c r="AI446" s="426" t="s">
        <v>2646</v>
      </c>
      <c r="AJ446" s="68" t="s">
        <v>2646</v>
      </c>
    </row>
    <row r="447" spans="1:36" hidden="1">
      <c r="A447" s="392" t="s">
        <v>1764</v>
      </c>
      <c r="B447" s="427" t="s">
        <v>2649</v>
      </c>
      <c r="C447" s="433" t="s">
        <v>3122</v>
      </c>
      <c r="D447" s="433" t="s">
        <v>3872</v>
      </c>
      <c r="E447" s="433" t="s">
        <v>2824</v>
      </c>
      <c r="F447" s="433" t="s">
        <v>2908</v>
      </c>
      <c r="G447" s="433" t="s">
        <v>2767</v>
      </c>
      <c r="H447" s="433" t="s">
        <v>2667</v>
      </c>
      <c r="I447" s="433" t="s">
        <v>2680</v>
      </c>
      <c r="J447" s="433" t="s">
        <v>2654</v>
      </c>
      <c r="K447" s="433" t="s">
        <v>2654</v>
      </c>
      <c r="L447" s="433" t="s">
        <v>2654</v>
      </c>
      <c r="M447" s="433" t="s">
        <v>2654</v>
      </c>
      <c r="N447" s="433" t="s">
        <v>2654</v>
      </c>
      <c r="O447" s="433" t="s">
        <v>3679</v>
      </c>
      <c r="P447" s="433" t="s">
        <v>4132</v>
      </c>
      <c r="Q447" s="431"/>
      <c r="R447" s="431"/>
      <c r="S447" s="426" t="s">
        <v>2885</v>
      </c>
      <c r="T447" s="426" t="s">
        <v>2763</v>
      </c>
      <c r="U447" s="426" t="s">
        <v>3336</v>
      </c>
      <c r="V447" s="426" t="s">
        <v>3022</v>
      </c>
      <c r="W447" s="426" t="s">
        <v>3294</v>
      </c>
      <c r="X447" s="426" t="s">
        <v>3335</v>
      </c>
      <c r="Y447" s="426" t="s">
        <v>2671</v>
      </c>
      <c r="Z447" s="426" t="s">
        <v>2646</v>
      </c>
      <c r="AA447" s="426" t="s">
        <v>2646</v>
      </c>
      <c r="AB447" s="426" t="s">
        <v>2646</v>
      </c>
      <c r="AC447" s="426" t="s">
        <v>2646</v>
      </c>
      <c r="AD447" s="426" t="s">
        <v>2646</v>
      </c>
      <c r="AE447" s="426" t="s">
        <v>2646</v>
      </c>
      <c r="AF447" s="426" t="s">
        <v>2646</v>
      </c>
      <c r="AG447" s="426" t="s">
        <v>2646</v>
      </c>
      <c r="AH447" s="426" t="s">
        <v>2646</v>
      </c>
      <c r="AI447" s="426" t="s">
        <v>2646</v>
      </c>
      <c r="AJ447" s="68" t="s">
        <v>2646</v>
      </c>
    </row>
    <row r="448" spans="1:36" hidden="1">
      <c r="A448" s="392" t="s">
        <v>1765</v>
      </c>
      <c r="B448" s="427" t="s">
        <v>2650</v>
      </c>
      <c r="C448" s="433" t="s">
        <v>3284</v>
      </c>
      <c r="D448" s="433" t="s">
        <v>3364</v>
      </c>
      <c r="E448" s="433" t="s">
        <v>3160</v>
      </c>
      <c r="F448" s="433" t="s">
        <v>2706</v>
      </c>
      <c r="G448" s="433" t="s">
        <v>2835</v>
      </c>
      <c r="H448" s="433" t="s">
        <v>2667</v>
      </c>
      <c r="I448" s="433" t="s">
        <v>2680</v>
      </c>
      <c r="J448" s="433" t="s">
        <v>2654</v>
      </c>
      <c r="K448" s="433" t="s">
        <v>2654</v>
      </c>
      <c r="L448" s="433" t="s">
        <v>2654</v>
      </c>
      <c r="M448" s="433" t="s">
        <v>2654</v>
      </c>
      <c r="N448" s="433" t="s">
        <v>2654</v>
      </c>
      <c r="O448" s="433" t="s">
        <v>4288</v>
      </c>
      <c r="P448" s="433" t="s">
        <v>4078</v>
      </c>
      <c r="Q448" s="431"/>
      <c r="R448" s="431"/>
      <c r="S448" s="426" t="s">
        <v>2673</v>
      </c>
      <c r="T448" s="426" t="s">
        <v>2646</v>
      </c>
      <c r="U448" s="426" t="s">
        <v>2821</v>
      </c>
      <c r="V448" s="426" t="s">
        <v>2880</v>
      </c>
      <c r="W448" s="426" t="s">
        <v>3324</v>
      </c>
      <c r="X448" s="426" t="s">
        <v>3337</v>
      </c>
      <c r="Y448" s="426" t="s">
        <v>2671</v>
      </c>
      <c r="Z448" s="426" t="s">
        <v>2646</v>
      </c>
      <c r="AA448" s="426" t="s">
        <v>2646</v>
      </c>
      <c r="AB448" s="426" t="s">
        <v>2646</v>
      </c>
      <c r="AC448" s="426" t="s">
        <v>2646</v>
      </c>
      <c r="AD448" s="426" t="s">
        <v>2646</v>
      </c>
      <c r="AE448" s="426" t="s">
        <v>2646</v>
      </c>
      <c r="AF448" s="426" t="s">
        <v>2646</v>
      </c>
      <c r="AG448" s="426" t="s">
        <v>2646</v>
      </c>
      <c r="AH448" s="426" t="s">
        <v>2646</v>
      </c>
      <c r="AI448" s="426" t="s">
        <v>2646</v>
      </c>
      <c r="AJ448" s="68" t="s">
        <v>2646</v>
      </c>
    </row>
    <row r="449" spans="1:36" hidden="1">
      <c r="A449" s="392" t="s">
        <v>1766</v>
      </c>
      <c r="B449" s="427" t="s">
        <v>2651</v>
      </c>
      <c r="C449" s="433" t="s">
        <v>3838</v>
      </c>
      <c r="D449" s="433" t="s">
        <v>3710</v>
      </c>
      <c r="E449" s="433" t="s">
        <v>2782</v>
      </c>
      <c r="F449" s="433" t="s">
        <v>2947</v>
      </c>
      <c r="G449" s="433" t="s">
        <v>2978</v>
      </c>
      <c r="H449" s="433" t="s">
        <v>2773</v>
      </c>
      <c r="I449" s="433" t="s">
        <v>2656</v>
      </c>
      <c r="J449" s="433" t="s">
        <v>2654</v>
      </c>
      <c r="K449" s="433" t="s">
        <v>2654</v>
      </c>
      <c r="L449" s="433" t="s">
        <v>2654</v>
      </c>
      <c r="M449" s="433" t="s">
        <v>2654</v>
      </c>
      <c r="N449" s="433" t="s">
        <v>2654</v>
      </c>
      <c r="O449" s="433" t="s">
        <v>4289</v>
      </c>
      <c r="P449" s="433" t="s">
        <v>4078</v>
      </c>
      <c r="Q449" s="431"/>
      <c r="R449" s="431"/>
      <c r="S449" s="426" t="s">
        <v>3187</v>
      </c>
      <c r="T449" s="426" t="s">
        <v>2941</v>
      </c>
      <c r="U449" s="426" t="s">
        <v>3338</v>
      </c>
      <c r="V449" s="426" t="s">
        <v>3338</v>
      </c>
      <c r="W449" s="426" t="s">
        <v>3324</v>
      </c>
      <c r="X449" s="426" t="s">
        <v>3337</v>
      </c>
      <c r="Y449" s="426" t="s">
        <v>2671</v>
      </c>
      <c r="Z449" s="426" t="s">
        <v>2646</v>
      </c>
      <c r="AA449" s="426" t="s">
        <v>2646</v>
      </c>
      <c r="AB449" s="426" t="s">
        <v>2646</v>
      </c>
      <c r="AC449" s="426" t="s">
        <v>2646</v>
      </c>
      <c r="AD449" s="426" t="s">
        <v>2646</v>
      </c>
      <c r="AE449" s="426" t="s">
        <v>2646</v>
      </c>
      <c r="AF449" s="426" t="s">
        <v>2646</v>
      </c>
      <c r="AG449" s="426" t="s">
        <v>2646</v>
      </c>
      <c r="AH449" s="426" t="s">
        <v>2646</v>
      </c>
      <c r="AI449" s="426" t="s">
        <v>2646</v>
      </c>
      <c r="AJ449" s="68" t="s">
        <v>2646</v>
      </c>
    </row>
    <row r="450" spans="1:36">
      <c r="A450" s="392" t="s">
        <v>1766</v>
      </c>
      <c r="B450" s="427" t="s">
        <v>48</v>
      </c>
      <c r="C450" s="433" t="s">
        <v>4290</v>
      </c>
      <c r="D450" s="433" t="s">
        <v>3869</v>
      </c>
      <c r="E450" s="433" t="s">
        <v>4039</v>
      </c>
      <c r="F450" s="433" t="s">
        <v>4291</v>
      </c>
      <c r="G450" s="433" t="s">
        <v>4292</v>
      </c>
      <c r="H450" s="433" t="s">
        <v>2826</v>
      </c>
      <c r="I450" s="433" t="s">
        <v>2708</v>
      </c>
      <c r="J450" s="433" t="s">
        <v>2654</v>
      </c>
      <c r="K450" s="433" t="s">
        <v>2654</v>
      </c>
      <c r="L450" s="433" t="s">
        <v>2654</v>
      </c>
      <c r="M450" s="433" t="s">
        <v>2654</v>
      </c>
      <c r="N450" s="433" t="s">
        <v>2654</v>
      </c>
      <c r="O450" s="433" t="s">
        <v>4293</v>
      </c>
      <c r="P450" s="433" t="s">
        <v>3935</v>
      </c>
      <c r="Q450" s="433" t="s">
        <v>2654</v>
      </c>
      <c r="R450" s="433" t="s">
        <v>2654</v>
      </c>
      <c r="S450" s="426"/>
      <c r="T450" s="426"/>
      <c r="U450" s="426"/>
      <c r="V450" s="426"/>
      <c r="W450" s="426"/>
      <c r="X450" s="426"/>
      <c r="Y450" s="426"/>
      <c r="Z450" s="426"/>
      <c r="AA450" s="426"/>
      <c r="AB450" s="426"/>
      <c r="AC450" s="426"/>
      <c r="AD450" s="426"/>
      <c r="AE450" s="426"/>
      <c r="AF450" s="426"/>
      <c r="AG450" s="426"/>
      <c r="AH450" s="426"/>
      <c r="AI450" s="426"/>
    </row>
    <row r="451" spans="1:36" hidden="1">
      <c r="A451" s="392" t="s">
        <v>1767</v>
      </c>
      <c r="B451" s="427" t="s">
        <v>2647</v>
      </c>
      <c r="C451" s="433" t="s">
        <v>3600</v>
      </c>
      <c r="D451" s="433" t="s">
        <v>3364</v>
      </c>
      <c r="E451" s="433" t="s">
        <v>2928</v>
      </c>
      <c r="F451" s="433" t="s">
        <v>2687</v>
      </c>
      <c r="G451" s="433" t="s">
        <v>2656</v>
      </c>
      <c r="H451" s="433" t="s">
        <v>2654</v>
      </c>
      <c r="I451" s="433" t="s">
        <v>2654</v>
      </c>
      <c r="J451" s="433" t="s">
        <v>2654</v>
      </c>
      <c r="K451" s="433" t="s">
        <v>2654</v>
      </c>
      <c r="L451" s="433" t="s">
        <v>2654</v>
      </c>
      <c r="M451" s="433" t="s">
        <v>2654</v>
      </c>
      <c r="N451" s="433" t="s">
        <v>2654</v>
      </c>
      <c r="O451" s="433" t="s">
        <v>3661</v>
      </c>
      <c r="P451" s="433" t="s">
        <v>4231</v>
      </c>
      <c r="Q451" s="431"/>
      <c r="R451" s="431"/>
      <c r="S451" s="426" t="s">
        <v>3339</v>
      </c>
      <c r="T451" s="426" t="s">
        <v>2797</v>
      </c>
      <c r="U451" s="426" t="s">
        <v>3229</v>
      </c>
      <c r="V451" s="426" t="s">
        <v>3340</v>
      </c>
      <c r="W451" s="426" t="s">
        <v>3294</v>
      </c>
      <c r="X451" s="426" t="s">
        <v>3341</v>
      </c>
      <c r="Y451" s="426" t="s">
        <v>2813</v>
      </c>
      <c r="Z451" s="426" t="s">
        <v>2646</v>
      </c>
      <c r="AA451" s="426" t="s">
        <v>2646</v>
      </c>
      <c r="AB451" s="426" t="s">
        <v>2646</v>
      </c>
      <c r="AC451" s="426" t="s">
        <v>2646</v>
      </c>
      <c r="AD451" s="426" t="s">
        <v>2646</v>
      </c>
      <c r="AE451" s="426" t="s">
        <v>2646</v>
      </c>
      <c r="AF451" s="426" t="s">
        <v>2646</v>
      </c>
      <c r="AG451" s="426" t="s">
        <v>2646</v>
      </c>
      <c r="AH451" s="426" t="s">
        <v>2646</v>
      </c>
      <c r="AI451" s="426" t="s">
        <v>2646</v>
      </c>
      <c r="AJ451" s="68" t="s">
        <v>2646</v>
      </c>
    </row>
    <row r="452" spans="1:36" hidden="1">
      <c r="A452" s="392" t="s">
        <v>1768</v>
      </c>
      <c r="B452" s="427" t="s">
        <v>2648</v>
      </c>
      <c r="C452" s="433" t="s">
        <v>3747</v>
      </c>
      <c r="D452" s="433" t="s">
        <v>3364</v>
      </c>
      <c r="E452" s="433" t="s">
        <v>2700</v>
      </c>
      <c r="F452" s="433" t="s">
        <v>2677</v>
      </c>
      <c r="G452" s="433" t="s">
        <v>2654</v>
      </c>
      <c r="H452" s="433" t="s">
        <v>2654</v>
      </c>
      <c r="I452" s="433" t="s">
        <v>2654</v>
      </c>
      <c r="J452" s="433" t="s">
        <v>2654</v>
      </c>
      <c r="K452" s="433" t="s">
        <v>2654</v>
      </c>
      <c r="L452" s="433" t="s">
        <v>2654</v>
      </c>
      <c r="M452" s="433" t="s">
        <v>2654</v>
      </c>
      <c r="N452" s="433" t="s">
        <v>2654</v>
      </c>
      <c r="O452" s="433" t="s">
        <v>4125</v>
      </c>
      <c r="P452" s="433" t="s">
        <v>4129</v>
      </c>
      <c r="Q452" s="431"/>
      <c r="R452" s="431"/>
      <c r="S452" s="426" t="s">
        <v>2655</v>
      </c>
      <c r="T452" s="426" t="s">
        <v>3342</v>
      </c>
      <c r="U452" s="426" t="s">
        <v>3343</v>
      </c>
      <c r="V452" s="426" t="s">
        <v>3343</v>
      </c>
      <c r="W452" s="426" t="s">
        <v>3324</v>
      </c>
      <c r="X452" s="426" t="s">
        <v>3344</v>
      </c>
      <c r="Y452" s="426" t="s">
        <v>2813</v>
      </c>
      <c r="Z452" s="426" t="s">
        <v>2646</v>
      </c>
      <c r="AA452" s="426" t="s">
        <v>2646</v>
      </c>
      <c r="AB452" s="426" t="s">
        <v>2646</v>
      </c>
      <c r="AC452" s="426" t="s">
        <v>2646</v>
      </c>
      <c r="AD452" s="426" t="s">
        <v>2646</v>
      </c>
      <c r="AE452" s="426" t="s">
        <v>2646</v>
      </c>
      <c r="AF452" s="426" t="s">
        <v>2646</v>
      </c>
      <c r="AG452" s="426" t="s">
        <v>2646</v>
      </c>
      <c r="AH452" s="426" t="s">
        <v>2646</v>
      </c>
      <c r="AI452" s="426" t="s">
        <v>2646</v>
      </c>
      <c r="AJ452" s="68" t="s">
        <v>2646</v>
      </c>
    </row>
    <row r="453" spans="1:36" hidden="1">
      <c r="A453" s="392" t="s">
        <v>1769</v>
      </c>
      <c r="B453" s="427" t="s">
        <v>2649</v>
      </c>
      <c r="C453" s="433" t="s">
        <v>3514</v>
      </c>
      <c r="D453" s="433" t="s">
        <v>3686</v>
      </c>
      <c r="E453" s="433" t="s">
        <v>2738</v>
      </c>
      <c r="F453" s="433" t="s">
        <v>2724</v>
      </c>
      <c r="G453" s="433" t="s">
        <v>2678</v>
      </c>
      <c r="H453" s="433" t="s">
        <v>2654</v>
      </c>
      <c r="I453" s="433" t="s">
        <v>2654</v>
      </c>
      <c r="J453" s="433" t="s">
        <v>2654</v>
      </c>
      <c r="K453" s="433" t="s">
        <v>2654</v>
      </c>
      <c r="L453" s="433" t="s">
        <v>2654</v>
      </c>
      <c r="M453" s="433" t="s">
        <v>2654</v>
      </c>
      <c r="N453" s="433" t="s">
        <v>2654</v>
      </c>
      <c r="O453" s="433" t="s">
        <v>2719</v>
      </c>
      <c r="P453" s="433" t="s">
        <v>4059</v>
      </c>
      <c r="Q453" s="431"/>
      <c r="R453" s="431"/>
      <c r="S453" s="426" t="s">
        <v>2669</v>
      </c>
      <c r="T453" s="426" t="s">
        <v>3345</v>
      </c>
      <c r="U453" s="426" t="s">
        <v>3346</v>
      </c>
      <c r="V453" s="426" t="s">
        <v>3039</v>
      </c>
      <c r="W453" s="426" t="s">
        <v>3347</v>
      </c>
      <c r="X453" s="426" t="s">
        <v>3348</v>
      </c>
      <c r="Y453" s="426" t="s">
        <v>2692</v>
      </c>
      <c r="Z453" s="426" t="s">
        <v>2646</v>
      </c>
      <c r="AA453" s="426" t="s">
        <v>2646</v>
      </c>
      <c r="AB453" s="426" t="s">
        <v>2646</v>
      </c>
      <c r="AC453" s="426" t="s">
        <v>2646</v>
      </c>
      <c r="AD453" s="426" t="s">
        <v>2646</v>
      </c>
      <c r="AE453" s="426" t="s">
        <v>2646</v>
      </c>
      <c r="AF453" s="426" t="s">
        <v>2646</v>
      </c>
      <c r="AG453" s="426" t="s">
        <v>2646</v>
      </c>
      <c r="AH453" s="426" t="s">
        <v>2646</v>
      </c>
      <c r="AI453" s="426" t="s">
        <v>2646</v>
      </c>
      <c r="AJ453" s="68" t="s">
        <v>2646</v>
      </c>
    </row>
    <row r="454" spans="1:36" hidden="1">
      <c r="A454" s="392" t="s">
        <v>1770</v>
      </c>
      <c r="B454" s="427" t="s">
        <v>2650</v>
      </c>
      <c r="C454" s="433" t="s">
        <v>3588</v>
      </c>
      <c r="D454" s="433" t="s">
        <v>3851</v>
      </c>
      <c r="E454" s="433" t="s">
        <v>2849</v>
      </c>
      <c r="F454" s="433" t="s">
        <v>2896</v>
      </c>
      <c r="G454" s="433" t="s">
        <v>2678</v>
      </c>
      <c r="H454" s="433" t="s">
        <v>2654</v>
      </c>
      <c r="I454" s="433" t="s">
        <v>2654</v>
      </c>
      <c r="J454" s="433" t="s">
        <v>2654</v>
      </c>
      <c r="K454" s="433" t="s">
        <v>2654</v>
      </c>
      <c r="L454" s="433" t="s">
        <v>2654</v>
      </c>
      <c r="M454" s="433" t="s">
        <v>2654</v>
      </c>
      <c r="N454" s="433" t="s">
        <v>2654</v>
      </c>
      <c r="O454" s="433" t="s">
        <v>2680</v>
      </c>
      <c r="P454" s="433" t="s">
        <v>4059</v>
      </c>
      <c r="Q454" s="431"/>
      <c r="R454" s="431"/>
      <c r="S454" s="426" t="s">
        <v>2688</v>
      </c>
      <c r="T454" s="426" t="s">
        <v>3064</v>
      </c>
      <c r="U454" s="426" t="s">
        <v>3349</v>
      </c>
      <c r="V454" s="426" t="s">
        <v>3349</v>
      </c>
      <c r="W454" s="426" t="s">
        <v>3294</v>
      </c>
      <c r="X454" s="426" t="s">
        <v>3341</v>
      </c>
      <c r="Y454" s="426" t="s">
        <v>2813</v>
      </c>
      <c r="Z454" s="426" t="s">
        <v>2646</v>
      </c>
      <c r="AA454" s="426" t="s">
        <v>2646</v>
      </c>
      <c r="AB454" s="426" t="s">
        <v>2646</v>
      </c>
      <c r="AC454" s="426" t="s">
        <v>2646</v>
      </c>
      <c r="AD454" s="426" t="s">
        <v>2646</v>
      </c>
      <c r="AE454" s="426" t="s">
        <v>2646</v>
      </c>
      <c r="AF454" s="426" t="s">
        <v>2646</v>
      </c>
      <c r="AG454" s="426" t="s">
        <v>2646</v>
      </c>
      <c r="AH454" s="426" t="s">
        <v>2646</v>
      </c>
      <c r="AI454" s="426" t="s">
        <v>2646</v>
      </c>
      <c r="AJ454" s="68" t="s">
        <v>2646</v>
      </c>
    </row>
    <row r="455" spans="1:36" hidden="1">
      <c r="A455" s="392" t="s">
        <v>1771</v>
      </c>
      <c r="B455" s="427" t="s">
        <v>2651</v>
      </c>
      <c r="C455" s="433" t="s">
        <v>3483</v>
      </c>
      <c r="D455" s="433" t="s">
        <v>3710</v>
      </c>
      <c r="E455" s="433" t="s">
        <v>2754</v>
      </c>
      <c r="F455" s="433" t="s">
        <v>2746</v>
      </c>
      <c r="G455" s="433" t="s">
        <v>2680</v>
      </c>
      <c r="H455" s="433" t="s">
        <v>2654</v>
      </c>
      <c r="I455" s="433" t="s">
        <v>2654</v>
      </c>
      <c r="J455" s="433" t="s">
        <v>2654</v>
      </c>
      <c r="K455" s="433" t="s">
        <v>2654</v>
      </c>
      <c r="L455" s="433" t="s">
        <v>2654</v>
      </c>
      <c r="M455" s="433" t="s">
        <v>2654</v>
      </c>
      <c r="N455" s="433" t="s">
        <v>2654</v>
      </c>
      <c r="O455" s="433" t="s">
        <v>2997</v>
      </c>
      <c r="P455" s="433" t="s">
        <v>4059</v>
      </c>
      <c r="Q455" s="431"/>
      <c r="R455" s="431"/>
      <c r="S455" s="426" t="s">
        <v>2660</v>
      </c>
      <c r="T455" s="426" t="s">
        <v>2828</v>
      </c>
      <c r="U455" s="426" t="s">
        <v>3205</v>
      </c>
      <c r="V455" s="426" t="s">
        <v>3205</v>
      </c>
      <c r="W455" s="426" t="s">
        <v>3294</v>
      </c>
      <c r="X455" s="426" t="s">
        <v>3341</v>
      </c>
      <c r="Y455" s="426" t="s">
        <v>2813</v>
      </c>
      <c r="Z455" s="426" t="s">
        <v>2646</v>
      </c>
      <c r="AA455" s="426" t="s">
        <v>2646</v>
      </c>
      <c r="AB455" s="426" t="s">
        <v>2646</v>
      </c>
      <c r="AC455" s="426" t="s">
        <v>2646</v>
      </c>
      <c r="AD455" s="426" t="s">
        <v>2646</v>
      </c>
      <c r="AE455" s="426" t="s">
        <v>2646</v>
      </c>
      <c r="AF455" s="426" t="s">
        <v>2646</v>
      </c>
      <c r="AG455" s="426" t="s">
        <v>2646</v>
      </c>
      <c r="AH455" s="426" t="s">
        <v>2646</v>
      </c>
      <c r="AI455" s="426" t="s">
        <v>2646</v>
      </c>
      <c r="AJ455" s="68" t="s">
        <v>2646</v>
      </c>
    </row>
    <row r="456" spans="1:36">
      <c r="A456" s="392" t="s">
        <v>1771</v>
      </c>
      <c r="B456" s="427" t="s">
        <v>48</v>
      </c>
      <c r="C456" s="433" t="s">
        <v>4294</v>
      </c>
      <c r="D456" s="433" t="s">
        <v>3856</v>
      </c>
      <c r="E456" s="433" t="s">
        <v>4295</v>
      </c>
      <c r="F456" s="433" t="s">
        <v>2993</v>
      </c>
      <c r="G456" s="433" t="s">
        <v>3008</v>
      </c>
      <c r="H456" s="433" t="s">
        <v>2654</v>
      </c>
      <c r="I456" s="433" t="s">
        <v>2654</v>
      </c>
      <c r="J456" s="433" t="s">
        <v>2654</v>
      </c>
      <c r="K456" s="433" t="s">
        <v>2654</v>
      </c>
      <c r="L456" s="433" t="s">
        <v>2654</v>
      </c>
      <c r="M456" s="433" t="s">
        <v>2654</v>
      </c>
      <c r="N456" s="433" t="s">
        <v>2654</v>
      </c>
      <c r="O456" s="433" t="s">
        <v>3083</v>
      </c>
      <c r="P456" s="433" t="s">
        <v>2831</v>
      </c>
      <c r="Q456" s="433" t="s">
        <v>2654</v>
      </c>
      <c r="R456" s="433" t="s">
        <v>2654</v>
      </c>
      <c r="S456" s="426"/>
      <c r="T456" s="426"/>
      <c r="U456" s="426"/>
      <c r="V456" s="426"/>
      <c r="W456" s="426"/>
      <c r="X456" s="426"/>
      <c r="Y456" s="426"/>
      <c r="Z456" s="426"/>
      <c r="AA456" s="426"/>
      <c r="AB456" s="426"/>
      <c r="AC456" s="426"/>
      <c r="AD456" s="426"/>
      <c r="AE456" s="426"/>
      <c r="AF456" s="426"/>
      <c r="AG456" s="426"/>
      <c r="AH456" s="426"/>
      <c r="AI456" s="426"/>
    </row>
    <row r="457" spans="1:36" hidden="1">
      <c r="A457" s="392" t="s">
        <v>1772</v>
      </c>
      <c r="B457" s="427" t="s">
        <v>2647</v>
      </c>
      <c r="C457" s="433" t="s">
        <v>3483</v>
      </c>
      <c r="D457" s="433" t="s">
        <v>3541</v>
      </c>
      <c r="E457" s="433" t="s">
        <v>2680</v>
      </c>
      <c r="F457" s="433" t="s">
        <v>2680</v>
      </c>
      <c r="G457" s="433" t="s">
        <v>2654</v>
      </c>
      <c r="H457" s="433" t="s">
        <v>2654</v>
      </c>
      <c r="I457" s="433" t="s">
        <v>2654</v>
      </c>
      <c r="J457" s="433" t="s">
        <v>2654</v>
      </c>
      <c r="K457" s="433" t="s">
        <v>2654</v>
      </c>
      <c r="L457" s="433" t="s">
        <v>2654</v>
      </c>
      <c r="M457" s="433" t="s">
        <v>2654</v>
      </c>
      <c r="N457" s="433" t="s">
        <v>2654</v>
      </c>
      <c r="O457" s="433" t="s">
        <v>2668</v>
      </c>
      <c r="P457" s="433" t="s">
        <v>4061</v>
      </c>
      <c r="Q457" s="431"/>
      <c r="R457" s="431"/>
      <c r="S457" s="426" t="s">
        <v>2669</v>
      </c>
      <c r="T457" s="426" t="s">
        <v>3135</v>
      </c>
      <c r="U457" s="426" t="s">
        <v>3080</v>
      </c>
      <c r="V457" s="426" t="s">
        <v>3135</v>
      </c>
      <c r="W457" s="426" t="s">
        <v>3326</v>
      </c>
      <c r="X457" s="426" t="s">
        <v>3350</v>
      </c>
      <c r="Y457" s="426" t="s">
        <v>2727</v>
      </c>
      <c r="Z457" s="426" t="s">
        <v>2839</v>
      </c>
      <c r="AA457" s="426" t="s">
        <v>2646</v>
      </c>
      <c r="AB457" s="426" t="s">
        <v>2646</v>
      </c>
      <c r="AC457" s="426" t="s">
        <v>2646</v>
      </c>
      <c r="AD457" s="426" t="s">
        <v>2646</v>
      </c>
      <c r="AE457" s="426" t="s">
        <v>2646</v>
      </c>
      <c r="AF457" s="426" t="s">
        <v>2646</v>
      </c>
      <c r="AG457" s="426" t="s">
        <v>2646</v>
      </c>
      <c r="AH457" s="426" t="s">
        <v>2646</v>
      </c>
      <c r="AI457" s="426" t="s">
        <v>2646</v>
      </c>
      <c r="AJ457" s="68" t="s">
        <v>2646</v>
      </c>
    </row>
    <row r="458" spans="1:36" hidden="1">
      <c r="A458" s="392" t="s">
        <v>1773</v>
      </c>
      <c r="B458" s="427" t="s">
        <v>2648</v>
      </c>
      <c r="C458" s="433" t="s">
        <v>3532</v>
      </c>
      <c r="D458" s="433" t="s">
        <v>3364</v>
      </c>
      <c r="E458" s="433" t="s">
        <v>2654</v>
      </c>
      <c r="F458" s="433" t="s">
        <v>2654</v>
      </c>
      <c r="G458" s="433" t="s">
        <v>2654</v>
      </c>
      <c r="H458" s="433" t="s">
        <v>2654</v>
      </c>
      <c r="I458" s="433" t="s">
        <v>2654</v>
      </c>
      <c r="J458" s="433" t="s">
        <v>2654</v>
      </c>
      <c r="K458" s="433" t="s">
        <v>2654</v>
      </c>
      <c r="L458" s="433" t="s">
        <v>2654</v>
      </c>
      <c r="M458" s="433" t="s">
        <v>2654</v>
      </c>
      <c r="N458" s="433" t="s">
        <v>2654</v>
      </c>
      <c r="O458" s="433" t="s">
        <v>2654</v>
      </c>
      <c r="P458" s="433" t="s">
        <v>4087</v>
      </c>
      <c r="Q458" s="431"/>
      <c r="R458" s="431"/>
      <c r="S458" s="426" t="s">
        <v>2660</v>
      </c>
      <c r="T458" s="426" t="s">
        <v>3333</v>
      </c>
      <c r="U458" s="426" t="s">
        <v>3270</v>
      </c>
      <c r="V458" s="426" t="s">
        <v>3333</v>
      </c>
      <c r="W458" s="426" t="s">
        <v>3347</v>
      </c>
      <c r="X458" s="426" t="s">
        <v>3351</v>
      </c>
      <c r="Y458" s="426" t="s">
        <v>2727</v>
      </c>
      <c r="Z458" s="426" t="s">
        <v>3352</v>
      </c>
      <c r="AA458" s="426" t="s">
        <v>2646</v>
      </c>
      <c r="AB458" s="426" t="s">
        <v>2646</v>
      </c>
      <c r="AC458" s="426" t="s">
        <v>2646</v>
      </c>
      <c r="AD458" s="426" t="s">
        <v>2646</v>
      </c>
      <c r="AE458" s="426" t="s">
        <v>2646</v>
      </c>
      <c r="AF458" s="426" t="s">
        <v>2646</v>
      </c>
      <c r="AG458" s="426" t="s">
        <v>2646</v>
      </c>
      <c r="AH458" s="426" t="s">
        <v>2646</v>
      </c>
      <c r="AI458" s="426" t="s">
        <v>2646</v>
      </c>
      <c r="AJ458" s="68" t="s">
        <v>2646</v>
      </c>
    </row>
    <row r="459" spans="1:36" hidden="1">
      <c r="A459" s="392" t="s">
        <v>1774</v>
      </c>
      <c r="B459" s="427" t="s">
        <v>2649</v>
      </c>
      <c r="C459" s="433" t="s">
        <v>3483</v>
      </c>
      <c r="D459" s="433" t="s">
        <v>3860</v>
      </c>
      <c r="E459" s="433" t="s">
        <v>2654</v>
      </c>
      <c r="F459" s="433" t="s">
        <v>2654</v>
      </c>
      <c r="G459" s="433" t="s">
        <v>2654</v>
      </c>
      <c r="H459" s="433" t="s">
        <v>2654</v>
      </c>
      <c r="I459" s="433" t="s">
        <v>2654</v>
      </c>
      <c r="J459" s="433" t="s">
        <v>2654</v>
      </c>
      <c r="K459" s="433" t="s">
        <v>2654</v>
      </c>
      <c r="L459" s="433" t="s">
        <v>2654</v>
      </c>
      <c r="M459" s="433" t="s">
        <v>2654</v>
      </c>
      <c r="N459" s="433" t="s">
        <v>2654</v>
      </c>
      <c r="O459" s="433" t="s">
        <v>2654</v>
      </c>
      <c r="P459" s="433" t="s">
        <v>4080</v>
      </c>
      <c r="Q459" s="431"/>
      <c r="R459" s="431"/>
      <c r="S459" s="426" t="s">
        <v>2660</v>
      </c>
      <c r="T459" s="426" t="s">
        <v>3173</v>
      </c>
      <c r="U459" s="426" t="s">
        <v>3225</v>
      </c>
      <c r="V459" s="426" t="s">
        <v>3225</v>
      </c>
      <c r="W459" s="426" t="s">
        <v>3324</v>
      </c>
      <c r="X459" s="426" t="s">
        <v>3316</v>
      </c>
      <c r="Y459" s="426" t="s">
        <v>2727</v>
      </c>
      <c r="Z459" s="426" t="s">
        <v>2924</v>
      </c>
      <c r="AA459" s="426" t="s">
        <v>2646</v>
      </c>
      <c r="AB459" s="426" t="s">
        <v>2646</v>
      </c>
      <c r="AC459" s="426" t="s">
        <v>2646</v>
      </c>
      <c r="AD459" s="426" t="s">
        <v>2646</v>
      </c>
      <c r="AE459" s="426" t="s">
        <v>2646</v>
      </c>
      <c r="AF459" s="426" t="s">
        <v>2646</v>
      </c>
      <c r="AG459" s="426" t="s">
        <v>2646</v>
      </c>
      <c r="AH459" s="426" t="s">
        <v>2646</v>
      </c>
      <c r="AI459" s="426" t="s">
        <v>2646</v>
      </c>
      <c r="AJ459" s="68" t="s">
        <v>2646</v>
      </c>
    </row>
    <row r="460" spans="1:36" hidden="1">
      <c r="A460" s="392" t="s">
        <v>1775</v>
      </c>
      <c r="B460" s="427" t="s">
        <v>2650</v>
      </c>
      <c r="C460" s="433" t="s">
        <v>3363</v>
      </c>
      <c r="D460" s="433" t="s">
        <v>3851</v>
      </c>
      <c r="E460" s="433" t="s">
        <v>2708</v>
      </c>
      <c r="F460" s="433" t="s">
        <v>2654</v>
      </c>
      <c r="G460" s="433" t="s">
        <v>2654</v>
      </c>
      <c r="H460" s="433" t="s">
        <v>2654</v>
      </c>
      <c r="I460" s="433" t="s">
        <v>2654</v>
      </c>
      <c r="J460" s="433" t="s">
        <v>2654</v>
      </c>
      <c r="K460" s="433" t="s">
        <v>2654</v>
      </c>
      <c r="L460" s="433" t="s">
        <v>2654</v>
      </c>
      <c r="M460" s="433" t="s">
        <v>2654</v>
      </c>
      <c r="N460" s="433" t="s">
        <v>2654</v>
      </c>
      <c r="O460" s="433" t="s">
        <v>2654</v>
      </c>
      <c r="P460" s="433" t="s">
        <v>4059</v>
      </c>
      <c r="Q460" s="431"/>
      <c r="R460" s="431"/>
      <c r="S460" s="426" t="s">
        <v>2658</v>
      </c>
      <c r="T460" s="426" t="s">
        <v>3333</v>
      </c>
      <c r="U460" s="426" t="s">
        <v>3353</v>
      </c>
      <c r="V460" s="426" t="s">
        <v>3333</v>
      </c>
      <c r="W460" s="426" t="s">
        <v>3347</v>
      </c>
      <c r="X460" s="426" t="s">
        <v>3351</v>
      </c>
      <c r="Y460" s="426" t="s">
        <v>2727</v>
      </c>
      <c r="Z460" s="426" t="s">
        <v>3313</v>
      </c>
      <c r="AA460" s="426" t="s">
        <v>2646</v>
      </c>
      <c r="AB460" s="426" t="s">
        <v>2646</v>
      </c>
      <c r="AC460" s="426" t="s">
        <v>2646</v>
      </c>
      <c r="AD460" s="426" t="s">
        <v>2646</v>
      </c>
      <c r="AE460" s="426" t="s">
        <v>2646</v>
      </c>
      <c r="AF460" s="426" t="s">
        <v>2646</v>
      </c>
      <c r="AG460" s="426" t="s">
        <v>2646</v>
      </c>
      <c r="AH460" s="426" t="s">
        <v>2646</v>
      </c>
      <c r="AI460" s="426" t="s">
        <v>2646</v>
      </c>
      <c r="AJ460" s="68" t="s">
        <v>2646</v>
      </c>
    </row>
    <row r="461" spans="1:36" hidden="1">
      <c r="A461" s="392" t="s">
        <v>1776</v>
      </c>
      <c r="B461" s="427" t="s">
        <v>2651</v>
      </c>
      <c r="C461" s="433" t="s">
        <v>3478</v>
      </c>
      <c r="D461" s="433" t="s">
        <v>3686</v>
      </c>
      <c r="E461" s="433" t="s">
        <v>2654</v>
      </c>
      <c r="F461" s="433" t="s">
        <v>2654</v>
      </c>
      <c r="G461" s="433" t="s">
        <v>2654</v>
      </c>
      <c r="H461" s="433" t="s">
        <v>2654</v>
      </c>
      <c r="I461" s="433" t="s">
        <v>2654</v>
      </c>
      <c r="J461" s="433" t="s">
        <v>2654</v>
      </c>
      <c r="K461" s="433" t="s">
        <v>2654</v>
      </c>
      <c r="L461" s="433" t="s">
        <v>2654</v>
      </c>
      <c r="M461" s="433" t="s">
        <v>2654</v>
      </c>
      <c r="N461" s="433" t="s">
        <v>2654</v>
      </c>
      <c r="O461" s="433" t="s">
        <v>2654</v>
      </c>
      <c r="P461" s="433" t="s">
        <v>4061</v>
      </c>
      <c r="Q461" s="431"/>
      <c r="R461" s="431"/>
      <c r="S461" s="426" t="s">
        <v>2658</v>
      </c>
      <c r="T461" s="426" t="s">
        <v>2703</v>
      </c>
      <c r="U461" s="426" t="s">
        <v>2876</v>
      </c>
      <c r="V461" s="426" t="s">
        <v>2703</v>
      </c>
      <c r="W461" s="426" t="s">
        <v>3326</v>
      </c>
      <c r="X461" s="426" t="s">
        <v>3350</v>
      </c>
      <c r="Y461" s="426" t="s">
        <v>2727</v>
      </c>
      <c r="Z461" s="426" t="s">
        <v>2646</v>
      </c>
      <c r="AA461" s="426" t="s">
        <v>2646</v>
      </c>
      <c r="AB461" s="426" t="s">
        <v>2646</v>
      </c>
      <c r="AC461" s="426" t="s">
        <v>2646</v>
      </c>
      <c r="AD461" s="426" t="s">
        <v>2646</v>
      </c>
      <c r="AE461" s="426" t="s">
        <v>2646</v>
      </c>
      <c r="AF461" s="426" t="s">
        <v>2646</v>
      </c>
      <c r="AG461" s="426" t="s">
        <v>2646</v>
      </c>
      <c r="AH461" s="426" t="s">
        <v>2646</v>
      </c>
      <c r="AI461" s="426" t="s">
        <v>2646</v>
      </c>
      <c r="AJ461" s="68" t="s">
        <v>2646</v>
      </c>
    </row>
    <row r="462" spans="1:36">
      <c r="A462" s="392" t="s">
        <v>1776</v>
      </c>
      <c r="B462" s="427" t="s">
        <v>48</v>
      </c>
      <c r="C462" s="433" t="s">
        <v>3703</v>
      </c>
      <c r="D462" s="433" t="s">
        <v>3676</v>
      </c>
      <c r="E462" s="433" t="s">
        <v>2866</v>
      </c>
      <c r="F462" s="433" t="s">
        <v>2683</v>
      </c>
      <c r="G462" s="433" t="s">
        <v>2654</v>
      </c>
      <c r="H462" s="433" t="s">
        <v>2654</v>
      </c>
      <c r="I462" s="433" t="s">
        <v>2654</v>
      </c>
      <c r="J462" s="433" t="s">
        <v>2654</v>
      </c>
      <c r="K462" s="433" t="s">
        <v>2654</v>
      </c>
      <c r="L462" s="433" t="s">
        <v>2654</v>
      </c>
      <c r="M462" s="433" t="s">
        <v>2654</v>
      </c>
      <c r="N462" s="433" t="s">
        <v>2654</v>
      </c>
      <c r="O462" s="433" t="s">
        <v>2654</v>
      </c>
      <c r="P462" s="433" t="s">
        <v>4025</v>
      </c>
      <c r="Q462" s="433" t="s">
        <v>2654</v>
      </c>
      <c r="R462" s="433" t="s">
        <v>2654</v>
      </c>
      <c r="S462" s="426"/>
      <c r="T462" s="426"/>
      <c r="U462" s="426"/>
      <c r="V462" s="426"/>
      <c r="W462" s="426"/>
      <c r="X462" s="426"/>
      <c r="Y462" s="426"/>
      <c r="Z462" s="426"/>
      <c r="AA462" s="426"/>
      <c r="AB462" s="426"/>
      <c r="AC462" s="426"/>
      <c r="AD462" s="426"/>
      <c r="AE462" s="426"/>
      <c r="AF462" s="426"/>
      <c r="AG462" s="426"/>
      <c r="AH462" s="426"/>
      <c r="AI462" s="426"/>
    </row>
    <row r="463" spans="1:36" hidden="1">
      <c r="A463" s="392" t="s">
        <v>1777</v>
      </c>
      <c r="B463" s="427" t="s">
        <v>2647</v>
      </c>
      <c r="C463" s="433" t="s">
        <v>3518</v>
      </c>
      <c r="D463" s="433" t="s">
        <v>3957</v>
      </c>
      <c r="E463" s="433" t="s">
        <v>2654</v>
      </c>
      <c r="F463" s="433" t="s">
        <v>2654</v>
      </c>
      <c r="G463" s="433" t="s">
        <v>2654</v>
      </c>
      <c r="H463" s="433" t="s">
        <v>2654</v>
      </c>
      <c r="I463" s="433" t="s">
        <v>2654</v>
      </c>
      <c r="J463" s="433" t="s">
        <v>2654</v>
      </c>
      <c r="K463" s="433" t="s">
        <v>2654</v>
      </c>
      <c r="L463" s="433" t="s">
        <v>2654</v>
      </c>
      <c r="M463" s="433" t="s">
        <v>2654</v>
      </c>
      <c r="N463" s="433" t="s">
        <v>2654</v>
      </c>
      <c r="O463" s="433" t="s">
        <v>2654</v>
      </c>
      <c r="P463" s="433" t="s">
        <v>4231</v>
      </c>
      <c r="Q463" s="431"/>
      <c r="R463" s="431"/>
      <c r="S463" s="426" t="s">
        <v>2901</v>
      </c>
      <c r="T463" s="426" t="s">
        <v>3340</v>
      </c>
      <c r="U463" s="426" t="s">
        <v>3355</v>
      </c>
      <c r="V463" s="426" t="s">
        <v>3264</v>
      </c>
      <c r="W463" s="426" t="s">
        <v>3356</v>
      </c>
      <c r="X463" s="426" t="s">
        <v>2939</v>
      </c>
      <c r="Y463" s="426" t="s">
        <v>3357</v>
      </c>
      <c r="Z463" s="426" t="s">
        <v>3358</v>
      </c>
      <c r="AA463" s="426" t="s">
        <v>2646</v>
      </c>
      <c r="AB463" s="426" t="s">
        <v>2646</v>
      </c>
      <c r="AC463" s="426" t="s">
        <v>2646</v>
      </c>
      <c r="AD463" s="426" t="s">
        <v>2646</v>
      </c>
      <c r="AE463" s="426" t="s">
        <v>2646</v>
      </c>
      <c r="AF463" s="426" t="s">
        <v>2646</v>
      </c>
      <c r="AG463" s="426" t="s">
        <v>2646</v>
      </c>
      <c r="AH463" s="426" t="s">
        <v>2646</v>
      </c>
      <c r="AI463" s="426" t="s">
        <v>2646</v>
      </c>
      <c r="AJ463" s="68" t="s">
        <v>2646</v>
      </c>
    </row>
    <row r="464" spans="1:36" hidden="1">
      <c r="A464" s="392" t="s">
        <v>1778</v>
      </c>
      <c r="B464" s="427" t="s">
        <v>2648</v>
      </c>
      <c r="C464" s="433" t="s">
        <v>4296</v>
      </c>
      <c r="D464" s="433" t="s">
        <v>3364</v>
      </c>
      <c r="E464" s="433" t="s">
        <v>2654</v>
      </c>
      <c r="F464" s="433" t="s">
        <v>2654</v>
      </c>
      <c r="G464" s="433" t="s">
        <v>2654</v>
      </c>
      <c r="H464" s="433" t="s">
        <v>2654</v>
      </c>
      <c r="I464" s="433" t="s">
        <v>2654</v>
      </c>
      <c r="J464" s="433" t="s">
        <v>2654</v>
      </c>
      <c r="K464" s="433" t="s">
        <v>2654</v>
      </c>
      <c r="L464" s="433" t="s">
        <v>2654</v>
      </c>
      <c r="M464" s="433" t="s">
        <v>2654</v>
      </c>
      <c r="N464" s="433" t="s">
        <v>2654</v>
      </c>
      <c r="O464" s="433" t="s">
        <v>2654</v>
      </c>
      <c r="P464" s="433" t="s">
        <v>4257</v>
      </c>
      <c r="Q464" s="431"/>
      <c r="R464" s="431"/>
      <c r="S464" s="426" t="s">
        <v>2796</v>
      </c>
      <c r="T464" s="426" t="s">
        <v>2797</v>
      </c>
      <c r="U464" s="426" t="s">
        <v>2828</v>
      </c>
      <c r="V464" s="426" t="s">
        <v>2716</v>
      </c>
      <c r="W464" s="426" t="s">
        <v>3356</v>
      </c>
      <c r="X464" s="426" t="s">
        <v>2939</v>
      </c>
      <c r="Y464" s="426" t="s">
        <v>3357</v>
      </c>
      <c r="Z464" s="426" t="s">
        <v>3359</v>
      </c>
      <c r="AA464" s="426" t="s">
        <v>2646</v>
      </c>
      <c r="AB464" s="426" t="s">
        <v>2646</v>
      </c>
      <c r="AC464" s="426" t="s">
        <v>2646</v>
      </c>
      <c r="AD464" s="426" t="s">
        <v>2646</v>
      </c>
      <c r="AE464" s="426" t="s">
        <v>2646</v>
      </c>
      <c r="AF464" s="426" t="s">
        <v>2646</v>
      </c>
      <c r="AG464" s="426" t="s">
        <v>2646</v>
      </c>
      <c r="AH464" s="426" t="s">
        <v>2646</v>
      </c>
      <c r="AI464" s="426" t="s">
        <v>2646</v>
      </c>
      <c r="AJ464" s="68" t="s">
        <v>2646</v>
      </c>
    </row>
    <row r="465" spans="1:36" hidden="1">
      <c r="A465" s="392" t="s">
        <v>1779</v>
      </c>
      <c r="B465" s="427" t="s">
        <v>2649</v>
      </c>
      <c r="C465" s="433" t="s">
        <v>3573</v>
      </c>
      <c r="D465" s="433" t="s">
        <v>3364</v>
      </c>
      <c r="E465" s="433" t="s">
        <v>2654</v>
      </c>
      <c r="F465" s="433" t="s">
        <v>2654</v>
      </c>
      <c r="G465" s="433" t="s">
        <v>2654</v>
      </c>
      <c r="H465" s="433" t="s">
        <v>2654</v>
      </c>
      <c r="I465" s="433" t="s">
        <v>2654</v>
      </c>
      <c r="J465" s="433" t="s">
        <v>2654</v>
      </c>
      <c r="K465" s="433" t="s">
        <v>2654</v>
      </c>
      <c r="L465" s="433" t="s">
        <v>2654</v>
      </c>
      <c r="M465" s="433" t="s">
        <v>2654</v>
      </c>
      <c r="N465" s="433" t="s">
        <v>2654</v>
      </c>
      <c r="O465" s="433" t="s">
        <v>2654</v>
      </c>
      <c r="P465" s="433" t="s">
        <v>4233</v>
      </c>
      <c r="Q465" s="431"/>
      <c r="R465" s="431"/>
      <c r="S465" s="426" t="s">
        <v>2669</v>
      </c>
      <c r="T465" s="426" t="s">
        <v>3286</v>
      </c>
      <c r="U465" s="426" t="s">
        <v>3038</v>
      </c>
      <c r="V465" s="426" t="s">
        <v>3038</v>
      </c>
      <c r="W465" s="426" t="s">
        <v>3356</v>
      </c>
      <c r="X465" s="426" t="s">
        <v>2939</v>
      </c>
      <c r="Y465" s="426" t="s">
        <v>3357</v>
      </c>
      <c r="Z465" s="426" t="s">
        <v>3360</v>
      </c>
      <c r="AA465" s="426" t="s">
        <v>2646</v>
      </c>
      <c r="AB465" s="426" t="s">
        <v>2646</v>
      </c>
      <c r="AC465" s="426" t="s">
        <v>2646</v>
      </c>
      <c r="AD465" s="426" t="s">
        <v>2646</v>
      </c>
      <c r="AE465" s="426" t="s">
        <v>2646</v>
      </c>
      <c r="AF465" s="426" t="s">
        <v>2646</v>
      </c>
      <c r="AG465" s="426" t="s">
        <v>2646</v>
      </c>
      <c r="AH465" s="426" t="s">
        <v>2646</v>
      </c>
      <c r="AI465" s="426" t="s">
        <v>2646</v>
      </c>
      <c r="AJ465" s="68" t="s">
        <v>2646</v>
      </c>
    </row>
    <row r="466" spans="1:36" hidden="1">
      <c r="A466" s="392" t="s">
        <v>1780</v>
      </c>
      <c r="B466" s="427" t="s">
        <v>2650</v>
      </c>
      <c r="C466" s="433" t="s">
        <v>3709</v>
      </c>
      <c r="D466" s="433" t="s">
        <v>3364</v>
      </c>
      <c r="E466" s="433" t="s">
        <v>2654</v>
      </c>
      <c r="F466" s="433" t="s">
        <v>2654</v>
      </c>
      <c r="G466" s="433" t="s">
        <v>2654</v>
      </c>
      <c r="H466" s="433" t="s">
        <v>2654</v>
      </c>
      <c r="I466" s="433" t="s">
        <v>2654</v>
      </c>
      <c r="J466" s="433" t="s">
        <v>2654</v>
      </c>
      <c r="K466" s="433" t="s">
        <v>2654</v>
      </c>
      <c r="L466" s="433" t="s">
        <v>2654</v>
      </c>
      <c r="M466" s="433" t="s">
        <v>2654</v>
      </c>
      <c r="N466" s="433" t="s">
        <v>2654</v>
      </c>
      <c r="O466" s="433" t="s">
        <v>2654</v>
      </c>
      <c r="P466" s="433" t="s">
        <v>4129</v>
      </c>
      <c r="Q466" s="431"/>
      <c r="R466" s="431"/>
      <c r="S466" s="426" t="s">
        <v>2796</v>
      </c>
      <c r="T466" s="426" t="s">
        <v>3259</v>
      </c>
      <c r="U466" s="426" t="s">
        <v>3070</v>
      </c>
      <c r="V466" s="426" t="s">
        <v>3070</v>
      </c>
      <c r="W466" s="426" t="s">
        <v>3299</v>
      </c>
      <c r="X466" s="426" t="s">
        <v>2939</v>
      </c>
      <c r="Y466" s="426" t="s">
        <v>3348</v>
      </c>
      <c r="Z466" s="426" t="s">
        <v>3361</v>
      </c>
      <c r="AA466" s="426" t="s">
        <v>2646</v>
      </c>
      <c r="AB466" s="426" t="s">
        <v>2646</v>
      </c>
      <c r="AC466" s="426" t="s">
        <v>2646</v>
      </c>
      <c r="AD466" s="426" t="s">
        <v>2646</v>
      </c>
      <c r="AE466" s="426" t="s">
        <v>2646</v>
      </c>
      <c r="AF466" s="426" t="s">
        <v>2646</v>
      </c>
      <c r="AG466" s="426" t="s">
        <v>2646</v>
      </c>
      <c r="AH466" s="426" t="s">
        <v>2646</v>
      </c>
      <c r="AI466" s="426" t="s">
        <v>2646</v>
      </c>
      <c r="AJ466" s="68" t="s">
        <v>2646</v>
      </c>
    </row>
    <row r="467" spans="1:36" hidden="1">
      <c r="A467" s="392" t="s">
        <v>1781</v>
      </c>
      <c r="B467" s="427" t="s">
        <v>2651</v>
      </c>
      <c r="C467" s="433" t="s">
        <v>3495</v>
      </c>
      <c r="D467" s="433" t="s">
        <v>3710</v>
      </c>
      <c r="E467" s="433" t="s">
        <v>2654</v>
      </c>
      <c r="F467" s="433" t="s">
        <v>2654</v>
      </c>
      <c r="G467" s="433" t="s">
        <v>2654</v>
      </c>
      <c r="H467" s="433" t="s">
        <v>2654</v>
      </c>
      <c r="I467" s="433" t="s">
        <v>2654</v>
      </c>
      <c r="J467" s="433" t="s">
        <v>2654</v>
      </c>
      <c r="K467" s="433" t="s">
        <v>2654</v>
      </c>
      <c r="L467" s="433" t="s">
        <v>2654</v>
      </c>
      <c r="M467" s="433" t="s">
        <v>2654</v>
      </c>
      <c r="N467" s="433" t="s">
        <v>2654</v>
      </c>
      <c r="O467" s="433" t="s">
        <v>2654</v>
      </c>
      <c r="P467" s="433" t="s">
        <v>4233</v>
      </c>
      <c r="Q467" s="431"/>
      <c r="R467" s="431"/>
      <c r="S467" s="426" t="s">
        <v>2669</v>
      </c>
      <c r="T467" s="426" t="s">
        <v>2716</v>
      </c>
      <c r="U467" s="426" t="s">
        <v>2690</v>
      </c>
      <c r="V467" s="426" t="s">
        <v>3111</v>
      </c>
      <c r="W467" s="426" t="s">
        <v>3362</v>
      </c>
      <c r="X467" s="426" t="s">
        <v>2939</v>
      </c>
      <c r="Y467" s="426" t="s">
        <v>3213</v>
      </c>
      <c r="Z467" s="426" t="s">
        <v>2922</v>
      </c>
      <c r="AA467" s="426" t="s">
        <v>2646</v>
      </c>
      <c r="AB467" s="426" t="s">
        <v>2646</v>
      </c>
      <c r="AC467" s="426" t="s">
        <v>2646</v>
      </c>
      <c r="AD467" s="426" t="s">
        <v>2646</v>
      </c>
      <c r="AE467" s="426" t="s">
        <v>2646</v>
      </c>
      <c r="AF467" s="426" t="s">
        <v>2646</v>
      </c>
      <c r="AG467" s="426" t="s">
        <v>2646</v>
      </c>
      <c r="AH467" s="426" t="s">
        <v>2646</v>
      </c>
      <c r="AI467" s="426" t="s">
        <v>2646</v>
      </c>
      <c r="AJ467" s="68" t="s">
        <v>2646</v>
      </c>
    </row>
    <row r="468" spans="1:36">
      <c r="A468" s="392" t="s">
        <v>1781</v>
      </c>
      <c r="B468" s="427" t="s">
        <v>48</v>
      </c>
      <c r="C468" s="433" t="s">
        <v>3893</v>
      </c>
      <c r="D468" s="433" t="s">
        <v>4297</v>
      </c>
      <c r="E468" s="433" t="s">
        <v>2654</v>
      </c>
      <c r="F468" s="433" t="s">
        <v>2654</v>
      </c>
      <c r="G468" s="433" t="s">
        <v>2654</v>
      </c>
      <c r="H468" s="433" t="s">
        <v>2654</v>
      </c>
      <c r="I468" s="433" t="s">
        <v>2654</v>
      </c>
      <c r="J468" s="433" t="s">
        <v>2654</v>
      </c>
      <c r="K468" s="433" t="s">
        <v>2654</v>
      </c>
      <c r="L468" s="433" t="s">
        <v>2654</v>
      </c>
      <c r="M468" s="433" t="s">
        <v>2654</v>
      </c>
      <c r="N468" s="433" t="s">
        <v>2654</v>
      </c>
      <c r="O468" s="433" t="s">
        <v>2654</v>
      </c>
      <c r="P468" s="433" t="s">
        <v>4298</v>
      </c>
      <c r="Q468" s="433" t="s">
        <v>2654</v>
      </c>
      <c r="R468" s="433" t="s">
        <v>2654</v>
      </c>
      <c r="S468" s="426"/>
      <c r="T468" s="426"/>
      <c r="U468" s="426"/>
      <c r="V468" s="426"/>
      <c r="W468" s="426"/>
      <c r="X468" s="426"/>
      <c r="Y468" s="426"/>
      <c r="Z468" s="426"/>
      <c r="AA468" s="426"/>
      <c r="AB468" s="426"/>
      <c r="AC468" s="426"/>
      <c r="AD468" s="426"/>
      <c r="AE468" s="426"/>
      <c r="AF468" s="426"/>
      <c r="AG468" s="426"/>
      <c r="AH468" s="426"/>
      <c r="AI468" s="426"/>
    </row>
    <row r="469" spans="1:36" hidden="1">
      <c r="A469" s="392" t="s">
        <v>1782</v>
      </c>
      <c r="B469" s="427" t="s">
        <v>2647</v>
      </c>
      <c r="C469" s="433" t="s">
        <v>4299</v>
      </c>
      <c r="D469" s="433" t="s">
        <v>3851</v>
      </c>
      <c r="E469" s="433" t="s">
        <v>3123</v>
      </c>
      <c r="F469" s="433" t="s">
        <v>3046</v>
      </c>
      <c r="G469" s="433" t="s">
        <v>2699</v>
      </c>
      <c r="H469" s="433" t="s">
        <v>3036</v>
      </c>
      <c r="I469" s="433" t="s">
        <v>2777</v>
      </c>
      <c r="J469" s="433" t="s">
        <v>2700</v>
      </c>
      <c r="K469" s="433" t="s">
        <v>2870</v>
      </c>
      <c r="L469" s="433" t="s">
        <v>2708</v>
      </c>
      <c r="M469" s="433" t="s">
        <v>2654</v>
      </c>
      <c r="N469" s="433" t="s">
        <v>2654</v>
      </c>
      <c r="O469" s="433" t="s">
        <v>4300</v>
      </c>
      <c r="P469" s="433" t="s">
        <v>4129</v>
      </c>
      <c r="Q469" s="431"/>
      <c r="R469" s="431"/>
      <c r="S469" s="426" t="s">
        <v>2669</v>
      </c>
      <c r="T469" s="426" t="s">
        <v>2904</v>
      </c>
      <c r="U469" s="426" t="s">
        <v>3340</v>
      </c>
      <c r="V469" s="426" t="s">
        <v>3365</v>
      </c>
      <c r="W469" s="426" t="s">
        <v>3366</v>
      </c>
      <c r="X469" s="426" t="s">
        <v>2813</v>
      </c>
      <c r="Y469" s="426" t="s">
        <v>2646</v>
      </c>
      <c r="Z469" s="426" t="s">
        <v>3367</v>
      </c>
      <c r="AA469" s="426" t="s">
        <v>2646</v>
      </c>
      <c r="AB469" s="426" t="s">
        <v>2646</v>
      </c>
      <c r="AC469" s="426" t="s">
        <v>2646</v>
      </c>
      <c r="AD469" s="426" t="s">
        <v>2646</v>
      </c>
      <c r="AE469" s="426" t="s">
        <v>2646</v>
      </c>
      <c r="AF469" s="426" t="s">
        <v>2646</v>
      </c>
      <c r="AG469" s="426" t="s">
        <v>2646</v>
      </c>
      <c r="AH469" s="426" t="s">
        <v>2646</v>
      </c>
      <c r="AI469" s="426" t="s">
        <v>2646</v>
      </c>
      <c r="AJ469" s="68" t="s">
        <v>2646</v>
      </c>
    </row>
    <row r="470" spans="1:36" hidden="1">
      <c r="A470" s="392" t="s">
        <v>1783</v>
      </c>
      <c r="B470" s="427" t="s">
        <v>2648</v>
      </c>
      <c r="C470" s="433" t="s">
        <v>3878</v>
      </c>
      <c r="D470" s="433" t="s">
        <v>3710</v>
      </c>
      <c r="E470" s="433" t="s">
        <v>2818</v>
      </c>
      <c r="F470" s="433" t="s">
        <v>3051</v>
      </c>
      <c r="G470" s="433" t="s">
        <v>3046</v>
      </c>
      <c r="H470" s="433" t="s">
        <v>2686</v>
      </c>
      <c r="I470" s="433" t="s">
        <v>3047</v>
      </c>
      <c r="J470" s="433" t="s">
        <v>2731</v>
      </c>
      <c r="K470" s="433" t="s">
        <v>2723</v>
      </c>
      <c r="L470" s="433" t="s">
        <v>2687</v>
      </c>
      <c r="M470" s="433" t="s">
        <v>2678</v>
      </c>
      <c r="N470" s="433" t="s">
        <v>2654</v>
      </c>
      <c r="O470" s="433" t="s">
        <v>4301</v>
      </c>
      <c r="P470" s="433" t="s">
        <v>4080</v>
      </c>
      <c r="Q470" s="431"/>
      <c r="R470" s="431"/>
      <c r="S470" s="426" t="s">
        <v>2657</v>
      </c>
      <c r="T470" s="426" t="s">
        <v>3368</v>
      </c>
      <c r="U470" s="426" t="s">
        <v>3340</v>
      </c>
      <c r="V470" s="426" t="s">
        <v>2726</v>
      </c>
      <c r="W470" s="426" t="s">
        <v>3366</v>
      </c>
      <c r="X470" s="426" t="s">
        <v>2813</v>
      </c>
      <c r="Y470" s="426" t="s">
        <v>2646</v>
      </c>
      <c r="Z470" s="426" t="s">
        <v>3369</v>
      </c>
      <c r="AA470" s="426" t="s">
        <v>2646</v>
      </c>
      <c r="AB470" s="426" t="s">
        <v>2646</v>
      </c>
      <c r="AC470" s="426" t="s">
        <v>2646</v>
      </c>
      <c r="AD470" s="426" t="s">
        <v>2646</v>
      </c>
      <c r="AE470" s="426" t="s">
        <v>2646</v>
      </c>
      <c r="AF470" s="426" t="s">
        <v>2646</v>
      </c>
      <c r="AG470" s="426" t="s">
        <v>2646</v>
      </c>
      <c r="AH470" s="426" t="s">
        <v>2646</v>
      </c>
      <c r="AI470" s="426" t="s">
        <v>2646</v>
      </c>
      <c r="AJ470" s="68" t="s">
        <v>2646</v>
      </c>
    </row>
    <row r="471" spans="1:36" hidden="1">
      <c r="A471" s="392" t="s">
        <v>1784</v>
      </c>
      <c r="B471" s="427" t="s">
        <v>2649</v>
      </c>
      <c r="C471" s="433" t="s">
        <v>4097</v>
      </c>
      <c r="D471" s="433" t="s">
        <v>3686</v>
      </c>
      <c r="E471" s="433" t="s">
        <v>2730</v>
      </c>
      <c r="F471" s="433" t="s">
        <v>2935</v>
      </c>
      <c r="G471" s="433" t="s">
        <v>2859</v>
      </c>
      <c r="H471" s="433" t="s">
        <v>2966</v>
      </c>
      <c r="I471" s="433" t="s">
        <v>2819</v>
      </c>
      <c r="J471" s="433" t="s">
        <v>2699</v>
      </c>
      <c r="K471" s="433" t="s">
        <v>2849</v>
      </c>
      <c r="L471" s="433" t="s">
        <v>2732</v>
      </c>
      <c r="M471" s="433" t="s">
        <v>2678</v>
      </c>
      <c r="N471" s="433" t="s">
        <v>2654</v>
      </c>
      <c r="O471" s="433" t="s">
        <v>3933</v>
      </c>
      <c r="P471" s="433" t="s">
        <v>4129</v>
      </c>
      <c r="Q471" s="431"/>
      <c r="R471" s="431"/>
      <c r="S471" s="426" t="s">
        <v>3187</v>
      </c>
      <c r="T471" s="426" t="s">
        <v>2961</v>
      </c>
      <c r="U471" s="426" t="s">
        <v>3340</v>
      </c>
      <c r="V471" s="426" t="s">
        <v>2769</v>
      </c>
      <c r="W471" s="426" t="s">
        <v>3366</v>
      </c>
      <c r="X471" s="426" t="s">
        <v>2813</v>
      </c>
      <c r="Y471" s="426" t="s">
        <v>2646</v>
      </c>
      <c r="Z471" s="426" t="s">
        <v>3369</v>
      </c>
      <c r="AA471" s="426" t="s">
        <v>2646</v>
      </c>
      <c r="AB471" s="426" t="s">
        <v>2646</v>
      </c>
      <c r="AC471" s="426" t="s">
        <v>2646</v>
      </c>
      <c r="AD471" s="426" t="s">
        <v>2646</v>
      </c>
      <c r="AE471" s="426" t="s">
        <v>2646</v>
      </c>
      <c r="AF471" s="426" t="s">
        <v>2646</v>
      </c>
      <c r="AG471" s="426" t="s">
        <v>2646</v>
      </c>
      <c r="AH471" s="426" t="s">
        <v>2646</v>
      </c>
      <c r="AI471" s="426" t="s">
        <v>2646</v>
      </c>
      <c r="AJ471" s="68" t="s">
        <v>2646</v>
      </c>
    </row>
    <row r="472" spans="1:36" hidden="1">
      <c r="A472" s="392" t="s">
        <v>1785</v>
      </c>
      <c r="B472" s="427" t="s">
        <v>2650</v>
      </c>
      <c r="C472" s="433" t="s">
        <v>4117</v>
      </c>
      <c r="D472" s="433" t="s">
        <v>3364</v>
      </c>
      <c r="E472" s="433" t="s">
        <v>2801</v>
      </c>
      <c r="F472" s="433" t="s">
        <v>3046</v>
      </c>
      <c r="G472" s="433" t="s">
        <v>2761</v>
      </c>
      <c r="H472" s="433" t="s">
        <v>2676</v>
      </c>
      <c r="I472" s="433" t="s">
        <v>2994</v>
      </c>
      <c r="J472" s="433" t="s">
        <v>2667</v>
      </c>
      <c r="K472" s="433" t="s">
        <v>2896</v>
      </c>
      <c r="L472" s="433" t="s">
        <v>2680</v>
      </c>
      <c r="M472" s="433" t="s">
        <v>2654</v>
      </c>
      <c r="N472" s="433" t="s">
        <v>2654</v>
      </c>
      <c r="O472" s="433" t="s">
        <v>4302</v>
      </c>
      <c r="P472" s="433" t="s">
        <v>4093</v>
      </c>
      <c r="Q472" s="431"/>
      <c r="R472" s="431"/>
      <c r="S472" s="426" t="s">
        <v>2768</v>
      </c>
      <c r="T472" s="426" t="s">
        <v>3370</v>
      </c>
      <c r="U472" s="426" t="s">
        <v>3340</v>
      </c>
      <c r="V472" s="426" t="s">
        <v>2743</v>
      </c>
      <c r="W472" s="426" t="s">
        <v>3366</v>
      </c>
      <c r="X472" s="426" t="s">
        <v>2813</v>
      </c>
      <c r="Y472" s="426" t="s">
        <v>2646</v>
      </c>
      <c r="Z472" s="426" t="s">
        <v>3369</v>
      </c>
      <c r="AA472" s="426" t="s">
        <v>2646</v>
      </c>
      <c r="AB472" s="426" t="s">
        <v>2646</v>
      </c>
      <c r="AC472" s="426" t="s">
        <v>2646</v>
      </c>
      <c r="AD472" s="426" t="s">
        <v>2646</v>
      </c>
      <c r="AE472" s="426" t="s">
        <v>2646</v>
      </c>
      <c r="AF472" s="426" t="s">
        <v>2646</v>
      </c>
      <c r="AG472" s="426" t="s">
        <v>2646</v>
      </c>
      <c r="AH472" s="426" t="s">
        <v>2646</v>
      </c>
      <c r="AI472" s="426" t="s">
        <v>2646</v>
      </c>
      <c r="AJ472" s="68" t="s">
        <v>2646</v>
      </c>
    </row>
    <row r="473" spans="1:36" hidden="1">
      <c r="A473" s="392" t="s">
        <v>1786</v>
      </c>
      <c r="B473" s="427" t="s">
        <v>2651</v>
      </c>
      <c r="C473" s="433" t="s">
        <v>4058</v>
      </c>
      <c r="D473" s="433" t="s">
        <v>3710</v>
      </c>
      <c r="E473" s="433" t="s">
        <v>2877</v>
      </c>
      <c r="F473" s="433" t="s">
        <v>2869</v>
      </c>
      <c r="G473" s="433" t="s">
        <v>2916</v>
      </c>
      <c r="H473" s="433" t="s">
        <v>3046</v>
      </c>
      <c r="I473" s="433" t="s">
        <v>2731</v>
      </c>
      <c r="J473" s="433" t="s">
        <v>3007</v>
      </c>
      <c r="K473" s="433" t="s">
        <v>2807</v>
      </c>
      <c r="L473" s="433" t="s">
        <v>2708</v>
      </c>
      <c r="M473" s="433" t="s">
        <v>2654</v>
      </c>
      <c r="N473" s="433" t="s">
        <v>2654</v>
      </c>
      <c r="O473" s="433" t="s">
        <v>4031</v>
      </c>
      <c r="P473" s="433" t="s">
        <v>4231</v>
      </c>
      <c r="Q473" s="431"/>
      <c r="R473" s="431"/>
      <c r="S473" s="426" t="s">
        <v>2796</v>
      </c>
      <c r="T473" s="426" t="s">
        <v>3114</v>
      </c>
      <c r="U473" s="426" t="s">
        <v>3340</v>
      </c>
      <c r="V473" s="426" t="s">
        <v>3062</v>
      </c>
      <c r="W473" s="426" t="s">
        <v>3366</v>
      </c>
      <c r="X473" s="426" t="s">
        <v>2813</v>
      </c>
      <c r="Y473" s="426" t="s">
        <v>2646</v>
      </c>
      <c r="Z473" s="426" t="s">
        <v>3372</v>
      </c>
      <c r="AA473" s="426" t="s">
        <v>2646</v>
      </c>
      <c r="AB473" s="426" t="s">
        <v>2646</v>
      </c>
      <c r="AC473" s="426" t="s">
        <v>2646</v>
      </c>
      <c r="AD473" s="426" t="s">
        <v>2646</v>
      </c>
      <c r="AE473" s="426" t="s">
        <v>2646</v>
      </c>
      <c r="AF473" s="426" t="s">
        <v>2646</v>
      </c>
      <c r="AG473" s="426" t="s">
        <v>2646</v>
      </c>
      <c r="AH473" s="426" t="s">
        <v>2646</v>
      </c>
      <c r="AI473" s="426" t="s">
        <v>2646</v>
      </c>
      <c r="AJ473" s="68" t="s">
        <v>2646</v>
      </c>
    </row>
    <row r="474" spans="1:36">
      <c r="A474" s="392" t="s">
        <v>1786</v>
      </c>
      <c r="B474" s="427" t="s">
        <v>48</v>
      </c>
      <c r="C474" s="433" t="s">
        <v>4303</v>
      </c>
      <c r="D474" s="433" t="s">
        <v>3867</v>
      </c>
      <c r="E474" s="433" t="s">
        <v>4291</v>
      </c>
      <c r="F474" s="433" t="s">
        <v>4244</v>
      </c>
      <c r="G474" s="433" t="s">
        <v>2819</v>
      </c>
      <c r="H474" s="433" t="s">
        <v>3857</v>
      </c>
      <c r="I474" s="433" t="s">
        <v>4304</v>
      </c>
      <c r="J474" s="433" t="s">
        <v>2723</v>
      </c>
      <c r="K474" s="433" t="s">
        <v>2687</v>
      </c>
      <c r="L474" s="433" t="s">
        <v>3058</v>
      </c>
      <c r="M474" s="433" t="s">
        <v>2683</v>
      </c>
      <c r="N474" s="433" t="s">
        <v>2654</v>
      </c>
      <c r="O474" s="433" t="s">
        <v>3961</v>
      </c>
      <c r="P474" s="433" t="s">
        <v>2983</v>
      </c>
      <c r="Q474" s="433" t="s">
        <v>2654</v>
      </c>
      <c r="R474" s="433" t="s">
        <v>2654</v>
      </c>
      <c r="S474" s="426"/>
      <c r="T474" s="426"/>
      <c r="U474" s="426"/>
      <c r="V474" s="426"/>
      <c r="W474" s="426"/>
      <c r="X474" s="426"/>
      <c r="Y474" s="426"/>
      <c r="Z474" s="426"/>
      <c r="AA474" s="426"/>
      <c r="AB474" s="426"/>
      <c r="AC474" s="426"/>
      <c r="AD474" s="426"/>
      <c r="AE474" s="426"/>
      <c r="AF474" s="426"/>
      <c r="AG474" s="426"/>
      <c r="AH474" s="426"/>
      <c r="AI474" s="426"/>
    </row>
    <row r="475" spans="1:36" hidden="1">
      <c r="A475" s="392" t="s">
        <v>1787</v>
      </c>
      <c r="B475" s="427" t="s">
        <v>2647</v>
      </c>
      <c r="C475" s="433" t="s">
        <v>3756</v>
      </c>
      <c r="D475" s="433" t="s">
        <v>3710</v>
      </c>
      <c r="E475" s="433" t="s">
        <v>2731</v>
      </c>
      <c r="F475" s="433" t="s">
        <v>2714</v>
      </c>
      <c r="G475" s="433" t="s">
        <v>2825</v>
      </c>
      <c r="H475" s="433" t="s">
        <v>2870</v>
      </c>
      <c r="I475" s="433" t="s">
        <v>2656</v>
      </c>
      <c r="J475" s="433" t="s">
        <v>2654</v>
      </c>
      <c r="K475" s="433" t="s">
        <v>2654</v>
      </c>
      <c r="L475" s="433" t="s">
        <v>2654</v>
      </c>
      <c r="M475" s="433" t="s">
        <v>2654</v>
      </c>
      <c r="N475" s="433" t="s">
        <v>2654</v>
      </c>
      <c r="O475" s="433" t="s">
        <v>3700</v>
      </c>
      <c r="P475" s="433" t="s">
        <v>4078</v>
      </c>
      <c r="Q475" s="431"/>
      <c r="R475" s="431"/>
      <c r="S475" s="426" t="s">
        <v>2655</v>
      </c>
      <c r="T475" s="426" t="s">
        <v>2743</v>
      </c>
      <c r="U475" s="426" t="s">
        <v>3374</v>
      </c>
      <c r="V475" s="426" t="s">
        <v>2802</v>
      </c>
      <c r="W475" s="426" t="s">
        <v>3375</v>
      </c>
      <c r="X475" s="426" t="s">
        <v>2662</v>
      </c>
      <c r="Y475" s="426" t="s">
        <v>2975</v>
      </c>
      <c r="Z475" s="426" t="s">
        <v>2646</v>
      </c>
      <c r="AA475" s="426" t="s">
        <v>2646</v>
      </c>
      <c r="AB475" s="426" t="s">
        <v>2646</v>
      </c>
      <c r="AC475" s="426" t="s">
        <v>2646</v>
      </c>
      <c r="AD475" s="426" t="s">
        <v>2646</v>
      </c>
      <c r="AE475" s="426" t="s">
        <v>2646</v>
      </c>
      <c r="AF475" s="426" t="s">
        <v>2646</v>
      </c>
      <c r="AG475" s="426" t="s">
        <v>2646</v>
      </c>
      <c r="AH475" s="426" t="s">
        <v>2646</v>
      </c>
      <c r="AI475" s="426" t="s">
        <v>2646</v>
      </c>
      <c r="AJ475" s="68" t="s">
        <v>2646</v>
      </c>
    </row>
    <row r="476" spans="1:36" hidden="1">
      <c r="A476" s="392" t="s">
        <v>1788</v>
      </c>
      <c r="B476" s="427" t="s">
        <v>2648</v>
      </c>
      <c r="C476" s="433" t="s">
        <v>3724</v>
      </c>
      <c r="D476" s="433" t="s">
        <v>3710</v>
      </c>
      <c r="E476" s="433" t="s">
        <v>2970</v>
      </c>
      <c r="F476" s="433" t="s">
        <v>2687</v>
      </c>
      <c r="G476" s="433" t="s">
        <v>2899</v>
      </c>
      <c r="H476" s="433" t="s">
        <v>2807</v>
      </c>
      <c r="I476" s="433" t="s">
        <v>2708</v>
      </c>
      <c r="J476" s="433" t="s">
        <v>2654</v>
      </c>
      <c r="K476" s="433" t="s">
        <v>2654</v>
      </c>
      <c r="L476" s="433" t="s">
        <v>2654</v>
      </c>
      <c r="M476" s="433" t="s">
        <v>2654</v>
      </c>
      <c r="N476" s="433" t="s">
        <v>2654</v>
      </c>
      <c r="O476" s="433" t="s">
        <v>3526</v>
      </c>
      <c r="P476" s="433" t="s">
        <v>4093</v>
      </c>
      <c r="Q476" s="431"/>
      <c r="R476" s="431"/>
      <c r="S476" s="426" t="s">
        <v>2658</v>
      </c>
      <c r="T476" s="426" t="s">
        <v>3376</v>
      </c>
      <c r="U476" s="426" t="s">
        <v>3066</v>
      </c>
      <c r="V476" s="426" t="s">
        <v>3377</v>
      </c>
      <c r="W476" s="426" t="s">
        <v>3375</v>
      </c>
      <c r="X476" s="426" t="s">
        <v>2662</v>
      </c>
      <c r="Y476" s="426" t="s">
        <v>2975</v>
      </c>
      <c r="Z476" s="426" t="s">
        <v>2646</v>
      </c>
      <c r="AA476" s="426" t="s">
        <v>2646</v>
      </c>
      <c r="AB476" s="426" t="s">
        <v>2646</v>
      </c>
      <c r="AC476" s="426" t="s">
        <v>2646</v>
      </c>
      <c r="AD476" s="426" t="s">
        <v>2646</v>
      </c>
      <c r="AE476" s="426" t="s">
        <v>2646</v>
      </c>
      <c r="AF476" s="426" t="s">
        <v>2646</v>
      </c>
      <c r="AG476" s="426" t="s">
        <v>2646</v>
      </c>
      <c r="AH476" s="426" t="s">
        <v>2646</v>
      </c>
      <c r="AI476" s="426" t="s">
        <v>2646</v>
      </c>
      <c r="AJ476" s="68" t="s">
        <v>2646</v>
      </c>
    </row>
    <row r="477" spans="1:36" hidden="1">
      <c r="A477" s="392" t="s">
        <v>1789</v>
      </c>
      <c r="B477" s="427" t="s">
        <v>2649</v>
      </c>
      <c r="C477" s="433" t="s">
        <v>4305</v>
      </c>
      <c r="D477" s="433" t="s">
        <v>3364</v>
      </c>
      <c r="E477" s="433" t="s">
        <v>3047</v>
      </c>
      <c r="F477" s="433" t="s">
        <v>2835</v>
      </c>
      <c r="G477" s="433" t="s">
        <v>2849</v>
      </c>
      <c r="H477" s="433" t="s">
        <v>2667</v>
      </c>
      <c r="I477" s="433" t="s">
        <v>2746</v>
      </c>
      <c r="J477" s="433" t="s">
        <v>2654</v>
      </c>
      <c r="K477" s="433" t="s">
        <v>2654</v>
      </c>
      <c r="L477" s="433" t="s">
        <v>2654</v>
      </c>
      <c r="M477" s="433" t="s">
        <v>2654</v>
      </c>
      <c r="N477" s="433" t="s">
        <v>2654</v>
      </c>
      <c r="O477" s="433" t="s">
        <v>4306</v>
      </c>
      <c r="P477" s="433" t="s">
        <v>4078</v>
      </c>
      <c r="Q477" s="431"/>
      <c r="R477" s="431"/>
      <c r="S477" s="426" t="s">
        <v>2655</v>
      </c>
      <c r="T477" s="426" t="s">
        <v>2762</v>
      </c>
      <c r="U477" s="426" t="s">
        <v>3066</v>
      </c>
      <c r="V477" s="426" t="s">
        <v>2936</v>
      </c>
      <c r="W477" s="426" t="s">
        <v>3375</v>
      </c>
      <c r="X477" s="426" t="s">
        <v>2662</v>
      </c>
      <c r="Y477" s="426" t="s">
        <v>2975</v>
      </c>
      <c r="Z477" s="426" t="s">
        <v>2646</v>
      </c>
      <c r="AA477" s="426" t="s">
        <v>2646</v>
      </c>
      <c r="AB477" s="426" t="s">
        <v>2646</v>
      </c>
      <c r="AC477" s="426" t="s">
        <v>2646</v>
      </c>
      <c r="AD477" s="426" t="s">
        <v>2646</v>
      </c>
      <c r="AE477" s="426" t="s">
        <v>2646</v>
      </c>
      <c r="AF477" s="426" t="s">
        <v>2646</v>
      </c>
      <c r="AG477" s="426" t="s">
        <v>2646</v>
      </c>
      <c r="AH477" s="426" t="s">
        <v>2646</v>
      </c>
      <c r="AI477" s="426" t="s">
        <v>2646</v>
      </c>
      <c r="AJ477" s="68" t="s">
        <v>2646</v>
      </c>
    </row>
    <row r="478" spans="1:36" hidden="1">
      <c r="A478" s="392" t="s">
        <v>1790</v>
      </c>
      <c r="B478" s="427" t="s">
        <v>2650</v>
      </c>
      <c r="C478" s="433" t="s">
        <v>3940</v>
      </c>
      <c r="D478" s="433" t="s">
        <v>3872</v>
      </c>
      <c r="E478" s="433" t="s">
        <v>2753</v>
      </c>
      <c r="F478" s="433" t="s">
        <v>2767</v>
      </c>
      <c r="G478" s="433" t="s">
        <v>2970</v>
      </c>
      <c r="H478" s="433" t="s">
        <v>2732</v>
      </c>
      <c r="I478" s="433" t="s">
        <v>2678</v>
      </c>
      <c r="J478" s="433" t="s">
        <v>2654</v>
      </c>
      <c r="K478" s="433" t="s">
        <v>2654</v>
      </c>
      <c r="L478" s="433" t="s">
        <v>2654</v>
      </c>
      <c r="M478" s="433" t="s">
        <v>2654</v>
      </c>
      <c r="N478" s="433" t="s">
        <v>2654</v>
      </c>
      <c r="O478" s="433" t="s">
        <v>3880</v>
      </c>
      <c r="P478" s="433" t="s">
        <v>4093</v>
      </c>
      <c r="Q478" s="431"/>
      <c r="R478" s="431"/>
      <c r="S478" s="426" t="s">
        <v>2660</v>
      </c>
      <c r="T478" s="426" t="s">
        <v>2769</v>
      </c>
      <c r="U478" s="426" t="s">
        <v>3378</v>
      </c>
      <c r="V478" s="426" t="s">
        <v>2743</v>
      </c>
      <c r="W478" s="426" t="s">
        <v>3375</v>
      </c>
      <c r="X478" s="426" t="s">
        <v>2662</v>
      </c>
      <c r="Y478" s="426" t="s">
        <v>2975</v>
      </c>
      <c r="Z478" s="426" t="s">
        <v>2646</v>
      </c>
      <c r="AA478" s="426" t="s">
        <v>2646</v>
      </c>
      <c r="AB478" s="426" t="s">
        <v>2646</v>
      </c>
      <c r="AC478" s="426" t="s">
        <v>2646</v>
      </c>
      <c r="AD478" s="426" t="s">
        <v>2646</v>
      </c>
      <c r="AE478" s="426" t="s">
        <v>2646</v>
      </c>
      <c r="AF478" s="426" t="s">
        <v>2646</v>
      </c>
      <c r="AG478" s="426" t="s">
        <v>2646</v>
      </c>
      <c r="AH478" s="426" t="s">
        <v>2646</v>
      </c>
      <c r="AI478" s="426" t="s">
        <v>2646</v>
      </c>
      <c r="AJ478" s="68" t="s">
        <v>2646</v>
      </c>
    </row>
    <row r="479" spans="1:36" hidden="1">
      <c r="A479" s="392" t="s">
        <v>1791</v>
      </c>
      <c r="B479" s="427" t="s">
        <v>2651</v>
      </c>
      <c r="C479" s="433" t="s">
        <v>4307</v>
      </c>
      <c r="D479" s="433" t="s">
        <v>3872</v>
      </c>
      <c r="E479" s="433" t="s">
        <v>3047</v>
      </c>
      <c r="F479" s="433" t="s">
        <v>2731</v>
      </c>
      <c r="G479" s="433" t="s">
        <v>2723</v>
      </c>
      <c r="H479" s="433" t="s">
        <v>3007</v>
      </c>
      <c r="I479" s="433" t="s">
        <v>2896</v>
      </c>
      <c r="J479" s="433" t="s">
        <v>2680</v>
      </c>
      <c r="K479" s="433" t="s">
        <v>2654</v>
      </c>
      <c r="L479" s="433" t="s">
        <v>2654</v>
      </c>
      <c r="M479" s="433" t="s">
        <v>2654</v>
      </c>
      <c r="N479" s="433" t="s">
        <v>2654</v>
      </c>
      <c r="O479" s="433" t="s">
        <v>4227</v>
      </c>
      <c r="P479" s="433" t="s">
        <v>4308</v>
      </c>
      <c r="Q479" s="431"/>
      <c r="R479" s="431"/>
      <c r="S479" s="426" t="s">
        <v>2778</v>
      </c>
      <c r="T479" s="426" t="s">
        <v>3379</v>
      </c>
      <c r="U479" s="426" t="s">
        <v>3062</v>
      </c>
      <c r="V479" s="426" t="s">
        <v>2810</v>
      </c>
      <c r="W479" s="426" t="s">
        <v>3375</v>
      </c>
      <c r="X479" s="426" t="s">
        <v>2662</v>
      </c>
      <c r="Y479" s="426" t="s">
        <v>2975</v>
      </c>
      <c r="Z479" s="426" t="s">
        <v>2646</v>
      </c>
      <c r="AA479" s="426" t="s">
        <v>2646</v>
      </c>
      <c r="AB479" s="426" t="s">
        <v>2646</v>
      </c>
      <c r="AC479" s="426" t="s">
        <v>2646</v>
      </c>
      <c r="AD479" s="426" t="s">
        <v>2646</v>
      </c>
      <c r="AE479" s="426" t="s">
        <v>2646</v>
      </c>
      <c r="AF479" s="426" t="s">
        <v>2646</v>
      </c>
      <c r="AG479" s="426" t="s">
        <v>2646</v>
      </c>
      <c r="AH479" s="426" t="s">
        <v>2646</v>
      </c>
      <c r="AI479" s="426" t="s">
        <v>2646</v>
      </c>
      <c r="AJ479" s="68" t="s">
        <v>2646</v>
      </c>
    </row>
    <row r="480" spans="1:36">
      <c r="A480" s="392" t="s">
        <v>1791</v>
      </c>
      <c r="B480" s="427" t="s">
        <v>48</v>
      </c>
      <c r="C480" s="433" t="s">
        <v>4309</v>
      </c>
      <c r="D480" s="433" t="s">
        <v>4007</v>
      </c>
      <c r="E480" s="433" t="s">
        <v>4310</v>
      </c>
      <c r="F480" s="433" t="s">
        <v>3243</v>
      </c>
      <c r="G480" s="433" t="s">
        <v>3391</v>
      </c>
      <c r="H480" s="433" t="s">
        <v>3526</v>
      </c>
      <c r="I480" s="433" t="s">
        <v>3228</v>
      </c>
      <c r="J480" s="433" t="s">
        <v>2683</v>
      </c>
      <c r="K480" s="433" t="s">
        <v>2654</v>
      </c>
      <c r="L480" s="433" t="s">
        <v>2654</v>
      </c>
      <c r="M480" s="433" t="s">
        <v>2654</v>
      </c>
      <c r="N480" s="433" t="s">
        <v>2654</v>
      </c>
      <c r="O480" s="433" t="s">
        <v>3855</v>
      </c>
      <c r="P480" s="433" t="s">
        <v>2831</v>
      </c>
      <c r="Q480" s="433" t="s">
        <v>2654</v>
      </c>
      <c r="R480" s="433" t="s">
        <v>2654</v>
      </c>
      <c r="S480" s="426"/>
      <c r="T480" s="426"/>
      <c r="U480" s="426"/>
      <c r="V480" s="426"/>
      <c r="W480" s="426"/>
      <c r="X480" s="426"/>
      <c r="Y480" s="426"/>
      <c r="Z480" s="426"/>
      <c r="AA480" s="426"/>
      <c r="AB480" s="426"/>
      <c r="AC480" s="426"/>
      <c r="AD480" s="426"/>
      <c r="AE480" s="426"/>
      <c r="AF480" s="426"/>
      <c r="AG480" s="426"/>
      <c r="AH480" s="426"/>
      <c r="AI480" s="426"/>
    </row>
    <row r="481" spans="1:36" hidden="1">
      <c r="A481" s="392" t="s">
        <v>1792</v>
      </c>
      <c r="B481" s="427" t="s">
        <v>2647</v>
      </c>
      <c r="C481" s="433" t="s">
        <v>3659</v>
      </c>
      <c r="D481" s="433" t="s">
        <v>3710</v>
      </c>
      <c r="E481" s="433" t="s">
        <v>2896</v>
      </c>
      <c r="F481" s="433" t="s">
        <v>2680</v>
      </c>
      <c r="G481" s="433" t="s">
        <v>2654</v>
      </c>
      <c r="H481" s="433" t="s">
        <v>2654</v>
      </c>
      <c r="I481" s="433" t="s">
        <v>2654</v>
      </c>
      <c r="J481" s="433" t="s">
        <v>2654</v>
      </c>
      <c r="K481" s="433" t="s">
        <v>2654</v>
      </c>
      <c r="L481" s="433" t="s">
        <v>2654</v>
      </c>
      <c r="M481" s="433" t="s">
        <v>2654</v>
      </c>
      <c r="N481" s="433" t="s">
        <v>2654</v>
      </c>
      <c r="O481" s="433" t="s">
        <v>2681</v>
      </c>
      <c r="P481" s="433" t="s">
        <v>4059</v>
      </c>
      <c r="Q481" s="431"/>
      <c r="R481" s="431"/>
      <c r="S481" s="426" t="s">
        <v>2673</v>
      </c>
      <c r="T481" s="426" t="s">
        <v>2763</v>
      </c>
      <c r="U481" s="426" t="s">
        <v>3231</v>
      </c>
      <c r="V481" s="426" t="s">
        <v>3231</v>
      </c>
      <c r="W481" s="426" t="s">
        <v>3375</v>
      </c>
      <c r="X481" s="426" t="s">
        <v>2671</v>
      </c>
      <c r="Y481" s="426" t="s">
        <v>3383</v>
      </c>
      <c r="Z481" s="426" t="s">
        <v>2646</v>
      </c>
      <c r="AA481" s="426" t="s">
        <v>2646</v>
      </c>
      <c r="AB481" s="426" t="s">
        <v>2646</v>
      </c>
      <c r="AC481" s="426" t="s">
        <v>2646</v>
      </c>
      <c r="AD481" s="426" t="s">
        <v>2646</v>
      </c>
      <c r="AE481" s="426" t="s">
        <v>2646</v>
      </c>
      <c r="AF481" s="426" t="s">
        <v>2646</v>
      </c>
      <c r="AG481" s="426" t="s">
        <v>2646</v>
      </c>
      <c r="AH481" s="426" t="s">
        <v>2646</v>
      </c>
      <c r="AI481" s="426" t="s">
        <v>2646</v>
      </c>
      <c r="AJ481" s="68" t="s">
        <v>2646</v>
      </c>
    </row>
    <row r="482" spans="1:36" hidden="1">
      <c r="A482" s="392" t="s">
        <v>1793</v>
      </c>
      <c r="B482" s="427" t="s">
        <v>2648</v>
      </c>
      <c r="C482" s="433" t="s">
        <v>3943</v>
      </c>
      <c r="D482" s="433" t="s">
        <v>3710</v>
      </c>
      <c r="E482" s="433" t="s">
        <v>2928</v>
      </c>
      <c r="F482" s="433" t="s">
        <v>2687</v>
      </c>
      <c r="G482" s="433" t="s">
        <v>2896</v>
      </c>
      <c r="H482" s="433" t="s">
        <v>2708</v>
      </c>
      <c r="I482" s="433" t="s">
        <v>2654</v>
      </c>
      <c r="J482" s="433" t="s">
        <v>2654</v>
      </c>
      <c r="K482" s="433" t="s">
        <v>2654</v>
      </c>
      <c r="L482" s="433" t="s">
        <v>2654</v>
      </c>
      <c r="M482" s="433" t="s">
        <v>2654</v>
      </c>
      <c r="N482" s="433" t="s">
        <v>2654</v>
      </c>
      <c r="O482" s="433" t="s">
        <v>3457</v>
      </c>
      <c r="P482" s="433" t="s">
        <v>4311</v>
      </c>
      <c r="Q482" s="431"/>
      <c r="R482" s="431"/>
      <c r="S482" s="426" t="s">
        <v>3187</v>
      </c>
      <c r="T482" s="426" t="s">
        <v>3307</v>
      </c>
      <c r="U482" s="426" t="s">
        <v>3311</v>
      </c>
      <c r="V482" s="426" t="s">
        <v>3311</v>
      </c>
      <c r="W482" s="426" t="s">
        <v>3375</v>
      </c>
      <c r="X482" s="426" t="s">
        <v>2671</v>
      </c>
      <c r="Y482" s="426" t="s">
        <v>3383</v>
      </c>
      <c r="Z482" s="426" t="s">
        <v>2646</v>
      </c>
      <c r="AA482" s="426" t="s">
        <v>2646</v>
      </c>
      <c r="AB482" s="426" t="s">
        <v>2646</v>
      </c>
      <c r="AC482" s="426" t="s">
        <v>2646</v>
      </c>
      <c r="AD482" s="426" t="s">
        <v>2646</v>
      </c>
      <c r="AE482" s="426" t="s">
        <v>2646</v>
      </c>
      <c r="AF482" s="426" t="s">
        <v>2646</v>
      </c>
      <c r="AG482" s="426" t="s">
        <v>2646</v>
      </c>
      <c r="AH482" s="426" t="s">
        <v>2646</v>
      </c>
      <c r="AI482" s="426" t="s">
        <v>2646</v>
      </c>
      <c r="AJ482" s="68" t="s">
        <v>2646</v>
      </c>
    </row>
    <row r="483" spans="1:36" hidden="1">
      <c r="A483" s="392" t="s">
        <v>1794</v>
      </c>
      <c r="B483" s="427" t="s">
        <v>2649</v>
      </c>
      <c r="C483" s="433" t="s">
        <v>3865</v>
      </c>
      <c r="D483" s="433" t="s">
        <v>3860</v>
      </c>
      <c r="E483" s="433" t="s">
        <v>2970</v>
      </c>
      <c r="F483" s="433" t="s">
        <v>2680</v>
      </c>
      <c r="G483" s="433" t="s">
        <v>2654</v>
      </c>
      <c r="H483" s="433" t="s">
        <v>2654</v>
      </c>
      <c r="I483" s="433" t="s">
        <v>2654</v>
      </c>
      <c r="J483" s="433" t="s">
        <v>2654</v>
      </c>
      <c r="K483" s="433" t="s">
        <v>2654</v>
      </c>
      <c r="L483" s="433" t="s">
        <v>2654</v>
      </c>
      <c r="M483" s="433" t="s">
        <v>2654</v>
      </c>
      <c r="N483" s="433" t="s">
        <v>2654</v>
      </c>
      <c r="O483" s="433" t="s">
        <v>2683</v>
      </c>
      <c r="P483" s="433" t="s">
        <v>4087</v>
      </c>
      <c r="Q483" s="431"/>
      <c r="R483" s="431"/>
      <c r="S483" s="426" t="s">
        <v>2660</v>
      </c>
      <c r="T483" s="426" t="s">
        <v>3111</v>
      </c>
      <c r="U483" s="426" t="s">
        <v>3345</v>
      </c>
      <c r="V483" s="426" t="s">
        <v>3345</v>
      </c>
      <c r="W483" s="426" t="s">
        <v>3375</v>
      </c>
      <c r="X483" s="426" t="s">
        <v>2671</v>
      </c>
      <c r="Y483" s="426" t="s">
        <v>3383</v>
      </c>
      <c r="Z483" s="426" t="s">
        <v>2646</v>
      </c>
      <c r="AA483" s="426" t="s">
        <v>2646</v>
      </c>
      <c r="AB483" s="426" t="s">
        <v>2646</v>
      </c>
      <c r="AC483" s="426" t="s">
        <v>2646</v>
      </c>
      <c r="AD483" s="426" t="s">
        <v>2646</v>
      </c>
      <c r="AE483" s="426" t="s">
        <v>2646</v>
      </c>
      <c r="AF483" s="426" t="s">
        <v>2646</v>
      </c>
      <c r="AG483" s="426" t="s">
        <v>2646</v>
      </c>
      <c r="AH483" s="426" t="s">
        <v>2646</v>
      </c>
      <c r="AI483" s="426" t="s">
        <v>2646</v>
      </c>
      <c r="AJ483" s="68" t="s">
        <v>2646</v>
      </c>
    </row>
    <row r="484" spans="1:36" hidden="1">
      <c r="A484" s="392" t="s">
        <v>1795</v>
      </c>
      <c r="B484" s="427" t="s">
        <v>2650</v>
      </c>
      <c r="C484" s="433" t="s">
        <v>3750</v>
      </c>
      <c r="D484" s="433" t="s">
        <v>3851</v>
      </c>
      <c r="E484" s="433" t="s">
        <v>2667</v>
      </c>
      <c r="F484" s="433" t="s">
        <v>2708</v>
      </c>
      <c r="G484" s="433" t="s">
        <v>2654</v>
      </c>
      <c r="H484" s="433" t="s">
        <v>2654</v>
      </c>
      <c r="I484" s="433" t="s">
        <v>2654</v>
      </c>
      <c r="J484" s="433" t="s">
        <v>2654</v>
      </c>
      <c r="K484" s="433" t="s">
        <v>2654</v>
      </c>
      <c r="L484" s="433" t="s">
        <v>2654</v>
      </c>
      <c r="M484" s="433" t="s">
        <v>2654</v>
      </c>
      <c r="N484" s="433" t="s">
        <v>2654</v>
      </c>
      <c r="O484" s="433" t="s">
        <v>2985</v>
      </c>
      <c r="P484" s="433" t="s">
        <v>4093</v>
      </c>
      <c r="Q484" s="431"/>
      <c r="R484" s="431"/>
      <c r="S484" s="426" t="s">
        <v>2669</v>
      </c>
      <c r="T484" s="426" t="s">
        <v>3225</v>
      </c>
      <c r="U484" s="426" t="s">
        <v>3225</v>
      </c>
      <c r="V484" s="426" t="s">
        <v>3225</v>
      </c>
      <c r="W484" s="426" t="s">
        <v>3375</v>
      </c>
      <c r="X484" s="426" t="s">
        <v>2671</v>
      </c>
      <c r="Y484" s="426" t="s">
        <v>3383</v>
      </c>
      <c r="Z484" s="426" t="s">
        <v>2646</v>
      </c>
      <c r="AA484" s="426" t="s">
        <v>2646</v>
      </c>
      <c r="AB484" s="426" t="s">
        <v>2646</v>
      </c>
      <c r="AC484" s="426" t="s">
        <v>2646</v>
      </c>
      <c r="AD484" s="426" t="s">
        <v>2646</v>
      </c>
      <c r="AE484" s="426" t="s">
        <v>2646</v>
      </c>
      <c r="AF484" s="426" t="s">
        <v>2646</v>
      </c>
      <c r="AG484" s="426" t="s">
        <v>2646</v>
      </c>
      <c r="AH484" s="426" t="s">
        <v>2646</v>
      </c>
      <c r="AI484" s="426" t="s">
        <v>2646</v>
      </c>
      <c r="AJ484" s="68" t="s">
        <v>2646</v>
      </c>
    </row>
    <row r="485" spans="1:36" hidden="1">
      <c r="A485" s="392" t="s">
        <v>1796</v>
      </c>
      <c r="B485" s="427" t="s">
        <v>2651</v>
      </c>
      <c r="C485" s="433" t="s">
        <v>3793</v>
      </c>
      <c r="D485" s="433" t="s">
        <v>3851</v>
      </c>
      <c r="E485" s="433" t="s">
        <v>2677</v>
      </c>
      <c r="F485" s="433" t="s">
        <v>2708</v>
      </c>
      <c r="G485" s="433" t="s">
        <v>2654</v>
      </c>
      <c r="H485" s="433" t="s">
        <v>2654</v>
      </c>
      <c r="I485" s="433" t="s">
        <v>2654</v>
      </c>
      <c r="J485" s="433" t="s">
        <v>2654</v>
      </c>
      <c r="K485" s="433" t="s">
        <v>2654</v>
      </c>
      <c r="L485" s="433" t="s">
        <v>2654</v>
      </c>
      <c r="M485" s="433" t="s">
        <v>2654</v>
      </c>
      <c r="N485" s="433" t="s">
        <v>2654</v>
      </c>
      <c r="O485" s="433" t="s">
        <v>2683</v>
      </c>
      <c r="P485" s="433" t="s">
        <v>4093</v>
      </c>
      <c r="Q485" s="431"/>
      <c r="R485" s="431"/>
      <c r="S485" s="426" t="s">
        <v>2778</v>
      </c>
      <c r="T485" s="426" t="s">
        <v>2804</v>
      </c>
      <c r="U485" s="426" t="s">
        <v>3064</v>
      </c>
      <c r="V485" s="426" t="s">
        <v>3064</v>
      </c>
      <c r="W485" s="426" t="s">
        <v>3375</v>
      </c>
      <c r="X485" s="426" t="s">
        <v>2671</v>
      </c>
      <c r="Y485" s="426" t="s">
        <v>3383</v>
      </c>
      <c r="Z485" s="426" t="s">
        <v>2646</v>
      </c>
      <c r="AA485" s="426" t="s">
        <v>2646</v>
      </c>
      <c r="AB485" s="426" t="s">
        <v>2646</v>
      </c>
      <c r="AC485" s="426" t="s">
        <v>2646</v>
      </c>
      <c r="AD485" s="426" t="s">
        <v>2646</v>
      </c>
      <c r="AE485" s="426" t="s">
        <v>2646</v>
      </c>
      <c r="AF485" s="426" t="s">
        <v>2646</v>
      </c>
      <c r="AG485" s="426" t="s">
        <v>2646</v>
      </c>
      <c r="AH485" s="426" t="s">
        <v>2646</v>
      </c>
      <c r="AI485" s="426" t="s">
        <v>2646</v>
      </c>
      <c r="AJ485" s="68" t="s">
        <v>2646</v>
      </c>
    </row>
    <row r="486" spans="1:36">
      <c r="A486" s="392" t="s">
        <v>1796</v>
      </c>
      <c r="B486" s="427" t="s">
        <v>48</v>
      </c>
      <c r="C486" s="433" t="s">
        <v>4312</v>
      </c>
      <c r="D486" s="433" t="s">
        <v>4030</v>
      </c>
      <c r="E486" s="433" t="s">
        <v>4258</v>
      </c>
      <c r="F486" s="433" t="s">
        <v>3555</v>
      </c>
      <c r="G486" s="433" t="s">
        <v>2680</v>
      </c>
      <c r="H486" s="433" t="s">
        <v>2934</v>
      </c>
      <c r="I486" s="433" t="s">
        <v>2654</v>
      </c>
      <c r="J486" s="433" t="s">
        <v>2654</v>
      </c>
      <c r="K486" s="433" t="s">
        <v>2654</v>
      </c>
      <c r="L486" s="433" t="s">
        <v>2654</v>
      </c>
      <c r="M486" s="433" t="s">
        <v>2654</v>
      </c>
      <c r="N486" s="433" t="s">
        <v>2654</v>
      </c>
      <c r="O486" s="433" t="s">
        <v>4313</v>
      </c>
      <c r="P486" s="433" t="s">
        <v>4258</v>
      </c>
      <c r="Q486" s="433" t="s">
        <v>2654</v>
      </c>
      <c r="R486" s="433" t="s">
        <v>2654</v>
      </c>
      <c r="S486" s="426"/>
      <c r="T486" s="426"/>
      <c r="U486" s="426"/>
      <c r="V486" s="426"/>
      <c r="W486" s="426"/>
      <c r="X486" s="426"/>
      <c r="Y486" s="426"/>
      <c r="Z486" s="426"/>
      <c r="AA486" s="426"/>
      <c r="AB486" s="426"/>
      <c r="AC486" s="426"/>
      <c r="AD486" s="426"/>
      <c r="AE486" s="426"/>
      <c r="AF486" s="426"/>
      <c r="AG486" s="426"/>
      <c r="AH486" s="426"/>
      <c r="AI486" s="426"/>
    </row>
    <row r="487" spans="1:36" hidden="1">
      <c r="A487" s="392" t="s">
        <v>1797</v>
      </c>
      <c r="B487" s="427" t="s">
        <v>2647</v>
      </c>
      <c r="C487" s="433" t="s">
        <v>3631</v>
      </c>
      <c r="D487" s="433" t="s">
        <v>3364</v>
      </c>
      <c r="E487" s="433" t="s">
        <v>2746</v>
      </c>
      <c r="F487" s="433" t="s">
        <v>2654</v>
      </c>
      <c r="G487" s="433" t="s">
        <v>2654</v>
      </c>
      <c r="H487" s="433" t="s">
        <v>2654</v>
      </c>
      <c r="I487" s="433" t="s">
        <v>2654</v>
      </c>
      <c r="J487" s="433" t="s">
        <v>2654</v>
      </c>
      <c r="K487" s="433" t="s">
        <v>2654</v>
      </c>
      <c r="L487" s="433" t="s">
        <v>2654</v>
      </c>
      <c r="M487" s="433" t="s">
        <v>2654</v>
      </c>
      <c r="N487" s="433" t="s">
        <v>2654</v>
      </c>
      <c r="O487" s="433" t="s">
        <v>2793</v>
      </c>
      <c r="P487" s="433" t="s">
        <v>4059</v>
      </c>
      <c r="Q487" s="431"/>
      <c r="R487" s="431"/>
      <c r="S487" s="426" t="s">
        <v>2688</v>
      </c>
      <c r="T487" s="426" t="s">
        <v>2999</v>
      </c>
      <c r="U487" s="426" t="s">
        <v>3385</v>
      </c>
      <c r="V487" s="426" t="s">
        <v>3385</v>
      </c>
      <c r="W487" s="426" t="s">
        <v>3375</v>
      </c>
      <c r="X487" s="426" t="s">
        <v>2692</v>
      </c>
      <c r="Y487" s="426" t="s">
        <v>3210</v>
      </c>
      <c r="Z487" s="426" t="s">
        <v>2646</v>
      </c>
      <c r="AA487" s="426" t="s">
        <v>2646</v>
      </c>
      <c r="AB487" s="426" t="s">
        <v>2646</v>
      </c>
      <c r="AC487" s="426" t="s">
        <v>2646</v>
      </c>
      <c r="AD487" s="426" t="s">
        <v>2646</v>
      </c>
      <c r="AE487" s="426" t="s">
        <v>2646</v>
      </c>
      <c r="AF487" s="426" t="s">
        <v>2646</v>
      </c>
      <c r="AG487" s="426" t="s">
        <v>2646</v>
      </c>
      <c r="AH487" s="426" t="s">
        <v>2646</v>
      </c>
      <c r="AI487" s="426" t="s">
        <v>2646</v>
      </c>
      <c r="AJ487" s="68" t="s">
        <v>2646</v>
      </c>
    </row>
    <row r="488" spans="1:36" hidden="1">
      <c r="A488" s="392" t="s">
        <v>1798</v>
      </c>
      <c r="B488" s="427" t="s">
        <v>2648</v>
      </c>
      <c r="C488" s="433" t="s">
        <v>3786</v>
      </c>
      <c r="D488" s="433" t="s">
        <v>3710</v>
      </c>
      <c r="E488" s="433" t="s">
        <v>2656</v>
      </c>
      <c r="F488" s="433" t="s">
        <v>2654</v>
      </c>
      <c r="G488" s="433" t="s">
        <v>2654</v>
      </c>
      <c r="H488" s="433" t="s">
        <v>2654</v>
      </c>
      <c r="I488" s="433" t="s">
        <v>2654</v>
      </c>
      <c r="J488" s="433" t="s">
        <v>2654</v>
      </c>
      <c r="K488" s="433" t="s">
        <v>2654</v>
      </c>
      <c r="L488" s="433" t="s">
        <v>2654</v>
      </c>
      <c r="M488" s="433" t="s">
        <v>2654</v>
      </c>
      <c r="N488" s="433" t="s">
        <v>2654</v>
      </c>
      <c r="O488" s="433" t="s">
        <v>2654</v>
      </c>
      <c r="P488" s="433" t="s">
        <v>4078</v>
      </c>
      <c r="Q488" s="431"/>
      <c r="R488" s="431"/>
      <c r="S488" s="426" t="s">
        <v>2660</v>
      </c>
      <c r="T488" s="426" t="s">
        <v>3117</v>
      </c>
      <c r="U488" s="426" t="s">
        <v>3013</v>
      </c>
      <c r="V488" s="426" t="s">
        <v>2876</v>
      </c>
      <c r="W488" s="426" t="s">
        <v>3375</v>
      </c>
      <c r="X488" s="426" t="s">
        <v>2692</v>
      </c>
      <c r="Y488" s="426" t="s">
        <v>3210</v>
      </c>
      <c r="Z488" s="426" t="s">
        <v>2646</v>
      </c>
      <c r="AA488" s="426" t="s">
        <v>2646</v>
      </c>
      <c r="AB488" s="426" t="s">
        <v>2646</v>
      </c>
      <c r="AC488" s="426" t="s">
        <v>2646</v>
      </c>
      <c r="AD488" s="426" t="s">
        <v>2646</v>
      </c>
      <c r="AE488" s="426" t="s">
        <v>2646</v>
      </c>
      <c r="AF488" s="426" t="s">
        <v>2646</v>
      </c>
      <c r="AG488" s="426" t="s">
        <v>2646</v>
      </c>
      <c r="AH488" s="426" t="s">
        <v>2646</v>
      </c>
      <c r="AI488" s="426" t="s">
        <v>2646</v>
      </c>
      <c r="AJ488" s="68" t="s">
        <v>2646</v>
      </c>
    </row>
    <row r="489" spans="1:36" hidden="1">
      <c r="A489" s="392" t="s">
        <v>1799</v>
      </c>
      <c r="B489" s="427" t="s">
        <v>2649</v>
      </c>
      <c r="C489" s="433" t="s">
        <v>3509</v>
      </c>
      <c r="D489" s="433" t="s">
        <v>3710</v>
      </c>
      <c r="E489" s="433" t="s">
        <v>2724</v>
      </c>
      <c r="F489" s="433" t="s">
        <v>2654</v>
      </c>
      <c r="G489" s="433" t="s">
        <v>2654</v>
      </c>
      <c r="H489" s="433" t="s">
        <v>2654</v>
      </c>
      <c r="I489" s="433" t="s">
        <v>2654</v>
      </c>
      <c r="J489" s="433" t="s">
        <v>2654</v>
      </c>
      <c r="K489" s="433" t="s">
        <v>2654</v>
      </c>
      <c r="L489" s="433" t="s">
        <v>2654</v>
      </c>
      <c r="M489" s="433" t="s">
        <v>2654</v>
      </c>
      <c r="N489" s="433" t="s">
        <v>2654</v>
      </c>
      <c r="O489" s="433" t="s">
        <v>2793</v>
      </c>
      <c r="P489" s="433" t="s">
        <v>4078</v>
      </c>
      <c r="Q489" s="431"/>
      <c r="R489" s="431"/>
      <c r="S489" s="426" t="s">
        <v>2669</v>
      </c>
      <c r="T489" s="426" t="s">
        <v>3125</v>
      </c>
      <c r="U489" s="426" t="s">
        <v>3386</v>
      </c>
      <c r="V489" s="426" t="s">
        <v>3386</v>
      </c>
      <c r="W489" s="426" t="s">
        <v>3375</v>
      </c>
      <c r="X489" s="426" t="s">
        <v>2692</v>
      </c>
      <c r="Y489" s="426" t="s">
        <v>3210</v>
      </c>
      <c r="Z489" s="426" t="s">
        <v>2646</v>
      </c>
      <c r="AA489" s="426" t="s">
        <v>2646</v>
      </c>
      <c r="AB489" s="426" t="s">
        <v>2646</v>
      </c>
      <c r="AC489" s="426" t="s">
        <v>2646</v>
      </c>
      <c r="AD489" s="426" t="s">
        <v>2646</v>
      </c>
      <c r="AE489" s="426" t="s">
        <v>2646</v>
      </c>
      <c r="AF489" s="426" t="s">
        <v>2646</v>
      </c>
      <c r="AG489" s="426" t="s">
        <v>2646</v>
      </c>
      <c r="AH489" s="426" t="s">
        <v>2646</v>
      </c>
      <c r="AI489" s="426" t="s">
        <v>2646</v>
      </c>
      <c r="AJ489" s="68" t="s">
        <v>2646</v>
      </c>
    </row>
    <row r="490" spans="1:36" hidden="1">
      <c r="A490" s="392" t="s">
        <v>1800</v>
      </c>
      <c r="B490" s="427" t="s">
        <v>2650</v>
      </c>
      <c r="C490" s="433" t="s">
        <v>3150</v>
      </c>
      <c r="D490" s="433" t="s">
        <v>3686</v>
      </c>
      <c r="E490" s="433" t="s">
        <v>2677</v>
      </c>
      <c r="F490" s="433" t="s">
        <v>2654</v>
      </c>
      <c r="G490" s="433" t="s">
        <v>2654</v>
      </c>
      <c r="H490" s="433" t="s">
        <v>2654</v>
      </c>
      <c r="I490" s="433" t="s">
        <v>2654</v>
      </c>
      <c r="J490" s="433" t="s">
        <v>2654</v>
      </c>
      <c r="K490" s="433" t="s">
        <v>2654</v>
      </c>
      <c r="L490" s="433" t="s">
        <v>2654</v>
      </c>
      <c r="M490" s="433" t="s">
        <v>2654</v>
      </c>
      <c r="N490" s="433" t="s">
        <v>2654</v>
      </c>
      <c r="O490" s="433" t="s">
        <v>2793</v>
      </c>
      <c r="P490" s="433" t="s">
        <v>4061</v>
      </c>
      <c r="Q490" s="431"/>
      <c r="R490" s="431"/>
      <c r="S490" s="426" t="s">
        <v>2660</v>
      </c>
      <c r="T490" s="426" t="s">
        <v>2756</v>
      </c>
      <c r="U490" s="426" t="s">
        <v>3387</v>
      </c>
      <c r="V490" s="426" t="s">
        <v>3077</v>
      </c>
      <c r="W490" s="426" t="s">
        <v>3375</v>
      </c>
      <c r="X490" s="426" t="s">
        <v>2692</v>
      </c>
      <c r="Y490" s="426" t="s">
        <v>3210</v>
      </c>
      <c r="Z490" s="426" t="s">
        <v>2646</v>
      </c>
      <c r="AA490" s="426" t="s">
        <v>2646</v>
      </c>
      <c r="AB490" s="426" t="s">
        <v>2646</v>
      </c>
      <c r="AC490" s="426" t="s">
        <v>2646</v>
      </c>
      <c r="AD490" s="426" t="s">
        <v>2646</v>
      </c>
      <c r="AE490" s="426" t="s">
        <v>2646</v>
      </c>
      <c r="AF490" s="426" t="s">
        <v>2646</v>
      </c>
      <c r="AG490" s="426" t="s">
        <v>2646</v>
      </c>
      <c r="AH490" s="426" t="s">
        <v>2646</v>
      </c>
      <c r="AI490" s="426" t="s">
        <v>2646</v>
      </c>
      <c r="AJ490" s="68" t="s">
        <v>2646</v>
      </c>
    </row>
    <row r="491" spans="1:36" hidden="1">
      <c r="A491" s="392" t="s">
        <v>1801</v>
      </c>
      <c r="B491" s="427" t="s">
        <v>2651</v>
      </c>
      <c r="C491" s="433" t="s">
        <v>3708</v>
      </c>
      <c r="D491" s="433" t="s">
        <v>3710</v>
      </c>
      <c r="E491" s="433" t="s">
        <v>2678</v>
      </c>
      <c r="F491" s="433" t="s">
        <v>2654</v>
      </c>
      <c r="G491" s="433" t="s">
        <v>2654</v>
      </c>
      <c r="H491" s="433" t="s">
        <v>2654</v>
      </c>
      <c r="I491" s="433" t="s">
        <v>2654</v>
      </c>
      <c r="J491" s="433" t="s">
        <v>2654</v>
      </c>
      <c r="K491" s="433" t="s">
        <v>2654</v>
      </c>
      <c r="L491" s="433" t="s">
        <v>2654</v>
      </c>
      <c r="M491" s="433" t="s">
        <v>2654</v>
      </c>
      <c r="N491" s="433" t="s">
        <v>2654</v>
      </c>
      <c r="O491" s="433" t="s">
        <v>2654</v>
      </c>
      <c r="P491" s="433" t="s">
        <v>2651</v>
      </c>
      <c r="Q491" s="431"/>
      <c r="R491" s="431"/>
      <c r="S491" s="426" t="s">
        <v>2658</v>
      </c>
      <c r="T491" s="426" t="s">
        <v>2828</v>
      </c>
      <c r="U491" s="426" t="s">
        <v>3387</v>
      </c>
      <c r="V491" s="426" t="s">
        <v>3387</v>
      </c>
      <c r="W491" s="426" t="s">
        <v>3375</v>
      </c>
      <c r="X491" s="426" t="s">
        <v>2692</v>
      </c>
      <c r="Y491" s="426" t="s">
        <v>3210</v>
      </c>
      <c r="Z491" s="426" t="s">
        <v>2646</v>
      </c>
      <c r="AA491" s="426" t="s">
        <v>2646</v>
      </c>
      <c r="AB491" s="426" t="s">
        <v>2646</v>
      </c>
      <c r="AC491" s="426" t="s">
        <v>2646</v>
      </c>
      <c r="AD491" s="426" t="s">
        <v>2646</v>
      </c>
      <c r="AE491" s="426" t="s">
        <v>2646</v>
      </c>
      <c r="AF491" s="426" t="s">
        <v>2646</v>
      </c>
      <c r="AG491" s="426" t="s">
        <v>2646</v>
      </c>
      <c r="AH491" s="426" t="s">
        <v>2646</v>
      </c>
      <c r="AI491" s="426" t="s">
        <v>2646</v>
      </c>
      <c r="AJ491" s="68" t="s">
        <v>2646</v>
      </c>
    </row>
    <row r="492" spans="1:36">
      <c r="A492" s="392" t="s">
        <v>1801</v>
      </c>
      <c r="B492" s="427" t="s">
        <v>48</v>
      </c>
      <c r="C492" s="433" t="s">
        <v>4314</v>
      </c>
      <c r="D492" s="433" t="s">
        <v>3856</v>
      </c>
      <c r="E492" s="433" t="s">
        <v>2750</v>
      </c>
      <c r="F492" s="433" t="s">
        <v>2654</v>
      </c>
      <c r="G492" s="433" t="s">
        <v>2654</v>
      </c>
      <c r="H492" s="433" t="s">
        <v>2654</v>
      </c>
      <c r="I492" s="433" t="s">
        <v>2654</v>
      </c>
      <c r="J492" s="433" t="s">
        <v>2654</v>
      </c>
      <c r="K492" s="433" t="s">
        <v>2654</v>
      </c>
      <c r="L492" s="433" t="s">
        <v>2654</v>
      </c>
      <c r="M492" s="433" t="s">
        <v>2654</v>
      </c>
      <c r="N492" s="433" t="s">
        <v>2654</v>
      </c>
      <c r="O492" s="433" t="s">
        <v>2793</v>
      </c>
      <c r="P492" s="433" t="s">
        <v>2746</v>
      </c>
      <c r="Q492" s="433" t="s">
        <v>2654</v>
      </c>
      <c r="R492" s="433" t="s">
        <v>2654</v>
      </c>
      <c r="S492" s="426"/>
      <c r="T492" s="426"/>
      <c r="U492" s="426"/>
      <c r="V492" s="426"/>
      <c r="W492" s="426"/>
      <c r="X492" s="426"/>
      <c r="Y492" s="426"/>
      <c r="Z492" s="426"/>
      <c r="AA492" s="426"/>
      <c r="AB492" s="426"/>
      <c r="AC492" s="426"/>
      <c r="AD492" s="426"/>
      <c r="AE492" s="426"/>
      <c r="AF492" s="426"/>
      <c r="AG492" s="426"/>
      <c r="AH492" s="426"/>
      <c r="AI492" s="426"/>
    </row>
    <row r="493" spans="1:36" hidden="1">
      <c r="A493" s="392" t="s">
        <v>1802</v>
      </c>
      <c r="B493" s="427" t="s">
        <v>2647</v>
      </c>
      <c r="C493" s="433" t="s">
        <v>3761</v>
      </c>
      <c r="D493" s="433" t="s">
        <v>3710</v>
      </c>
      <c r="E493" s="433" t="s">
        <v>2677</v>
      </c>
      <c r="F493" s="433" t="s">
        <v>2654</v>
      </c>
      <c r="G493" s="433" t="s">
        <v>2654</v>
      </c>
      <c r="H493" s="433" t="s">
        <v>2654</v>
      </c>
      <c r="I493" s="433" t="s">
        <v>2654</v>
      </c>
      <c r="J493" s="433" t="s">
        <v>2654</v>
      </c>
      <c r="K493" s="433" t="s">
        <v>2654</v>
      </c>
      <c r="L493" s="433" t="s">
        <v>2654</v>
      </c>
      <c r="M493" s="433" t="s">
        <v>2654</v>
      </c>
      <c r="N493" s="433" t="s">
        <v>2654</v>
      </c>
      <c r="O493" s="433" t="s">
        <v>2793</v>
      </c>
      <c r="P493" s="433" t="s">
        <v>4093</v>
      </c>
      <c r="Q493" s="431"/>
      <c r="R493" s="431"/>
      <c r="S493" s="426" t="s">
        <v>2658</v>
      </c>
      <c r="T493" s="426" t="s">
        <v>3225</v>
      </c>
      <c r="U493" s="426" t="s">
        <v>3353</v>
      </c>
      <c r="V493" s="426" t="s">
        <v>3225</v>
      </c>
      <c r="W493" s="426" t="s">
        <v>3375</v>
      </c>
      <c r="X493" s="426" t="s">
        <v>2727</v>
      </c>
      <c r="Y493" s="426" t="s">
        <v>3390</v>
      </c>
      <c r="Z493" s="426" t="s">
        <v>2646</v>
      </c>
      <c r="AA493" s="426" t="s">
        <v>2646</v>
      </c>
      <c r="AB493" s="426" t="s">
        <v>2646</v>
      </c>
      <c r="AC493" s="426" t="s">
        <v>2646</v>
      </c>
      <c r="AD493" s="426" t="s">
        <v>2646</v>
      </c>
      <c r="AE493" s="426" t="s">
        <v>2646</v>
      </c>
      <c r="AF493" s="426" t="s">
        <v>2646</v>
      </c>
      <c r="AG493" s="426" t="s">
        <v>2646</v>
      </c>
      <c r="AH493" s="426" t="s">
        <v>2646</v>
      </c>
      <c r="AI493" s="426" t="s">
        <v>2646</v>
      </c>
      <c r="AJ493" s="68" t="s">
        <v>2646</v>
      </c>
    </row>
    <row r="494" spans="1:36" hidden="1">
      <c r="A494" s="392" t="s">
        <v>1803</v>
      </c>
      <c r="B494" s="427" t="s">
        <v>2648</v>
      </c>
      <c r="C494" s="433" t="s">
        <v>3761</v>
      </c>
      <c r="D494" s="433" t="s">
        <v>3872</v>
      </c>
      <c r="E494" s="433" t="s">
        <v>2656</v>
      </c>
      <c r="F494" s="433" t="s">
        <v>2654</v>
      </c>
      <c r="G494" s="433" t="s">
        <v>2654</v>
      </c>
      <c r="H494" s="433" t="s">
        <v>2654</v>
      </c>
      <c r="I494" s="433" t="s">
        <v>2654</v>
      </c>
      <c r="J494" s="433" t="s">
        <v>2654</v>
      </c>
      <c r="K494" s="433" t="s">
        <v>2654</v>
      </c>
      <c r="L494" s="433" t="s">
        <v>2654</v>
      </c>
      <c r="M494" s="433" t="s">
        <v>2654</v>
      </c>
      <c r="N494" s="433" t="s">
        <v>2654</v>
      </c>
      <c r="O494" s="433" t="s">
        <v>2654</v>
      </c>
      <c r="P494" s="433" t="s">
        <v>4129</v>
      </c>
      <c r="Q494" s="431"/>
      <c r="R494" s="431"/>
      <c r="S494" s="426" t="s">
        <v>2658</v>
      </c>
      <c r="T494" s="426" t="s">
        <v>3387</v>
      </c>
      <c r="U494" s="426" t="s">
        <v>3387</v>
      </c>
      <c r="V494" s="426" t="s">
        <v>3387</v>
      </c>
      <c r="W494" s="426" t="s">
        <v>3375</v>
      </c>
      <c r="X494" s="426" t="s">
        <v>2727</v>
      </c>
      <c r="Y494" s="426" t="s">
        <v>3390</v>
      </c>
      <c r="Z494" s="426" t="s">
        <v>2646</v>
      </c>
      <c r="AA494" s="426" t="s">
        <v>2646</v>
      </c>
      <c r="AB494" s="426" t="s">
        <v>2646</v>
      </c>
      <c r="AC494" s="426" t="s">
        <v>2646</v>
      </c>
      <c r="AD494" s="426" t="s">
        <v>2646</v>
      </c>
      <c r="AE494" s="426" t="s">
        <v>2646</v>
      </c>
      <c r="AF494" s="426" t="s">
        <v>2646</v>
      </c>
      <c r="AG494" s="426" t="s">
        <v>2646</v>
      </c>
      <c r="AH494" s="426" t="s">
        <v>2646</v>
      </c>
      <c r="AI494" s="426" t="s">
        <v>2646</v>
      </c>
      <c r="AJ494" s="68" t="s">
        <v>2646</v>
      </c>
    </row>
    <row r="495" spans="1:36" hidden="1">
      <c r="A495" s="392" t="s">
        <v>1804</v>
      </c>
      <c r="B495" s="427" t="s">
        <v>2649</v>
      </c>
      <c r="C495" s="433" t="s">
        <v>3626</v>
      </c>
      <c r="D495" s="433" t="s">
        <v>3710</v>
      </c>
      <c r="E495" s="433" t="s">
        <v>2678</v>
      </c>
      <c r="F495" s="433" t="s">
        <v>2654</v>
      </c>
      <c r="G495" s="433" t="s">
        <v>2654</v>
      </c>
      <c r="H495" s="433" t="s">
        <v>2654</v>
      </c>
      <c r="I495" s="433" t="s">
        <v>2654</v>
      </c>
      <c r="J495" s="433" t="s">
        <v>2654</v>
      </c>
      <c r="K495" s="433" t="s">
        <v>2654</v>
      </c>
      <c r="L495" s="433" t="s">
        <v>2654</v>
      </c>
      <c r="M495" s="433" t="s">
        <v>2654</v>
      </c>
      <c r="N495" s="433" t="s">
        <v>2654</v>
      </c>
      <c r="O495" s="433" t="s">
        <v>2654</v>
      </c>
      <c r="P495" s="433" t="s">
        <v>4080</v>
      </c>
      <c r="Q495" s="431"/>
      <c r="R495" s="431"/>
      <c r="S495" s="426" t="s">
        <v>2901</v>
      </c>
      <c r="T495" s="426" t="s">
        <v>2811</v>
      </c>
      <c r="U495" s="426" t="s">
        <v>3077</v>
      </c>
      <c r="V495" s="426" t="s">
        <v>3077</v>
      </c>
      <c r="W495" s="426" t="s">
        <v>3375</v>
      </c>
      <c r="X495" s="426" t="s">
        <v>2727</v>
      </c>
      <c r="Y495" s="426" t="s">
        <v>3390</v>
      </c>
      <c r="Z495" s="426" t="s">
        <v>2646</v>
      </c>
      <c r="AA495" s="426" t="s">
        <v>2646</v>
      </c>
      <c r="AB495" s="426" t="s">
        <v>2646</v>
      </c>
      <c r="AC495" s="426" t="s">
        <v>2646</v>
      </c>
      <c r="AD495" s="426" t="s">
        <v>2646</v>
      </c>
      <c r="AE495" s="426" t="s">
        <v>2646</v>
      </c>
      <c r="AF495" s="426" t="s">
        <v>2646</v>
      </c>
      <c r="AG495" s="426" t="s">
        <v>2646</v>
      </c>
      <c r="AH495" s="426" t="s">
        <v>2646</v>
      </c>
      <c r="AI495" s="426" t="s">
        <v>2646</v>
      </c>
      <c r="AJ495" s="68" t="s">
        <v>2646</v>
      </c>
    </row>
    <row r="496" spans="1:36" hidden="1">
      <c r="A496" s="392" t="s">
        <v>1805</v>
      </c>
      <c r="B496" s="427" t="s">
        <v>2650</v>
      </c>
      <c r="C496" s="433" t="s">
        <v>2914</v>
      </c>
      <c r="D496" s="433" t="s">
        <v>3364</v>
      </c>
      <c r="E496" s="433" t="s">
        <v>2708</v>
      </c>
      <c r="F496" s="433" t="s">
        <v>2654</v>
      </c>
      <c r="G496" s="433" t="s">
        <v>2654</v>
      </c>
      <c r="H496" s="433" t="s">
        <v>2654</v>
      </c>
      <c r="I496" s="433" t="s">
        <v>2654</v>
      </c>
      <c r="J496" s="433" t="s">
        <v>2654</v>
      </c>
      <c r="K496" s="433" t="s">
        <v>2654</v>
      </c>
      <c r="L496" s="433" t="s">
        <v>2654</v>
      </c>
      <c r="M496" s="433" t="s">
        <v>2654</v>
      </c>
      <c r="N496" s="433" t="s">
        <v>2654</v>
      </c>
      <c r="O496" s="433" t="s">
        <v>2654</v>
      </c>
      <c r="P496" s="433" t="s">
        <v>4061</v>
      </c>
      <c r="Q496" s="431"/>
      <c r="R496" s="431"/>
      <c r="S496" s="426" t="s">
        <v>2669</v>
      </c>
      <c r="T496" s="426" t="s">
        <v>3239</v>
      </c>
      <c r="U496" s="426" t="s">
        <v>3392</v>
      </c>
      <c r="V496" s="426" t="s">
        <v>3392</v>
      </c>
      <c r="W496" s="426" t="s">
        <v>3375</v>
      </c>
      <c r="X496" s="426" t="s">
        <v>2727</v>
      </c>
      <c r="Y496" s="426" t="s">
        <v>3390</v>
      </c>
      <c r="Z496" s="426" t="s">
        <v>2646</v>
      </c>
      <c r="AA496" s="426" t="s">
        <v>2646</v>
      </c>
      <c r="AB496" s="426" t="s">
        <v>2646</v>
      </c>
      <c r="AC496" s="426" t="s">
        <v>2646</v>
      </c>
      <c r="AD496" s="426" t="s">
        <v>2646</v>
      </c>
      <c r="AE496" s="426" t="s">
        <v>2646</v>
      </c>
      <c r="AF496" s="426" t="s">
        <v>2646</v>
      </c>
      <c r="AG496" s="426" t="s">
        <v>2646</v>
      </c>
      <c r="AH496" s="426" t="s">
        <v>2646</v>
      </c>
      <c r="AI496" s="426" t="s">
        <v>2646</v>
      </c>
      <c r="AJ496" s="68" t="s">
        <v>2646</v>
      </c>
    </row>
    <row r="497" spans="1:36" hidden="1">
      <c r="A497" s="392" t="s">
        <v>1806</v>
      </c>
      <c r="B497" s="427" t="s">
        <v>2651</v>
      </c>
      <c r="C497" s="433" t="s">
        <v>3627</v>
      </c>
      <c r="D497" s="433" t="s">
        <v>3364</v>
      </c>
      <c r="E497" s="433" t="s">
        <v>2708</v>
      </c>
      <c r="F497" s="433" t="s">
        <v>2654</v>
      </c>
      <c r="G497" s="433" t="s">
        <v>2654</v>
      </c>
      <c r="H497" s="433" t="s">
        <v>2654</v>
      </c>
      <c r="I497" s="433" t="s">
        <v>2654</v>
      </c>
      <c r="J497" s="433" t="s">
        <v>2654</v>
      </c>
      <c r="K497" s="433" t="s">
        <v>2654</v>
      </c>
      <c r="L497" s="433" t="s">
        <v>2654</v>
      </c>
      <c r="M497" s="433" t="s">
        <v>2654</v>
      </c>
      <c r="N497" s="433" t="s">
        <v>2654</v>
      </c>
      <c r="O497" s="433" t="s">
        <v>2654</v>
      </c>
      <c r="P497" s="433" t="s">
        <v>4078</v>
      </c>
      <c r="Q497" s="431"/>
      <c r="R497" s="431"/>
      <c r="S497" s="426" t="s">
        <v>2655</v>
      </c>
      <c r="T497" s="426" t="s">
        <v>3393</v>
      </c>
      <c r="U497" s="426" t="s">
        <v>2821</v>
      </c>
      <c r="V497" s="426" t="s">
        <v>2821</v>
      </c>
      <c r="W497" s="426" t="s">
        <v>3375</v>
      </c>
      <c r="X497" s="426" t="s">
        <v>2727</v>
      </c>
      <c r="Y497" s="426" t="s">
        <v>3390</v>
      </c>
      <c r="Z497" s="426" t="s">
        <v>2646</v>
      </c>
      <c r="AA497" s="426" t="s">
        <v>2646</v>
      </c>
      <c r="AB497" s="426" t="s">
        <v>2646</v>
      </c>
      <c r="AC497" s="426" t="s">
        <v>2646</v>
      </c>
      <c r="AD497" s="426" t="s">
        <v>2646</v>
      </c>
      <c r="AE497" s="426" t="s">
        <v>2646</v>
      </c>
      <c r="AF497" s="426" t="s">
        <v>2646</v>
      </c>
      <c r="AG497" s="426" t="s">
        <v>2646</v>
      </c>
      <c r="AH497" s="426" t="s">
        <v>2646</v>
      </c>
      <c r="AI497" s="426" t="s">
        <v>2646</v>
      </c>
      <c r="AJ497" s="68" t="s">
        <v>2646</v>
      </c>
    </row>
    <row r="498" spans="1:36">
      <c r="A498" s="392" t="s">
        <v>1806</v>
      </c>
      <c r="B498" s="427" t="s">
        <v>48</v>
      </c>
      <c r="C498" s="433" t="s">
        <v>3866</v>
      </c>
      <c r="D498" s="433" t="s">
        <v>3710</v>
      </c>
      <c r="E498" s="433" t="s">
        <v>2708</v>
      </c>
      <c r="F498" s="433" t="s">
        <v>2654</v>
      </c>
      <c r="G498" s="433" t="s">
        <v>2654</v>
      </c>
      <c r="H498" s="433" t="s">
        <v>2654</v>
      </c>
      <c r="I498" s="433" t="s">
        <v>2654</v>
      </c>
      <c r="J498" s="433" t="s">
        <v>2654</v>
      </c>
      <c r="K498" s="433" t="s">
        <v>2654</v>
      </c>
      <c r="L498" s="433" t="s">
        <v>2654</v>
      </c>
      <c r="M498" s="433" t="s">
        <v>2654</v>
      </c>
      <c r="N498" s="433" t="s">
        <v>2654</v>
      </c>
      <c r="O498" s="433" t="s">
        <v>2654</v>
      </c>
      <c r="P498" s="433" t="s">
        <v>2807</v>
      </c>
      <c r="Q498" s="433" t="s">
        <v>2654</v>
      </c>
      <c r="R498" s="433" t="s">
        <v>2654</v>
      </c>
      <c r="S498" s="426"/>
      <c r="T498" s="426"/>
      <c r="U498" s="426"/>
      <c r="V498" s="426"/>
      <c r="W498" s="426"/>
      <c r="X498" s="426"/>
      <c r="Y498" s="426"/>
      <c r="Z498" s="426"/>
      <c r="AA498" s="426"/>
      <c r="AB498" s="426"/>
      <c r="AC498" s="426"/>
      <c r="AD498" s="426"/>
      <c r="AE498" s="426"/>
      <c r="AF498" s="426"/>
      <c r="AG498" s="426"/>
      <c r="AH498" s="426"/>
      <c r="AI498" s="426"/>
    </row>
    <row r="499" spans="1:36" hidden="1">
      <c r="A499" s="392" t="s">
        <v>1807</v>
      </c>
      <c r="B499" s="427" t="s">
        <v>2647</v>
      </c>
      <c r="C499" s="433" t="s">
        <v>3835</v>
      </c>
      <c r="D499" s="433" t="s">
        <v>3851</v>
      </c>
      <c r="E499" s="433" t="s">
        <v>2656</v>
      </c>
      <c r="F499" s="433" t="s">
        <v>2654</v>
      </c>
      <c r="G499" s="433" t="s">
        <v>2654</v>
      </c>
      <c r="H499" s="433" t="s">
        <v>2654</v>
      </c>
      <c r="I499" s="433" t="s">
        <v>2654</v>
      </c>
      <c r="J499" s="433" t="s">
        <v>2654</v>
      </c>
      <c r="K499" s="433" t="s">
        <v>2654</v>
      </c>
      <c r="L499" s="433" t="s">
        <v>2654</v>
      </c>
      <c r="M499" s="433" t="s">
        <v>2654</v>
      </c>
      <c r="N499" s="433" t="s">
        <v>2654</v>
      </c>
      <c r="O499" s="433" t="s">
        <v>2654</v>
      </c>
      <c r="P499" s="433" t="s">
        <v>4315</v>
      </c>
      <c r="Q499" s="431"/>
      <c r="R499" s="431"/>
      <c r="S499" s="426" t="s">
        <v>2796</v>
      </c>
      <c r="T499" s="426" t="s">
        <v>3264</v>
      </c>
      <c r="U499" s="426" t="s">
        <v>2856</v>
      </c>
      <c r="V499" s="426" t="s">
        <v>2856</v>
      </c>
      <c r="W499" s="426" t="s">
        <v>3375</v>
      </c>
      <c r="X499" s="426" t="s">
        <v>2758</v>
      </c>
      <c r="Y499" s="426" t="s">
        <v>3395</v>
      </c>
      <c r="Z499" s="426" t="s">
        <v>2646</v>
      </c>
      <c r="AA499" s="426" t="s">
        <v>2646</v>
      </c>
      <c r="AB499" s="426" t="s">
        <v>2646</v>
      </c>
      <c r="AC499" s="426" t="s">
        <v>2646</v>
      </c>
      <c r="AD499" s="426" t="s">
        <v>2646</v>
      </c>
      <c r="AE499" s="426" t="s">
        <v>2646</v>
      </c>
      <c r="AF499" s="426" t="s">
        <v>2646</v>
      </c>
      <c r="AG499" s="426" t="s">
        <v>2646</v>
      </c>
      <c r="AH499" s="426" t="s">
        <v>2646</v>
      </c>
      <c r="AI499" s="426" t="s">
        <v>2646</v>
      </c>
      <c r="AJ499" s="68" t="s">
        <v>2646</v>
      </c>
    </row>
    <row r="500" spans="1:36" hidden="1">
      <c r="A500" s="392" t="s">
        <v>1808</v>
      </c>
      <c r="B500" s="427" t="s">
        <v>2648</v>
      </c>
      <c r="C500" s="433" t="s">
        <v>3717</v>
      </c>
      <c r="D500" s="433" t="s">
        <v>3364</v>
      </c>
      <c r="E500" s="433" t="s">
        <v>2677</v>
      </c>
      <c r="F500" s="433" t="s">
        <v>2654</v>
      </c>
      <c r="G500" s="433" t="s">
        <v>2654</v>
      </c>
      <c r="H500" s="433" t="s">
        <v>2654</v>
      </c>
      <c r="I500" s="433" t="s">
        <v>2654</v>
      </c>
      <c r="J500" s="433" t="s">
        <v>2654</v>
      </c>
      <c r="K500" s="433" t="s">
        <v>2654</v>
      </c>
      <c r="L500" s="433" t="s">
        <v>2654</v>
      </c>
      <c r="M500" s="433" t="s">
        <v>2654</v>
      </c>
      <c r="N500" s="433" t="s">
        <v>2654</v>
      </c>
      <c r="O500" s="433" t="s">
        <v>2793</v>
      </c>
      <c r="P500" s="433" t="s">
        <v>4093</v>
      </c>
      <c r="Q500" s="431"/>
      <c r="R500" s="431"/>
      <c r="S500" s="426" t="s">
        <v>2669</v>
      </c>
      <c r="T500" s="426" t="s">
        <v>2857</v>
      </c>
      <c r="U500" s="426" t="s">
        <v>3264</v>
      </c>
      <c r="V500" s="426" t="s">
        <v>3111</v>
      </c>
      <c r="W500" s="426" t="s">
        <v>3375</v>
      </c>
      <c r="X500" s="426" t="s">
        <v>2758</v>
      </c>
      <c r="Y500" s="426" t="s">
        <v>3395</v>
      </c>
      <c r="Z500" s="426" t="s">
        <v>2646</v>
      </c>
      <c r="AA500" s="426" t="s">
        <v>2646</v>
      </c>
      <c r="AB500" s="426" t="s">
        <v>2646</v>
      </c>
      <c r="AC500" s="426" t="s">
        <v>2646</v>
      </c>
      <c r="AD500" s="426" t="s">
        <v>2646</v>
      </c>
      <c r="AE500" s="426" t="s">
        <v>2646</v>
      </c>
      <c r="AF500" s="426" t="s">
        <v>2646</v>
      </c>
      <c r="AG500" s="426" t="s">
        <v>2646</v>
      </c>
      <c r="AH500" s="426" t="s">
        <v>2646</v>
      </c>
      <c r="AI500" s="426" t="s">
        <v>2646</v>
      </c>
      <c r="AJ500" s="68" t="s">
        <v>2646</v>
      </c>
    </row>
    <row r="501" spans="1:36" hidden="1">
      <c r="A501" s="392" t="s">
        <v>1809</v>
      </c>
      <c r="B501" s="427" t="s">
        <v>2649</v>
      </c>
      <c r="C501" s="433" t="s">
        <v>3717</v>
      </c>
      <c r="D501" s="433" t="s">
        <v>3851</v>
      </c>
      <c r="E501" s="433" t="s">
        <v>2791</v>
      </c>
      <c r="F501" s="433" t="s">
        <v>2654</v>
      </c>
      <c r="G501" s="433" t="s">
        <v>2654</v>
      </c>
      <c r="H501" s="433" t="s">
        <v>2654</v>
      </c>
      <c r="I501" s="433" t="s">
        <v>2654</v>
      </c>
      <c r="J501" s="433" t="s">
        <v>2654</v>
      </c>
      <c r="K501" s="433" t="s">
        <v>2654</v>
      </c>
      <c r="L501" s="433" t="s">
        <v>2654</v>
      </c>
      <c r="M501" s="433" t="s">
        <v>2654</v>
      </c>
      <c r="N501" s="433" t="s">
        <v>2654</v>
      </c>
      <c r="O501" s="433" t="s">
        <v>2793</v>
      </c>
      <c r="P501" s="433" t="s">
        <v>4087</v>
      </c>
      <c r="Q501" s="431"/>
      <c r="R501" s="431"/>
      <c r="S501" s="426" t="s">
        <v>2660</v>
      </c>
      <c r="T501" s="426" t="s">
        <v>2846</v>
      </c>
      <c r="U501" s="426" t="s">
        <v>3229</v>
      </c>
      <c r="V501" s="426" t="s">
        <v>3229</v>
      </c>
      <c r="W501" s="426" t="s">
        <v>3375</v>
      </c>
      <c r="X501" s="426" t="s">
        <v>2758</v>
      </c>
      <c r="Y501" s="426" t="s">
        <v>3395</v>
      </c>
      <c r="Z501" s="426" t="s">
        <v>2646</v>
      </c>
      <c r="AA501" s="426" t="s">
        <v>2646</v>
      </c>
      <c r="AB501" s="426" t="s">
        <v>2646</v>
      </c>
      <c r="AC501" s="426" t="s">
        <v>2646</v>
      </c>
      <c r="AD501" s="426" t="s">
        <v>2646</v>
      </c>
      <c r="AE501" s="426" t="s">
        <v>2646</v>
      </c>
      <c r="AF501" s="426" t="s">
        <v>2646</v>
      </c>
      <c r="AG501" s="426" t="s">
        <v>2646</v>
      </c>
      <c r="AH501" s="426" t="s">
        <v>2646</v>
      </c>
      <c r="AI501" s="426" t="s">
        <v>2646</v>
      </c>
      <c r="AJ501" s="68" t="s">
        <v>2646</v>
      </c>
    </row>
    <row r="502" spans="1:36" hidden="1">
      <c r="A502" s="392" t="s">
        <v>1810</v>
      </c>
      <c r="B502" s="427" t="s">
        <v>2650</v>
      </c>
      <c r="C502" s="433" t="s">
        <v>4122</v>
      </c>
      <c r="D502" s="433" t="s">
        <v>3710</v>
      </c>
      <c r="E502" s="433" t="s">
        <v>2724</v>
      </c>
      <c r="F502" s="433" t="s">
        <v>2654</v>
      </c>
      <c r="G502" s="433" t="s">
        <v>2654</v>
      </c>
      <c r="H502" s="433" t="s">
        <v>2654</v>
      </c>
      <c r="I502" s="433" t="s">
        <v>2654</v>
      </c>
      <c r="J502" s="433" t="s">
        <v>2654</v>
      </c>
      <c r="K502" s="433" t="s">
        <v>2654</v>
      </c>
      <c r="L502" s="433" t="s">
        <v>2654</v>
      </c>
      <c r="M502" s="433" t="s">
        <v>2654</v>
      </c>
      <c r="N502" s="433" t="s">
        <v>2654</v>
      </c>
      <c r="O502" s="433" t="s">
        <v>2793</v>
      </c>
      <c r="P502" s="433" t="s">
        <v>4087</v>
      </c>
      <c r="Q502" s="431"/>
      <c r="R502" s="431"/>
      <c r="S502" s="426" t="s">
        <v>2669</v>
      </c>
      <c r="T502" s="426" t="s">
        <v>3030</v>
      </c>
      <c r="U502" s="426" t="s">
        <v>2942</v>
      </c>
      <c r="V502" s="426" t="s">
        <v>2942</v>
      </c>
      <c r="W502" s="426" t="s">
        <v>3375</v>
      </c>
      <c r="X502" s="426" t="s">
        <v>2758</v>
      </c>
      <c r="Y502" s="426" t="s">
        <v>3395</v>
      </c>
      <c r="Z502" s="426" t="s">
        <v>2646</v>
      </c>
      <c r="AA502" s="426" t="s">
        <v>2646</v>
      </c>
      <c r="AB502" s="426" t="s">
        <v>2646</v>
      </c>
      <c r="AC502" s="426" t="s">
        <v>2646</v>
      </c>
      <c r="AD502" s="426" t="s">
        <v>2646</v>
      </c>
      <c r="AE502" s="426" t="s">
        <v>2646</v>
      </c>
      <c r="AF502" s="426" t="s">
        <v>2646</v>
      </c>
      <c r="AG502" s="426" t="s">
        <v>2646</v>
      </c>
      <c r="AH502" s="426" t="s">
        <v>2646</v>
      </c>
      <c r="AI502" s="426" t="s">
        <v>2646</v>
      </c>
      <c r="AJ502" s="68" t="s">
        <v>2646</v>
      </c>
    </row>
    <row r="503" spans="1:36" hidden="1">
      <c r="A503" s="392" t="s">
        <v>1811</v>
      </c>
      <c r="B503" s="427" t="s">
        <v>2651</v>
      </c>
      <c r="C503" s="433" t="s">
        <v>2789</v>
      </c>
      <c r="D503" s="433" t="s">
        <v>3710</v>
      </c>
      <c r="E503" s="433" t="s">
        <v>2708</v>
      </c>
      <c r="F503" s="433" t="s">
        <v>2654</v>
      </c>
      <c r="G503" s="433" t="s">
        <v>2654</v>
      </c>
      <c r="H503" s="433" t="s">
        <v>2654</v>
      </c>
      <c r="I503" s="433" t="s">
        <v>2654</v>
      </c>
      <c r="J503" s="433" t="s">
        <v>2654</v>
      </c>
      <c r="K503" s="433" t="s">
        <v>2654</v>
      </c>
      <c r="L503" s="433" t="s">
        <v>2654</v>
      </c>
      <c r="M503" s="433" t="s">
        <v>2654</v>
      </c>
      <c r="N503" s="433" t="s">
        <v>2654</v>
      </c>
      <c r="O503" s="433" t="s">
        <v>2654</v>
      </c>
      <c r="P503" s="433" t="s">
        <v>4093</v>
      </c>
      <c r="Q503" s="431"/>
      <c r="R503" s="431"/>
      <c r="S503" s="426" t="s">
        <v>2901</v>
      </c>
      <c r="T503" s="426" t="s">
        <v>2958</v>
      </c>
      <c r="U503" s="426" t="s">
        <v>3291</v>
      </c>
      <c r="V503" s="426" t="s">
        <v>3291</v>
      </c>
      <c r="W503" s="426" t="s">
        <v>3375</v>
      </c>
      <c r="X503" s="426" t="s">
        <v>2758</v>
      </c>
      <c r="Y503" s="426" t="s">
        <v>3395</v>
      </c>
      <c r="Z503" s="426" t="s">
        <v>2646</v>
      </c>
      <c r="AA503" s="426" t="s">
        <v>2646</v>
      </c>
      <c r="AB503" s="426" t="s">
        <v>2646</v>
      </c>
      <c r="AC503" s="426" t="s">
        <v>2646</v>
      </c>
      <c r="AD503" s="426" t="s">
        <v>2646</v>
      </c>
      <c r="AE503" s="426" t="s">
        <v>2646</v>
      </c>
      <c r="AF503" s="426" t="s">
        <v>2646</v>
      </c>
      <c r="AG503" s="426" t="s">
        <v>2646</v>
      </c>
      <c r="AH503" s="426" t="s">
        <v>2646</v>
      </c>
      <c r="AI503" s="426" t="s">
        <v>2646</v>
      </c>
      <c r="AJ503" s="68" t="s">
        <v>2646</v>
      </c>
    </row>
    <row r="504" spans="1:36">
      <c r="A504" s="392" t="s">
        <v>1811</v>
      </c>
      <c r="B504" s="427" t="s">
        <v>48</v>
      </c>
      <c r="C504" s="433" t="s">
        <v>4316</v>
      </c>
      <c r="D504" s="433" t="s">
        <v>3869</v>
      </c>
      <c r="E504" s="433" t="s">
        <v>3228</v>
      </c>
      <c r="F504" s="433" t="s">
        <v>2654</v>
      </c>
      <c r="G504" s="433" t="s">
        <v>2654</v>
      </c>
      <c r="H504" s="433" t="s">
        <v>2654</v>
      </c>
      <c r="I504" s="433" t="s">
        <v>2654</v>
      </c>
      <c r="J504" s="433" t="s">
        <v>2654</v>
      </c>
      <c r="K504" s="433" t="s">
        <v>2654</v>
      </c>
      <c r="L504" s="433" t="s">
        <v>2654</v>
      </c>
      <c r="M504" s="433" t="s">
        <v>2654</v>
      </c>
      <c r="N504" s="433" t="s">
        <v>2654</v>
      </c>
      <c r="O504" s="433" t="s">
        <v>2793</v>
      </c>
      <c r="P504" s="433" t="s">
        <v>2831</v>
      </c>
      <c r="Q504" s="433" t="s">
        <v>2654</v>
      </c>
      <c r="R504" s="433" t="s">
        <v>2654</v>
      </c>
      <c r="S504" s="426"/>
      <c r="T504" s="426"/>
      <c r="U504" s="426"/>
      <c r="V504" s="426"/>
      <c r="W504" s="426"/>
      <c r="X504" s="426"/>
      <c r="Y504" s="426"/>
      <c r="Z504" s="426"/>
      <c r="AA504" s="426"/>
      <c r="AB504" s="426"/>
      <c r="AC504" s="426"/>
      <c r="AD504" s="426"/>
      <c r="AE504" s="426"/>
      <c r="AF504" s="426"/>
      <c r="AG504" s="426"/>
      <c r="AH504" s="426"/>
      <c r="AI504" s="426"/>
    </row>
    <row r="505" spans="1:36" hidden="1">
      <c r="A505" s="392" t="s">
        <v>1812</v>
      </c>
      <c r="B505" s="427" t="s">
        <v>2647</v>
      </c>
      <c r="C505" s="433" t="s">
        <v>4036</v>
      </c>
      <c r="D505" s="433" t="s">
        <v>3710</v>
      </c>
      <c r="E505" s="433" t="s">
        <v>3036</v>
      </c>
      <c r="F505" s="433" t="s">
        <v>2917</v>
      </c>
      <c r="G505" s="433" t="s">
        <v>2676</v>
      </c>
      <c r="H505" s="433" t="s">
        <v>2777</v>
      </c>
      <c r="I505" s="433" t="s">
        <v>2928</v>
      </c>
      <c r="J505" s="433" t="s">
        <v>2738</v>
      </c>
      <c r="K505" s="433" t="s">
        <v>2870</v>
      </c>
      <c r="L505" s="433" t="s">
        <v>2678</v>
      </c>
      <c r="M505" s="433" t="s">
        <v>2654</v>
      </c>
      <c r="N505" s="433" t="s">
        <v>2654</v>
      </c>
      <c r="O505" s="433" t="s">
        <v>4317</v>
      </c>
      <c r="P505" s="433" t="s">
        <v>4080</v>
      </c>
      <c r="Q505" s="431"/>
      <c r="R505" s="431"/>
      <c r="S505" s="426" t="s">
        <v>2768</v>
      </c>
      <c r="T505" s="426" t="s">
        <v>3397</v>
      </c>
      <c r="U505" s="426" t="s">
        <v>3398</v>
      </c>
      <c r="V505" s="426" t="s">
        <v>3285</v>
      </c>
      <c r="W505" s="426" t="s">
        <v>3399</v>
      </c>
      <c r="X505" s="426" t="s">
        <v>2893</v>
      </c>
      <c r="Y505" s="426" t="s">
        <v>2888</v>
      </c>
      <c r="Z505" s="426" t="s">
        <v>3172</v>
      </c>
      <c r="AA505" s="426" t="s">
        <v>3400</v>
      </c>
      <c r="AB505" s="426" t="s">
        <v>3103</v>
      </c>
      <c r="AC505" s="426" t="s">
        <v>2646</v>
      </c>
      <c r="AD505" s="426" t="s">
        <v>2646</v>
      </c>
      <c r="AE505" s="426" t="s">
        <v>2646</v>
      </c>
      <c r="AF505" s="426" t="s">
        <v>2646</v>
      </c>
      <c r="AG505" s="426" t="s">
        <v>2646</v>
      </c>
      <c r="AH505" s="426" t="s">
        <v>2646</v>
      </c>
      <c r="AI505" s="426" t="s">
        <v>2646</v>
      </c>
      <c r="AJ505" s="68" t="s">
        <v>2646</v>
      </c>
    </row>
    <row r="506" spans="1:36" hidden="1">
      <c r="A506" s="392" t="s">
        <v>1813</v>
      </c>
      <c r="B506" s="427" t="s">
        <v>2648</v>
      </c>
      <c r="C506" s="433" t="s">
        <v>4318</v>
      </c>
      <c r="D506" s="433" t="s">
        <v>3710</v>
      </c>
      <c r="E506" s="433" t="s">
        <v>2753</v>
      </c>
      <c r="F506" s="433" t="s">
        <v>2875</v>
      </c>
      <c r="G506" s="433" t="s">
        <v>2903</v>
      </c>
      <c r="H506" s="433" t="s">
        <v>2707</v>
      </c>
      <c r="I506" s="433" t="s">
        <v>2928</v>
      </c>
      <c r="J506" s="433" t="s">
        <v>2970</v>
      </c>
      <c r="K506" s="433" t="s">
        <v>2825</v>
      </c>
      <c r="L506" s="433" t="s">
        <v>2708</v>
      </c>
      <c r="M506" s="433" t="s">
        <v>2654</v>
      </c>
      <c r="N506" s="433" t="s">
        <v>2654</v>
      </c>
      <c r="O506" s="433" t="s">
        <v>4319</v>
      </c>
      <c r="P506" s="433" t="s">
        <v>4093</v>
      </c>
      <c r="Q506" s="431"/>
      <c r="R506" s="431"/>
      <c r="S506" s="426" t="s">
        <v>2796</v>
      </c>
      <c r="T506" s="426" t="s">
        <v>3401</v>
      </c>
      <c r="U506" s="426" t="s">
        <v>3014</v>
      </c>
      <c r="V506" s="426" t="s">
        <v>3014</v>
      </c>
      <c r="W506" s="426" t="s">
        <v>3402</v>
      </c>
      <c r="X506" s="426" t="s">
        <v>3097</v>
      </c>
      <c r="Y506" s="426" t="s">
        <v>2888</v>
      </c>
      <c r="Z506" s="426" t="s">
        <v>2838</v>
      </c>
      <c r="AA506" s="426" t="s">
        <v>3239</v>
      </c>
      <c r="AB506" s="426" t="s">
        <v>2857</v>
      </c>
      <c r="AC506" s="426" t="s">
        <v>2956</v>
      </c>
      <c r="AD506" s="426" t="s">
        <v>2646</v>
      </c>
      <c r="AE506" s="426" t="s">
        <v>2646</v>
      </c>
      <c r="AF506" s="426" t="s">
        <v>2646</v>
      </c>
      <c r="AG506" s="426" t="s">
        <v>2646</v>
      </c>
      <c r="AH506" s="426" t="s">
        <v>2646</v>
      </c>
      <c r="AI506" s="426" t="s">
        <v>2646</v>
      </c>
      <c r="AJ506" s="68" t="s">
        <v>2646</v>
      </c>
    </row>
    <row r="507" spans="1:36" hidden="1">
      <c r="A507" s="392" t="s">
        <v>1814</v>
      </c>
      <c r="B507" s="427" t="s">
        <v>2649</v>
      </c>
      <c r="C507" s="433" t="s">
        <v>4056</v>
      </c>
      <c r="D507" s="433" t="s">
        <v>3364</v>
      </c>
      <c r="E507" s="433" t="s">
        <v>3258</v>
      </c>
      <c r="F507" s="433" t="s">
        <v>3051</v>
      </c>
      <c r="G507" s="433" t="s">
        <v>2722</v>
      </c>
      <c r="H507" s="433" t="s">
        <v>2954</v>
      </c>
      <c r="I507" s="433" t="s">
        <v>2766</v>
      </c>
      <c r="J507" s="433" t="s">
        <v>2809</v>
      </c>
      <c r="K507" s="433" t="s">
        <v>2917</v>
      </c>
      <c r="L507" s="433" t="s">
        <v>2677</v>
      </c>
      <c r="M507" s="433" t="s">
        <v>2654</v>
      </c>
      <c r="N507" s="433" t="s">
        <v>2654</v>
      </c>
      <c r="O507" s="433" t="s">
        <v>4320</v>
      </c>
      <c r="P507" s="433" t="s">
        <v>4231</v>
      </c>
      <c r="Q507" s="431"/>
      <c r="R507" s="431"/>
      <c r="S507" s="426" t="s">
        <v>2669</v>
      </c>
      <c r="T507" s="426" t="s">
        <v>3403</v>
      </c>
      <c r="U507" s="426" t="s">
        <v>3404</v>
      </c>
      <c r="V507" s="426" t="s">
        <v>3404</v>
      </c>
      <c r="W507" s="426" t="s">
        <v>3402</v>
      </c>
      <c r="X507" s="426" t="s">
        <v>3097</v>
      </c>
      <c r="Y507" s="426" t="s">
        <v>2888</v>
      </c>
      <c r="Z507" s="426" t="s">
        <v>3013</v>
      </c>
      <c r="AA507" s="426" t="s">
        <v>2803</v>
      </c>
      <c r="AB507" s="426" t="s">
        <v>2996</v>
      </c>
      <c r="AC507" s="426" t="s">
        <v>2646</v>
      </c>
      <c r="AD507" s="426" t="s">
        <v>2646</v>
      </c>
      <c r="AE507" s="426" t="s">
        <v>2646</v>
      </c>
      <c r="AF507" s="426" t="s">
        <v>2646</v>
      </c>
      <c r="AG507" s="426" t="s">
        <v>2646</v>
      </c>
      <c r="AH507" s="426" t="s">
        <v>2646</v>
      </c>
      <c r="AI507" s="426" t="s">
        <v>2646</v>
      </c>
      <c r="AJ507" s="68" t="s">
        <v>2646</v>
      </c>
    </row>
    <row r="508" spans="1:36" hidden="1">
      <c r="A508" s="392" t="s">
        <v>1815</v>
      </c>
      <c r="B508" s="427" t="s">
        <v>2650</v>
      </c>
      <c r="C508" s="433" t="s">
        <v>4239</v>
      </c>
      <c r="D508" s="433" t="s">
        <v>3851</v>
      </c>
      <c r="E508" s="433" t="s">
        <v>2801</v>
      </c>
      <c r="F508" s="433" t="s">
        <v>2908</v>
      </c>
      <c r="G508" s="433" t="s">
        <v>2978</v>
      </c>
      <c r="H508" s="433" t="s">
        <v>3036</v>
      </c>
      <c r="I508" s="433" t="s">
        <v>2921</v>
      </c>
      <c r="J508" s="433" t="s">
        <v>2777</v>
      </c>
      <c r="K508" s="433" t="s">
        <v>2667</v>
      </c>
      <c r="L508" s="433" t="s">
        <v>2656</v>
      </c>
      <c r="M508" s="433" t="s">
        <v>2654</v>
      </c>
      <c r="N508" s="433" t="s">
        <v>2654</v>
      </c>
      <c r="O508" s="433" t="s">
        <v>4043</v>
      </c>
      <c r="P508" s="433" t="s">
        <v>4126</v>
      </c>
      <c r="Q508" s="431"/>
      <c r="R508" s="431"/>
      <c r="S508" s="426" t="s">
        <v>2660</v>
      </c>
      <c r="T508" s="426" t="s">
        <v>3282</v>
      </c>
      <c r="U508" s="426" t="s">
        <v>3406</v>
      </c>
      <c r="V508" s="426" t="s">
        <v>3406</v>
      </c>
      <c r="W508" s="426" t="s">
        <v>3328</v>
      </c>
      <c r="X508" s="426" t="s">
        <v>3407</v>
      </c>
      <c r="Y508" s="426" t="s">
        <v>2888</v>
      </c>
      <c r="Z508" s="426" t="s">
        <v>3172</v>
      </c>
      <c r="AA508" s="426" t="s">
        <v>3378</v>
      </c>
      <c r="AB508" s="426" t="s">
        <v>3103</v>
      </c>
      <c r="AC508" s="426" t="s">
        <v>2646</v>
      </c>
      <c r="AD508" s="426" t="s">
        <v>2646</v>
      </c>
      <c r="AE508" s="426" t="s">
        <v>2646</v>
      </c>
      <c r="AF508" s="426" t="s">
        <v>2646</v>
      </c>
      <c r="AG508" s="426" t="s">
        <v>2646</v>
      </c>
      <c r="AH508" s="426" t="s">
        <v>2646</v>
      </c>
      <c r="AI508" s="426" t="s">
        <v>2646</v>
      </c>
      <c r="AJ508" s="68" t="s">
        <v>2646</v>
      </c>
    </row>
    <row r="509" spans="1:36" hidden="1">
      <c r="A509" s="392" t="s">
        <v>1816</v>
      </c>
      <c r="B509" s="427" t="s">
        <v>2651</v>
      </c>
      <c r="C509" s="433" t="s">
        <v>4321</v>
      </c>
      <c r="D509" s="433" t="s">
        <v>3710</v>
      </c>
      <c r="E509" s="433" t="s">
        <v>2695</v>
      </c>
      <c r="F509" s="433" t="s">
        <v>3036</v>
      </c>
      <c r="G509" s="433" t="s">
        <v>2917</v>
      </c>
      <c r="H509" s="433" t="s">
        <v>2835</v>
      </c>
      <c r="I509" s="433" t="s">
        <v>2849</v>
      </c>
      <c r="J509" s="433" t="s">
        <v>2807</v>
      </c>
      <c r="K509" s="433" t="s">
        <v>2677</v>
      </c>
      <c r="L509" s="433" t="s">
        <v>2656</v>
      </c>
      <c r="M509" s="433" t="s">
        <v>2654</v>
      </c>
      <c r="N509" s="433" t="s">
        <v>2654</v>
      </c>
      <c r="O509" s="433" t="s">
        <v>4322</v>
      </c>
      <c r="P509" s="433" t="s">
        <v>4057</v>
      </c>
      <c r="Q509" s="431"/>
      <c r="R509" s="431"/>
      <c r="S509" s="426" t="s">
        <v>2657</v>
      </c>
      <c r="T509" s="426" t="s">
        <v>2942</v>
      </c>
      <c r="U509" s="426" t="s">
        <v>3410</v>
      </c>
      <c r="V509" s="426" t="s">
        <v>3411</v>
      </c>
      <c r="W509" s="426" t="s">
        <v>3399</v>
      </c>
      <c r="X509" s="426" t="s">
        <v>2893</v>
      </c>
      <c r="Y509" s="426" t="s">
        <v>2888</v>
      </c>
      <c r="Z509" s="426" t="s">
        <v>3013</v>
      </c>
      <c r="AA509" s="426" t="s">
        <v>3393</v>
      </c>
      <c r="AB509" s="426" t="s">
        <v>3103</v>
      </c>
      <c r="AC509" s="426" t="s">
        <v>2646</v>
      </c>
      <c r="AD509" s="426" t="s">
        <v>2646</v>
      </c>
      <c r="AE509" s="426" t="s">
        <v>2646</v>
      </c>
      <c r="AF509" s="426" t="s">
        <v>2646</v>
      </c>
      <c r="AG509" s="426" t="s">
        <v>2646</v>
      </c>
      <c r="AH509" s="426" t="s">
        <v>2646</v>
      </c>
      <c r="AI509" s="426" t="s">
        <v>2646</v>
      </c>
      <c r="AJ509" s="68" t="s">
        <v>2646</v>
      </c>
    </row>
    <row r="510" spans="1:36">
      <c r="A510" s="392" t="s">
        <v>1816</v>
      </c>
      <c r="B510" s="427" t="s">
        <v>48</v>
      </c>
      <c r="C510" s="433" t="s">
        <v>4323</v>
      </c>
      <c r="D510" s="433" t="s">
        <v>3710</v>
      </c>
      <c r="E510" s="433" t="s">
        <v>4324</v>
      </c>
      <c r="F510" s="433" t="s">
        <v>2753</v>
      </c>
      <c r="G510" s="433" t="s">
        <v>4325</v>
      </c>
      <c r="H510" s="433" t="s">
        <v>3047</v>
      </c>
      <c r="I510" s="433" t="s">
        <v>4298</v>
      </c>
      <c r="J510" s="433" t="s">
        <v>3657</v>
      </c>
      <c r="K510" s="433" t="s">
        <v>4285</v>
      </c>
      <c r="L510" s="433" t="s">
        <v>3214</v>
      </c>
      <c r="M510" s="433" t="s">
        <v>2654</v>
      </c>
      <c r="N510" s="433" t="s">
        <v>2654</v>
      </c>
      <c r="O510" s="433" t="s">
        <v>2809</v>
      </c>
      <c r="P510" s="433" t="s">
        <v>2831</v>
      </c>
      <c r="Q510" s="433" t="s">
        <v>2654</v>
      </c>
      <c r="R510" s="433" t="s">
        <v>2654</v>
      </c>
      <c r="S510" s="426"/>
      <c r="T510" s="426"/>
      <c r="U510" s="426"/>
      <c r="V510" s="426"/>
      <c r="W510" s="426"/>
      <c r="X510" s="426"/>
      <c r="Y510" s="426"/>
      <c r="Z510" s="426"/>
      <c r="AA510" s="426"/>
      <c r="AB510" s="426"/>
      <c r="AC510" s="426"/>
      <c r="AD510" s="426"/>
      <c r="AE510" s="426"/>
      <c r="AF510" s="426"/>
      <c r="AG510" s="426"/>
      <c r="AH510" s="426"/>
      <c r="AI510" s="426"/>
    </row>
    <row r="511" spans="1:36" hidden="1">
      <c r="A511" s="392" t="s">
        <v>1817</v>
      </c>
      <c r="B511" s="427" t="s">
        <v>2647</v>
      </c>
      <c r="C511" s="433" t="s">
        <v>4326</v>
      </c>
      <c r="D511" s="433" t="s">
        <v>3710</v>
      </c>
      <c r="E511" s="433" t="s">
        <v>2754</v>
      </c>
      <c r="F511" s="433" t="s">
        <v>2970</v>
      </c>
      <c r="G511" s="433" t="s">
        <v>2687</v>
      </c>
      <c r="H511" s="433" t="s">
        <v>2870</v>
      </c>
      <c r="I511" s="433" t="s">
        <v>2724</v>
      </c>
      <c r="J511" s="433" t="s">
        <v>2656</v>
      </c>
      <c r="K511" s="433" t="s">
        <v>2678</v>
      </c>
      <c r="L511" s="433" t="s">
        <v>2654</v>
      </c>
      <c r="M511" s="433" t="s">
        <v>2654</v>
      </c>
      <c r="N511" s="433" t="s">
        <v>2654</v>
      </c>
      <c r="O511" s="433" t="s">
        <v>2826</v>
      </c>
      <c r="P511" s="433" t="s">
        <v>4087</v>
      </c>
      <c r="Q511" s="431"/>
      <c r="R511" s="431"/>
      <c r="S511" s="426" t="s">
        <v>2660</v>
      </c>
      <c r="T511" s="426" t="s">
        <v>3314</v>
      </c>
      <c r="U511" s="426" t="s">
        <v>3412</v>
      </c>
      <c r="V511" s="426" t="s">
        <v>3413</v>
      </c>
      <c r="W511" s="426" t="s">
        <v>3399</v>
      </c>
      <c r="X511" s="426" t="s">
        <v>3414</v>
      </c>
      <c r="Y511" s="426" t="s">
        <v>2662</v>
      </c>
      <c r="Z511" s="426" t="s">
        <v>3013</v>
      </c>
      <c r="AA511" s="426" t="s">
        <v>3415</v>
      </c>
      <c r="AB511" s="426" t="s">
        <v>2646</v>
      </c>
      <c r="AC511" s="426" t="s">
        <v>2646</v>
      </c>
      <c r="AD511" s="426" t="s">
        <v>2646</v>
      </c>
      <c r="AE511" s="426" t="s">
        <v>2646</v>
      </c>
      <c r="AF511" s="426" t="s">
        <v>2646</v>
      </c>
      <c r="AG511" s="426" t="s">
        <v>2646</v>
      </c>
      <c r="AH511" s="426" t="s">
        <v>2646</v>
      </c>
      <c r="AI511" s="426" t="s">
        <v>2646</v>
      </c>
      <c r="AJ511" s="68" t="s">
        <v>2646</v>
      </c>
    </row>
    <row r="512" spans="1:36" hidden="1">
      <c r="A512" s="392" t="s">
        <v>1818</v>
      </c>
      <c r="B512" s="427" t="s">
        <v>2648</v>
      </c>
      <c r="C512" s="433" t="s">
        <v>3814</v>
      </c>
      <c r="D512" s="433" t="s">
        <v>3710</v>
      </c>
      <c r="E512" s="433" t="s">
        <v>2707</v>
      </c>
      <c r="F512" s="433" t="s">
        <v>2738</v>
      </c>
      <c r="G512" s="433" t="s">
        <v>2674</v>
      </c>
      <c r="H512" s="433" t="s">
        <v>2667</v>
      </c>
      <c r="I512" s="433" t="s">
        <v>2708</v>
      </c>
      <c r="J512" s="433" t="s">
        <v>2654</v>
      </c>
      <c r="K512" s="433" t="s">
        <v>2654</v>
      </c>
      <c r="L512" s="433" t="s">
        <v>2654</v>
      </c>
      <c r="M512" s="433" t="s">
        <v>2654</v>
      </c>
      <c r="N512" s="433" t="s">
        <v>2654</v>
      </c>
      <c r="O512" s="433" t="s">
        <v>4327</v>
      </c>
      <c r="P512" s="433" t="s">
        <v>4078</v>
      </c>
      <c r="Q512" s="431"/>
      <c r="R512" s="431"/>
      <c r="S512" s="426" t="s">
        <v>2778</v>
      </c>
      <c r="T512" s="426" t="s">
        <v>3417</v>
      </c>
      <c r="U512" s="426" t="s">
        <v>3418</v>
      </c>
      <c r="V512" s="426" t="s">
        <v>3418</v>
      </c>
      <c r="W512" s="426" t="s">
        <v>3419</v>
      </c>
      <c r="X512" s="426" t="s">
        <v>3420</v>
      </c>
      <c r="Y512" s="426" t="s">
        <v>2662</v>
      </c>
      <c r="Z512" s="426" t="s">
        <v>3052</v>
      </c>
      <c r="AA512" s="426" t="s">
        <v>3125</v>
      </c>
      <c r="AB512" s="426" t="s">
        <v>2646</v>
      </c>
      <c r="AC512" s="426" t="s">
        <v>2646</v>
      </c>
      <c r="AD512" s="426" t="s">
        <v>2646</v>
      </c>
      <c r="AE512" s="426" t="s">
        <v>2646</v>
      </c>
      <c r="AF512" s="426" t="s">
        <v>2646</v>
      </c>
      <c r="AG512" s="426" t="s">
        <v>2646</v>
      </c>
      <c r="AH512" s="426" t="s">
        <v>2646</v>
      </c>
      <c r="AI512" s="426" t="s">
        <v>2646</v>
      </c>
      <c r="AJ512" s="68" t="s">
        <v>2646</v>
      </c>
    </row>
    <row r="513" spans="1:36" hidden="1">
      <c r="A513" s="392" t="s">
        <v>1819</v>
      </c>
      <c r="B513" s="427" t="s">
        <v>2649</v>
      </c>
      <c r="C513" s="433" t="s">
        <v>4328</v>
      </c>
      <c r="D513" s="433" t="s">
        <v>3364</v>
      </c>
      <c r="E513" s="433" t="s">
        <v>2916</v>
      </c>
      <c r="F513" s="433" t="s">
        <v>2978</v>
      </c>
      <c r="G513" s="433" t="s">
        <v>2753</v>
      </c>
      <c r="H513" s="433" t="s">
        <v>2921</v>
      </c>
      <c r="I513" s="433" t="s">
        <v>2807</v>
      </c>
      <c r="J513" s="433" t="s">
        <v>2654</v>
      </c>
      <c r="K513" s="433" t="s">
        <v>2654</v>
      </c>
      <c r="L513" s="433" t="s">
        <v>2654</v>
      </c>
      <c r="M513" s="433" t="s">
        <v>2654</v>
      </c>
      <c r="N513" s="433" t="s">
        <v>2654</v>
      </c>
      <c r="O513" s="433" t="s">
        <v>4329</v>
      </c>
      <c r="P513" s="433" t="s">
        <v>4087</v>
      </c>
      <c r="Q513" s="431"/>
      <c r="R513" s="431"/>
      <c r="S513" s="426" t="s">
        <v>3422</v>
      </c>
      <c r="T513" s="426" t="s">
        <v>3140</v>
      </c>
      <c r="U513" s="426" t="s">
        <v>3423</v>
      </c>
      <c r="V513" s="426" t="s">
        <v>3423</v>
      </c>
      <c r="W513" s="426" t="s">
        <v>3419</v>
      </c>
      <c r="X513" s="426" t="s">
        <v>3420</v>
      </c>
      <c r="Y513" s="426" t="s">
        <v>2662</v>
      </c>
      <c r="Z513" s="426" t="s">
        <v>3052</v>
      </c>
      <c r="AA513" s="426" t="s">
        <v>3114</v>
      </c>
      <c r="AB513" s="426" t="s">
        <v>2646</v>
      </c>
      <c r="AC513" s="426" t="s">
        <v>2646</v>
      </c>
      <c r="AD513" s="426" t="s">
        <v>2646</v>
      </c>
      <c r="AE513" s="426" t="s">
        <v>2646</v>
      </c>
      <c r="AF513" s="426" t="s">
        <v>2646</v>
      </c>
      <c r="AG513" s="426" t="s">
        <v>2646</v>
      </c>
      <c r="AH513" s="426" t="s">
        <v>2646</v>
      </c>
      <c r="AI513" s="426" t="s">
        <v>2646</v>
      </c>
      <c r="AJ513" s="68" t="s">
        <v>2646</v>
      </c>
    </row>
    <row r="514" spans="1:36" hidden="1">
      <c r="A514" s="392" t="s">
        <v>1820</v>
      </c>
      <c r="B514" s="427" t="s">
        <v>2650</v>
      </c>
      <c r="C514" s="433" t="s">
        <v>4330</v>
      </c>
      <c r="D514" s="433" t="s">
        <v>3710</v>
      </c>
      <c r="E514" s="433" t="s">
        <v>2707</v>
      </c>
      <c r="F514" s="433" t="s">
        <v>2767</v>
      </c>
      <c r="G514" s="433" t="s">
        <v>2714</v>
      </c>
      <c r="H514" s="433" t="s">
        <v>2773</v>
      </c>
      <c r="I514" s="433" t="s">
        <v>2899</v>
      </c>
      <c r="J514" s="433" t="s">
        <v>2708</v>
      </c>
      <c r="K514" s="433" t="s">
        <v>2654</v>
      </c>
      <c r="L514" s="433" t="s">
        <v>2654</v>
      </c>
      <c r="M514" s="433" t="s">
        <v>2654</v>
      </c>
      <c r="N514" s="433" t="s">
        <v>2654</v>
      </c>
      <c r="O514" s="433" t="s">
        <v>3616</v>
      </c>
      <c r="P514" s="433" t="s">
        <v>4061</v>
      </c>
      <c r="Q514" s="431"/>
      <c r="R514" s="431"/>
      <c r="S514" s="426" t="s">
        <v>3187</v>
      </c>
      <c r="T514" s="426" t="s">
        <v>3298</v>
      </c>
      <c r="U514" s="426" t="s">
        <v>3274</v>
      </c>
      <c r="V514" s="426" t="s">
        <v>3274</v>
      </c>
      <c r="W514" s="426" t="s">
        <v>3402</v>
      </c>
      <c r="X514" s="426" t="s">
        <v>3101</v>
      </c>
      <c r="Y514" s="426" t="s">
        <v>2662</v>
      </c>
      <c r="Z514" s="426" t="s">
        <v>3013</v>
      </c>
      <c r="AA514" s="426" t="s">
        <v>3378</v>
      </c>
      <c r="AB514" s="426" t="s">
        <v>2646</v>
      </c>
      <c r="AC514" s="426" t="s">
        <v>2646</v>
      </c>
      <c r="AD514" s="426" t="s">
        <v>2646</v>
      </c>
      <c r="AE514" s="426" t="s">
        <v>2646</v>
      </c>
      <c r="AF514" s="426" t="s">
        <v>2646</v>
      </c>
      <c r="AG514" s="426" t="s">
        <v>2646</v>
      </c>
      <c r="AH514" s="426" t="s">
        <v>2646</v>
      </c>
      <c r="AI514" s="426" t="s">
        <v>2646</v>
      </c>
      <c r="AJ514" s="68" t="s">
        <v>2646</v>
      </c>
    </row>
    <row r="515" spans="1:36" hidden="1">
      <c r="A515" s="392" t="s">
        <v>1821</v>
      </c>
      <c r="B515" s="427" t="s">
        <v>2651</v>
      </c>
      <c r="C515" s="433" t="s">
        <v>3840</v>
      </c>
      <c r="D515" s="433" t="s">
        <v>3710</v>
      </c>
      <c r="E515" s="433" t="s">
        <v>2907</v>
      </c>
      <c r="F515" s="433" t="s">
        <v>2994</v>
      </c>
      <c r="G515" s="433" t="s">
        <v>2700</v>
      </c>
      <c r="H515" s="433" t="s">
        <v>2677</v>
      </c>
      <c r="I515" s="433" t="s">
        <v>2680</v>
      </c>
      <c r="J515" s="433" t="s">
        <v>2654</v>
      </c>
      <c r="K515" s="433" t="s">
        <v>2654</v>
      </c>
      <c r="L515" s="433" t="s">
        <v>2654</v>
      </c>
      <c r="M515" s="433" t="s">
        <v>2654</v>
      </c>
      <c r="N515" s="433" t="s">
        <v>2654</v>
      </c>
      <c r="O515" s="433" t="s">
        <v>4331</v>
      </c>
      <c r="P515" s="433" t="s">
        <v>4078</v>
      </c>
      <c r="Q515" s="431"/>
      <c r="R515" s="431"/>
      <c r="S515" s="426" t="s">
        <v>2655</v>
      </c>
      <c r="T515" s="426" t="s">
        <v>3314</v>
      </c>
      <c r="U515" s="426" t="s">
        <v>3412</v>
      </c>
      <c r="V515" s="426" t="s">
        <v>3426</v>
      </c>
      <c r="W515" s="426" t="s">
        <v>3419</v>
      </c>
      <c r="X515" s="426" t="s">
        <v>3420</v>
      </c>
      <c r="Y515" s="426" t="s">
        <v>2662</v>
      </c>
      <c r="Z515" s="426" t="s">
        <v>3172</v>
      </c>
      <c r="AA515" s="426" t="s">
        <v>3125</v>
      </c>
      <c r="AB515" s="426" t="s">
        <v>2646</v>
      </c>
      <c r="AC515" s="426" t="s">
        <v>2646</v>
      </c>
      <c r="AD515" s="426" t="s">
        <v>2646</v>
      </c>
      <c r="AE515" s="426" t="s">
        <v>2646</v>
      </c>
      <c r="AF515" s="426" t="s">
        <v>2646</v>
      </c>
      <c r="AG515" s="426" t="s">
        <v>2646</v>
      </c>
      <c r="AH515" s="426" t="s">
        <v>2646</v>
      </c>
      <c r="AI515" s="426" t="s">
        <v>2646</v>
      </c>
      <c r="AJ515" s="68" t="s">
        <v>2646</v>
      </c>
    </row>
    <row r="516" spans="1:36">
      <c r="A516" s="392" t="s">
        <v>1821</v>
      </c>
      <c r="B516" s="427" t="s">
        <v>48</v>
      </c>
      <c r="C516" s="433" t="s">
        <v>4332</v>
      </c>
      <c r="D516" s="433" t="s">
        <v>3874</v>
      </c>
      <c r="E516" s="433" t="s">
        <v>2948</v>
      </c>
      <c r="F516" s="433" t="s">
        <v>4032</v>
      </c>
      <c r="G516" s="433" t="s">
        <v>4006</v>
      </c>
      <c r="H516" s="433" t="s">
        <v>3994</v>
      </c>
      <c r="I516" s="433" t="s">
        <v>2791</v>
      </c>
      <c r="J516" s="433" t="s">
        <v>3008</v>
      </c>
      <c r="K516" s="433" t="s">
        <v>2668</v>
      </c>
      <c r="L516" s="433" t="s">
        <v>2654</v>
      </c>
      <c r="M516" s="433" t="s">
        <v>2654</v>
      </c>
      <c r="N516" s="433" t="s">
        <v>2654</v>
      </c>
      <c r="O516" s="433" t="s">
        <v>4333</v>
      </c>
      <c r="P516" s="433" t="s">
        <v>3457</v>
      </c>
      <c r="Q516" s="433" t="s">
        <v>2654</v>
      </c>
      <c r="R516" s="433" t="s">
        <v>2654</v>
      </c>
      <c r="S516" s="426"/>
      <c r="T516" s="426"/>
      <c r="U516" s="426"/>
      <c r="V516" s="426"/>
      <c r="W516" s="426"/>
      <c r="X516" s="426"/>
      <c r="Y516" s="426"/>
      <c r="Z516" s="426"/>
      <c r="AA516" s="426"/>
      <c r="AB516" s="426"/>
      <c r="AC516" s="426"/>
      <c r="AD516" s="426"/>
      <c r="AE516" s="426"/>
      <c r="AF516" s="426"/>
      <c r="AG516" s="426"/>
      <c r="AH516" s="426"/>
      <c r="AI516" s="426"/>
    </row>
    <row r="517" spans="1:36" hidden="1">
      <c r="A517" s="392" t="s">
        <v>1822</v>
      </c>
      <c r="B517" s="427" t="s">
        <v>2647</v>
      </c>
      <c r="C517" s="433" t="s">
        <v>3748</v>
      </c>
      <c r="D517" s="433" t="s">
        <v>3364</v>
      </c>
      <c r="E517" s="433" t="s">
        <v>2896</v>
      </c>
      <c r="F517" s="433" t="s">
        <v>2708</v>
      </c>
      <c r="G517" s="433" t="s">
        <v>2654</v>
      </c>
      <c r="H517" s="433" t="s">
        <v>2654</v>
      </c>
      <c r="I517" s="433" t="s">
        <v>2654</v>
      </c>
      <c r="J517" s="433" t="s">
        <v>2654</v>
      </c>
      <c r="K517" s="433" t="s">
        <v>2654</v>
      </c>
      <c r="L517" s="433" t="s">
        <v>2654</v>
      </c>
      <c r="M517" s="433" t="s">
        <v>2654</v>
      </c>
      <c r="N517" s="433" t="s">
        <v>2654</v>
      </c>
      <c r="O517" s="433" t="s">
        <v>2985</v>
      </c>
      <c r="P517" s="433" t="s">
        <v>4093</v>
      </c>
      <c r="Q517" s="431"/>
      <c r="R517" s="431"/>
      <c r="S517" s="426" t="s">
        <v>2669</v>
      </c>
      <c r="T517" s="426" t="s">
        <v>3269</v>
      </c>
      <c r="U517" s="426" t="s">
        <v>3269</v>
      </c>
      <c r="V517" s="426" t="s">
        <v>3269</v>
      </c>
      <c r="W517" s="426" t="s">
        <v>3427</v>
      </c>
      <c r="X517" s="426" t="s">
        <v>3428</v>
      </c>
      <c r="Y517" s="426" t="s">
        <v>2728</v>
      </c>
      <c r="Z517" s="426" t="s">
        <v>3052</v>
      </c>
      <c r="AA517" s="426" t="s">
        <v>2646</v>
      </c>
      <c r="AB517" s="426" t="s">
        <v>2646</v>
      </c>
      <c r="AC517" s="426" t="s">
        <v>2646</v>
      </c>
      <c r="AD517" s="426" t="s">
        <v>2646</v>
      </c>
      <c r="AE517" s="426" t="s">
        <v>2646</v>
      </c>
      <c r="AF517" s="426" t="s">
        <v>2646</v>
      </c>
      <c r="AG517" s="426" t="s">
        <v>2646</v>
      </c>
      <c r="AH517" s="426" t="s">
        <v>2646</v>
      </c>
      <c r="AI517" s="426" t="s">
        <v>2646</v>
      </c>
      <c r="AJ517" s="68" t="s">
        <v>2646</v>
      </c>
    </row>
    <row r="518" spans="1:36" hidden="1">
      <c r="A518" s="392" t="s">
        <v>1823</v>
      </c>
      <c r="B518" s="427" t="s">
        <v>2648</v>
      </c>
      <c r="C518" s="433" t="s">
        <v>3626</v>
      </c>
      <c r="D518" s="433" t="s">
        <v>3710</v>
      </c>
      <c r="E518" s="433" t="s">
        <v>2791</v>
      </c>
      <c r="F518" s="433" t="s">
        <v>2656</v>
      </c>
      <c r="G518" s="433" t="s">
        <v>2680</v>
      </c>
      <c r="H518" s="433" t="s">
        <v>2654</v>
      </c>
      <c r="I518" s="433" t="s">
        <v>2654</v>
      </c>
      <c r="J518" s="433" t="s">
        <v>2654</v>
      </c>
      <c r="K518" s="433" t="s">
        <v>2654</v>
      </c>
      <c r="L518" s="433" t="s">
        <v>2654</v>
      </c>
      <c r="M518" s="433" t="s">
        <v>2654</v>
      </c>
      <c r="N518" s="433" t="s">
        <v>2654</v>
      </c>
      <c r="O518" s="433" t="s">
        <v>2979</v>
      </c>
      <c r="P518" s="433" t="s">
        <v>4087</v>
      </c>
      <c r="Q518" s="431"/>
      <c r="R518" s="431"/>
      <c r="S518" s="426" t="s">
        <v>2778</v>
      </c>
      <c r="T518" s="426" t="s">
        <v>3320</v>
      </c>
      <c r="U518" s="426" t="s">
        <v>3418</v>
      </c>
      <c r="V518" s="426" t="s">
        <v>2942</v>
      </c>
      <c r="W518" s="426" t="s">
        <v>3399</v>
      </c>
      <c r="X518" s="426" t="s">
        <v>2940</v>
      </c>
      <c r="Y518" s="426" t="s">
        <v>2671</v>
      </c>
      <c r="Z518" s="426" t="s">
        <v>3052</v>
      </c>
      <c r="AA518" s="426" t="s">
        <v>3117</v>
      </c>
      <c r="AB518" s="426" t="s">
        <v>2646</v>
      </c>
      <c r="AC518" s="426" t="s">
        <v>2646</v>
      </c>
      <c r="AD518" s="426" t="s">
        <v>2646</v>
      </c>
      <c r="AE518" s="426" t="s">
        <v>2646</v>
      </c>
      <c r="AF518" s="426" t="s">
        <v>2646</v>
      </c>
      <c r="AG518" s="426" t="s">
        <v>2646</v>
      </c>
      <c r="AH518" s="426" t="s">
        <v>2646</v>
      </c>
      <c r="AI518" s="426" t="s">
        <v>2646</v>
      </c>
      <c r="AJ518" s="68" t="s">
        <v>2646</v>
      </c>
    </row>
    <row r="519" spans="1:36" hidden="1">
      <c r="A519" s="392" t="s">
        <v>1824</v>
      </c>
      <c r="B519" s="427" t="s">
        <v>2649</v>
      </c>
      <c r="C519" s="433" t="s">
        <v>3751</v>
      </c>
      <c r="D519" s="433" t="s">
        <v>3364</v>
      </c>
      <c r="E519" s="433" t="s">
        <v>2674</v>
      </c>
      <c r="F519" s="433" t="s">
        <v>2732</v>
      </c>
      <c r="G519" s="433" t="s">
        <v>2654</v>
      </c>
      <c r="H519" s="433" t="s">
        <v>2654</v>
      </c>
      <c r="I519" s="433" t="s">
        <v>2654</v>
      </c>
      <c r="J519" s="433" t="s">
        <v>2654</v>
      </c>
      <c r="K519" s="433" t="s">
        <v>2654</v>
      </c>
      <c r="L519" s="433" t="s">
        <v>2654</v>
      </c>
      <c r="M519" s="433" t="s">
        <v>2654</v>
      </c>
      <c r="N519" s="433" t="s">
        <v>2654</v>
      </c>
      <c r="O519" s="433" t="s">
        <v>2800</v>
      </c>
      <c r="P519" s="433" t="s">
        <v>4080</v>
      </c>
      <c r="Q519" s="431"/>
      <c r="R519" s="431"/>
      <c r="S519" s="426" t="s">
        <v>2655</v>
      </c>
      <c r="T519" s="426" t="s">
        <v>3429</v>
      </c>
      <c r="U519" s="426" t="s">
        <v>3401</v>
      </c>
      <c r="V519" s="426" t="s">
        <v>3401</v>
      </c>
      <c r="W519" s="426" t="s">
        <v>3427</v>
      </c>
      <c r="X519" s="426" t="s">
        <v>3428</v>
      </c>
      <c r="Y519" s="426" t="s">
        <v>2728</v>
      </c>
      <c r="Z519" s="426" t="s">
        <v>3152</v>
      </c>
      <c r="AA519" s="426" t="s">
        <v>2646</v>
      </c>
      <c r="AB519" s="426" t="s">
        <v>2646</v>
      </c>
      <c r="AC519" s="426" t="s">
        <v>2646</v>
      </c>
      <c r="AD519" s="426" t="s">
        <v>2646</v>
      </c>
      <c r="AE519" s="426" t="s">
        <v>2646</v>
      </c>
      <c r="AF519" s="426" t="s">
        <v>2646</v>
      </c>
      <c r="AG519" s="426" t="s">
        <v>2646</v>
      </c>
      <c r="AH519" s="426" t="s">
        <v>2646</v>
      </c>
      <c r="AI519" s="426" t="s">
        <v>2646</v>
      </c>
      <c r="AJ519" s="68" t="s">
        <v>2646</v>
      </c>
    </row>
    <row r="520" spans="1:36" hidden="1">
      <c r="A520" s="392" t="s">
        <v>1825</v>
      </c>
      <c r="B520" s="427" t="s">
        <v>2650</v>
      </c>
      <c r="C520" s="433" t="s">
        <v>3743</v>
      </c>
      <c r="D520" s="433" t="s">
        <v>3851</v>
      </c>
      <c r="E520" s="433" t="s">
        <v>2896</v>
      </c>
      <c r="F520" s="433" t="s">
        <v>2724</v>
      </c>
      <c r="G520" s="433" t="s">
        <v>2654</v>
      </c>
      <c r="H520" s="433" t="s">
        <v>2654</v>
      </c>
      <c r="I520" s="433" t="s">
        <v>2654</v>
      </c>
      <c r="J520" s="433" t="s">
        <v>2654</v>
      </c>
      <c r="K520" s="433" t="s">
        <v>2654</v>
      </c>
      <c r="L520" s="433" t="s">
        <v>2654</v>
      </c>
      <c r="M520" s="433" t="s">
        <v>2654</v>
      </c>
      <c r="N520" s="433" t="s">
        <v>2654</v>
      </c>
      <c r="O520" s="433" t="s">
        <v>2659</v>
      </c>
      <c r="P520" s="433" t="s">
        <v>4087</v>
      </c>
      <c r="Q520" s="431"/>
      <c r="R520" s="431"/>
      <c r="S520" s="426" t="s">
        <v>2655</v>
      </c>
      <c r="T520" s="426" t="s">
        <v>3430</v>
      </c>
      <c r="U520" s="426" t="s">
        <v>3418</v>
      </c>
      <c r="V520" s="426" t="s">
        <v>2852</v>
      </c>
      <c r="W520" s="426" t="s">
        <v>3399</v>
      </c>
      <c r="X520" s="426" t="s">
        <v>2940</v>
      </c>
      <c r="Y520" s="426" t="s">
        <v>2671</v>
      </c>
      <c r="Z520" s="426" t="s">
        <v>3229</v>
      </c>
      <c r="AA520" s="426" t="s">
        <v>3066</v>
      </c>
      <c r="AB520" s="426" t="s">
        <v>2646</v>
      </c>
      <c r="AC520" s="426" t="s">
        <v>2646</v>
      </c>
      <c r="AD520" s="426" t="s">
        <v>2646</v>
      </c>
      <c r="AE520" s="426" t="s">
        <v>2646</v>
      </c>
      <c r="AF520" s="426" t="s">
        <v>2646</v>
      </c>
      <c r="AG520" s="426" t="s">
        <v>2646</v>
      </c>
      <c r="AH520" s="426" t="s">
        <v>2646</v>
      </c>
      <c r="AI520" s="426" t="s">
        <v>2646</v>
      </c>
      <c r="AJ520" s="68" t="s">
        <v>2646</v>
      </c>
    </row>
    <row r="521" spans="1:36" hidden="1">
      <c r="A521" s="392" t="s">
        <v>1826</v>
      </c>
      <c r="B521" s="427" t="s">
        <v>2651</v>
      </c>
      <c r="C521" s="433" t="s">
        <v>3659</v>
      </c>
      <c r="D521" s="433" t="s">
        <v>3722</v>
      </c>
      <c r="E521" s="433" t="s">
        <v>2807</v>
      </c>
      <c r="F521" s="433" t="s">
        <v>2678</v>
      </c>
      <c r="G521" s="433" t="s">
        <v>2654</v>
      </c>
      <c r="H521" s="433" t="s">
        <v>2654</v>
      </c>
      <c r="I521" s="433" t="s">
        <v>2654</v>
      </c>
      <c r="J521" s="433" t="s">
        <v>2654</v>
      </c>
      <c r="K521" s="433" t="s">
        <v>2654</v>
      </c>
      <c r="L521" s="433" t="s">
        <v>2654</v>
      </c>
      <c r="M521" s="433" t="s">
        <v>2654</v>
      </c>
      <c r="N521" s="433" t="s">
        <v>2654</v>
      </c>
      <c r="O521" s="433" t="s">
        <v>2668</v>
      </c>
      <c r="P521" s="433" t="s">
        <v>4078</v>
      </c>
      <c r="Q521" s="431"/>
      <c r="R521" s="431"/>
      <c r="S521" s="426" t="s">
        <v>2660</v>
      </c>
      <c r="T521" s="426" t="s">
        <v>3196</v>
      </c>
      <c r="U521" s="426" t="s">
        <v>3412</v>
      </c>
      <c r="V521" s="426" t="s">
        <v>3301</v>
      </c>
      <c r="W521" s="426" t="s">
        <v>3399</v>
      </c>
      <c r="X521" s="426" t="s">
        <v>2940</v>
      </c>
      <c r="Y521" s="426" t="s">
        <v>2671</v>
      </c>
      <c r="Z521" s="426" t="s">
        <v>3172</v>
      </c>
      <c r="AA521" s="426" t="s">
        <v>2646</v>
      </c>
      <c r="AB521" s="426" t="s">
        <v>2646</v>
      </c>
      <c r="AC521" s="426" t="s">
        <v>2646</v>
      </c>
      <c r="AD521" s="426" t="s">
        <v>2646</v>
      </c>
      <c r="AE521" s="426" t="s">
        <v>2646</v>
      </c>
      <c r="AF521" s="426" t="s">
        <v>2646</v>
      </c>
      <c r="AG521" s="426" t="s">
        <v>2646</v>
      </c>
      <c r="AH521" s="426" t="s">
        <v>2646</v>
      </c>
      <c r="AI521" s="426" t="s">
        <v>2646</v>
      </c>
      <c r="AJ521" s="68" t="s">
        <v>2646</v>
      </c>
    </row>
    <row r="522" spans="1:36">
      <c r="A522" s="392" t="s">
        <v>1826</v>
      </c>
      <c r="B522" s="427" t="s">
        <v>48</v>
      </c>
      <c r="C522" s="433" t="s">
        <v>4334</v>
      </c>
      <c r="D522" s="433" t="s">
        <v>4335</v>
      </c>
      <c r="E522" s="433" t="s">
        <v>3457</v>
      </c>
      <c r="F522" s="433" t="s">
        <v>3214</v>
      </c>
      <c r="G522" s="433" t="s">
        <v>2683</v>
      </c>
      <c r="H522" s="433" t="s">
        <v>2654</v>
      </c>
      <c r="I522" s="433" t="s">
        <v>2654</v>
      </c>
      <c r="J522" s="433" t="s">
        <v>2654</v>
      </c>
      <c r="K522" s="433" t="s">
        <v>2654</v>
      </c>
      <c r="L522" s="433" t="s">
        <v>2654</v>
      </c>
      <c r="M522" s="433" t="s">
        <v>2654</v>
      </c>
      <c r="N522" s="433" t="s">
        <v>2654</v>
      </c>
      <c r="O522" s="433" t="s">
        <v>2934</v>
      </c>
      <c r="P522" s="433" t="s">
        <v>3649</v>
      </c>
      <c r="Q522" s="433" t="s">
        <v>2654</v>
      </c>
      <c r="R522" s="433" t="s">
        <v>2654</v>
      </c>
      <c r="S522" s="426"/>
      <c r="T522" s="426"/>
      <c r="U522" s="426"/>
      <c r="V522" s="426"/>
      <c r="W522" s="426"/>
      <c r="X522" s="426"/>
      <c r="Y522" s="426"/>
      <c r="Z522" s="426"/>
      <c r="AA522" s="426"/>
      <c r="AB522" s="426"/>
      <c r="AC522" s="426"/>
      <c r="AD522" s="426"/>
      <c r="AE522" s="426"/>
      <c r="AF522" s="426"/>
      <c r="AG522" s="426"/>
      <c r="AH522" s="426"/>
      <c r="AI522" s="426"/>
    </row>
    <row r="523" spans="1:36" hidden="1">
      <c r="A523" s="392" t="s">
        <v>1827</v>
      </c>
      <c r="B523" s="427" t="s">
        <v>2647</v>
      </c>
      <c r="C523" s="433" t="s">
        <v>3631</v>
      </c>
      <c r="D523" s="433" t="s">
        <v>3851</v>
      </c>
      <c r="E523" s="433" t="s">
        <v>2791</v>
      </c>
      <c r="F523" s="433" t="s">
        <v>2654</v>
      </c>
      <c r="G523" s="433" t="s">
        <v>2654</v>
      </c>
      <c r="H523" s="433" t="s">
        <v>2654</v>
      </c>
      <c r="I523" s="433" t="s">
        <v>2654</v>
      </c>
      <c r="J523" s="433" t="s">
        <v>2654</v>
      </c>
      <c r="K523" s="433" t="s">
        <v>2654</v>
      </c>
      <c r="L523" s="433" t="s">
        <v>2654</v>
      </c>
      <c r="M523" s="433" t="s">
        <v>2654</v>
      </c>
      <c r="N523" s="433" t="s">
        <v>2654</v>
      </c>
      <c r="O523" s="433" t="s">
        <v>2793</v>
      </c>
      <c r="P523" s="433" t="s">
        <v>4080</v>
      </c>
      <c r="Q523" s="431"/>
      <c r="R523" s="431"/>
      <c r="S523" s="426" t="s">
        <v>2660</v>
      </c>
      <c r="T523" s="426" t="s">
        <v>3291</v>
      </c>
      <c r="U523" s="426" t="s">
        <v>3299</v>
      </c>
      <c r="V523" s="426" t="s">
        <v>3299</v>
      </c>
      <c r="W523" s="426" t="s">
        <v>3399</v>
      </c>
      <c r="X523" s="426" t="s">
        <v>3318</v>
      </c>
      <c r="Y523" s="426" t="s">
        <v>2813</v>
      </c>
      <c r="Z523" s="426" t="s">
        <v>2646</v>
      </c>
      <c r="AA523" s="426" t="s">
        <v>2646</v>
      </c>
      <c r="AB523" s="426" t="s">
        <v>2646</v>
      </c>
      <c r="AC523" s="426" t="s">
        <v>2646</v>
      </c>
      <c r="AD523" s="426" t="s">
        <v>2646</v>
      </c>
      <c r="AE523" s="426" t="s">
        <v>2646</v>
      </c>
      <c r="AF523" s="426" t="s">
        <v>2646</v>
      </c>
      <c r="AG523" s="426" t="s">
        <v>2646</v>
      </c>
      <c r="AH523" s="426" t="s">
        <v>2646</v>
      </c>
      <c r="AI523" s="426" t="s">
        <v>2646</v>
      </c>
      <c r="AJ523" s="68" t="s">
        <v>2646</v>
      </c>
    </row>
    <row r="524" spans="1:36" hidden="1">
      <c r="A524" s="392" t="s">
        <v>1828</v>
      </c>
      <c r="B524" s="427" t="s">
        <v>2648</v>
      </c>
      <c r="C524" s="433" t="s">
        <v>3719</v>
      </c>
      <c r="D524" s="433" t="s">
        <v>3364</v>
      </c>
      <c r="E524" s="433" t="s">
        <v>2825</v>
      </c>
      <c r="F524" s="433" t="s">
        <v>2654</v>
      </c>
      <c r="G524" s="433" t="s">
        <v>2654</v>
      </c>
      <c r="H524" s="433" t="s">
        <v>2654</v>
      </c>
      <c r="I524" s="433" t="s">
        <v>2654</v>
      </c>
      <c r="J524" s="433" t="s">
        <v>2654</v>
      </c>
      <c r="K524" s="433" t="s">
        <v>2654</v>
      </c>
      <c r="L524" s="433" t="s">
        <v>2654</v>
      </c>
      <c r="M524" s="433" t="s">
        <v>2654</v>
      </c>
      <c r="N524" s="433" t="s">
        <v>2654</v>
      </c>
      <c r="O524" s="433" t="s">
        <v>2793</v>
      </c>
      <c r="P524" s="433" t="s">
        <v>4233</v>
      </c>
      <c r="Q524" s="431"/>
      <c r="R524" s="431"/>
      <c r="S524" s="426" t="s">
        <v>2658</v>
      </c>
      <c r="T524" s="426" t="s">
        <v>3431</v>
      </c>
      <c r="U524" s="426" t="s">
        <v>3432</v>
      </c>
      <c r="V524" s="426" t="s">
        <v>3432</v>
      </c>
      <c r="W524" s="426" t="s">
        <v>3433</v>
      </c>
      <c r="X524" s="426" t="s">
        <v>3434</v>
      </c>
      <c r="Y524" s="426" t="s">
        <v>2813</v>
      </c>
      <c r="Z524" s="426" t="s">
        <v>2821</v>
      </c>
      <c r="AA524" s="426" t="s">
        <v>2646</v>
      </c>
      <c r="AB524" s="426" t="s">
        <v>2646</v>
      </c>
      <c r="AC524" s="426" t="s">
        <v>2646</v>
      </c>
      <c r="AD524" s="426" t="s">
        <v>2646</v>
      </c>
      <c r="AE524" s="426" t="s">
        <v>2646</v>
      </c>
      <c r="AF524" s="426" t="s">
        <v>2646</v>
      </c>
      <c r="AG524" s="426" t="s">
        <v>2646</v>
      </c>
      <c r="AH524" s="426" t="s">
        <v>2646</v>
      </c>
      <c r="AI524" s="426" t="s">
        <v>2646</v>
      </c>
      <c r="AJ524" s="68" t="s">
        <v>2646</v>
      </c>
    </row>
    <row r="525" spans="1:36" hidden="1">
      <c r="A525" s="392" t="s">
        <v>1829</v>
      </c>
      <c r="B525" s="427" t="s">
        <v>2649</v>
      </c>
      <c r="C525" s="433" t="s">
        <v>3150</v>
      </c>
      <c r="D525" s="433" t="s">
        <v>3851</v>
      </c>
      <c r="E525" s="433" t="s">
        <v>2708</v>
      </c>
      <c r="F525" s="433" t="s">
        <v>2654</v>
      </c>
      <c r="G525" s="433" t="s">
        <v>2654</v>
      </c>
      <c r="H525" s="433" t="s">
        <v>2654</v>
      </c>
      <c r="I525" s="433" t="s">
        <v>2654</v>
      </c>
      <c r="J525" s="433" t="s">
        <v>2654</v>
      </c>
      <c r="K525" s="433" t="s">
        <v>2654</v>
      </c>
      <c r="L525" s="433" t="s">
        <v>2654</v>
      </c>
      <c r="M525" s="433" t="s">
        <v>2654</v>
      </c>
      <c r="N525" s="433" t="s">
        <v>2654</v>
      </c>
      <c r="O525" s="433" t="s">
        <v>2654</v>
      </c>
      <c r="P525" s="433" t="s">
        <v>4080</v>
      </c>
      <c r="Q525" s="431"/>
      <c r="R525" s="431"/>
      <c r="S525" s="426" t="s">
        <v>3187</v>
      </c>
      <c r="T525" s="426" t="s">
        <v>3225</v>
      </c>
      <c r="U525" s="426" t="s">
        <v>3269</v>
      </c>
      <c r="V525" s="426" t="s">
        <v>3269</v>
      </c>
      <c r="W525" s="426" t="s">
        <v>3427</v>
      </c>
      <c r="X525" s="426" t="s">
        <v>3435</v>
      </c>
      <c r="Y525" s="426" t="s">
        <v>2692</v>
      </c>
      <c r="Z525" s="426" t="s">
        <v>2646</v>
      </c>
      <c r="AA525" s="426" t="s">
        <v>2646</v>
      </c>
      <c r="AB525" s="426" t="s">
        <v>2646</v>
      </c>
      <c r="AC525" s="426" t="s">
        <v>2646</v>
      </c>
      <c r="AD525" s="426" t="s">
        <v>2646</v>
      </c>
      <c r="AE525" s="426" t="s">
        <v>2646</v>
      </c>
      <c r="AF525" s="426" t="s">
        <v>2646</v>
      </c>
      <c r="AG525" s="426" t="s">
        <v>2646</v>
      </c>
      <c r="AH525" s="426" t="s">
        <v>2646</v>
      </c>
      <c r="AI525" s="426" t="s">
        <v>2646</v>
      </c>
      <c r="AJ525" s="68" t="s">
        <v>2646</v>
      </c>
    </row>
    <row r="526" spans="1:36" hidden="1">
      <c r="A526" s="392" t="s">
        <v>1830</v>
      </c>
      <c r="B526" s="427" t="s">
        <v>2650</v>
      </c>
      <c r="C526" s="433" t="s">
        <v>3688</v>
      </c>
      <c r="D526" s="433" t="s">
        <v>3364</v>
      </c>
      <c r="E526" s="433" t="s">
        <v>2680</v>
      </c>
      <c r="F526" s="433" t="s">
        <v>2654</v>
      </c>
      <c r="G526" s="433" t="s">
        <v>2654</v>
      </c>
      <c r="H526" s="433" t="s">
        <v>2654</v>
      </c>
      <c r="I526" s="433" t="s">
        <v>2654</v>
      </c>
      <c r="J526" s="433" t="s">
        <v>2654</v>
      </c>
      <c r="K526" s="433" t="s">
        <v>2654</v>
      </c>
      <c r="L526" s="433" t="s">
        <v>2654</v>
      </c>
      <c r="M526" s="433" t="s">
        <v>2654</v>
      </c>
      <c r="N526" s="433" t="s">
        <v>2654</v>
      </c>
      <c r="O526" s="433" t="s">
        <v>2654</v>
      </c>
      <c r="P526" s="433" t="s">
        <v>4080</v>
      </c>
      <c r="Q526" s="431"/>
      <c r="R526" s="431"/>
      <c r="S526" s="426" t="s">
        <v>3339</v>
      </c>
      <c r="T526" s="426" t="s">
        <v>3413</v>
      </c>
      <c r="U526" s="426" t="s">
        <v>3410</v>
      </c>
      <c r="V526" s="426" t="s">
        <v>2852</v>
      </c>
      <c r="W526" s="426" t="s">
        <v>3399</v>
      </c>
      <c r="X526" s="426" t="s">
        <v>3318</v>
      </c>
      <c r="Y526" s="426" t="s">
        <v>2813</v>
      </c>
      <c r="Z526" s="426" t="s">
        <v>2646</v>
      </c>
      <c r="AA526" s="426" t="s">
        <v>2646</v>
      </c>
      <c r="AB526" s="426" t="s">
        <v>2646</v>
      </c>
      <c r="AC526" s="426" t="s">
        <v>2646</v>
      </c>
      <c r="AD526" s="426" t="s">
        <v>2646</v>
      </c>
      <c r="AE526" s="426" t="s">
        <v>2646</v>
      </c>
      <c r="AF526" s="426" t="s">
        <v>2646</v>
      </c>
      <c r="AG526" s="426" t="s">
        <v>2646</v>
      </c>
      <c r="AH526" s="426" t="s">
        <v>2646</v>
      </c>
      <c r="AI526" s="426" t="s">
        <v>2646</v>
      </c>
      <c r="AJ526" s="68" t="s">
        <v>2646</v>
      </c>
    </row>
    <row r="527" spans="1:36" hidden="1">
      <c r="A527" s="392" t="s">
        <v>1831</v>
      </c>
      <c r="B527" s="427" t="s">
        <v>2651</v>
      </c>
      <c r="C527" s="433" t="s">
        <v>3146</v>
      </c>
      <c r="D527" s="433" t="s">
        <v>3851</v>
      </c>
      <c r="E527" s="433" t="s">
        <v>2970</v>
      </c>
      <c r="F527" s="433" t="s">
        <v>2654</v>
      </c>
      <c r="G527" s="433" t="s">
        <v>2654</v>
      </c>
      <c r="H527" s="433" t="s">
        <v>2654</v>
      </c>
      <c r="I527" s="433" t="s">
        <v>2654</v>
      </c>
      <c r="J527" s="433" t="s">
        <v>2654</v>
      </c>
      <c r="K527" s="433" t="s">
        <v>2654</v>
      </c>
      <c r="L527" s="433" t="s">
        <v>2654</v>
      </c>
      <c r="M527" s="433" t="s">
        <v>2654</v>
      </c>
      <c r="N527" s="433" t="s">
        <v>2654</v>
      </c>
      <c r="O527" s="433" t="s">
        <v>2668</v>
      </c>
      <c r="P527" s="433" t="s">
        <v>4093</v>
      </c>
      <c r="Q527" s="431"/>
      <c r="R527" s="431"/>
      <c r="S527" s="426" t="s">
        <v>2655</v>
      </c>
      <c r="T527" s="426" t="s">
        <v>3436</v>
      </c>
      <c r="U527" s="426" t="s">
        <v>3437</v>
      </c>
      <c r="V527" s="426" t="s">
        <v>3437</v>
      </c>
      <c r="W527" s="426" t="s">
        <v>3433</v>
      </c>
      <c r="X527" s="426" t="s">
        <v>3434</v>
      </c>
      <c r="Y527" s="426" t="s">
        <v>2813</v>
      </c>
      <c r="Z527" s="426" t="s">
        <v>2646</v>
      </c>
      <c r="AA527" s="426" t="s">
        <v>2646</v>
      </c>
      <c r="AB527" s="426" t="s">
        <v>2646</v>
      </c>
      <c r="AC527" s="426" t="s">
        <v>2646</v>
      </c>
      <c r="AD527" s="426" t="s">
        <v>2646</v>
      </c>
      <c r="AE527" s="426" t="s">
        <v>2646</v>
      </c>
      <c r="AF527" s="426" t="s">
        <v>2646</v>
      </c>
      <c r="AG527" s="426" t="s">
        <v>2646</v>
      </c>
      <c r="AH527" s="426" t="s">
        <v>2646</v>
      </c>
      <c r="AI527" s="426" t="s">
        <v>2646</v>
      </c>
      <c r="AJ527" s="68" t="s">
        <v>2646</v>
      </c>
    </row>
    <row r="528" spans="1:36">
      <c r="A528" s="392" t="s">
        <v>1831</v>
      </c>
      <c r="B528" s="427" t="s">
        <v>48</v>
      </c>
      <c r="C528" s="433" t="s">
        <v>4336</v>
      </c>
      <c r="D528" s="433" t="s">
        <v>3869</v>
      </c>
      <c r="E528" s="433" t="s">
        <v>4025</v>
      </c>
      <c r="F528" s="433" t="s">
        <v>2654</v>
      </c>
      <c r="G528" s="433" t="s">
        <v>2654</v>
      </c>
      <c r="H528" s="433" t="s">
        <v>2654</v>
      </c>
      <c r="I528" s="433" t="s">
        <v>2654</v>
      </c>
      <c r="J528" s="433" t="s">
        <v>2654</v>
      </c>
      <c r="K528" s="433" t="s">
        <v>2654</v>
      </c>
      <c r="L528" s="433" t="s">
        <v>2654</v>
      </c>
      <c r="M528" s="433" t="s">
        <v>2654</v>
      </c>
      <c r="N528" s="433" t="s">
        <v>2654</v>
      </c>
      <c r="O528" s="433" t="s">
        <v>2793</v>
      </c>
      <c r="P528" s="433" t="s">
        <v>3760</v>
      </c>
      <c r="Q528" s="433" t="s">
        <v>2654</v>
      </c>
      <c r="R528" s="433" t="s">
        <v>2654</v>
      </c>
      <c r="S528" s="426"/>
      <c r="T528" s="426"/>
      <c r="U528" s="426"/>
      <c r="V528" s="426"/>
      <c r="W528" s="426"/>
      <c r="X528" s="426"/>
      <c r="Y528" s="426"/>
      <c r="Z528" s="426"/>
      <c r="AA528" s="426"/>
      <c r="AB528" s="426"/>
      <c r="AC528" s="426"/>
      <c r="AD528" s="426"/>
      <c r="AE528" s="426"/>
      <c r="AF528" s="426"/>
      <c r="AG528" s="426"/>
      <c r="AH528" s="426"/>
      <c r="AI528" s="426"/>
    </row>
    <row r="529" spans="1:36" hidden="1">
      <c r="A529" s="392" t="s">
        <v>1832</v>
      </c>
      <c r="B529" s="427" t="s">
        <v>2647</v>
      </c>
      <c r="C529" s="433" t="s">
        <v>3495</v>
      </c>
      <c r="D529" s="433" t="s">
        <v>3710</v>
      </c>
      <c r="E529" s="433" t="s">
        <v>2680</v>
      </c>
      <c r="F529" s="433" t="s">
        <v>2654</v>
      </c>
      <c r="G529" s="433" t="s">
        <v>2654</v>
      </c>
      <c r="H529" s="433" t="s">
        <v>2654</v>
      </c>
      <c r="I529" s="433" t="s">
        <v>2654</v>
      </c>
      <c r="J529" s="433" t="s">
        <v>2654</v>
      </c>
      <c r="K529" s="433" t="s">
        <v>2654</v>
      </c>
      <c r="L529" s="433" t="s">
        <v>2654</v>
      </c>
      <c r="M529" s="433" t="s">
        <v>2654</v>
      </c>
      <c r="N529" s="433" t="s">
        <v>2654</v>
      </c>
      <c r="O529" s="433" t="s">
        <v>2654</v>
      </c>
      <c r="P529" s="433" t="s">
        <v>4078</v>
      </c>
      <c r="Q529" s="431"/>
      <c r="R529" s="431"/>
      <c r="S529" s="426" t="s">
        <v>2669</v>
      </c>
      <c r="T529" s="426" t="s">
        <v>2646</v>
      </c>
      <c r="U529" s="426" t="s">
        <v>3349</v>
      </c>
      <c r="V529" s="426" t="s">
        <v>3349</v>
      </c>
      <c r="W529" s="426" t="s">
        <v>3439</v>
      </c>
      <c r="X529" s="426" t="s">
        <v>2920</v>
      </c>
      <c r="Y529" s="426" t="s">
        <v>2727</v>
      </c>
      <c r="Z529" s="426" t="s">
        <v>2646</v>
      </c>
      <c r="AA529" s="426" t="s">
        <v>2646</v>
      </c>
      <c r="AB529" s="426" t="s">
        <v>2646</v>
      </c>
      <c r="AC529" s="426" t="s">
        <v>2646</v>
      </c>
      <c r="AD529" s="426" t="s">
        <v>2646</v>
      </c>
      <c r="AE529" s="426" t="s">
        <v>2646</v>
      </c>
      <c r="AF529" s="426" t="s">
        <v>2646</v>
      </c>
      <c r="AG529" s="426" t="s">
        <v>2646</v>
      </c>
      <c r="AH529" s="426" t="s">
        <v>2646</v>
      </c>
      <c r="AI529" s="426" t="s">
        <v>2646</v>
      </c>
      <c r="AJ529" s="68" t="s">
        <v>2646</v>
      </c>
    </row>
    <row r="530" spans="1:36" hidden="1">
      <c r="A530" s="392" t="s">
        <v>1833</v>
      </c>
      <c r="B530" s="427" t="s">
        <v>2648</v>
      </c>
      <c r="C530" s="433" t="s">
        <v>3736</v>
      </c>
      <c r="D530" s="433" t="s">
        <v>3686</v>
      </c>
      <c r="E530" s="433" t="s">
        <v>2724</v>
      </c>
      <c r="F530" s="433" t="s">
        <v>2654</v>
      </c>
      <c r="G530" s="433" t="s">
        <v>2654</v>
      </c>
      <c r="H530" s="433" t="s">
        <v>2654</v>
      </c>
      <c r="I530" s="433" t="s">
        <v>2654</v>
      </c>
      <c r="J530" s="433" t="s">
        <v>2654</v>
      </c>
      <c r="K530" s="433" t="s">
        <v>2654</v>
      </c>
      <c r="L530" s="433" t="s">
        <v>2654</v>
      </c>
      <c r="M530" s="433" t="s">
        <v>2654</v>
      </c>
      <c r="N530" s="433" t="s">
        <v>2654</v>
      </c>
      <c r="O530" s="433" t="s">
        <v>2793</v>
      </c>
      <c r="P530" s="433" t="s">
        <v>4057</v>
      </c>
      <c r="Q530" s="431"/>
      <c r="R530" s="431"/>
      <c r="S530" s="426" t="s">
        <v>2655</v>
      </c>
      <c r="T530" s="426" t="s">
        <v>2805</v>
      </c>
      <c r="U530" s="426" t="s">
        <v>3440</v>
      </c>
      <c r="V530" s="426" t="s">
        <v>3440</v>
      </c>
      <c r="W530" s="426" t="s">
        <v>3441</v>
      </c>
      <c r="X530" s="426" t="s">
        <v>3442</v>
      </c>
      <c r="Y530" s="426" t="s">
        <v>2727</v>
      </c>
      <c r="Z530" s="426" t="s">
        <v>2646</v>
      </c>
      <c r="AA530" s="426" t="s">
        <v>2646</v>
      </c>
      <c r="AB530" s="426" t="s">
        <v>2646</v>
      </c>
      <c r="AC530" s="426" t="s">
        <v>2646</v>
      </c>
      <c r="AD530" s="426" t="s">
        <v>2646</v>
      </c>
      <c r="AE530" s="426" t="s">
        <v>2646</v>
      </c>
      <c r="AF530" s="426" t="s">
        <v>2646</v>
      </c>
      <c r="AG530" s="426" t="s">
        <v>2646</v>
      </c>
      <c r="AH530" s="426" t="s">
        <v>2646</v>
      </c>
      <c r="AI530" s="426" t="s">
        <v>2646</v>
      </c>
      <c r="AJ530" s="68" t="s">
        <v>2646</v>
      </c>
    </row>
    <row r="531" spans="1:36" hidden="1">
      <c r="A531" s="392" t="s">
        <v>1834</v>
      </c>
      <c r="B531" s="427" t="s">
        <v>2649</v>
      </c>
      <c r="C531" s="433" t="s">
        <v>2914</v>
      </c>
      <c r="D531" s="433" t="s">
        <v>3851</v>
      </c>
      <c r="E531" s="433" t="s">
        <v>2714</v>
      </c>
      <c r="F531" s="433" t="s">
        <v>2654</v>
      </c>
      <c r="G531" s="433" t="s">
        <v>2654</v>
      </c>
      <c r="H531" s="433" t="s">
        <v>2654</v>
      </c>
      <c r="I531" s="433" t="s">
        <v>2654</v>
      </c>
      <c r="J531" s="433" t="s">
        <v>2654</v>
      </c>
      <c r="K531" s="433" t="s">
        <v>2654</v>
      </c>
      <c r="L531" s="433" t="s">
        <v>2654</v>
      </c>
      <c r="M531" s="433" t="s">
        <v>2654</v>
      </c>
      <c r="N531" s="433" t="s">
        <v>2654</v>
      </c>
      <c r="O531" s="433" t="s">
        <v>2668</v>
      </c>
      <c r="P531" s="433" t="s">
        <v>4231</v>
      </c>
      <c r="Q531" s="431"/>
      <c r="R531" s="431"/>
      <c r="S531" s="426" t="s">
        <v>2796</v>
      </c>
      <c r="T531" s="426" t="s">
        <v>2646</v>
      </c>
      <c r="U531" s="426" t="s">
        <v>3410</v>
      </c>
      <c r="V531" s="426" t="s">
        <v>3410</v>
      </c>
      <c r="W531" s="426" t="s">
        <v>3439</v>
      </c>
      <c r="X531" s="426" t="s">
        <v>2920</v>
      </c>
      <c r="Y531" s="426" t="s">
        <v>2727</v>
      </c>
      <c r="Z531" s="426" t="s">
        <v>2646</v>
      </c>
      <c r="AA531" s="426" t="s">
        <v>2646</v>
      </c>
      <c r="AB531" s="426" t="s">
        <v>2646</v>
      </c>
      <c r="AC531" s="426" t="s">
        <v>2646</v>
      </c>
      <c r="AD531" s="426" t="s">
        <v>2646</v>
      </c>
      <c r="AE531" s="426" t="s">
        <v>2646</v>
      </c>
      <c r="AF531" s="426" t="s">
        <v>2646</v>
      </c>
      <c r="AG531" s="426" t="s">
        <v>2646</v>
      </c>
      <c r="AH531" s="426" t="s">
        <v>2646</v>
      </c>
      <c r="AI531" s="426" t="s">
        <v>2646</v>
      </c>
      <c r="AJ531" s="68" t="s">
        <v>2646</v>
      </c>
    </row>
    <row r="532" spans="1:36" hidden="1">
      <c r="A532" s="392" t="s">
        <v>1835</v>
      </c>
      <c r="B532" s="427" t="s">
        <v>2650</v>
      </c>
      <c r="C532" s="433" t="s">
        <v>3761</v>
      </c>
      <c r="D532" s="433" t="s">
        <v>3710</v>
      </c>
      <c r="E532" s="433" t="s">
        <v>2791</v>
      </c>
      <c r="F532" s="433" t="s">
        <v>2654</v>
      </c>
      <c r="G532" s="433" t="s">
        <v>2654</v>
      </c>
      <c r="H532" s="433" t="s">
        <v>2654</v>
      </c>
      <c r="I532" s="433" t="s">
        <v>2654</v>
      </c>
      <c r="J532" s="433" t="s">
        <v>2654</v>
      </c>
      <c r="K532" s="433" t="s">
        <v>2654</v>
      </c>
      <c r="L532" s="433" t="s">
        <v>2654</v>
      </c>
      <c r="M532" s="433" t="s">
        <v>2654</v>
      </c>
      <c r="N532" s="433" t="s">
        <v>2654</v>
      </c>
      <c r="O532" s="433" t="s">
        <v>2793</v>
      </c>
      <c r="P532" s="433" t="s">
        <v>4093</v>
      </c>
      <c r="Q532" s="431"/>
      <c r="R532" s="431"/>
      <c r="S532" s="426" t="s">
        <v>2669</v>
      </c>
      <c r="T532" s="426" t="s">
        <v>2646</v>
      </c>
      <c r="U532" s="426" t="s">
        <v>2646</v>
      </c>
      <c r="V532" s="426" t="s">
        <v>2646</v>
      </c>
      <c r="W532" s="426" t="s">
        <v>3439</v>
      </c>
      <c r="X532" s="426" t="s">
        <v>2920</v>
      </c>
      <c r="Y532" s="426" t="s">
        <v>2727</v>
      </c>
      <c r="Z532" s="426" t="s">
        <v>2646</v>
      </c>
      <c r="AA532" s="426" t="s">
        <v>2646</v>
      </c>
      <c r="AB532" s="426" t="s">
        <v>2646</v>
      </c>
      <c r="AC532" s="426" t="s">
        <v>2646</v>
      </c>
      <c r="AD532" s="426" t="s">
        <v>2646</v>
      </c>
      <c r="AE532" s="426" t="s">
        <v>2646</v>
      </c>
      <c r="AF532" s="426" t="s">
        <v>2646</v>
      </c>
      <c r="AG532" s="426" t="s">
        <v>2646</v>
      </c>
      <c r="AH532" s="426" t="s">
        <v>2646</v>
      </c>
      <c r="AI532" s="426" t="s">
        <v>2646</v>
      </c>
      <c r="AJ532" s="68" t="s">
        <v>2646</v>
      </c>
    </row>
    <row r="533" spans="1:36" hidden="1">
      <c r="A533" s="392" t="s">
        <v>1836</v>
      </c>
      <c r="B533" s="427" t="s">
        <v>2651</v>
      </c>
      <c r="C533" s="433" t="s">
        <v>3761</v>
      </c>
      <c r="D533" s="433" t="s">
        <v>3676</v>
      </c>
      <c r="E533" s="433" t="s">
        <v>2724</v>
      </c>
      <c r="F533" s="433" t="s">
        <v>2654</v>
      </c>
      <c r="G533" s="433" t="s">
        <v>2654</v>
      </c>
      <c r="H533" s="433" t="s">
        <v>2654</v>
      </c>
      <c r="I533" s="433" t="s">
        <v>2654</v>
      </c>
      <c r="J533" s="433" t="s">
        <v>2654</v>
      </c>
      <c r="K533" s="433" t="s">
        <v>2654</v>
      </c>
      <c r="L533" s="433" t="s">
        <v>2654</v>
      </c>
      <c r="M533" s="433" t="s">
        <v>2654</v>
      </c>
      <c r="N533" s="433" t="s">
        <v>2654</v>
      </c>
      <c r="O533" s="433" t="s">
        <v>2793</v>
      </c>
      <c r="P533" s="433" t="s">
        <v>4139</v>
      </c>
      <c r="Q533" s="431"/>
      <c r="R533" s="431"/>
      <c r="S533" s="426" t="s">
        <v>2660</v>
      </c>
      <c r="T533" s="426" t="s">
        <v>3269</v>
      </c>
      <c r="U533" s="426" t="s">
        <v>3270</v>
      </c>
      <c r="V533" s="426" t="s">
        <v>3269</v>
      </c>
      <c r="W533" s="426" t="s">
        <v>3443</v>
      </c>
      <c r="X533" s="426" t="s">
        <v>3442</v>
      </c>
      <c r="Y533" s="426" t="s">
        <v>2727</v>
      </c>
      <c r="Z533" s="426" t="s">
        <v>2646</v>
      </c>
      <c r="AA533" s="426" t="s">
        <v>2646</v>
      </c>
      <c r="AB533" s="426" t="s">
        <v>2646</v>
      </c>
      <c r="AC533" s="426" t="s">
        <v>2646</v>
      </c>
      <c r="AD533" s="426" t="s">
        <v>2646</v>
      </c>
      <c r="AE533" s="426" t="s">
        <v>2646</v>
      </c>
      <c r="AF533" s="426" t="s">
        <v>2646</v>
      </c>
      <c r="AG533" s="426" t="s">
        <v>2646</v>
      </c>
      <c r="AH533" s="426" t="s">
        <v>2646</v>
      </c>
      <c r="AI533" s="426" t="s">
        <v>2646</v>
      </c>
      <c r="AJ533" s="68" t="s">
        <v>2646</v>
      </c>
    </row>
    <row r="534" spans="1:36">
      <c r="A534" s="392" t="s">
        <v>1836</v>
      </c>
      <c r="B534" s="427" t="s">
        <v>48</v>
      </c>
      <c r="C534" s="433" t="s">
        <v>3885</v>
      </c>
      <c r="D534" s="433" t="s">
        <v>4337</v>
      </c>
      <c r="E534" s="433" t="s">
        <v>3474</v>
      </c>
      <c r="F534" s="433" t="s">
        <v>2654</v>
      </c>
      <c r="G534" s="433" t="s">
        <v>2654</v>
      </c>
      <c r="H534" s="433" t="s">
        <v>2654</v>
      </c>
      <c r="I534" s="433" t="s">
        <v>2654</v>
      </c>
      <c r="J534" s="433" t="s">
        <v>2654</v>
      </c>
      <c r="K534" s="433" t="s">
        <v>2654</v>
      </c>
      <c r="L534" s="433" t="s">
        <v>2654</v>
      </c>
      <c r="M534" s="433" t="s">
        <v>2654</v>
      </c>
      <c r="N534" s="433" t="s">
        <v>2654</v>
      </c>
      <c r="O534" s="433" t="s">
        <v>2793</v>
      </c>
      <c r="P534" s="433" t="s">
        <v>2773</v>
      </c>
      <c r="Q534" s="433" t="s">
        <v>2654</v>
      </c>
      <c r="R534" s="433" t="s">
        <v>2654</v>
      </c>
      <c r="S534" s="426"/>
      <c r="T534" s="426"/>
      <c r="U534" s="426"/>
      <c r="V534" s="426"/>
      <c r="W534" s="426"/>
      <c r="X534" s="426"/>
      <c r="Y534" s="426"/>
      <c r="Z534" s="426"/>
      <c r="AA534" s="426"/>
      <c r="AB534" s="426"/>
      <c r="AC534" s="426"/>
      <c r="AD534" s="426"/>
      <c r="AE534" s="426"/>
      <c r="AF534" s="426"/>
      <c r="AG534" s="426"/>
      <c r="AH534" s="426"/>
      <c r="AI534" s="426"/>
    </row>
    <row r="535" spans="1:36" hidden="1">
      <c r="A535" s="392" t="s">
        <v>1837</v>
      </c>
      <c r="B535" s="427" t="s">
        <v>2647</v>
      </c>
      <c r="C535" s="433" t="s">
        <v>4133</v>
      </c>
      <c r="D535" s="433" t="s">
        <v>3364</v>
      </c>
      <c r="E535" s="433" t="s">
        <v>2708</v>
      </c>
      <c r="F535" s="433" t="s">
        <v>2654</v>
      </c>
      <c r="G535" s="433" t="s">
        <v>2654</v>
      </c>
      <c r="H535" s="433" t="s">
        <v>2654</v>
      </c>
      <c r="I535" s="433" t="s">
        <v>2654</v>
      </c>
      <c r="J535" s="433" t="s">
        <v>2654</v>
      </c>
      <c r="K535" s="433" t="s">
        <v>2654</v>
      </c>
      <c r="L535" s="433" t="s">
        <v>2654</v>
      </c>
      <c r="M535" s="433" t="s">
        <v>2654</v>
      </c>
      <c r="N535" s="433" t="s">
        <v>2654</v>
      </c>
      <c r="O535" s="433" t="s">
        <v>2654</v>
      </c>
      <c r="P535" s="433" t="s">
        <v>4087</v>
      </c>
      <c r="Q535" s="431"/>
      <c r="R535" s="431"/>
      <c r="S535" s="426" t="s">
        <v>2669</v>
      </c>
      <c r="T535" s="426" t="s">
        <v>2646</v>
      </c>
      <c r="U535" s="426" t="s">
        <v>2646</v>
      </c>
      <c r="V535" s="426" t="s">
        <v>2646</v>
      </c>
      <c r="W535" s="426" t="s">
        <v>2646</v>
      </c>
      <c r="X535" s="426" t="s">
        <v>2646</v>
      </c>
      <c r="Y535" s="426" t="s">
        <v>2646</v>
      </c>
      <c r="Z535" s="426" t="s">
        <v>2646</v>
      </c>
      <c r="AA535" s="426" t="s">
        <v>2646</v>
      </c>
      <c r="AB535" s="426" t="s">
        <v>2646</v>
      </c>
      <c r="AC535" s="426" t="s">
        <v>2646</v>
      </c>
      <c r="AD535" s="426" t="s">
        <v>2646</v>
      </c>
      <c r="AE535" s="426" t="s">
        <v>2646</v>
      </c>
      <c r="AF535" s="426" t="s">
        <v>2646</v>
      </c>
      <c r="AG535" s="426" t="s">
        <v>2646</v>
      </c>
      <c r="AH535" s="426" t="s">
        <v>2646</v>
      </c>
      <c r="AI535" s="426" t="s">
        <v>2646</v>
      </c>
      <c r="AJ535" s="68" t="s">
        <v>2646</v>
      </c>
    </row>
    <row r="536" spans="1:36" hidden="1">
      <c r="A536" s="392" t="s">
        <v>1838</v>
      </c>
      <c r="B536" s="427" t="s">
        <v>2648</v>
      </c>
      <c r="C536" s="433" t="s">
        <v>3713</v>
      </c>
      <c r="D536" s="433" t="s">
        <v>3364</v>
      </c>
      <c r="E536" s="433" t="s">
        <v>2680</v>
      </c>
      <c r="F536" s="433" t="s">
        <v>2654</v>
      </c>
      <c r="G536" s="433" t="s">
        <v>2654</v>
      </c>
      <c r="H536" s="433" t="s">
        <v>2654</v>
      </c>
      <c r="I536" s="433" t="s">
        <v>2654</v>
      </c>
      <c r="J536" s="433" t="s">
        <v>2654</v>
      </c>
      <c r="K536" s="433" t="s">
        <v>2654</v>
      </c>
      <c r="L536" s="433" t="s">
        <v>2654</v>
      </c>
      <c r="M536" s="433" t="s">
        <v>2654</v>
      </c>
      <c r="N536" s="433" t="s">
        <v>2654</v>
      </c>
      <c r="O536" s="433" t="s">
        <v>2654</v>
      </c>
      <c r="P536" s="433" t="s">
        <v>4087</v>
      </c>
      <c r="Q536" s="431"/>
      <c r="R536" s="431"/>
      <c r="S536" s="426" t="s">
        <v>2796</v>
      </c>
      <c r="T536" s="426" t="s">
        <v>3225</v>
      </c>
      <c r="U536" s="426" t="s">
        <v>3225</v>
      </c>
      <c r="V536" s="426" t="s">
        <v>3225</v>
      </c>
      <c r="W536" s="426" t="s">
        <v>3444</v>
      </c>
      <c r="X536" s="426" t="s">
        <v>3445</v>
      </c>
      <c r="Y536" s="426" t="s">
        <v>2758</v>
      </c>
      <c r="Z536" s="426" t="s">
        <v>2646</v>
      </c>
      <c r="AA536" s="426" t="s">
        <v>2646</v>
      </c>
      <c r="AB536" s="426" t="s">
        <v>2646</v>
      </c>
      <c r="AC536" s="426" t="s">
        <v>2646</v>
      </c>
      <c r="AD536" s="426" t="s">
        <v>2646</v>
      </c>
      <c r="AE536" s="426" t="s">
        <v>2646</v>
      </c>
      <c r="AF536" s="426" t="s">
        <v>2646</v>
      </c>
      <c r="AG536" s="426" t="s">
        <v>2646</v>
      </c>
      <c r="AH536" s="426" t="s">
        <v>2646</v>
      </c>
      <c r="AI536" s="426" t="s">
        <v>2646</v>
      </c>
      <c r="AJ536" s="68" t="s">
        <v>2646</v>
      </c>
    </row>
    <row r="537" spans="1:36" hidden="1">
      <c r="A537" s="392" t="s">
        <v>1839</v>
      </c>
      <c r="B537" s="427" t="s">
        <v>2649</v>
      </c>
      <c r="C537" s="433" t="s">
        <v>3694</v>
      </c>
      <c r="D537" s="433" t="s">
        <v>3851</v>
      </c>
      <c r="E537" s="433" t="s">
        <v>2724</v>
      </c>
      <c r="F537" s="433" t="s">
        <v>2654</v>
      </c>
      <c r="G537" s="433" t="s">
        <v>2654</v>
      </c>
      <c r="H537" s="433" t="s">
        <v>2654</v>
      </c>
      <c r="I537" s="433" t="s">
        <v>2654</v>
      </c>
      <c r="J537" s="433" t="s">
        <v>2654</v>
      </c>
      <c r="K537" s="433" t="s">
        <v>2654</v>
      </c>
      <c r="L537" s="433" t="s">
        <v>2654</v>
      </c>
      <c r="M537" s="433" t="s">
        <v>2654</v>
      </c>
      <c r="N537" s="433" t="s">
        <v>2654</v>
      </c>
      <c r="O537" s="433" t="s">
        <v>2793</v>
      </c>
      <c r="P537" s="433" t="s">
        <v>4078</v>
      </c>
      <c r="Q537" s="431"/>
      <c r="R537" s="431"/>
      <c r="S537" s="426" t="s">
        <v>2836</v>
      </c>
      <c r="T537" s="426" t="s">
        <v>2646</v>
      </c>
      <c r="U537" s="426" t="s">
        <v>2646</v>
      </c>
      <c r="V537" s="426" t="s">
        <v>2646</v>
      </c>
      <c r="W537" s="426" t="s">
        <v>2646</v>
      </c>
      <c r="X537" s="426" t="s">
        <v>2646</v>
      </c>
      <c r="Y537" s="426" t="s">
        <v>3446</v>
      </c>
      <c r="Z537" s="426" t="s">
        <v>2646</v>
      </c>
      <c r="AA537" s="426" t="s">
        <v>2646</v>
      </c>
      <c r="AB537" s="426" t="s">
        <v>2646</v>
      </c>
      <c r="AC537" s="426" t="s">
        <v>2646</v>
      </c>
      <c r="AD537" s="426" t="s">
        <v>2646</v>
      </c>
      <c r="AE537" s="426" t="s">
        <v>2646</v>
      </c>
      <c r="AF537" s="426" t="s">
        <v>2646</v>
      </c>
      <c r="AG537" s="426" t="s">
        <v>2646</v>
      </c>
      <c r="AH537" s="426" t="s">
        <v>2646</v>
      </c>
      <c r="AI537" s="426" t="s">
        <v>2646</v>
      </c>
      <c r="AJ537" s="68" t="s">
        <v>2646</v>
      </c>
    </row>
    <row r="538" spans="1:36" hidden="1">
      <c r="A538" s="392" t="s">
        <v>1840</v>
      </c>
      <c r="B538" s="427" t="s">
        <v>2650</v>
      </c>
      <c r="C538" s="433" t="s">
        <v>2663</v>
      </c>
      <c r="D538" s="433" t="s">
        <v>3364</v>
      </c>
      <c r="E538" s="433" t="s">
        <v>2724</v>
      </c>
      <c r="F538" s="433" t="s">
        <v>2654</v>
      </c>
      <c r="G538" s="433" t="s">
        <v>2654</v>
      </c>
      <c r="H538" s="433" t="s">
        <v>2654</v>
      </c>
      <c r="I538" s="433" t="s">
        <v>2654</v>
      </c>
      <c r="J538" s="433" t="s">
        <v>2654</v>
      </c>
      <c r="K538" s="433" t="s">
        <v>2654</v>
      </c>
      <c r="L538" s="433" t="s">
        <v>2654</v>
      </c>
      <c r="M538" s="433" t="s">
        <v>2654</v>
      </c>
      <c r="N538" s="433" t="s">
        <v>2654</v>
      </c>
      <c r="O538" s="433" t="s">
        <v>2793</v>
      </c>
      <c r="P538" s="433" t="s">
        <v>4087</v>
      </c>
      <c r="Q538" s="431"/>
      <c r="R538" s="431"/>
      <c r="S538" s="426" t="s">
        <v>2901</v>
      </c>
      <c r="T538" s="426" t="s">
        <v>2646</v>
      </c>
      <c r="U538" s="426" t="s">
        <v>2646</v>
      </c>
      <c r="V538" s="426" t="s">
        <v>2646</v>
      </c>
      <c r="W538" s="426" t="s">
        <v>2646</v>
      </c>
      <c r="X538" s="426" t="s">
        <v>2646</v>
      </c>
      <c r="Y538" s="426" t="s">
        <v>3350</v>
      </c>
      <c r="Z538" s="426" t="s">
        <v>2646</v>
      </c>
      <c r="AA538" s="426" t="s">
        <v>2646</v>
      </c>
      <c r="AB538" s="426" t="s">
        <v>2646</v>
      </c>
      <c r="AC538" s="426" t="s">
        <v>2646</v>
      </c>
      <c r="AD538" s="426" t="s">
        <v>2646</v>
      </c>
      <c r="AE538" s="426" t="s">
        <v>2646</v>
      </c>
      <c r="AF538" s="426" t="s">
        <v>2646</v>
      </c>
      <c r="AG538" s="426" t="s">
        <v>2646</v>
      </c>
      <c r="AH538" s="426" t="s">
        <v>2646</v>
      </c>
      <c r="AI538" s="426" t="s">
        <v>2646</v>
      </c>
      <c r="AJ538" s="68" t="s">
        <v>2646</v>
      </c>
    </row>
    <row r="539" spans="1:36" hidden="1">
      <c r="A539" s="392" t="s">
        <v>1841</v>
      </c>
      <c r="B539" s="427" t="s">
        <v>2651</v>
      </c>
      <c r="C539" s="433" t="s">
        <v>3779</v>
      </c>
      <c r="D539" s="433" t="s">
        <v>3364</v>
      </c>
      <c r="E539" s="433" t="s">
        <v>2746</v>
      </c>
      <c r="F539" s="433" t="s">
        <v>2654</v>
      </c>
      <c r="G539" s="433" t="s">
        <v>2654</v>
      </c>
      <c r="H539" s="433" t="s">
        <v>2654</v>
      </c>
      <c r="I539" s="433" t="s">
        <v>2654</v>
      </c>
      <c r="J539" s="433" t="s">
        <v>2654</v>
      </c>
      <c r="K539" s="433" t="s">
        <v>2654</v>
      </c>
      <c r="L539" s="433" t="s">
        <v>2654</v>
      </c>
      <c r="M539" s="433" t="s">
        <v>2654</v>
      </c>
      <c r="N539" s="433" t="s">
        <v>2654</v>
      </c>
      <c r="O539" s="433" t="s">
        <v>2793</v>
      </c>
      <c r="P539" s="433" t="s">
        <v>4087</v>
      </c>
      <c r="Q539" s="431"/>
      <c r="R539" s="431"/>
      <c r="S539" s="426" t="s">
        <v>2796</v>
      </c>
      <c r="T539" s="426" t="s">
        <v>2646</v>
      </c>
      <c r="U539" s="426" t="s">
        <v>2646</v>
      </c>
      <c r="V539" s="426" t="s">
        <v>2646</v>
      </c>
      <c r="W539" s="426" t="s">
        <v>2646</v>
      </c>
      <c r="X539" s="426" t="s">
        <v>2646</v>
      </c>
      <c r="Y539" s="426" t="s">
        <v>3350</v>
      </c>
      <c r="Z539" s="426" t="s">
        <v>2646</v>
      </c>
      <c r="AA539" s="426" t="s">
        <v>2646</v>
      </c>
      <c r="AB539" s="426" t="s">
        <v>2646</v>
      </c>
      <c r="AC539" s="426" t="s">
        <v>2646</v>
      </c>
      <c r="AD539" s="426" t="s">
        <v>2646</v>
      </c>
      <c r="AE539" s="426" t="s">
        <v>2646</v>
      </c>
      <c r="AF539" s="426" t="s">
        <v>2646</v>
      </c>
      <c r="AG539" s="426" t="s">
        <v>2646</v>
      </c>
      <c r="AH539" s="426" t="s">
        <v>2646</v>
      </c>
      <c r="AI539" s="426" t="s">
        <v>2646</v>
      </c>
      <c r="AJ539" s="68" t="s">
        <v>2646</v>
      </c>
    </row>
    <row r="540" spans="1:36">
      <c r="A540" s="392" t="s">
        <v>1841</v>
      </c>
      <c r="B540" s="427" t="s">
        <v>48</v>
      </c>
      <c r="C540" s="433" t="s">
        <v>3977</v>
      </c>
      <c r="D540" s="433" t="s">
        <v>3856</v>
      </c>
      <c r="E540" s="433" t="s">
        <v>2724</v>
      </c>
      <c r="F540" s="433" t="s">
        <v>2654</v>
      </c>
      <c r="G540" s="433" t="s">
        <v>2654</v>
      </c>
      <c r="H540" s="433" t="s">
        <v>2654</v>
      </c>
      <c r="I540" s="433" t="s">
        <v>2654</v>
      </c>
      <c r="J540" s="433" t="s">
        <v>2654</v>
      </c>
      <c r="K540" s="433" t="s">
        <v>2654</v>
      </c>
      <c r="L540" s="433" t="s">
        <v>2654</v>
      </c>
      <c r="M540" s="433" t="s">
        <v>2654</v>
      </c>
      <c r="N540" s="433" t="s">
        <v>2654</v>
      </c>
      <c r="O540" s="433" t="s">
        <v>2793</v>
      </c>
      <c r="P540" s="433" t="s">
        <v>3652</v>
      </c>
      <c r="Q540" s="433" t="s">
        <v>2654</v>
      </c>
      <c r="R540" s="433" t="s">
        <v>2654</v>
      </c>
      <c r="S540" s="426"/>
      <c r="T540" s="426"/>
      <c r="U540" s="426"/>
      <c r="V540" s="426"/>
      <c r="W540" s="426"/>
      <c r="X540" s="426"/>
      <c r="Y540" s="426"/>
      <c r="Z540" s="426"/>
      <c r="AA540" s="426"/>
      <c r="AB540" s="426"/>
      <c r="AC540" s="426"/>
      <c r="AD540" s="426"/>
      <c r="AE540" s="426"/>
      <c r="AF540" s="426"/>
      <c r="AG540" s="426"/>
      <c r="AH540" s="426"/>
      <c r="AI540" s="426"/>
    </row>
    <row r="541" spans="1:36" hidden="1">
      <c r="A541" s="392" t="s">
        <v>1842</v>
      </c>
      <c r="B541" s="427" t="s">
        <v>2647</v>
      </c>
      <c r="C541" s="433" t="s">
        <v>3416</v>
      </c>
      <c r="D541" s="433" t="s">
        <v>2777</v>
      </c>
      <c r="E541" s="433" t="s">
        <v>2654</v>
      </c>
      <c r="F541" s="433" t="s">
        <v>2654</v>
      </c>
      <c r="G541" s="433" t="s">
        <v>2654</v>
      </c>
      <c r="H541" s="433" t="s">
        <v>2654</v>
      </c>
      <c r="I541" s="433" t="s">
        <v>2654</v>
      </c>
      <c r="J541" s="433" t="s">
        <v>2654</v>
      </c>
      <c r="K541" s="433" t="s">
        <v>2654</v>
      </c>
      <c r="L541" s="433" t="s">
        <v>2654</v>
      </c>
      <c r="M541" s="433" t="s">
        <v>2654</v>
      </c>
      <c r="N541" s="433" t="s">
        <v>2654</v>
      </c>
      <c r="O541" s="433" t="s">
        <v>2654</v>
      </c>
      <c r="P541" s="433" t="s">
        <v>2650</v>
      </c>
      <c r="Q541" s="431"/>
      <c r="R541" s="431"/>
      <c r="S541" s="426" t="s">
        <v>2660</v>
      </c>
      <c r="T541" s="426" t="s">
        <v>2646</v>
      </c>
      <c r="U541" s="426" t="s">
        <v>2646</v>
      </c>
      <c r="V541" s="426" t="s">
        <v>2646</v>
      </c>
      <c r="W541" s="426" t="s">
        <v>2646</v>
      </c>
      <c r="X541" s="426" t="s">
        <v>2646</v>
      </c>
      <c r="Y541" s="426" t="s">
        <v>2646</v>
      </c>
      <c r="Z541" s="426" t="s">
        <v>2646</v>
      </c>
      <c r="AA541" s="426" t="s">
        <v>2646</v>
      </c>
      <c r="AB541" s="426" t="s">
        <v>2646</v>
      </c>
      <c r="AC541" s="426" t="s">
        <v>2646</v>
      </c>
      <c r="AD541" s="426" t="s">
        <v>2646</v>
      </c>
      <c r="AE541" s="426" t="s">
        <v>2646</v>
      </c>
      <c r="AF541" s="426" t="s">
        <v>2646</v>
      </c>
      <c r="AG541" s="426" t="s">
        <v>2646</v>
      </c>
      <c r="AH541" s="426" t="s">
        <v>2646</v>
      </c>
      <c r="AI541" s="426" t="s">
        <v>2646</v>
      </c>
      <c r="AJ541" s="68" t="s">
        <v>2646</v>
      </c>
    </row>
    <row r="542" spans="1:36" hidden="1">
      <c r="A542" s="392" t="s">
        <v>1843</v>
      </c>
      <c r="B542" s="427" t="s">
        <v>2648</v>
      </c>
      <c r="C542" s="433" t="s">
        <v>3726</v>
      </c>
      <c r="D542" s="433" t="s">
        <v>2777</v>
      </c>
      <c r="E542" s="433" t="s">
        <v>2654</v>
      </c>
      <c r="F542" s="433" t="s">
        <v>2654</v>
      </c>
      <c r="G542" s="433" t="s">
        <v>2654</v>
      </c>
      <c r="H542" s="433" t="s">
        <v>2654</v>
      </c>
      <c r="I542" s="433" t="s">
        <v>2654</v>
      </c>
      <c r="J542" s="433" t="s">
        <v>2654</v>
      </c>
      <c r="K542" s="433" t="s">
        <v>2654</v>
      </c>
      <c r="L542" s="433" t="s">
        <v>2654</v>
      </c>
      <c r="M542" s="433" t="s">
        <v>2654</v>
      </c>
      <c r="N542" s="433" t="s">
        <v>2654</v>
      </c>
      <c r="O542" s="433" t="s">
        <v>2654</v>
      </c>
      <c r="P542" s="433" t="s">
        <v>2649</v>
      </c>
      <c r="Q542" s="431"/>
      <c r="R542" s="431"/>
      <c r="S542" s="426" t="s">
        <v>2796</v>
      </c>
      <c r="T542" s="426" t="s">
        <v>2646</v>
      </c>
      <c r="U542" s="426" t="s">
        <v>2646</v>
      </c>
      <c r="V542" s="426" t="s">
        <v>2646</v>
      </c>
      <c r="W542" s="426" t="s">
        <v>2646</v>
      </c>
      <c r="X542" s="426" t="s">
        <v>2646</v>
      </c>
      <c r="Y542" s="426" t="s">
        <v>2646</v>
      </c>
      <c r="Z542" s="426" t="s">
        <v>2646</v>
      </c>
      <c r="AA542" s="426" t="s">
        <v>2646</v>
      </c>
      <c r="AB542" s="426" t="s">
        <v>2646</v>
      </c>
      <c r="AC542" s="426" t="s">
        <v>2646</v>
      </c>
      <c r="AD542" s="426" t="s">
        <v>2646</v>
      </c>
      <c r="AE542" s="426" t="s">
        <v>2646</v>
      </c>
      <c r="AF542" s="426" t="s">
        <v>2646</v>
      </c>
      <c r="AG542" s="426" t="s">
        <v>2646</v>
      </c>
      <c r="AH542" s="426" t="s">
        <v>2646</v>
      </c>
      <c r="AI542" s="426" t="s">
        <v>2646</v>
      </c>
      <c r="AJ542" s="68" t="s">
        <v>2646</v>
      </c>
    </row>
    <row r="543" spans="1:36" hidden="1">
      <c r="A543" s="392" t="s">
        <v>1844</v>
      </c>
      <c r="B543" s="427" t="s">
        <v>2649</v>
      </c>
      <c r="C543" s="433" t="s">
        <v>3726</v>
      </c>
      <c r="D543" s="433" t="s">
        <v>2676</v>
      </c>
      <c r="E543" s="433" t="s">
        <v>2654</v>
      </c>
      <c r="F543" s="433" t="s">
        <v>2654</v>
      </c>
      <c r="G543" s="433" t="s">
        <v>2654</v>
      </c>
      <c r="H543" s="433" t="s">
        <v>2654</v>
      </c>
      <c r="I543" s="433" t="s">
        <v>2654</v>
      </c>
      <c r="J543" s="433" t="s">
        <v>2654</v>
      </c>
      <c r="K543" s="433" t="s">
        <v>2654</v>
      </c>
      <c r="L543" s="433" t="s">
        <v>2654</v>
      </c>
      <c r="M543" s="433" t="s">
        <v>2654</v>
      </c>
      <c r="N543" s="433" t="s">
        <v>2654</v>
      </c>
      <c r="O543" s="433" t="s">
        <v>2654</v>
      </c>
      <c r="P543" s="433" t="s">
        <v>2647</v>
      </c>
      <c r="Q543" s="431"/>
      <c r="R543" s="431"/>
      <c r="S543" s="426" t="s">
        <v>2844</v>
      </c>
      <c r="T543" s="426" t="s">
        <v>2646</v>
      </c>
      <c r="U543" s="426" t="s">
        <v>2646</v>
      </c>
      <c r="V543" s="426" t="s">
        <v>2646</v>
      </c>
      <c r="W543" s="426" t="s">
        <v>2646</v>
      </c>
      <c r="X543" s="426" t="s">
        <v>2646</v>
      </c>
      <c r="Y543" s="426" t="s">
        <v>2646</v>
      </c>
      <c r="Z543" s="426" t="s">
        <v>2646</v>
      </c>
      <c r="AA543" s="426" t="s">
        <v>2646</v>
      </c>
      <c r="AB543" s="426" t="s">
        <v>2646</v>
      </c>
      <c r="AC543" s="426" t="s">
        <v>2646</v>
      </c>
      <c r="AD543" s="426" t="s">
        <v>2646</v>
      </c>
      <c r="AE543" s="426" t="s">
        <v>2646</v>
      </c>
      <c r="AF543" s="426" t="s">
        <v>2646</v>
      </c>
      <c r="AG543" s="426" t="s">
        <v>2646</v>
      </c>
      <c r="AH543" s="426" t="s">
        <v>2646</v>
      </c>
      <c r="AI543" s="426" t="s">
        <v>2646</v>
      </c>
      <c r="AJ543" s="68" t="s">
        <v>2646</v>
      </c>
    </row>
    <row r="544" spans="1:36" hidden="1">
      <c r="A544" s="392" t="s">
        <v>1845</v>
      </c>
      <c r="B544" s="427" t="s">
        <v>2650</v>
      </c>
      <c r="C544" s="433" t="s">
        <v>3737</v>
      </c>
      <c r="D544" s="433" t="s">
        <v>2676</v>
      </c>
      <c r="E544" s="433" t="s">
        <v>2654</v>
      </c>
      <c r="F544" s="433" t="s">
        <v>2654</v>
      </c>
      <c r="G544" s="433" t="s">
        <v>2654</v>
      </c>
      <c r="H544" s="433" t="s">
        <v>2654</v>
      </c>
      <c r="I544" s="433" t="s">
        <v>2654</v>
      </c>
      <c r="J544" s="433" t="s">
        <v>2654</v>
      </c>
      <c r="K544" s="433" t="s">
        <v>2654</v>
      </c>
      <c r="L544" s="433" t="s">
        <v>2654</v>
      </c>
      <c r="M544" s="433" t="s">
        <v>2654</v>
      </c>
      <c r="N544" s="433" t="s">
        <v>2654</v>
      </c>
      <c r="O544" s="433" t="s">
        <v>2654</v>
      </c>
      <c r="P544" s="433" t="s">
        <v>2648</v>
      </c>
      <c r="Q544" s="431"/>
      <c r="R544" s="431"/>
      <c r="S544" s="426" t="s">
        <v>3187</v>
      </c>
      <c r="T544" s="426" t="s">
        <v>2646</v>
      </c>
      <c r="U544" s="426" t="s">
        <v>2646</v>
      </c>
      <c r="V544" s="426" t="s">
        <v>2646</v>
      </c>
      <c r="W544" s="426" t="s">
        <v>2646</v>
      </c>
      <c r="X544" s="426" t="s">
        <v>2646</v>
      </c>
      <c r="Y544" s="426" t="s">
        <v>2646</v>
      </c>
      <c r="Z544" s="426" t="s">
        <v>2646</v>
      </c>
      <c r="AA544" s="426" t="s">
        <v>2646</v>
      </c>
      <c r="AB544" s="426" t="s">
        <v>2646</v>
      </c>
      <c r="AC544" s="426" t="s">
        <v>2646</v>
      </c>
      <c r="AD544" s="426" t="s">
        <v>2646</v>
      </c>
      <c r="AE544" s="426" t="s">
        <v>2646</v>
      </c>
      <c r="AF544" s="426" t="s">
        <v>2646</v>
      </c>
      <c r="AG544" s="426" t="s">
        <v>2646</v>
      </c>
      <c r="AH544" s="426" t="s">
        <v>2646</v>
      </c>
      <c r="AI544" s="426" t="s">
        <v>2646</v>
      </c>
      <c r="AJ544" s="68" t="s">
        <v>2646</v>
      </c>
    </row>
    <row r="545" spans="1:36" hidden="1">
      <c r="A545" s="392" t="s">
        <v>1846</v>
      </c>
      <c r="B545" s="427" t="s">
        <v>2651</v>
      </c>
      <c r="C545" s="433" t="s">
        <v>3783</v>
      </c>
      <c r="D545" s="433" t="s">
        <v>2777</v>
      </c>
      <c r="E545" s="433" t="s">
        <v>2654</v>
      </c>
      <c r="F545" s="433" t="s">
        <v>2654</v>
      </c>
      <c r="G545" s="433" t="s">
        <v>2654</v>
      </c>
      <c r="H545" s="433" t="s">
        <v>2654</v>
      </c>
      <c r="I545" s="433" t="s">
        <v>2654</v>
      </c>
      <c r="J545" s="433" t="s">
        <v>2654</v>
      </c>
      <c r="K545" s="433" t="s">
        <v>2654</v>
      </c>
      <c r="L545" s="433" t="s">
        <v>2654</v>
      </c>
      <c r="M545" s="433" t="s">
        <v>2654</v>
      </c>
      <c r="N545" s="433" t="s">
        <v>2654</v>
      </c>
      <c r="O545" s="433" t="s">
        <v>2654</v>
      </c>
      <c r="P545" s="433" t="s">
        <v>2648</v>
      </c>
      <c r="Q545" s="431"/>
      <c r="R545" s="431"/>
      <c r="S545" s="426" t="s">
        <v>2660</v>
      </c>
      <c r="T545" s="426" t="s">
        <v>2646</v>
      </c>
      <c r="U545" s="426" t="s">
        <v>2646</v>
      </c>
      <c r="V545" s="426" t="s">
        <v>2646</v>
      </c>
      <c r="W545" s="426" t="s">
        <v>2646</v>
      </c>
      <c r="X545" s="426" t="s">
        <v>2646</v>
      </c>
      <c r="Y545" s="426" t="s">
        <v>2646</v>
      </c>
      <c r="Z545" s="426" t="s">
        <v>2646</v>
      </c>
      <c r="AA545" s="426" t="s">
        <v>2646</v>
      </c>
      <c r="AB545" s="426" t="s">
        <v>2646</v>
      </c>
      <c r="AC545" s="426" t="s">
        <v>2646</v>
      </c>
      <c r="AD545" s="426" t="s">
        <v>2646</v>
      </c>
      <c r="AE545" s="426" t="s">
        <v>2646</v>
      </c>
      <c r="AF545" s="426" t="s">
        <v>2646</v>
      </c>
      <c r="AG545" s="426" t="s">
        <v>2646</v>
      </c>
      <c r="AH545" s="426" t="s">
        <v>2646</v>
      </c>
      <c r="AI545" s="426" t="s">
        <v>2646</v>
      </c>
      <c r="AJ545" s="68" t="s">
        <v>2646</v>
      </c>
    </row>
    <row r="546" spans="1:36">
      <c r="A546" s="392" t="s">
        <v>1846</v>
      </c>
      <c r="B546" s="427" t="s">
        <v>48</v>
      </c>
      <c r="C546" s="433" t="s">
        <v>4338</v>
      </c>
      <c r="D546" s="433" t="s">
        <v>3604</v>
      </c>
      <c r="E546" s="433" t="s">
        <v>2654</v>
      </c>
      <c r="F546" s="433" t="s">
        <v>2654</v>
      </c>
      <c r="G546" s="433" t="s">
        <v>2654</v>
      </c>
      <c r="H546" s="433" t="s">
        <v>2654</v>
      </c>
      <c r="I546" s="433" t="s">
        <v>2654</v>
      </c>
      <c r="J546" s="433" t="s">
        <v>2654</v>
      </c>
      <c r="K546" s="433" t="s">
        <v>2654</v>
      </c>
      <c r="L546" s="433" t="s">
        <v>2654</v>
      </c>
      <c r="M546" s="433" t="s">
        <v>2654</v>
      </c>
      <c r="N546" s="433" t="s">
        <v>2654</v>
      </c>
      <c r="O546" s="433" t="s">
        <v>2654</v>
      </c>
      <c r="P546" s="433" t="s">
        <v>3083</v>
      </c>
      <c r="Q546" s="433" t="s">
        <v>2654</v>
      </c>
      <c r="R546" s="433" t="s">
        <v>2654</v>
      </c>
      <c r="S546" s="426"/>
      <c r="T546" s="426"/>
      <c r="U546" s="426"/>
      <c r="V546" s="426"/>
      <c r="W546" s="426"/>
      <c r="X546" s="426"/>
      <c r="Y546" s="426"/>
      <c r="Z546" s="426"/>
      <c r="AA546" s="426"/>
      <c r="AB546" s="426"/>
      <c r="AC546" s="426"/>
      <c r="AD546" s="426"/>
      <c r="AE546" s="426"/>
      <c r="AF546" s="426"/>
      <c r="AG546" s="426"/>
      <c r="AH546" s="426"/>
      <c r="AI546" s="426"/>
    </row>
    <row r="547" spans="1:36" hidden="1">
      <c r="A547" s="392" t="s">
        <v>1847</v>
      </c>
      <c r="B547" s="427" t="s">
        <v>2647</v>
      </c>
      <c r="C547" s="433" t="s">
        <v>3157</v>
      </c>
      <c r="D547" s="433" t="s">
        <v>3233</v>
      </c>
      <c r="E547" s="433" t="s">
        <v>2654</v>
      </c>
      <c r="F547" s="433" t="s">
        <v>2654</v>
      </c>
      <c r="G547" s="433" t="s">
        <v>2654</v>
      </c>
      <c r="H547" s="433" t="s">
        <v>2654</v>
      </c>
      <c r="I547" s="433" t="s">
        <v>2654</v>
      </c>
      <c r="J547" s="433" t="s">
        <v>2654</v>
      </c>
      <c r="K547" s="433" t="s">
        <v>2654</v>
      </c>
      <c r="L547" s="433" t="s">
        <v>2654</v>
      </c>
      <c r="M547" s="433" t="s">
        <v>2654</v>
      </c>
      <c r="N547" s="433" t="s">
        <v>2654</v>
      </c>
      <c r="O547" s="433" t="s">
        <v>2654</v>
      </c>
      <c r="P547" s="433" t="s">
        <v>2650</v>
      </c>
      <c r="Q547" s="431"/>
      <c r="R547" s="431"/>
      <c r="S547" s="426" t="s">
        <v>2836</v>
      </c>
      <c r="T547" s="426" t="s">
        <v>2646</v>
      </c>
      <c r="U547" s="426" t="s">
        <v>2646</v>
      </c>
      <c r="V547" s="426" t="s">
        <v>2646</v>
      </c>
      <c r="W547" s="426" t="s">
        <v>2670</v>
      </c>
      <c r="X547" s="426" t="s">
        <v>2693</v>
      </c>
      <c r="Y547" s="426" t="s">
        <v>3449</v>
      </c>
      <c r="Z547" s="426" t="s">
        <v>2646</v>
      </c>
      <c r="AA547" s="426" t="s">
        <v>2646</v>
      </c>
      <c r="AB547" s="426" t="s">
        <v>2646</v>
      </c>
      <c r="AC547" s="426" t="s">
        <v>2646</v>
      </c>
      <c r="AD547" s="426" t="s">
        <v>2646</v>
      </c>
      <c r="AE547" s="426" t="s">
        <v>2646</v>
      </c>
      <c r="AF547" s="426" t="s">
        <v>2646</v>
      </c>
      <c r="AG547" s="426" t="s">
        <v>2646</v>
      </c>
      <c r="AH547" s="426" t="s">
        <v>2646</v>
      </c>
      <c r="AI547" s="426" t="s">
        <v>2646</v>
      </c>
      <c r="AJ547" s="68" t="s">
        <v>2646</v>
      </c>
    </row>
    <row r="548" spans="1:36" hidden="1">
      <c r="A548" s="392" t="s">
        <v>1848</v>
      </c>
      <c r="B548" s="427" t="s">
        <v>2648</v>
      </c>
      <c r="C548" s="433" t="s">
        <v>4339</v>
      </c>
      <c r="D548" s="433" t="s">
        <v>2720</v>
      </c>
      <c r="E548" s="433" t="s">
        <v>2654</v>
      </c>
      <c r="F548" s="433" t="s">
        <v>2654</v>
      </c>
      <c r="G548" s="433" t="s">
        <v>2654</v>
      </c>
      <c r="H548" s="433" t="s">
        <v>2654</v>
      </c>
      <c r="I548" s="433" t="s">
        <v>2654</v>
      </c>
      <c r="J548" s="433" t="s">
        <v>2654</v>
      </c>
      <c r="K548" s="433" t="s">
        <v>2654</v>
      </c>
      <c r="L548" s="433" t="s">
        <v>2654</v>
      </c>
      <c r="M548" s="433" t="s">
        <v>2654</v>
      </c>
      <c r="N548" s="433" t="s">
        <v>2654</v>
      </c>
      <c r="O548" s="433" t="s">
        <v>2654</v>
      </c>
      <c r="P548" s="433" t="s">
        <v>2649</v>
      </c>
      <c r="Q548" s="431"/>
      <c r="R548" s="431"/>
      <c r="S548" s="426" t="s">
        <v>2660</v>
      </c>
      <c r="T548" s="426" t="s">
        <v>2646</v>
      </c>
      <c r="U548" s="426" t="s">
        <v>2646</v>
      </c>
      <c r="V548" s="426" t="s">
        <v>2646</v>
      </c>
      <c r="W548" s="426" t="s">
        <v>2670</v>
      </c>
      <c r="X548" s="426" t="s">
        <v>2693</v>
      </c>
      <c r="Y548" s="426" t="s">
        <v>3449</v>
      </c>
      <c r="Z548" s="426" t="s">
        <v>2646</v>
      </c>
      <c r="AA548" s="426" t="s">
        <v>2646</v>
      </c>
      <c r="AB548" s="426" t="s">
        <v>2646</v>
      </c>
      <c r="AC548" s="426" t="s">
        <v>2646</v>
      </c>
      <c r="AD548" s="426" t="s">
        <v>2646</v>
      </c>
      <c r="AE548" s="426" t="s">
        <v>2646</v>
      </c>
      <c r="AF548" s="426" t="s">
        <v>2646</v>
      </c>
      <c r="AG548" s="426" t="s">
        <v>2646</v>
      </c>
      <c r="AH548" s="426" t="s">
        <v>2646</v>
      </c>
      <c r="AI548" s="426" t="s">
        <v>2646</v>
      </c>
      <c r="AJ548" s="68" t="s">
        <v>2646</v>
      </c>
    </row>
    <row r="549" spans="1:36" hidden="1">
      <c r="A549" s="392" t="s">
        <v>1849</v>
      </c>
      <c r="B549" s="427" t="s">
        <v>2649</v>
      </c>
      <c r="C549" s="433" t="s">
        <v>3408</v>
      </c>
      <c r="D549" s="433" t="s">
        <v>2720</v>
      </c>
      <c r="E549" s="433" t="s">
        <v>2654</v>
      </c>
      <c r="F549" s="433" t="s">
        <v>2654</v>
      </c>
      <c r="G549" s="433" t="s">
        <v>2654</v>
      </c>
      <c r="H549" s="433" t="s">
        <v>2654</v>
      </c>
      <c r="I549" s="433" t="s">
        <v>2654</v>
      </c>
      <c r="J549" s="433" t="s">
        <v>2654</v>
      </c>
      <c r="K549" s="433" t="s">
        <v>2654</v>
      </c>
      <c r="L549" s="433" t="s">
        <v>2654</v>
      </c>
      <c r="M549" s="433" t="s">
        <v>2654</v>
      </c>
      <c r="N549" s="433" t="s">
        <v>2654</v>
      </c>
      <c r="O549" s="433" t="s">
        <v>2654</v>
      </c>
      <c r="P549" s="433" t="s">
        <v>2649</v>
      </c>
      <c r="Q549" s="431"/>
      <c r="R549" s="431"/>
      <c r="S549" s="426" t="s">
        <v>2655</v>
      </c>
      <c r="T549" s="426" t="s">
        <v>2646</v>
      </c>
      <c r="U549" s="426" t="s">
        <v>2646</v>
      </c>
      <c r="V549" s="426" t="s">
        <v>2646</v>
      </c>
      <c r="W549" s="426" t="s">
        <v>2670</v>
      </c>
      <c r="X549" s="426" t="s">
        <v>2693</v>
      </c>
      <c r="Y549" s="426" t="s">
        <v>3449</v>
      </c>
      <c r="Z549" s="426" t="s">
        <v>2646</v>
      </c>
      <c r="AA549" s="426" t="s">
        <v>2646</v>
      </c>
      <c r="AB549" s="426" t="s">
        <v>2646</v>
      </c>
      <c r="AC549" s="426" t="s">
        <v>2646</v>
      </c>
      <c r="AD549" s="426" t="s">
        <v>2646</v>
      </c>
      <c r="AE549" s="426" t="s">
        <v>2646</v>
      </c>
      <c r="AF549" s="426" t="s">
        <v>2646</v>
      </c>
      <c r="AG549" s="426" t="s">
        <v>2646</v>
      </c>
      <c r="AH549" s="426" t="s">
        <v>2646</v>
      </c>
      <c r="AI549" s="426" t="s">
        <v>2646</v>
      </c>
      <c r="AJ549" s="68" t="s">
        <v>2646</v>
      </c>
    </row>
    <row r="550" spans="1:36" hidden="1">
      <c r="A550" s="392" t="s">
        <v>1850</v>
      </c>
      <c r="B550" s="427" t="s">
        <v>2650</v>
      </c>
      <c r="C550" s="433" t="s">
        <v>4340</v>
      </c>
      <c r="D550" s="433" t="s">
        <v>2833</v>
      </c>
      <c r="E550" s="433" t="s">
        <v>2654</v>
      </c>
      <c r="F550" s="433" t="s">
        <v>2654</v>
      </c>
      <c r="G550" s="433" t="s">
        <v>2654</v>
      </c>
      <c r="H550" s="433" t="s">
        <v>2654</v>
      </c>
      <c r="I550" s="433" t="s">
        <v>2654</v>
      </c>
      <c r="J550" s="433" t="s">
        <v>2654</v>
      </c>
      <c r="K550" s="433" t="s">
        <v>2654</v>
      </c>
      <c r="L550" s="433" t="s">
        <v>2654</v>
      </c>
      <c r="M550" s="433" t="s">
        <v>2654</v>
      </c>
      <c r="N550" s="433" t="s">
        <v>2654</v>
      </c>
      <c r="O550" s="433" t="s">
        <v>2654</v>
      </c>
      <c r="P550" s="433" t="s">
        <v>2650</v>
      </c>
      <c r="Q550" s="431"/>
      <c r="R550" s="431"/>
      <c r="S550" s="426" t="s">
        <v>2655</v>
      </c>
      <c r="T550" s="426" t="s">
        <v>2646</v>
      </c>
      <c r="U550" s="426" t="s">
        <v>2646</v>
      </c>
      <c r="V550" s="426" t="s">
        <v>2646</v>
      </c>
      <c r="W550" s="426" t="s">
        <v>2670</v>
      </c>
      <c r="X550" s="426" t="s">
        <v>2693</v>
      </c>
      <c r="Y550" s="426" t="s">
        <v>3449</v>
      </c>
      <c r="Z550" s="426" t="s">
        <v>2646</v>
      </c>
      <c r="AA550" s="426" t="s">
        <v>2646</v>
      </c>
      <c r="AB550" s="426" t="s">
        <v>2646</v>
      </c>
      <c r="AC550" s="426" t="s">
        <v>2646</v>
      </c>
      <c r="AD550" s="426" t="s">
        <v>2646</v>
      </c>
      <c r="AE550" s="426" t="s">
        <v>2646</v>
      </c>
      <c r="AF550" s="426" t="s">
        <v>2646</v>
      </c>
      <c r="AG550" s="426" t="s">
        <v>2646</v>
      </c>
      <c r="AH550" s="426" t="s">
        <v>2646</v>
      </c>
      <c r="AI550" s="426" t="s">
        <v>2646</v>
      </c>
      <c r="AJ550" s="68" t="s">
        <v>2646</v>
      </c>
    </row>
    <row r="551" spans="1:36" hidden="1">
      <c r="A551" s="392" t="s">
        <v>1851</v>
      </c>
      <c r="B551" s="427" t="s">
        <v>2651</v>
      </c>
      <c r="C551" s="433" t="s">
        <v>4046</v>
      </c>
      <c r="D551" s="433" t="s">
        <v>2720</v>
      </c>
      <c r="E551" s="433" t="s">
        <v>2654</v>
      </c>
      <c r="F551" s="433" t="s">
        <v>2654</v>
      </c>
      <c r="G551" s="433" t="s">
        <v>2654</v>
      </c>
      <c r="H551" s="433" t="s">
        <v>2654</v>
      </c>
      <c r="I551" s="433" t="s">
        <v>2654</v>
      </c>
      <c r="J551" s="433" t="s">
        <v>2654</v>
      </c>
      <c r="K551" s="433" t="s">
        <v>2654</v>
      </c>
      <c r="L551" s="433" t="s">
        <v>2654</v>
      </c>
      <c r="M551" s="433" t="s">
        <v>2654</v>
      </c>
      <c r="N551" s="433" t="s">
        <v>2654</v>
      </c>
      <c r="O551" s="433" t="s">
        <v>2654</v>
      </c>
      <c r="P551" s="433" t="s">
        <v>2649</v>
      </c>
      <c r="Q551" s="431"/>
      <c r="R551" s="431"/>
      <c r="S551" s="426" t="s">
        <v>2844</v>
      </c>
      <c r="T551" s="426" t="s">
        <v>2646</v>
      </c>
      <c r="U551" s="426" t="s">
        <v>2646</v>
      </c>
      <c r="V551" s="426" t="s">
        <v>2646</v>
      </c>
      <c r="W551" s="426" t="s">
        <v>2670</v>
      </c>
      <c r="X551" s="426" t="s">
        <v>2693</v>
      </c>
      <c r="Y551" s="426" t="s">
        <v>3449</v>
      </c>
      <c r="Z551" s="426" t="s">
        <v>2646</v>
      </c>
      <c r="AA551" s="426" t="s">
        <v>2646</v>
      </c>
      <c r="AB551" s="426" t="s">
        <v>2646</v>
      </c>
      <c r="AC551" s="426" t="s">
        <v>2646</v>
      </c>
      <c r="AD551" s="426" t="s">
        <v>2646</v>
      </c>
      <c r="AE551" s="426" t="s">
        <v>2646</v>
      </c>
      <c r="AF551" s="426" t="s">
        <v>2646</v>
      </c>
      <c r="AG551" s="426" t="s">
        <v>2646</v>
      </c>
      <c r="AH551" s="426" t="s">
        <v>2646</v>
      </c>
      <c r="AI551" s="426" t="s">
        <v>2646</v>
      </c>
      <c r="AJ551" s="68" t="s">
        <v>2646</v>
      </c>
    </row>
    <row r="552" spans="1:36">
      <c r="A552" s="392" t="s">
        <v>1851</v>
      </c>
      <c r="B552" s="427" t="s">
        <v>48</v>
      </c>
      <c r="C552" s="433" t="s">
        <v>3267</v>
      </c>
      <c r="D552" s="433" t="s">
        <v>2720</v>
      </c>
      <c r="E552" s="433" t="s">
        <v>2654</v>
      </c>
      <c r="F552" s="433" t="s">
        <v>2654</v>
      </c>
      <c r="G552" s="433" t="s">
        <v>2654</v>
      </c>
      <c r="H552" s="433" t="s">
        <v>2654</v>
      </c>
      <c r="I552" s="433" t="s">
        <v>2654</v>
      </c>
      <c r="J552" s="433" t="s">
        <v>2654</v>
      </c>
      <c r="K552" s="433" t="s">
        <v>2654</v>
      </c>
      <c r="L552" s="433" t="s">
        <v>2654</v>
      </c>
      <c r="M552" s="433" t="s">
        <v>2654</v>
      </c>
      <c r="N552" s="433" t="s">
        <v>2654</v>
      </c>
      <c r="O552" s="433" t="s">
        <v>2654</v>
      </c>
      <c r="P552" s="433" t="s">
        <v>3145</v>
      </c>
      <c r="Q552" s="433" t="s">
        <v>2654</v>
      </c>
      <c r="R552" s="433" t="s">
        <v>2654</v>
      </c>
      <c r="S552" s="426"/>
      <c r="T552" s="426"/>
      <c r="U552" s="426"/>
      <c r="V552" s="426"/>
      <c r="W552" s="426"/>
      <c r="X552" s="426"/>
      <c r="Y552" s="426"/>
      <c r="Z552" s="426"/>
      <c r="AA552" s="426"/>
      <c r="AB552" s="426"/>
      <c r="AC552" s="426"/>
      <c r="AD552" s="426"/>
      <c r="AE552" s="426"/>
      <c r="AF552" s="426"/>
      <c r="AG552" s="426"/>
      <c r="AH552" s="426"/>
      <c r="AI552" s="426"/>
    </row>
    <row r="553" spans="1:36" hidden="1">
      <c r="A553" s="392" t="s">
        <v>1852</v>
      </c>
      <c r="B553" s="427" t="s">
        <v>2647</v>
      </c>
      <c r="C553" s="433" t="s">
        <v>3585</v>
      </c>
      <c r="D553" s="433" t="s">
        <v>3247</v>
      </c>
      <c r="E553" s="433" t="s">
        <v>2654</v>
      </c>
      <c r="F553" s="433" t="s">
        <v>2654</v>
      </c>
      <c r="G553" s="433" t="s">
        <v>2654</v>
      </c>
      <c r="H553" s="433" t="s">
        <v>2654</v>
      </c>
      <c r="I553" s="433" t="s">
        <v>2654</v>
      </c>
      <c r="J553" s="433" t="s">
        <v>2654</v>
      </c>
      <c r="K553" s="433" t="s">
        <v>2654</v>
      </c>
      <c r="L553" s="433" t="s">
        <v>2654</v>
      </c>
      <c r="M553" s="433" t="s">
        <v>2654</v>
      </c>
      <c r="N553" s="433" t="s">
        <v>2654</v>
      </c>
      <c r="O553" s="433" t="s">
        <v>2654</v>
      </c>
      <c r="P553" s="433" t="s">
        <v>2651</v>
      </c>
      <c r="Q553" s="431"/>
      <c r="R553" s="431"/>
      <c r="S553" s="426" t="s">
        <v>3194</v>
      </c>
      <c r="T553" s="426" t="s">
        <v>2646</v>
      </c>
      <c r="U553" s="426" t="s">
        <v>2646</v>
      </c>
      <c r="V553" s="426" t="s">
        <v>2646</v>
      </c>
      <c r="W553" s="426" t="s">
        <v>3429</v>
      </c>
      <c r="X553" s="426" t="s">
        <v>2728</v>
      </c>
      <c r="Y553" s="426" t="s">
        <v>3452</v>
      </c>
      <c r="Z553" s="426" t="s">
        <v>2646</v>
      </c>
      <c r="AA553" s="426" t="s">
        <v>2646</v>
      </c>
      <c r="AB553" s="426" t="s">
        <v>2646</v>
      </c>
      <c r="AC553" s="426" t="s">
        <v>2646</v>
      </c>
      <c r="AD553" s="426" t="s">
        <v>2646</v>
      </c>
      <c r="AE553" s="426" t="s">
        <v>2646</v>
      </c>
      <c r="AF553" s="426" t="s">
        <v>2646</v>
      </c>
      <c r="AG553" s="426" t="s">
        <v>2646</v>
      </c>
      <c r="AH553" s="426" t="s">
        <v>2646</v>
      </c>
      <c r="AI553" s="426" t="s">
        <v>2646</v>
      </c>
      <c r="AJ553" s="68" t="s">
        <v>2646</v>
      </c>
    </row>
    <row r="554" spans="1:36" hidden="1">
      <c r="A554" s="392" t="s">
        <v>1853</v>
      </c>
      <c r="B554" s="427" t="s">
        <v>2648</v>
      </c>
      <c r="C554" s="433" t="s">
        <v>3613</v>
      </c>
      <c r="D554" s="433" t="s">
        <v>3049</v>
      </c>
      <c r="E554" s="433" t="s">
        <v>2654</v>
      </c>
      <c r="F554" s="433" t="s">
        <v>2654</v>
      </c>
      <c r="G554" s="433" t="s">
        <v>2654</v>
      </c>
      <c r="H554" s="433" t="s">
        <v>2654</v>
      </c>
      <c r="I554" s="433" t="s">
        <v>2654</v>
      </c>
      <c r="J554" s="433" t="s">
        <v>2654</v>
      </c>
      <c r="K554" s="433" t="s">
        <v>2654</v>
      </c>
      <c r="L554" s="433" t="s">
        <v>2654</v>
      </c>
      <c r="M554" s="433" t="s">
        <v>2654</v>
      </c>
      <c r="N554" s="433" t="s">
        <v>2654</v>
      </c>
      <c r="O554" s="433" t="s">
        <v>2654</v>
      </c>
      <c r="P554" s="433" t="s">
        <v>2651</v>
      </c>
      <c r="Q554" s="431"/>
      <c r="R554" s="431"/>
      <c r="S554" s="426" t="s">
        <v>3187</v>
      </c>
      <c r="T554" s="426" t="s">
        <v>2862</v>
      </c>
      <c r="U554" s="426" t="s">
        <v>2703</v>
      </c>
      <c r="V554" s="426" t="s">
        <v>2703</v>
      </c>
      <c r="W554" s="426" t="s">
        <v>2670</v>
      </c>
      <c r="X554" s="426" t="s">
        <v>2728</v>
      </c>
      <c r="Y554" s="426" t="s">
        <v>3453</v>
      </c>
      <c r="Z554" s="426" t="s">
        <v>2646</v>
      </c>
      <c r="AA554" s="426" t="s">
        <v>2646</v>
      </c>
      <c r="AB554" s="426" t="s">
        <v>2646</v>
      </c>
      <c r="AC554" s="426" t="s">
        <v>2646</v>
      </c>
      <c r="AD554" s="426" t="s">
        <v>2646</v>
      </c>
      <c r="AE554" s="426" t="s">
        <v>2646</v>
      </c>
      <c r="AF554" s="426" t="s">
        <v>2646</v>
      </c>
      <c r="AG554" s="426" t="s">
        <v>2646</v>
      </c>
      <c r="AH554" s="426" t="s">
        <v>2646</v>
      </c>
      <c r="AI554" s="426" t="s">
        <v>2646</v>
      </c>
      <c r="AJ554" s="68" t="s">
        <v>2646</v>
      </c>
    </row>
    <row r="555" spans="1:36" hidden="1">
      <c r="A555" s="392" t="s">
        <v>1854</v>
      </c>
      <c r="B555" s="427" t="s">
        <v>2649</v>
      </c>
      <c r="C555" s="433" t="s">
        <v>3851</v>
      </c>
      <c r="D555" s="433" t="s">
        <v>3049</v>
      </c>
      <c r="E555" s="433" t="s">
        <v>2654</v>
      </c>
      <c r="F555" s="433" t="s">
        <v>2654</v>
      </c>
      <c r="G555" s="433" t="s">
        <v>2654</v>
      </c>
      <c r="H555" s="433" t="s">
        <v>2654</v>
      </c>
      <c r="I555" s="433" t="s">
        <v>2654</v>
      </c>
      <c r="J555" s="433" t="s">
        <v>2654</v>
      </c>
      <c r="K555" s="433" t="s">
        <v>2654</v>
      </c>
      <c r="L555" s="433" t="s">
        <v>2654</v>
      </c>
      <c r="M555" s="433" t="s">
        <v>2654</v>
      </c>
      <c r="N555" s="433" t="s">
        <v>2654</v>
      </c>
      <c r="O555" s="433" t="s">
        <v>2654</v>
      </c>
      <c r="P555" s="433" t="s">
        <v>2648</v>
      </c>
      <c r="Q555" s="431"/>
      <c r="R555" s="431"/>
      <c r="S555" s="426" t="s">
        <v>3194</v>
      </c>
      <c r="T555" s="426" t="s">
        <v>3241</v>
      </c>
      <c r="U555" s="426" t="s">
        <v>2828</v>
      </c>
      <c r="V555" s="426" t="s">
        <v>3245</v>
      </c>
      <c r="W555" s="426" t="s">
        <v>2670</v>
      </c>
      <c r="X555" s="426" t="s">
        <v>2728</v>
      </c>
      <c r="Y555" s="426" t="s">
        <v>3453</v>
      </c>
      <c r="Z555" s="426" t="s">
        <v>2646</v>
      </c>
      <c r="AA555" s="426" t="s">
        <v>2646</v>
      </c>
      <c r="AB555" s="426" t="s">
        <v>2646</v>
      </c>
      <c r="AC555" s="426" t="s">
        <v>2646</v>
      </c>
      <c r="AD555" s="426" t="s">
        <v>2646</v>
      </c>
      <c r="AE555" s="426" t="s">
        <v>2646</v>
      </c>
      <c r="AF555" s="426" t="s">
        <v>2646</v>
      </c>
      <c r="AG555" s="426" t="s">
        <v>2646</v>
      </c>
      <c r="AH555" s="426" t="s">
        <v>2646</v>
      </c>
      <c r="AI555" s="426" t="s">
        <v>2646</v>
      </c>
      <c r="AJ555" s="68" t="s">
        <v>2646</v>
      </c>
    </row>
    <row r="556" spans="1:36" hidden="1">
      <c r="A556" s="392" t="s">
        <v>1855</v>
      </c>
      <c r="B556" s="427" t="s">
        <v>2650</v>
      </c>
      <c r="C556" s="433" t="s">
        <v>3093</v>
      </c>
      <c r="D556" s="433" t="s">
        <v>3262</v>
      </c>
      <c r="E556" s="433" t="s">
        <v>2654</v>
      </c>
      <c r="F556" s="433" t="s">
        <v>2654</v>
      </c>
      <c r="G556" s="433" t="s">
        <v>2654</v>
      </c>
      <c r="H556" s="433" t="s">
        <v>2654</v>
      </c>
      <c r="I556" s="433" t="s">
        <v>2654</v>
      </c>
      <c r="J556" s="433" t="s">
        <v>2654</v>
      </c>
      <c r="K556" s="433" t="s">
        <v>2654</v>
      </c>
      <c r="L556" s="433" t="s">
        <v>2654</v>
      </c>
      <c r="M556" s="433" t="s">
        <v>2654</v>
      </c>
      <c r="N556" s="433" t="s">
        <v>2654</v>
      </c>
      <c r="O556" s="433" t="s">
        <v>2654</v>
      </c>
      <c r="P556" s="433" t="s">
        <v>2651</v>
      </c>
      <c r="Q556" s="431"/>
      <c r="R556" s="431"/>
      <c r="S556" s="426" t="s">
        <v>2665</v>
      </c>
      <c r="T556" s="426" t="s">
        <v>3454</v>
      </c>
      <c r="U556" s="426" t="s">
        <v>3135</v>
      </c>
      <c r="V556" s="426" t="s">
        <v>2803</v>
      </c>
      <c r="W556" s="426" t="s">
        <v>2670</v>
      </c>
      <c r="X556" s="426" t="s">
        <v>2728</v>
      </c>
      <c r="Y556" s="426" t="s">
        <v>3453</v>
      </c>
      <c r="Z556" s="426" t="s">
        <v>2646</v>
      </c>
      <c r="AA556" s="426" t="s">
        <v>2646</v>
      </c>
      <c r="AB556" s="426" t="s">
        <v>2646</v>
      </c>
      <c r="AC556" s="426" t="s">
        <v>2646</v>
      </c>
      <c r="AD556" s="426" t="s">
        <v>2646</v>
      </c>
      <c r="AE556" s="426" t="s">
        <v>2646</v>
      </c>
      <c r="AF556" s="426" t="s">
        <v>2646</v>
      </c>
      <c r="AG556" s="426" t="s">
        <v>2646</v>
      </c>
      <c r="AH556" s="426" t="s">
        <v>2646</v>
      </c>
      <c r="AI556" s="426" t="s">
        <v>2646</v>
      </c>
      <c r="AJ556" s="68" t="s">
        <v>2646</v>
      </c>
    </row>
    <row r="557" spans="1:36" hidden="1">
      <c r="A557" s="392" t="s">
        <v>1856</v>
      </c>
      <c r="B557" s="427" t="s">
        <v>2651</v>
      </c>
      <c r="C557" s="433" t="s">
        <v>3636</v>
      </c>
      <c r="D557" s="433" t="s">
        <v>3539</v>
      </c>
      <c r="E557" s="433" t="s">
        <v>2654</v>
      </c>
      <c r="F557" s="433" t="s">
        <v>2654</v>
      </c>
      <c r="G557" s="433" t="s">
        <v>2654</v>
      </c>
      <c r="H557" s="433" t="s">
        <v>2654</v>
      </c>
      <c r="I557" s="433" t="s">
        <v>2654</v>
      </c>
      <c r="J557" s="433" t="s">
        <v>2654</v>
      </c>
      <c r="K557" s="433" t="s">
        <v>2654</v>
      </c>
      <c r="L557" s="433" t="s">
        <v>2654</v>
      </c>
      <c r="M557" s="433" t="s">
        <v>2654</v>
      </c>
      <c r="N557" s="433" t="s">
        <v>2654</v>
      </c>
      <c r="O557" s="433" t="s">
        <v>2654</v>
      </c>
      <c r="P557" s="433" t="s">
        <v>2651</v>
      </c>
      <c r="Q557" s="431"/>
      <c r="R557" s="431"/>
      <c r="S557" s="426" t="s">
        <v>2660</v>
      </c>
      <c r="T557" s="426" t="s">
        <v>3455</v>
      </c>
      <c r="U557" s="426" t="s">
        <v>3456</v>
      </c>
      <c r="V557" s="426" t="s">
        <v>3456</v>
      </c>
      <c r="W557" s="426" t="s">
        <v>2670</v>
      </c>
      <c r="X557" s="426" t="s">
        <v>2728</v>
      </c>
      <c r="Y557" s="426" t="s">
        <v>3453</v>
      </c>
      <c r="Z557" s="426" t="s">
        <v>2646</v>
      </c>
      <c r="AA557" s="426" t="s">
        <v>2646</v>
      </c>
      <c r="AB557" s="426" t="s">
        <v>2646</v>
      </c>
      <c r="AC557" s="426" t="s">
        <v>2646</v>
      </c>
      <c r="AD557" s="426" t="s">
        <v>2646</v>
      </c>
      <c r="AE557" s="426" t="s">
        <v>2646</v>
      </c>
      <c r="AF557" s="426" t="s">
        <v>2646</v>
      </c>
      <c r="AG557" s="426" t="s">
        <v>2646</v>
      </c>
      <c r="AH557" s="426" t="s">
        <v>2646</v>
      </c>
      <c r="AI557" s="426" t="s">
        <v>2646</v>
      </c>
      <c r="AJ557" s="68" t="s">
        <v>2646</v>
      </c>
    </row>
    <row r="558" spans="1:36">
      <c r="A558" s="392" t="s">
        <v>1856</v>
      </c>
      <c r="B558" s="427" t="s">
        <v>48</v>
      </c>
      <c r="C558" s="433" t="s">
        <v>4047</v>
      </c>
      <c r="D558" s="433" t="s">
        <v>3901</v>
      </c>
      <c r="E558" s="433" t="s">
        <v>2654</v>
      </c>
      <c r="F558" s="433" t="s">
        <v>2654</v>
      </c>
      <c r="G558" s="433" t="s">
        <v>2654</v>
      </c>
      <c r="H558" s="433" t="s">
        <v>2654</v>
      </c>
      <c r="I558" s="433" t="s">
        <v>2654</v>
      </c>
      <c r="J558" s="433" t="s">
        <v>2654</v>
      </c>
      <c r="K558" s="433" t="s">
        <v>2654</v>
      </c>
      <c r="L558" s="433" t="s">
        <v>2654</v>
      </c>
      <c r="M558" s="433" t="s">
        <v>2654</v>
      </c>
      <c r="N558" s="433" t="s">
        <v>2654</v>
      </c>
      <c r="O558" s="433" t="s">
        <v>2654</v>
      </c>
      <c r="P558" s="433" t="s">
        <v>2865</v>
      </c>
      <c r="Q558" s="433" t="s">
        <v>2654</v>
      </c>
      <c r="R558" s="433" t="s">
        <v>2654</v>
      </c>
      <c r="S558" s="426"/>
      <c r="T558" s="426"/>
      <c r="U558" s="426"/>
      <c r="V558" s="426"/>
      <c r="W558" s="426"/>
      <c r="X558" s="426"/>
      <c r="Y558" s="426"/>
      <c r="Z558" s="426"/>
      <c r="AA558" s="426"/>
      <c r="AB558" s="426"/>
      <c r="AC558" s="426"/>
      <c r="AD558" s="426"/>
      <c r="AE558" s="426"/>
      <c r="AF558" s="426"/>
      <c r="AG558" s="426"/>
      <c r="AH558" s="426"/>
      <c r="AI558" s="426"/>
    </row>
    <row r="559" spans="1:36" hidden="1">
      <c r="A559" s="392" t="s">
        <v>1857</v>
      </c>
      <c r="B559" s="427" t="s">
        <v>2647</v>
      </c>
      <c r="C559" s="433" t="s">
        <v>3618</v>
      </c>
      <c r="D559" s="433" t="s">
        <v>3500</v>
      </c>
      <c r="E559" s="433" t="s">
        <v>2654</v>
      </c>
      <c r="F559" s="433" t="s">
        <v>2654</v>
      </c>
      <c r="G559" s="433" t="s">
        <v>2654</v>
      </c>
      <c r="H559" s="433" t="s">
        <v>2654</v>
      </c>
      <c r="I559" s="433" t="s">
        <v>2654</v>
      </c>
      <c r="J559" s="433" t="s">
        <v>2654</v>
      </c>
      <c r="K559" s="433" t="s">
        <v>2654</v>
      </c>
      <c r="L559" s="433" t="s">
        <v>2654</v>
      </c>
      <c r="M559" s="433" t="s">
        <v>2654</v>
      </c>
      <c r="N559" s="433" t="s">
        <v>2654</v>
      </c>
      <c r="O559" s="433" t="s">
        <v>2654</v>
      </c>
      <c r="P559" s="433" t="s">
        <v>2650</v>
      </c>
      <c r="Q559" s="431"/>
      <c r="R559" s="431"/>
      <c r="S559" s="426" t="s">
        <v>2778</v>
      </c>
      <c r="T559" s="426" t="s">
        <v>2804</v>
      </c>
      <c r="U559" s="426" t="s">
        <v>2838</v>
      </c>
      <c r="V559" s="426" t="s">
        <v>3158</v>
      </c>
      <c r="W559" s="426" t="s">
        <v>2670</v>
      </c>
      <c r="X559" s="426" t="s">
        <v>2692</v>
      </c>
      <c r="Y559" s="426" t="s">
        <v>3420</v>
      </c>
      <c r="Z559" s="426" t="s">
        <v>2839</v>
      </c>
      <c r="AA559" s="426" t="s">
        <v>2646</v>
      </c>
      <c r="AB559" s="426" t="s">
        <v>2646</v>
      </c>
      <c r="AC559" s="426" t="s">
        <v>2646</v>
      </c>
      <c r="AD559" s="426" t="s">
        <v>2646</v>
      </c>
      <c r="AE559" s="426" t="s">
        <v>2646</v>
      </c>
      <c r="AF559" s="426" t="s">
        <v>2646</v>
      </c>
      <c r="AG559" s="426" t="s">
        <v>2646</v>
      </c>
      <c r="AH559" s="426" t="s">
        <v>2646</v>
      </c>
      <c r="AI559" s="426" t="s">
        <v>2646</v>
      </c>
      <c r="AJ559" s="68" t="s">
        <v>2646</v>
      </c>
    </row>
    <row r="560" spans="1:36" hidden="1">
      <c r="A560" s="392" t="s">
        <v>1858</v>
      </c>
      <c r="B560" s="427" t="s">
        <v>2648</v>
      </c>
      <c r="C560" s="433" t="s">
        <v>3629</v>
      </c>
      <c r="D560" s="433" t="s">
        <v>3409</v>
      </c>
      <c r="E560" s="433" t="s">
        <v>2654</v>
      </c>
      <c r="F560" s="433" t="s">
        <v>2654</v>
      </c>
      <c r="G560" s="433" t="s">
        <v>2654</v>
      </c>
      <c r="H560" s="433" t="s">
        <v>2654</v>
      </c>
      <c r="I560" s="433" t="s">
        <v>2654</v>
      </c>
      <c r="J560" s="433" t="s">
        <v>2654</v>
      </c>
      <c r="K560" s="433" t="s">
        <v>2654</v>
      </c>
      <c r="L560" s="433" t="s">
        <v>2654</v>
      </c>
      <c r="M560" s="433" t="s">
        <v>2654</v>
      </c>
      <c r="N560" s="433" t="s">
        <v>2654</v>
      </c>
      <c r="O560" s="433" t="s">
        <v>2654</v>
      </c>
      <c r="P560" s="433" t="s">
        <v>2648</v>
      </c>
      <c r="Q560" s="431"/>
      <c r="R560" s="431"/>
      <c r="S560" s="426" t="s">
        <v>3109</v>
      </c>
      <c r="T560" s="426" t="s">
        <v>3234</v>
      </c>
      <c r="U560" s="426" t="s">
        <v>3012</v>
      </c>
      <c r="V560" s="426" t="s">
        <v>3458</v>
      </c>
      <c r="W560" s="426" t="s">
        <v>2670</v>
      </c>
      <c r="X560" s="426" t="s">
        <v>2692</v>
      </c>
      <c r="Y560" s="426" t="s">
        <v>3420</v>
      </c>
      <c r="Z560" s="426" t="s">
        <v>3459</v>
      </c>
      <c r="AA560" s="426" t="s">
        <v>2646</v>
      </c>
      <c r="AB560" s="426" t="s">
        <v>2646</v>
      </c>
      <c r="AC560" s="426" t="s">
        <v>2646</v>
      </c>
      <c r="AD560" s="426" t="s">
        <v>2646</v>
      </c>
      <c r="AE560" s="426" t="s">
        <v>2646</v>
      </c>
      <c r="AF560" s="426" t="s">
        <v>2646</v>
      </c>
      <c r="AG560" s="426" t="s">
        <v>2646</v>
      </c>
      <c r="AH560" s="426" t="s">
        <v>2646</v>
      </c>
      <c r="AI560" s="426" t="s">
        <v>2646</v>
      </c>
      <c r="AJ560" s="68" t="s">
        <v>2646</v>
      </c>
    </row>
    <row r="561" spans="1:36" hidden="1">
      <c r="A561" s="392" t="s">
        <v>1859</v>
      </c>
      <c r="B561" s="427" t="s">
        <v>2649</v>
      </c>
      <c r="C561" s="433" t="s">
        <v>3630</v>
      </c>
      <c r="D561" s="433" t="s">
        <v>3729</v>
      </c>
      <c r="E561" s="433" t="s">
        <v>2654</v>
      </c>
      <c r="F561" s="433" t="s">
        <v>2654</v>
      </c>
      <c r="G561" s="433" t="s">
        <v>2654</v>
      </c>
      <c r="H561" s="433" t="s">
        <v>2654</v>
      </c>
      <c r="I561" s="433" t="s">
        <v>2654</v>
      </c>
      <c r="J561" s="433" t="s">
        <v>2654</v>
      </c>
      <c r="K561" s="433" t="s">
        <v>2654</v>
      </c>
      <c r="L561" s="433" t="s">
        <v>2654</v>
      </c>
      <c r="M561" s="433" t="s">
        <v>2654</v>
      </c>
      <c r="N561" s="433" t="s">
        <v>2654</v>
      </c>
      <c r="O561" s="433" t="s">
        <v>2654</v>
      </c>
      <c r="P561" s="433" t="s">
        <v>2649</v>
      </c>
      <c r="Q561" s="431"/>
      <c r="R561" s="431"/>
      <c r="S561" s="426" t="s">
        <v>3194</v>
      </c>
      <c r="T561" s="426" t="s">
        <v>3054</v>
      </c>
      <c r="U561" s="426" t="s">
        <v>3012</v>
      </c>
      <c r="V561" s="426" t="s">
        <v>3265</v>
      </c>
      <c r="W561" s="426" t="s">
        <v>2670</v>
      </c>
      <c r="X561" s="426" t="s">
        <v>2692</v>
      </c>
      <c r="Y561" s="426" t="s">
        <v>3420</v>
      </c>
      <c r="Z561" s="426" t="s">
        <v>2646</v>
      </c>
      <c r="AA561" s="426" t="s">
        <v>2646</v>
      </c>
      <c r="AB561" s="426" t="s">
        <v>2646</v>
      </c>
      <c r="AC561" s="426" t="s">
        <v>2646</v>
      </c>
      <c r="AD561" s="426" t="s">
        <v>2646</v>
      </c>
      <c r="AE561" s="426" t="s">
        <v>2646</v>
      </c>
      <c r="AF561" s="426" t="s">
        <v>2646</v>
      </c>
      <c r="AG561" s="426" t="s">
        <v>2646</v>
      </c>
      <c r="AH561" s="426" t="s">
        <v>2646</v>
      </c>
      <c r="AI561" s="426" t="s">
        <v>2646</v>
      </c>
      <c r="AJ561" s="68" t="s">
        <v>2646</v>
      </c>
    </row>
    <row r="562" spans="1:36" hidden="1">
      <c r="A562" s="392" t="s">
        <v>1860</v>
      </c>
      <c r="B562" s="427" t="s">
        <v>2650</v>
      </c>
      <c r="C562" s="433" t="s">
        <v>3192</v>
      </c>
      <c r="D562" s="433" t="s">
        <v>3729</v>
      </c>
      <c r="E562" s="433" t="s">
        <v>2654</v>
      </c>
      <c r="F562" s="433" t="s">
        <v>2654</v>
      </c>
      <c r="G562" s="433" t="s">
        <v>2654</v>
      </c>
      <c r="H562" s="433" t="s">
        <v>2654</v>
      </c>
      <c r="I562" s="433" t="s">
        <v>2654</v>
      </c>
      <c r="J562" s="433" t="s">
        <v>2654</v>
      </c>
      <c r="K562" s="433" t="s">
        <v>2654</v>
      </c>
      <c r="L562" s="433" t="s">
        <v>2654</v>
      </c>
      <c r="M562" s="433" t="s">
        <v>2654</v>
      </c>
      <c r="N562" s="433" t="s">
        <v>2654</v>
      </c>
      <c r="O562" s="433" t="s">
        <v>2654</v>
      </c>
      <c r="P562" s="433" t="s">
        <v>2649</v>
      </c>
      <c r="Q562" s="431"/>
      <c r="R562" s="431"/>
      <c r="S562" s="426" t="s">
        <v>2658</v>
      </c>
      <c r="T562" s="426" t="s">
        <v>2804</v>
      </c>
      <c r="U562" s="426" t="s">
        <v>3012</v>
      </c>
      <c r="V562" s="426" t="s">
        <v>2690</v>
      </c>
      <c r="W562" s="426" t="s">
        <v>2670</v>
      </c>
      <c r="X562" s="426" t="s">
        <v>2692</v>
      </c>
      <c r="Y562" s="426" t="s">
        <v>3420</v>
      </c>
      <c r="Z562" s="426" t="s">
        <v>2839</v>
      </c>
      <c r="AA562" s="426" t="s">
        <v>2646</v>
      </c>
      <c r="AB562" s="426" t="s">
        <v>2646</v>
      </c>
      <c r="AC562" s="426" t="s">
        <v>2646</v>
      </c>
      <c r="AD562" s="426" t="s">
        <v>2646</v>
      </c>
      <c r="AE562" s="426" t="s">
        <v>2646</v>
      </c>
      <c r="AF562" s="426" t="s">
        <v>2646</v>
      </c>
      <c r="AG562" s="426" t="s">
        <v>2646</v>
      </c>
      <c r="AH562" s="426" t="s">
        <v>2646</v>
      </c>
      <c r="AI562" s="426" t="s">
        <v>2646</v>
      </c>
      <c r="AJ562" s="68" t="s">
        <v>2646</v>
      </c>
    </row>
    <row r="563" spans="1:36" hidden="1">
      <c r="A563" s="392" t="s">
        <v>1861</v>
      </c>
      <c r="B563" s="427" t="s">
        <v>2651</v>
      </c>
      <c r="C563" s="433" t="s">
        <v>3190</v>
      </c>
      <c r="D563" s="433" t="s">
        <v>3519</v>
      </c>
      <c r="E563" s="433" t="s">
        <v>2654</v>
      </c>
      <c r="F563" s="433" t="s">
        <v>2654</v>
      </c>
      <c r="G563" s="433" t="s">
        <v>2654</v>
      </c>
      <c r="H563" s="433" t="s">
        <v>2654</v>
      </c>
      <c r="I563" s="433" t="s">
        <v>2654</v>
      </c>
      <c r="J563" s="433" t="s">
        <v>2654</v>
      </c>
      <c r="K563" s="433" t="s">
        <v>2654</v>
      </c>
      <c r="L563" s="433" t="s">
        <v>2654</v>
      </c>
      <c r="M563" s="433" t="s">
        <v>2654</v>
      </c>
      <c r="N563" s="433" t="s">
        <v>2654</v>
      </c>
      <c r="O563" s="433" t="s">
        <v>2654</v>
      </c>
      <c r="P563" s="433" t="s">
        <v>4083</v>
      </c>
      <c r="Q563" s="431"/>
      <c r="R563" s="431"/>
      <c r="S563" s="426" t="s">
        <v>2658</v>
      </c>
      <c r="T563" s="426" t="s">
        <v>3340</v>
      </c>
      <c r="U563" s="426" t="s">
        <v>3238</v>
      </c>
      <c r="V563" s="426" t="s">
        <v>3120</v>
      </c>
      <c r="W563" s="426" t="s">
        <v>2670</v>
      </c>
      <c r="X563" s="426" t="s">
        <v>2692</v>
      </c>
      <c r="Y563" s="426" t="s">
        <v>3420</v>
      </c>
      <c r="Z563" s="426" t="s">
        <v>2923</v>
      </c>
      <c r="AA563" s="426" t="s">
        <v>2646</v>
      </c>
      <c r="AB563" s="426" t="s">
        <v>2646</v>
      </c>
      <c r="AC563" s="426" t="s">
        <v>2646</v>
      </c>
      <c r="AD563" s="426" t="s">
        <v>2646</v>
      </c>
      <c r="AE563" s="426" t="s">
        <v>2646</v>
      </c>
      <c r="AF563" s="426" t="s">
        <v>2646</v>
      </c>
      <c r="AG563" s="426" t="s">
        <v>2646</v>
      </c>
      <c r="AH563" s="426" t="s">
        <v>2646</v>
      </c>
      <c r="AI563" s="426" t="s">
        <v>2646</v>
      </c>
      <c r="AJ563" s="68" t="s">
        <v>2646</v>
      </c>
    </row>
    <row r="564" spans="1:36">
      <c r="A564" s="392" t="s">
        <v>1861</v>
      </c>
      <c r="B564" s="427" t="s">
        <v>48</v>
      </c>
      <c r="C564" s="433" t="s">
        <v>3653</v>
      </c>
      <c r="D564" s="433" t="s">
        <v>3897</v>
      </c>
      <c r="E564" s="433" t="s">
        <v>2654</v>
      </c>
      <c r="F564" s="433" t="s">
        <v>2654</v>
      </c>
      <c r="G564" s="433" t="s">
        <v>2654</v>
      </c>
      <c r="H564" s="433" t="s">
        <v>2654</v>
      </c>
      <c r="I564" s="433" t="s">
        <v>2654</v>
      </c>
      <c r="J564" s="433" t="s">
        <v>2654</v>
      </c>
      <c r="K564" s="433" t="s">
        <v>2654</v>
      </c>
      <c r="L564" s="433" t="s">
        <v>2654</v>
      </c>
      <c r="M564" s="433" t="s">
        <v>2654</v>
      </c>
      <c r="N564" s="433" t="s">
        <v>2654</v>
      </c>
      <c r="O564" s="433" t="s">
        <v>2654</v>
      </c>
      <c r="P564" s="433" t="s">
        <v>2933</v>
      </c>
      <c r="Q564" s="433" t="s">
        <v>2654</v>
      </c>
      <c r="R564" s="433" t="s">
        <v>2654</v>
      </c>
      <c r="S564" s="426"/>
      <c r="T564" s="426"/>
      <c r="U564" s="426"/>
      <c r="V564" s="426"/>
      <c r="W564" s="426"/>
      <c r="X564" s="426"/>
      <c r="Y564" s="426"/>
      <c r="Z564" s="426"/>
      <c r="AA564" s="426"/>
      <c r="AB564" s="426"/>
      <c r="AC564" s="426"/>
      <c r="AD564" s="426"/>
      <c r="AE564" s="426"/>
      <c r="AF564" s="426"/>
      <c r="AG564" s="426"/>
      <c r="AH564" s="426"/>
      <c r="AI564" s="426"/>
    </row>
    <row r="565" spans="1:36" hidden="1">
      <c r="A565" s="392" t="s">
        <v>1862</v>
      </c>
      <c r="B565" s="427" t="s">
        <v>2647</v>
      </c>
      <c r="C565" s="433" t="s">
        <v>3514</v>
      </c>
      <c r="D565" s="433" t="s">
        <v>3903</v>
      </c>
      <c r="E565" s="433" t="s">
        <v>2654</v>
      </c>
      <c r="F565" s="433" t="s">
        <v>2654</v>
      </c>
      <c r="G565" s="433" t="s">
        <v>2654</v>
      </c>
      <c r="H565" s="433" t="s">
        <v>2654</v>
      </c>
      <c r="I565" s="433" t="s">
        <v>2654</v>
      </c>
      <c r="J565" s="433" t="s">
        <v>2654</v>
      </c>
      <c r="K565" s="433" t="s">
        <v>2654</v>
      </c>
      <c r="L565" s="433" t="s">
        <v>2654</v>
      </c>
      <c r="M565" s="433" t="s">
        <v>2654</v>
      </c>
      <c r="N565" s="433" t="s">
        <v>2654</v>
      </c>
      <c r="O565" s="433" t="s">
        <v>2654</v>
      </c>
      <c r="P565" s="433" t="s">
        <v>2651</v>
      </c>
      <c r="Q565" s="431"/>
      <c r="R565" s="431"/>
      <c r="S565" s="426" t="s">
        <v>2669</v>
      </c>
      <c r="T565" s="426" t="s">
        <v>3456</v>
      </c>
      <c r="U565" s="426" t="s">
        <v>3290</v>
      </c>
      <c r="V565" s="426" t="s">
        <v>2828</v>
      </c>
      <c r="W565" s="426" t="s">
        <v>2670</v>
      </c>
      <c r="X565" s="426" t="s">
        <v>2727</v>
      </c>
      <c r="Y565" s="426" t="s">
        <v>2946</v>
      </c>
      <c r="Z565" s="426" t="s">
        <v>2910</v>
      </c>
      <c r="AA565" s="426" t="s">
        <v>3240</v>
      </c>
      <c r="AB565" s="426" t="s">
        <v>2646</v>
      </c>
      <c r="AC565" s="426" t="s">
        <v>2646</v>
      </c>
      <c r="AD565" s="426" t="s">
        <v>2646</v>
      </c>
      <c r="AE565" s="426" t="s">
        <v>2646</v>
      </c>
      <c r="AF565" s="426" t="s">
        <v>2646</v>
      </c>
      <c r="AG565" s="426" t="s">
        <v>2646</v>
      </c>
      <c r="AH565" s="426" t="s">
        <v>2646</v>
      </c>
      <c r="AI565" s="426" t="s">
        <v>2646</v>
      </c>
      <c r="AJ565" s="68" t="s">
        <v>2646</v>
      </c>
    </row>
    <row r="566" spans="1:36" hidden="1">
      <c r="A566" s="392" t="s">
        <v>1863</v>
      </c>
      <c r="B566" s="427" t="s">
        <v>2648</v>
      </c>
      <c r="C566" s="433" t="s">
        <v>3590</v>
      </c>
      <c r="D566" s="433" t="s">
        <v>3788</v>
      </c>
      <c r="E566" s="433" t="s">
        <v>2654</v>
      </c>
      <c r="F566" s="433" t="s">
        <v>2654</v>
      </c>
      <c r="G566" s="433" t="s">
        <v>2654</v>
      </c>
      <c r="H566" s="433" t="s">
        <v>2654</v>
      </c>
      <c r="I566" s="433" t="s">
        <v>2654</v>
      </c>
      <c r="J566" s="433" t="s">
        <v>2654</v>
      </c>
      <c r="K566" s="433" t="s">
        <v>2654</v>
      </c>
      <c r="L566" s="433" t="s">
        <v>2654</v>
      </c>
      <c r="M566" s="433" t="s">
        <v>2654</v>
      </c>
      <c r="N566" s="433" t="s">
        <v>2654</v>
      </c>
      <c r="O566" s="433" t="s">
        <v>2654</v>
      </c>
      <c r="P566" s="433" t="s">
        <v>2648</v>
      </c>
      <c r="Q566" s="431"/>
      <c r="R566" s="431"/>
      <c r="S566" s="426" t="s">
        <v>3194</v>
      </c>
      <c r="T566" s="426" t="s">
        <v>2711</v>
      </c>
      <c r="U566" s="426" t="s">
        <v>3290</v>
      </c>
      <c r="V566" s="426" t="s">
        <v>2851</v>
      </c>
      <c r="W566" s="426" t="s">
        <v>2670</v>
      </c>
      <c r="X566" s="426" t="s">
        <v>2727</v>
      </c>
      <c r="Y566" s="426" t="s">
        <v>2946</v>
      </c>
      <c r="Z566" s="426" t="s">
        <v>3460</v>
      </c>
      <c r="AA566" s="426" t="s">
        <v>2748</v>
      </c>
      <c r="AB566" s="426" t="s">
        <v>2646</v>
      </c>
      <c r="AC566" s="426" t="s">
        <v>2646</v>
      </c>
      <c r="AD566" s="426" t="s">
        <v>2646</v>
      </c>
      <c r="AE566" s="426" t="s">
        <v>2646</v>
      </c>
      <c r="AF566" s="426" t="s">
        <v>2646</v>
      </c>
      <c r="AG566" s="426" t="s">
        <v>2646</v>
      </c>
      <c r="AH566" s="426" t="s">
        <v>2646</v>
      </c>
      <c r="AI566" s="426" t="s">
        <v>2646</v>
      </c>
      <c r="AJ566" s="68" t="s">
        <v>2646</v>
      </c>
    </row>
    <row r="567" spans="1:36" hidden="1">
      <c r="A567" s="392" t="s">
        <v>1864</v>
      </c>
      <c r="B567" s="427" t="s">
        <v>2649</v>
      </c>
      <c r="C567" s="433" t="s">
        <v>4050</v>
      </c>
      <c r="D567" s="433" t="s">
        <v>3521</v>
      </c>
      <c r="E567" s="433" t="s">
        <v>2654</v>
      </c>
      <c r="F567" s="433" t="s">
        <v>2654</v>
      </c>
      <c r="G567" s="433" t="s">
        <v>2654</v>
      </c>
      <c r="H567" s="433" t="s">
        <v>2654</v>
      </c>
      <c r="I567" s="433" t="s">
        <v>2654</v>
      </c>
      <c r="J567" s="433" t="s">
        <v>2654</v>
      </c>
      <c r="K567" s="433" t="s">
        <v>2654</v>
      </c>
      <c r="L567" s="433" t="s">
        <v>2654</v>
      </c>
      <c r="M567" s="433" t="s">
        <v>2654</v>
      </c>
      <c r="N567" s="433" t="s">
        <v>2654</v>
      </c>
      <c r="O567" s="433" t="s">
        <v>2654</v>
      </c>
      <c r="P567" s="433" t="s">
        <v>2648</v>
      </c>
      <c r="Q567" s="431"/>
      <c r="R567" s="431"/>
      <c r="S567" s="426" t="s">
        <v>2660</v>
      </c>
      <c r="T567" s="426" t="s">
        <v>2811</v>
      </c>
      <c r="U567" s="426" t="s">
        <v>3048</v>
      </c>
      <c r="V567" s="426" t="s">
        <v>3080</v>
      </c>
      <c r="W567" s="426" t="s">
        <v>3401</v>
      </c>
      <c r="X567" s="426" t="s">
        <v>2727</v>
      </c>
      <c r="Y567" s="426" t="s">
        <v>2940</v>
      </c>
      <c r="Z567" s="426" t="s">
        <v>2910</v>
      </c>
      <c r="AA567" s="426" t="s">
        <v>2930</v>
      </c>
      <c r="AB567" s="426" t="s">
        <v>2646</v>
      </c>
      <c r="AC567" s="426" t="s">
        <v>2646</v>
      </c>
      <c r="AD567" s="426" t="s">
        <v>2646</v>
      </c>
      <c r="AE567" s="426" t="s">
        <v>2646</v>
      </c>
      <c r="AF567" s="426" t="s">
        <v>2646</v>
      </c>
      <c r="AG567" s="426" t="s">
        <v>2646</v>
      </c>
      <c r="AH567" s="426" t="s">
        <v>2646</v>
      </c>
      <c r="AI567" s="426" t="s">
        <v>2646</v>
      </c>
      <c r="AJ567" s="68" t="s">
        <v>2646</v>
      </c>
    </row>
    <row r="568" spans="1:36" hidden="1">
      <c r="A568" s="392" t="s">
        <v>1865</v>
      </c>
      <c r="B568" s="427" t="s">
        <v>2650</v>
      </c>
      <c r="C568" s="433" t="s">
        <v>4050</v>
      </c>
      <c r="D568" s="433" t="s">
        <v>3788</v>
      </c>
      <c r="E568" s="433" t="s">
        <v>2654</v>
      </c>
      <c r="F568" s="433" t="s">
        <v>2654</v>
      </c>
      <c r="G568" s="433" t="s">
        <v>2654</v>
      </c>
      <c r="H568" s="433" t="s">
        <v>2654</v>
      </c>
      <c r="I568" s="433" t="s">
        <v>2654</v>
      </c>
      <c r="J568" s="433" t="s">
        <v>2654</v>
      </c>
      <c r="K568" s="433" t="s">
        <v>2654</v>
      </c>
      <c r="L568" s="433" t="s">
        <v>2654</v>
      </c>
      <c r="M568" s="433" t="s">
        <v>2654</v>
      </c>
      <c r="N568" s="433" t="s">
        <v>2654</v>
      </c>
      <c r="O568" s="433" t="s">
        <v>2654</v>
      </c>
      <c r="P568" s="433" t="s">
        <v>2649</v>
      </c>
      <c r="Q568" s="431"/>
      <c r="R568" s="431"/>
      <c r="S568" s="426" t="s">
        <v>2778</v>
      </c>
      <c r="T568" s="426" t="s">
        <v>3073</v>
      </c>
      <c r="U568" s="426" t="s">
        <v>3290</v>
      </c>
      <c r="V568" s="426" t="s">
        <v>3265</v>
      </c>
      <c r="W568" s="426" t="s">
        <v>2670</v>
      </c>
      <c r="X568" s="426" t="s">
        <v>2727</v>
      </c>
      <c r="Y568" s="426" t="s">
        <v>2946</v>
      </c>
      <c r="Z568" s="426" t="s">
        <v>3460</v>
      </c>
      <c r="AA568" s="426" t="s">
        <v>2739</v>
      </c>
      <c r="AB568" s="426" t="s">
        <v>2646</v>
      </c>
      <c r="AC568" s="426" t="s">
        <v>2646</v>
      </c>
      <c r="AD568" s="426" t="s">
        <v>2646</v>
      </c>
      <c r="AE568" s="426" t="s">
        <v>2646</v>
      </c>
      <c r="AF568" s="426" t="s">
        <v>2646</v>
      </c>
      <c r="AG568" s="426" t="s">
        <v>2646</v>
      </c>
      <c r="AH568" s="426" t="s">
        <v>2646</v>
      </c>
      <c r="AI568" s="426" t="s">
        <v>2646</v>
      </c>
      <c r="AJ568" s="68" t="s">
        <v>2646</v>
      </c>
    </row>
    <row r="569" spans="1:36" hidden="1">
      <c r="A569" s="392" t="s">
        <v>1866</v>
      </c>
      <c r="B569" s="427" t="s">
        <v>2651</v>
      </c>
      <c r="C569" s="433" t="s">
        <v>4341</v>
      </c>
      <c r="D569" s="433" t="s">
        <v>3561</v>
      </c>
      <c r="E569" s="433" t="s">
        <v>2654</v>
      </c>
      <c r="F569" s="433" t="s">
        <v>2654</v>
      </c>
      <c r="G569" s="433" t="s">
        <v>2654</v>
      </c>
      <c r="H569" s="433" t="s">
        <v>2654</v>
      </c>
      <c r="I569" s="433" t="s">
        <v>2654</v>
      </c>
      <c r="J569" s="433" t="s">
        <v>2654</v>
      </c>
      <c r="K569" s="433" t="s">
        <v>2654</v>
      </c>
      <c r="L569" s="433" t="s">
        <v>2654</v>
      </c>
      <c r="M569" s="433" t="s">
        <v>2654</v>
      </c>
      <c r="N569" s="433" t="s">
        <v>2654</v>
      </c>
      <c r="O569" s="433" t="s">
        <v>2654</v>
      </c>
      <c r="P569" s="433" t="s">
        <v>2647</v>
      </c>
      <c r="Q569" s="431"/>
      <c r="R569" s="431"/>
      <c r="S569" s="426" t="s">
        <v>2673</v>
      </c>
      <c r="T569" s="426" t="s">
        <v>3462</v>
      </c>
      <c r="U569" s="426" t="s">
        <v>3290</v>
      </c>
      <c r="V569" s="426" t="s">
        <v>2880</v>
      </c>
      <c r="W569" s="426" t="s">
        <v>2670</v>
      </c>
      <c r="X569" s="426" t="s">
        <v>2727</v>
      </c>
      <c r="Y569" s="426" t="s">
        <v>2946</v>
      </c>
      <c r="Z569" s="426" t="s">
        <v>3460</v>
      </c>
      <c r="AA569" s="426" t="s">
        <v>3057</v>
      </c>
      <c r="AB569" s="426" t="s">
        <v>2646</v>
      </c>
      <c r="AC569" s="426" t="s">
        <v>2646</v>
      </c>
      <c r="AD569" s="426" t="s">
        <v>2646</v>
      </c>
      <c r="AE569" s="426" t="s">
        <v>2646</v>
      </c>
      <c r="AF569" s="426" t="s">
        <v>2646</v>
      </c>
      <c r="AG569" s="426" t="s">
        <v>2646</v>
      </c>
      <c r="AH569" s="426" t="s">
        <v>2646</v>
      </c>
      <c r="AI569" s="426" t="s">
        <v>2646</v>
      </c>
      <c r="AJ569" s="68" t="s">
        <v>2646</v>
      </c>
    </row>
    <row r="570" spans="1:36">
      <c r="A570" s="392" t="s">
        <v>1866</v>
      </c>
      <c r="B570" s="427" t="s">
        <v>48</v>
      </c>
      <c r="C570" s="433" t="s">
        <v>4342</v>
      </c>
      <c r="D570" s="433" t="s">
        <v>4343</v>
      </c>
      <c r="E570" s="433" t="s">
        <v>2654</v>
      </c>
      <c r="F570" s="433" t="s">
        <v>2654</v>
      </c>
      <c r="G570" s="433" t="s">
        <v>2654</v>
      </c>
      <c r="H570" s="433" t="s">
        <v>2654</v>
      </c>
      <c r="I570" s="433" t="s">
        <v>2654</v>
      </c>
      <c r="J570" s="433" t="s">
        <v>2654</v>
      </c>
      <c r="K570" s="433" t="s">
        <v>2654</v>
      </c>
      <c r="L570" s="433" t="s">
        <v>2654</v>
      </c>
      <c r="M570" s="433" t="s">
        <v>2654</v>
      </c>
      <c r="N570" s="433" t="s">
        <v>2654</v>
      </c>
      <c r="O570" s="433" t="s">
        <v>2654</v>
      </c>
      <c r="P570" s="433" t="s">
        <v>2953</v>
      </c>
      <c r="Q570" s="433" t="s">
        <v>2654</v>
      </c>
      <c r="R570" s="433" t="s">
        <v>2654</v>
      </c>
      <c r="S570" s="426"/>
      <c r="T570" s="426"/>
      <c r="U570" s="426"/>
      <c r="V570" s="426"/>
      <c r="W570" s="426"/>
      <c r="X570" s="426"/>
      <c r="Y570" s="426"/>
      <c r="Z570" s="426"/>
      <c r="AA570" s="426"/>
      <c r="AB570" s="426"/>
      <c r="AC570" s="426"/>
      <c r="AD570" s="426"/>
      <c r="AE570" s="426"/>
      <c r="AF570" s="426"/>
      <c r="AG570" s="426"/>
      <c r="AH570" s="426"/>
      <c r="AI570" s="426"/>
    </row>
    <row r="571" spans="1:36" hidden="1">
      <c r="A571" s="392" t="s">
        <v>1867</v>
      </c>
      <c r="B571" s="427" t="s">
        <v>2647</v>
      </c>
      <c r="C571" s="433" t="s">
        <v>3884</v>
      </c>
      <c r="D571" s="433" t="s">
        <v>3089</v>
      </c>
      <c r="E571" s="433" t="s">
        <v>2654</v>
      </c>
      <c r="F571" s="433" t="s">
        <v>2654</v>
      </c>
      <c r="G571" s="433" t="s">
        <v>2654</v>
      </c>
      <c r="H571" s="433" t="s">
        <v>2654</v>
      </c>
      <c r="I571" s="433" t="s">
        <v>2654</v>
      </c>
      <c r="J571" s="433" t="s">
        <v>2654</v>
      </c>
      <c r="K571" s="433" t="s">
        <v>2654</v>
      </c>
      <c r="L571" s="433" t="s">
        <v>2654</v>
      </c>
      <c r="M571" s="433" t="s">
        <v>2654</v>
      </c>
      <c r="N571" s="433" t="s">
        <v>2654</v>
      </c>
      <c r="O571" s="433" t="s">
        <v>2654</v>
      </c>
      <c r="P571" s="433" t="s">
        <v>4126</v>
      </c>
      <c r="Q571" s="431"/>
      <c r="R571" s="431"/>
      <c r="S571" s="426" t="s">
        <v>3124</v>
      </c>
      <c r="T571" s="426" t="s">
        <v>2828</v>
      </c>
      <c r="U571" s="426" t="s">
        <v>3290</v>
      </c>
      <c r="V571" s="426" t="s">
        <v>2703</v>
      </c>
      <c r="W571" s="426" t="s">
        <v>3401</v>
      </c>
      <c r="X571" s="426" t="s">
        <v>2758</v>
      </c>
      <c r="Y571" s="426" t="s">
        <v>3318</v>
      </c>
      <c r="Z571" s="426" t="s">
        <v>2941</v>
      </c>
      <c r="AA571" s="426" t="s">
        <v>3026</v>
      </c>
      <c r="AB571" s="426" t="s">
        <v>2646</v>
      </c>
      <c r="AC571" s="426" t="s">
        <v>2646</v>
      </c>
      <c r="AD571" s="426" t="s">
        <v>2646</v>
      </c>
      <c r="AE571" s="426" t="s">
        <v>2646</v>
      </c>
      <c r="AF571" s="426" t="s">
        <v>2646</v>
      </c>
      <c r="AG571" s="426" t="s">
        <v>2646</v>
      </c>
      <c r="AH571" s="426" t="s">
        <v>2646</v>
      </c>
      <c r="AI571" s="426" t="s">
        <v>2646</v>
      </c>
      <c r="AJ571" s="68" t="s">
        <v>2646</v>
      </c>
    </row>
    <row r="572" spans="1:36" hidden="1">
      <c r="A572" s="392" t="s">
        <v>1868</v>
      </c>
      <c r="B572" s="427" t="s">
        <v>2648</v>
      </c>
      <c r="C572" s="433" t="s">
        <v>3591</v>
      </c>
      <c r="D572" s="433" t="s">
        <v>3789</v>
      </c>
      <c r="E572" s="433" t="s">
        <v>2654</v>
      </c>
      <c r="F572" s="433" t="s">
        <v>2654</v>
      </c>
      <c r="G572" s="433" t="s">
        <v>2654</v>
      </c>
      <c r="H572" s="433" t="s">
        <v>2654</v>
      </c>
      <c r="I572" s="433" t="s">
        <v>2654</v>
      </c>
      <c r="J572" s="433" t="s">
        <v>2654</v>
      </c>
      <c r="K572" s="433" t="s">
        <v>2654</v>
      </c>
      <c r="L572" s="433" t="s">
        <v>2654</v>
      </c>
      <c r="M572" s="433" t="s">
        <v>2654</v>
      </c>
      <c r="N572" s="433" t="s">
        <v>2654</v>
      </c>
      <c r="O572" s="433" t="s">
        <v>2654</v>
      </c>
      <c r="P572" s="433" t="s">
        <v>2651</v>
      </c>
      <c r="Q572" s="431"/>
      <c r="R572" s="431"/>
      <c r="S572" s="426" t="s">
        <v>3137</v>
      </c>
      <c r="T572" s="426" t="s">
        <v>2803</v>
      </c>
      <c r="U572" s="426" t="s">
        <v>3290</v>
      </c>
      <c r="V572" s="426" t="s">
        <v>3456</v>
      </c>
      <c r="W572" s="426" t="s">
        <v>2670</v>
      </c>
      <c r="X572" s="426" t="s">
        <v>2758</v>
      </c>
      <c r="Y572" s="426" t="s">
        <v>3005</v>
      </c>
      <c r="Z572" s="426" t="s">
        <v>2910</v>
      </c>
      <c r="AA572" s="426" t="s">
        <v>2735</v>
      </c>
      <c r="AB572" s="426" t="s">
        <v>2646</v>
      </c>
      <c r="AC572" s="426" t="s">
        <v>2646</v>
      </c>
      <c r="AD572" s="426" t="s">
        <v>2646</v>
      </c>
      <c r="AE572" s="426" t="s">
        <v>2646</v>
      </c>
      <c r="AF572" s="426" t="s">
        <v>2646</v>
      </c>
      <c r="AG572" s="426" t="s">
        <v>2646</v>
      </c>
      <c r="AH572" s="426" t="s">
        <v>2646</v>
      </c>
      <c r="AI572" s="426" t="s">
        <v>2646</v>
      </c>
      <c r="AJ572" s="68" t="s">
        <v>2646</v>
      </c>
    </row>
    <row r="573" spans="1:36" hidden="1">
      <c r="A573" s="392" t="s">
        <v>1869</v>
      </c>
      <c r="B573" s="427" t="s">
        <v>2649</v>
      </c>
      <c r="C573" s="433" t="s">
        <v>3627</v>
      </c>
      <c r="D573" s="433" t="s">
        <v>3909</v>
      </c>
      <c r="E573" s="433" t="s">
        <v>2654</v>
      </c>
      <c r="F573" s="433" t="s">
        <v>2654</v>
      </c>
      <c r="G573" s="433" t="s">
        <v>2654</v>
      </c>
      <c r="H573" s="433" t="s">
        <v>2654</v>
      </c>
      <c r="I573" s="433" t="s">
        <v>2654</v>
      </c>
      <c r="J573" s="433" t="s">
        <v>2654</v>
      </c>
      <c r="K573" s="433" t="s">
        <v>2654</v>
      </c>
      <c r="L573" s="433" t="s">
        <v>2654</v>
      </c>
      <c r="M573" s="433" t="s">
        <v>2654</v>
      </c>
      <c r="N573" s="433" t="s">
        <v>2654</v>
      </c>
      <c r="O573" s="433" t="s">
        <v>2654</v>
      </c>
      <c r="P573" s="433" t="s">
        <v>4083</v>
      </c>
      <c r="Q573" s="431"/>
      <c r="R573" s="431"/>
      <c r="S573" s="426" t="s">
        <v>3132</v>
      </c>
      <c r="T573" s="426" t="s">
        <v>3466</v>
      </c>
      <c r="U573" s="426" t="s">
        <v>3290</v>
      </c>
      <c r="V573" s="426" t="s">
        <v>3286</v>
      </c>
      <c r="W573" s="426" t="s">
        <v>3401</v>
      </c>
      <c r="X573" s="426" t="s">
        <v>2758</v>
      </c>
      <c r="Y573" s="426" t="s">
        <v>3318</v>
      </c>
      <c r="Z573" s="426" t="s">
        <v>2910</v>
      </c>
      <c r="AA573" s="426" t="s">
        <v>2944</v>
      </c>
      <c r="AB573" s="426" t="s">
        <v>2646</v>
      </c>
      <c r="AC573" s="426" t="s">
        <v>2646</v>
      </c>
      <c r="AD573" s="426" t="s">
        <v>2646</v>
      </c>
      <c r="AE573" s="426" t="s">
        <v>2646</v>
      </c>
      <c r="AF573" s="426" t="s">
        <v>2646</v>
      </c>
      <c r="AG573" s="426" t="s">
        <v>2646</v>
      </c>
      <c r="AH573" s="426" t="s">
        <v>2646</v>
      </c>
      <c r="AI573" s="426" t="s">
        <v>2646</v>
      </c>
      <c r="AJ573" s="68" t="s">
        <v>2646</v>
      </c>
    </row>
    <row r="574" spans="1:36" hidden="1">
      <c r="A574" s="392" t="s">
        <v>1870</v>
      </c>
      <c r="B574" s="427" t="s">
        <v>2650</v>
      </c>
      <c r="C574" s="433" t="s">
        <v>3625</v>
      </c>
      <c r="D574" s="433" t="s">
        <v>3089</v>
      </c>
      <c r="E574" s="433" t="s">
        <v>2654</v>
      </c>
      <c r="F574" s="433" t="s">
        <v>2654</v>
      </c>
      <c r="G574" s="433" t="s">
        <v>2654</v>
      </c>
      <c r="H574" s="433" t="s">
        <v>2654</v>
      </c>
      <c r="I574" s="433" t="s">
        <v>2654</v>
      </c>
      <c r="J574" s="433" t="s">
        <v>2654</v>
      </c>
      <c r="K574" s="433" t="s">
        <v>2654</v>
      </c>
      <c r="L574" s="433" t="s">
        <v>2654</v>
      </c>
      <c r="M574" s="433" t="s">
        <v>2654</v>
      </c>
      <c r="N574" s="433" t="s">
        <v>2654</v>
      </c>
      <c r="O574" s="433" t="s">
        <v>2654</v>
      </c>
      <c r="P574" s="433" t="s">
        <v>4083</v>
      </c>
      <c r="Q574" s="431"/>
      <c r="R574" s="431"/>
      <c r="S574" s="426" t="s">
        <v>3132</v>
      </c>
      <c r="T574" s="426" t="s">
        <v>2919</v>
      </c>
      <c r="U574" s="426" t="s">
        <v>3290</v>
      </c>
      <c r="V574" s="426" t="s">
        <v>2881</v>
      </c>
      <c r="W574" s="426" t="s">
        <v>2670</v>
      </c>
      <c r="X574" s="426" t="s">
        <v>2758</v>
      </c>
      <c r="Y574" s="426" t="s">
        <v>3005</v>
      </c>
      <c r="Z574" s="426" t="s">
        <v>3352</v>
      </c>
      <c r="AA574" s="426" t="s">
        <v>3206</v>
      </c>
      <c r="AB574" s="426" t="s">
        <v>2646</v>
      </c>
      <c r="AC574" s="426" t="s">
        <v>2646</v>
      </c>
      <c r="AD574" s="426" t="s">
        <v>2646</v>
      </c>
      <c r="AE574" s="426" t="s">
        <v>2646</v>
      </c>
      <c r="AF574" s="426" t="s">
        <v>2646</v>
      </c>
      <c r="AG574" s="426" t="s">
        <v>2646</v>
      </c>
      <c r="AH574" s="426" t="s">
        <v>2646</v>
      </c>
      <c r="AI574" s="426" t="s">
        <v>2646</v>
      </c>
      <c r="AJ574" s="68" t="s">
        <v>2646</v>
      </c>
    </row>
    <row r="575" spans="1:36" hidden="1">
      <c r="A575" s="392" t="s">
        <v>1871</v>
      </c>
      <c r="B575" s="427" t="s">
        <v>2651</v>
      </c>
      <c r="C575" s="433" t="s">
        <v>3735</v>
      </c>
      <c r="D575" s="433" t="s">
        <v>3734</v>
      </c>
      <c r="E575" s="433" t="s">
        <v>2654</v>
      </c>
      <c r="F575" s="433" t="s">
        <v>2654</v>
      </c>
      <c r="G575" s="433" t="s">
        <v>2654</v>
      </c>
      <c r="H575" s="433" t="s">
        <v>2654</v>
      </c>
      <c r="I575" s="433" t="s">
        <v>2654</v>
      </c>
      <c r="J575" s="433" t="s">
        <v>2654</v>
      </c>
      <c r="K575" s="433" t="s">
        <v>2654</v>
      </c>
      <c r="L575" s="433" t="s">
        <v>2654</v>
      </c>
      <c r="M575" s="433" t="s">
        <v>2654</v>
      </c>
      <c r="N575" s="433" t="s">
        <v>2654</v>
      </c>
      <c r="O575" s="433" t="s">
        <v>2654</v>
      </c>
      <c r="P575" s="433" t="s">
        <v>2651</v>
      </c>
      <c r="Q575" s="431"/>
      <c r="R575" s="431"/>
      <c r="S575" s="426" t="s">
        <v>3124</v>
      </c>
      <c r="T575" s="426" t="s">
        <v>2690</v>
      </c>
      <c r="U575" s="426" t="s">
        <v>3290</v>
      </c>
      <c r="V575" s="426" t="s">
        <v>3152</v>
      </c>
      <c r="W575" s="426" t="s">
        <v>2670</v>
      </c>
      <c r="X575" s="426" t="s">
        <v>2758</v>
      </c>
      <c r="Y575" s="426" t="s">
        <v>3005</v>
      </c>
      <c r="Z575" s="426" t="s">
        <v>3460</v>
      </c>
      <c r="AA575" s="426" t="s">
        <v>3155</v>
      </c>
      <c r="AB575" s="426" t="s">
        <v>2646</v>
      </c>
      <c r="AC575" s="426" t="s">
        <v>2646</v>
      </c>
      <c r="AD575" s="426" t="s">
        <v>2646</v>
      </c>
      <c r="AE575" s="426" t="s">
        <v>2646</v>
      </c>
      <c r="AF575" s="426" t="s">
        <v>2646</v>
      </c>
      <c r="AG575" s="426" t="s">
        <v>2646</v>
      </c>
      <c r="AH575" s="426" t="s">
        <v>2646</v>
      </c>
      <c r="AI575" s="426" t="s">
        <v>2646</v>
      </c>
      <c r="AJ575" s="68" t="s">
        <v>2646</v>
      </c>
    </row>
    <row r="576" spans="1:36">
      <c r="A576" s="392" t="s">
        <v>1871</v>
      </c>
      <c r="B576" s="427" t="s">
        <v>48</v>
      </c>
      <c r="C576" s="433" t="s">
        <v>4053</v>
      </c>
      <c r="D576" s="433" t="s">
        <v>3910</v>
      </c>
      <c r="E576" s="433" t="s">
        <v>2654</v>
      </c>
      <c r="F576" s="433" t="s">
        <v>2654</v>
      </c>
      <c r="G576" s="433" t="s">
        <v>2654</v>
      </c>
      <c r="H576" s="433" t="s">
        <v>2654</v>
      </c>
      <c r="I576" s="433" t="s">
        <v>2654</v>
      </c>
      <c r="J576" s="433" t="s">
        <v>2654</v>
      </c>
      <c r="K576" s="433" t="s">
        <v>2654</v>
      </c>
      <c r="L576" s="433" t="s">
        <v>2654</v>
      </c>
      <c r="M576" s="433" t="s">
        <v>2654</v>
      </c>
      <c r="N576" s="433" t="s">
        <v>2654</v>
      </c>
      <c r="O576" s="433" t="s">
        <v>2654</v>
      </c>
      <c r="P576" s="433" t="s">
        <v>2909</v>
      </c>
      <c r="Q576" s="433" t="s">
        <v>2654</v>
      </c>
      <c r="R576" s="433" t="s">
        <v>2654</v>
      </c>
      <c r="S576" s="426"/>
      <c r="T576" s="426"/>
      <c r="U576" s="426"/>
      <c r="V576" s="426"/>
      <c r="W576" s="426"/>
      <c r="X576" s="426"/>
      <c r="Y576" s="426"/>
      <c r="Z576" s="426"/>
      <c r="AA576" s="426"/>
      <c r="AB576" s="426"/>
      <c r="AC576" s="426"/>
      <c r="AD576" s="426"/>
      <c r="AE576" s="426"/>
      <c r="AF576" s="426"/>
      <c r="AG576" s="426"/>
      <c r="AH576" s="426"/>
      <c r="AI576" s="426"/>
    </row>
    <row r="577" spans="1:36" hidden="1">
      <c r="A577" s="392" t="s">
        <v>1872</v>
      </c>
      <c r="B577" s="427" t="s">
        <v>2647</v>
      </c>
      <c r="C577" s="433" t="s">
        <v>3767</v>
      </c>
      <c r="D577" s="433" t="s">
        <v>2676</v>
      </c>
      <c r="E577" s="433" t="s">
        <v>2654</v>
      </c>
      <c r="F577" s="433" t="s">
        <v>2654</v>
      </c>
      <c r="G577" s="433" t="s">
        <v>2654</v>
      </c>
      <c r="H577" s="433" t="s">
        <v>2654</v>
      </c>
      <c r="I577" s="433" t="s">
        <v>2654</v>
      </c>
      <c r="J577" s="433" t="s">
        <v>2654</v>
      </c>
      <c r="K577" s="433" t="s">
        <v>2654</v>
      </c>
      <c r="L577" s="433" t="s">
        <v>2654</v>
      </c>
      <c r="M577" s="433" t="s">
        <v>2654</v>
      </c>
      <c r="N577" s="433" t="s">
        <v>2654</v>
      </c>
      <c r="O577" s="433" t="s">
        <v>2654</v>
      </c>
      <c r="P577" s="433" t="s">
        <v>2651</v>
      </c>
      <c r="Q577" s="431"/>
      <c r="R577" s="431"/>
      <c r="S577" s="426" t="s">
        <v>2665</v>
      </c>
      <c r="T577" s="426" t="s">
        <v>2646</v>
      </c>
      <c r="U577" s="426" t="s">
        <v>2646</v>
      </c>
      <c r="V577" s="426" t="s">
        <v>2646</v>
      </c>
      <c r="W577" s="426" t="s">
        <v>2646</v>
      </c>
      <c r="X577" s="426" t="s">
        <v>2646</v>
      </c>
      <c r="Y577" s="426" t="s">
        <v>2646</v>
      </c>
      <c r="Z577" s="426" t="s">
        <v>2646</v>
      </c>
      <c r="AA577" s="426" t="s">
        <v>2646</v>
      </c>
      <c r="AB577" s="426" t="s">
        <v>2646</v>
      </c>
      <c r="AC577" s="426" t="s">
        <v>2646</v>
      </c>
      <c r="AD577" s="426" t="s">
        <v>2646</v>
      </c>
      <c r="AE577" s="426" t="s">
        <v>2646</v>
      </c>
      <c r="AF577" s="426" t="s">
        <v>2646</v>
      </c>
      <c r="AG577" s="426" t="s">
        <v>2646</v>
      </c>
      <c r="AH577" s="426" t="s">
        <v>2646</v>
      </c>
      <c r="AI577" s="426" t="s">
        <v>2646</v>
      </c>
      <c r="AJ577" s="68" t="s">
        <v>2646</v>
      </c>
    </row>
    <row r="578" spans="1:36" hidden="1">
      <c r="A578" s="392" t="s">
        <v>1873</v>
      </c>
      <c r="B578" s="427" t="s">
        <v>2648</v>
      </c>
      <c r="C578" s="433" t="s">
        <v>3247</v>
      </c>
      <c r="D578" s="433" t="s">
        <v>2777</v>
      </c>
      <c r="E578" s="433" t="s">
        <v>2654</v>
      </c>
      <c r="F578" s="433" t="s">
        <v>2654</v>
      </c>
      <c r="G578" s="433" t="s">
        <v>2654</v>
      </c>
      <c r="H578" s="433" t="s">
        <v>2654</v>
      </c>
      <c r="I578" s="433" t="s">
        <v>2654</v>
      </c>
      <c r="J578" s="433" t="s">
        <v>2654</v>
      </c>
      <c r="K578" s="433" t="s">
        <v>2654</v>
      </c>
      <c r="L578" s="433" t="s">
        <v>2654</v>
      </c>
      <c r="M578" s="433" t="s">
        <v>2654</v>
      </c>
      <c r="N578" s="433" t="s">
        <v>2654</v>
      </c>
      <c r="O578" s="433" t="s">
        <v>2654</v>
      </c>
      <c r="P578" s="433" t="s">
        <v>2649</v>
      </c>
      <c r="Q578" s="431"/>
      <c r="R578" s="431"/>
      <c r="S578" s="426" t="s">
        <v>2778</v>
      </c>
      <c r="T578" s="426" t="s">
        <v>2646</v>
      </c>
      <c r="U578" s="426" t="s">
        <v>2646</v>
      </c>
      <c r="V578" s="426" t="s">
        <v>2646</v>
      </c>
      <c r="W578" s="426" t="s">
        <v>2646</v>
      </c>
      <c r="X578" s="426" t="s">
        <v>2646</v>
      </c>
      <c r="Y578" s="426" t="s">
        <v>2646</v>
      </c>
      <c r="Z578" s="426" t="s">
        <v>2646</v>
      </c>
      <c r="AA578" s="426" t="s">
        <v>2646</v>
      </c>
      <c r="AB578" s="426" t="s">
        <v>2646</v>
      </c>
      <c r="AC578" s="426" t="s">
        <v>2646</v>
      </c>
      <c r="AD578" s="426" t="s">
        <v>2646</v>
      </c>
      <c r="AE578" s="426" t="s">
        <v>2646</v>
      </c>
      <c r="AF578" s="426" t="s">
        <v>2646</v>
      </c>
      <c r="AG578" s="426" t="s">
        <v>2646</v>
      </c>
      <c r="AH578" s="426" t="s">
        <v>2646</v>
      </c>
      <c r="AI578" s="426" t="s">
        <v>2646</v>
      </c>
      <c r="AJ578" s="68" t="s">
        <v>2646</v>
      </c>
    </row>
    <row r="579" spans="1:36" hidden="1">
      <c r="A579" s="392" t="s">
        <v>1874</v>
      </c>
      <c r="B579" s="427" t="s">
        <v>2649</v>
      </c>
      <c r="C579" s="433" t="s">
        <v>3745</v>
      </c>
      <c r="D579" s="433" t="s">
        <v>2777</v>
      </c>
      <c r="E579" s="433" t="s">
        <v>2654</v>
      </c>
      <c r="F579" s="433" t="s">
        <v>2654</v>
      </c>
      <c r="G579" s="433" t="s">
        <v>2654</v>
      </c>
      <c r="H579" s="433" t="s">
        <v>2654</v>
      </c>
      <c r="I579" s="433" t="s">
        <v>2654</v>
      </c>
      <c r="J579" s="433" t="s">
        <v>2654</v>
      </c>
      <c r="K579" s="433" t="s">
        <v>2654</v>
      </c>
      <c r="L579" s="433" t="s">
        <v>2654</v>
      </c>
      <c r="M579" s="433" t="s">
        <v>2654</v>
      </c>
      <c r="N579" s="433" t="s">
        <v>2654</v>
      </c>
      <c r="O579" s="433" t="s">
        <v>2654</v>
      </c>
      <c r="P579" s="433" t="s">
        <v>2648</v>
      </c>
      <c r="Q579" s="431"/>
      <c r="R579" s="431"/>
      <c r="S579" s="426" t="s">
        <v>2655</v>
      </c>
      <c r="T579" s="426" t="s">
        <v>2646</v>
      </c>
      <c r="U579" s="426" t="s">
        <v>2646</v>
      </c>
      <c r="V579" s="426" t="s">
        <v>2646</v>
      </c>
      <c r="W579" s="426" t="s">
        <v>2646</v>
      </c>
      <c r="X579" s="426" t="s">
        <v>2646</v>
      </c>
      <c r="Y579" s="426" t="s">
        <v>2646</v>
      </c>
      <c r="Z579" s="426" t="s">
        <v>2646</v>
      </c>
      <c r="AA579" s="426" t="s">
        <v>2646</v>
      </c>
      <c r="AB579" s="426" t="s">
        <v>2646</v>
      </c>
      <c r="AC579" s="426" t="s">
        <v>2646</v>
      </c>
      <c r="AD579" s="426" t="s">
        <v>2646</v>
      </c>
      <c r="AE579" s="426" t="s">
        <v>2646</v>
      </c>
      <c r="AF579" s="426" t="s">
        <v>2646</v>
      </c>
      <c r="AG579" s="426" t="s">
        <v>2646</v>
      </c>
      <c r="AH579" s="426" t="s">
        <v>2646</v>
      </c>
      <c r="AI579" s="426" t="s">
        <v>2646</v>
      </c>
      <c r="AJ579" s="68" t="s">
        <v>2646</v>
      </c>
    </row>
    <row r="580" spans="1:36" hidden="1">
      <c r="A580" s="392" t="s">
        <v>1875</v>
      </c>
      <c r="B580" s="427" t="s">
        <v>2650</v>
      </c>
      <c r="C580" s="433" t="s">
        <v>3247</v>
      </c>
      <c r="D580" s="433" t="s">
        <v>2676</v>
      </c>
      <c r="E580" s="433" t="s">
        <v>2654</v>
      </c>
      <c r="F580" s="433" t="s">
        <v>2654</v>
      </c>
      <c r="G580" s="433" t="s">
        <v>2654</v>
      </c>
      <c r="H580" s="433" t="s">
        <v>2654</v>
      </c>
      <c r="I580" s="433" t="s">
        <v>2654</v>
      </c>
      <c r="J580" s="433" t="s">
        <v>2654</v>
      </c>
      <c r="K580" s="433" t="s">
        <v>2654</v>
      </c>
      <c r="L580" s="433" t="s">
        <v>2654</v>
      </c>
      <c r="M580" s="433" t="s">
        <v>2654</v>
      </c>
      <c r="N580" s="433" t="s">
        <v>2654</v>
      </c>
      <c r="O580" s="433" t="s">
        <v>2654</v>
      </c>
      <c r="P580" s="433" t="s">
        <v>2648</v>
      </c>
      <c r="Q580" s="431"/>
      <c r="R580" s="431"/>
      <c r="S580" s="426" t="s">
        <v>2709</v>
      </c>
      <c r="T580" s="426" t="s">
        <v>2646</v>
      </c>
      <c r="U580" s="426" t="s">
        <v>2646</v>
      </c>
      <c r="V580" s="426" t="s">
        <v>2646</v>
      </c>
      <c r="W580" s="426" t="s">
        <v>2646</v>
      </c>
      <c r="X580" s="426" t="s">
        <v>2646</v>
      </c>
      <c r="Y580" s="426" t="s">
        <v>2646</v>
      </c>
      <c r="Z580" s="426" t="s">
        <v>2646</v>
      </c>
      <c r="AA580" s="426" t="s">
        <v>2646</v>
      </c>
      <c r="AB580" s="426" t="s">
        <v>2646</v>
      </c>
      <c r="AC580" s="426" t="s">
        <v>2646</v>
      </c>
      <c r="AD580" s="426" t="s">
        <v>2646</v>
      </c>
      <c r="AE580" s="426" t="s">
        <v>2646</v>
      </c>
      <c r="AF580" s="426" t="s">
        <v>2646</v>
      </c>
      <c r="AG580" s="426" t="s">
        <v>2646</v>
      </c>
      <c r="AH580" s="426" t="s">
        <v>2646</v>
      </c>
      <c r="AI580" s="426" t="s">
        <v>2646</v>
      </c>
      <c r="AJ580" s="68" t="s">
        <v>2646</v>
      </c>
    </row>
    <row r="581" spans="1:36" hidden="1">
      <c r="A581" s="392" t="s">
        <v>1876</v>
      </c>
      <c r="B581" s="427" t="s">
        <v>2651</v>
      </c>
      <c r="C581" s="433" t="s">
        <v>3319</v>
      </c>
      <c r="D581" s="433" t="s">
        <v>2777</v>
      </c>
      <c r="E581" s="433" t="s">
        <v>2654</v>
      </c>
      <c r="F581" s="433" t="s">
        <v>2654</v>
      </c>
      <c r="G581" s="433" t="s">
        <v>2654</v>
      </c>
      <c r="H581" s="433" t="s">
        <v>2654</v>
      </c>
      <c r="I581" s="433" t="s">
        <v>2654</v>
      </c>
      <c r="J581" s="433" t="s">
        <v>2654</v>
      </c>
      <c r="K581" s="433" t="s">
        <v>2654</v>
      </c>
      <c r="L581" s="433" t="s">
        <v>2654</v>
      </c>
      <c r="M581" s="433" t="s">
        <v>2654</v>
      </c>
      <c r="N581" s="433" t="s">
        <v>2654</v>
      </c>
      <c r="O581" s="433" t="s">
        <v>2654</v>
      </c>
      <c r="P581" s="433" t="s">
        <v>2649</v>
      </c>
      <c r="Q581" s="431"/>
      <c r="R581" s="431"/>
      <c r="S581" s="426" t="s">
        <v>2709</v>
      </c>
      <c r="T581" s="426" t="s">
        <v>2646</v>
      </c>
      <c r="U581" s="426" t="s">
        <v>2646</v>
      </c>
      <c r="V581" s="426" t="s">
        <v>2646</v>
      </c>
      <c r="W581" s="426" t="s">
        <v>2646</v>
      </c>
      <c r="X581" s="426" t="s">
        <v>2646</v>
      </c>
      <c r="Y581" s="426" t="s">
        <v>2646</v>
      </c>
      <c r="Z581" s="426" t="s">
        <v>2646</v>
      </c>
      <c r="AA581" s="426" t="s">
        <v>2646</v>
      </c>
      <c r="AB581" s="426" t="s">
        <v>2646</v>
      </c>
      <c r="AC581" s="426" t="s">
        <v>2646</v>
      </c>
      <c r="AD581" s="426" t="s">
        <v>2646</v>
      </c>
      <c r="AE581" s="426" t="s">
        <v>2646</v>
      </c>
      <c r="AF581" s="426" t="s">
        <v>2646</v>
      </c>
      <c r="AG581" s="426" t="s">
        <v>2646</v>
      </c>
      <c r="AH581" s="426" t="s">
        <v>2646</v>
      </c>
      <c r="AI581" s="426" t="s">
        <v>2646</v>
      </c>
      <c r="AJ581" s="68" t="s">
        <v>2646</v>
      </c>
    </row>
    <row r="582" spans="1:36">
      <c r="A582" s="392" t="s">
        <v>1876</v>
      </c>
      <c r="B582" s="427" t="s">
        <v>48</v>
      </c>
      <c r="C582" s="433" t="s">
        <v>3726</v>
      </c>
      <c r="D582" s="433" t="s">
        <v>3604</v>
      </c>
      <c r="E582" s="433" t="s">
        <v>2654</v>
      </c>
      <c r="F582" s="433" t="s">
        <v>2654</v>
      </c>
      <c r="G582" s="433" t="s">
        <v>2654</v>
      </c>
      <c r="H582" s="433" t="s">
        <v>2654</v>
      </c>
      <c r="I582" s="433" t="s">
        <v>2654</v>
      </c>
      <c r="J582" s="433" t="s">
        <v>2654</v>
      </c>
      <c r="K582" s="433" t="s">
        <v>2654</v>
      </c>
      <c r="L582" s="433" t="s">
        <v>2654</v>
      </c>
      <c r="M582" s="433" t="s">
        <v>2654</v>
      </c>
      <c r="N582" s="433" t="s">
        <v>2654</v>
      </c>
      <c r="O582" s="433" t="s">
        <v>2654</v>
      </c>
      <c r="P582" s="433" t="s">
        <v>2656</v>
      </c>
      <c r="Q582" s="433" t="s">
        <v>2654</v>
      </c>
      <c r="R582" s="433" t="s">
        <v>2654</v>
      </c>
      <c r="S582" s="426"/>
      <c r="T582" s="426"/>
      <c r="U582" s="426"/>
      <c r="V582" s="426"/>
      <c r="W582" s="426"/>
      <c r="X582" s="426"/>
      <c r="Y582" s="426"/>
      <c r="Z582" s="426"/>
      <c r="AA582" s="426"/>
      <c r="AB582" s="426"/>
      <c r="AC582" s="426"/>
      <c r="AD582" s="426"/>
      <c r="AE582" s="426"/>
      <c r="AF582" s="426"/>
      <c r="AG582" s="426"/>
      <c r="AH582" s="426"/>
      <c r="AI582" s="426"/>
    </row>
    <row r="583" spans="1:36" hidden="1">
      <c r="A583" s="392" t="s">
        <v>1877</v>
      </c>
      <c r="B583" s="427" t="s">
        <v>2647</v>
      </c>
      <c r="C583" s="433" t="s">
        <v>3646</v>
      </c>
      <c r="D583" s="433" t="s">
        <v>3321</v>
      </c>
      <c r="E583" s="433" t="s">
        <v>2654</v>
      </c>
      <c r="F583" s="433" t="s">
        <v>2654</v>
      </c>
      <c r="G583" s="433" t="s">
        <v>2654</v>
      </c>
      <c r="H583" s="433" t="s">
        <v>2654</v>
      </c>
      <c r="I583" s="433" t="s">
        <v>2654</v>
      </c>
      <c r="J583" s="433" t="s">
        <v>2654</v>
      </c>
      <c r="K583" s="433" t="s">
        <v>2654</v>
      </c>
      <c r="L583" s="433" t="s">
        <v>2654</v>
      </c>
      <c r="M583" s="433" t="s">
        <v>2654</v>
      </c>
      <c r="N583" s="433" t="s">
        <v>2654</v>
      </c>
      <c r="O583" s="433" t="s">
        <v>2654</v>
      </c>
      <c r="P583" s="433" t="s">
        <v>2649</v>
      </c>
      <c r="Q583" s="431"/>
      <c r="R583" s="431"/>
      <c r="S583" s="426" t="s">
        <v>2860</v>
      </c>
      <c r="T583" s="426" t="s">
        <v>2646</v>
      </c>
      <c r="U583" s="426" t="s">
        <v>2646</v>
      </c>
      <c r="V583" s="426" t="s">
        <v>2646</v>
      </c>
      <c r="W583" s="426" t="s">
        <v>3147</v>
      </c>
      <c r="X583" s="426" t="s">
        <v>2662</v>
      </c>
      <c r="Y583" s="426" t="s">
        <v>2646</v>
      </c>
      <c r="Z583" s="426" t="s">
        <v>2646</v>
      </c>
      <c r="AA583" s="426" t="s">
        <v>2646</v>
      </c>
      <c r="AB583" s="426" t="s">
        <v>2646</v>
      </c>
      <c r="AC583" s="426" t="s">
        <v>2646</v>
      </c>
      <c r="AD583" s="426" t="s">
        <v>2646</v>
      </c>
      <c r="AE583" s="426" t="s">
        <v>2646</v>
      </c>
      <c r="AF583" s="426" t="s">
        <v>2646</v>
      </c>
      <c r="AG583" s="426" t="s">
        <v>2646</v>
      </c>
      <c r="AH583" s="426" t="s">
        <v>2646</v>
      </c>
      <c r="AI583" s="426" t="s">
        <v>2646</v>
      </c>
      <c r="AJ583" s="68" t="s">
        <v>2646</v>
      </c>
    </row>
    <row r="584" spans="1:36" hidden="1">
      <c r="A584" s="392" t="s">
        <v>1878</v>
      </c>
      <c r="B584" s="427" t="s">
        <v>2648</v>
      </c>
      <c r="C584" s="433" t="s">
        <v>2984</v>
      </c>
      <c r="D584" s="433" t="s">
        <v>2833</v>
      </c>
      <c r="E584" s="433" t="s">
        <v>2654</v>
      </c>
      <c r="F584" s="433" t="s">
        <v>2654</v>
      </c>
      <c r="G584" s="433" t="s">
        <v>2654</v>
      </c>
      <c r="H584" s="433" t="s">
        <v>2654</v>
      </c>
      <c r="I584" s="433" t="s">
        <v>2654</v>
      </c>
      <c r="J584" s="433" t="s">
        <v>2654</v>
      </c>
      <c r="K584" s="433" t="s">
        <v>2654</v>
      </c>
      <c r="L584" s="433" t="s">
        <v>2654</v>
      </c>
      <c r="M584" s="433" t="s">
        <v>2654</v>
      </c>
      <c r="N584" s="433" t="s">
        <v>2654</v>
      </c>
      <c r="O584" s="433" t="s">
        <v>2654</v>
      </c>
      <c r="P584" s="433" t="s">
        <v>4061</v>
      </c>
      <c r="Q584" s="431"/>
      <c r="R584" s="431"/>
      <c r="S584" s="426" t="s">
        <v>2836</v>
      </c>
      <c r="T584" s="426" t="s">
        <v>2646</v>
      </c>
      <c r="U584" s="426" t="s">
        <v>2646</v>
      </c>
      <c r="V584" s="426" t="s">
        <v>2646</v>
      </c>
      <c r="W584" s="426" t="s">
        <v>3147</v>
      </c>
      <c r="X584" s="426" t="s">
        <v>2662</v>
      </c>
      <c r="Y584" s="426" t="s">
        <v>2646</v>
      </c>
      <c r="Z584" s="426" t="s">
        <v>2646</v>
      </c>
      <c r="AA584" s="426" t="s">
        <v>2646</v>
      </c>
      <c r="AB584" s="426" t="s">
        <v>2646</v>
      </c>
      <c r="AC584" s="426" t="s">
        <v>2646</v>
      </c>
      <c r="AD584" s="426" t="s">
        <v>2646</v>
      </c>
      <c r="AE584" s="426" t="s">
        <v>2646</v>
      </c>
      <c r="AF584" s="426" t="s">
        <v>2646</v>
      </c>
      <c r="AG584" s="426" t="s">
        <v>2646</v>
      </c>
      <c r="AH584" s="426" t="s">
        <v>2646</v>
      </c>
      <c r="AI584" s="426" t="s">
        <v>2646</v>
      </c>
      <c r="AJ584" s="68" t="s">
        <v>2646</v>
      </c>
    </row>
    <row r="585" spans="1:36" hidden="1">
      <c r="A585" s="392" t="s">
        <v>1879</v>
      </c>
      <c r="B585" s="427" t="s">
        <v>2649</v>
      </c>
      <c r="C585" s="433" t="s">
        <v>3468</v>
      </c>
      <c r="D585" s="433" t="s">
        <v>2720</v>
      </c>
      <c r="E585" s="433" t="s">
        <v>2654</v>
      </c>
      <c r="F585" s="433" t="s">
        <v>2654</v>
      </c>
      <c r="G585" s="433" t="s">
        <v>2654</v>
      </c>
      <c r="H585" s="433" t="s">
        <v>2654</v>
      </c>
      <c r="I585" s="433" t="s">
        <v>2654</v>
      </c>
      <c r="J585" s="433" t="s">
        <v>2654</v>
      </c>
      <c r="K585" s="433" t="s">
        <v>2654</v>
      </c>
      <c r="L585" s="433" t="s">
        <v>2654</v>
      </c>
      <c r="M585" s="433" t="s">
        <v>2654</v>
      </c>
      <c r="N585" s="433" t="s">
        <v>2654</v>
      </c>
      <c r="O585" s="433" t="s">
        <v>2654</v>
      </c>
      <c r="P585" s="433" t="s">
        <v>2650</v>
      </c>
      <c r="Q585" s="431"/>
      <c r="R585" s="431"/>
      <c r="S585" s="426" t="s">
        <v>2665</v>
      </c>
      <c r="T585" s="426" t="s">
        <v>2646</v>
      </c>
      <c r="U585" s="426" t="s">
        <v>2646</v>
      </c>
      <c r="V585" s="426" t="s">
        <v>2646</v>
      </c>
      <c r="W585" s="426" t="s">
        <v>3147</v>
      </c>
      <c r="X585" s="426" t="s">
        <v>2662</v>
      </c>
      <c r="Y585" s="426" t="s">
        <v>2646</v>
      </c>
      <c r="Z585" s="426" t="s">
        <v>2646</v>
      </c>
      <c r="AA585" s="426" t="s">
        <v>2646</v>
      </c>
      <c r="AB585" s="426" t="s">
        <v>2646</v>
      </c>
      <c r="AC585" s="426" t="s">
        <v>2646</v>
      </c>
      <c r="AD585" s="426" t="s">
        <v>2646</v>
      </c>
      <c r="AE585" s="426" t="s">
        <v>2646</v>
      </c>
      <c r="AF585" s="426" t="s">
        <v>2646</v>
      </c>
      <c r="AG585" s="426" t="s">
        <v>2646</v>
      </c>
      <c r="AH585" s="426" t="s">
        <v>2646</v>
      </c>
      <c r="AI585" s="426" t="s">
        <v>2646</v>
      </c>
      <c r="AJ585" s="68" t="s">
        <v>2646</v>
      </c>
    </row>
    <row r="586" spans="1:36" hidden="1">
      <c r="A586" s="392" t="s">
        <v>1880</v>
      </c>
      <c r="B586" s="427" t="s">
        <v>2650</v>
      </c>
      <c r="C586" s="433" t="s">
        <v>4344</v>
      </c>
      <c r="D586" s="433" t="s">
        <v>2720</v>
      </c>
      <c r="E586" s="433" t="s">
        <v>2654</v>
      </c>
      <c r="F586" s="433" t="s">
        <v>2654</v>
      </c>
      <c r="G586" s="433" t="s">
        <v>2654</v>
      </c>
      <c r="H586" s="433" t="s">
        <v>2654</v>
      </c>
      <c r="I586" s="433" t="s">
        <v>2654</v>
      </c>
      <c r="J586" s="433" t="s">
        <v>2654</v>
      </c>
      <c r="K586" s="433" t="s">
        <v>2654</v>
      </c>
      <c r="L586" s="433" t="s">
        <v>2654</v>
      </c>
      <c r="M586" s="433" t="s">
        <v>2654</v>
      </c>
      <c r="N586" s="433" t="s">
        <v>2654</v>
      </c>
      <c r="O586" s="433" t="s">
        <v>2654</v>
      </c>
      <c r="P586" s="433" t="s">
        <v>4107</v>
      </c>
      <c r="Q586" s="431"/>
      <c r="R586" s="431"/>
      <c r="S586" s="426" t="s">
        <v>2660</v>
      </c>
      <c r="T586" s="426" t="s">
        <v>2646</v>
      </c>
      <c r="U586" s="426" t="s">
        <v>2646</v>
      </c>
      <c r="V586" s="426" t="s">
        <v>2646</v>
      </c>
      <c r="W586" s="426" t="s">
        <v>3147</v>
      </c>
      <c r="X586" s="426" t="s">
        <v>2662</v>
      </c>
      <c r="Y586" s="426" t="s">
        <v>2646</v>
      </c>
      <c r="Z586" s="426" t="s">
        <v>2646</v>
      </c>
      <c r="AA586" s="426" t="s">
        <v>2646</v>
      </c>
      <c r="AB586" s="426" t="s">
        <v>2646</v>
      </c>
      <c r="AC586" s="426" t="s">
        <v>2646</v>
      </c>
      <c r="AD586" s="426" t="s">
        <v>2646</v>
      </c>
      <c r="AE586" s="426" t="s">
        <v>2646</v>
      </c>
      <c r="AF586" s="426" t="s">
        <v>2646</v>
      </c>
      <c r="AG586" s="426" t="s">
        <v>2646</v>
      </c>
      <c r="AH586" s="426" t="s">
        <v>2646</v>
      </c>
      <c r="AI586" s="426" t="s">
        <v>2646</v>
      </c>
      <c r="AJ586" s="68" t="s">
        <v>2646</v>
      </c>
    </row>
    <row r="587" spans="1:36" hidden="1">
      <c r="A587" s="392" t="s">
        <v>1881</v>
      </c>
      <c r="B587" s="427" t="s">
        <v>2651</v>
      </c>
      <c r="C587" s="433" t="s">
        <v>3184</v>
      </c>
      <c r="D587" s="433" t="s">
        <v>3018</v>
      </c>
      <c r="E587" s="433" t="s">
        <v>2654</v>
      </c>
      <c r="F587" s="433" t="s">
        <v>2654</v>
      </c>
      <c r="G587" s="433" t="s">
        <v>2654</v>
      </c>
      <c r="H587" s="433" t="s">
        <v>2654</v>
      </c>
      <c r="I587" s="433" t="s">
        <v>2654</v>
      </c>
      <c r="J587" s="433" t="s">
        <v>2654</v>
      </c>
      <c r="K587" s="433" t="s">
        <v>2654</v>
      </c>
      <c r="L587" s="433" t="s">
        <v>2654</v>
      </c>
      <c r="M587" s="433" t="s">
        <v>2654</v>
      </c>
      <c r="N587" s="433" t="s">
        <v>2654</v>
      </c>
      <c r="O587" s="433" t="s">
        <v>2654</v>
      </c>
      <c r="P587" s="433" t="s">
        <v>2651</v>
      </c>
      <c r="Q587" s="431"/>
      <c r="R587" s="431"/>
      <c r="S587" s="426" t="s">
        <v>2844</v>
      </c>
      <c r="T587" s="426" t="s">
        <v>2646</v>
      </c>
      <c r="U587" s="426" t="s">
        <v>2646</v>
      </c>
      <c r="V587" s="426" t="s">
        <v>2646</v>
      </c>
      <c r="W587" s="426" t="s">
        <v>3147</v>
      </c>
      <c r="X587" s="426" t="s">
        <v>2662</v>
      </c>
      <c r="Y587" s="426" t="s">
        <v>2646</v>
      </c>
      <c r="Z587" s="426" t="s">
        <v>2646</v>
      </c>
      <c r="AA587" s="426" t="s">
        <v>2646</v>
      </c>
      <c r="AB587" s="426" t="s">
        <v>2646</v>
      </c>
      <c r="AC587" s="426" t="s">
        <v>2646</v>
      </c>
      <c r="AD587" s="426" t="s">
        <v>2646</v>
      </c>
      <c r="AE587" s="426" t="s">
        <v>2646</v>
      </c>
      <c r="AF587" s="426" t="s">
        <v>2646</v>
      </c>
      <c r="AG587" s="426" t="s">
        <v>2646</v>
      </c>
      <c r="AH587" s="426" t="s">
        <v>2646</v>
      </c>
      <c r="AI587" s="426" t="s">
        <v>2646</v>
      </c>
      <c r="AJ587" s="68" t="s">
        <v>2646</v>
      </c>
    </row>
    <row r="588" spans="1:36">
      <c r="A588" s="392" t="s">
        <v>1881</v>
      </c>
      <c r="B588" s="427" t="s">
        <v>48</v>
      </c>
      <c r="C588" s="433" t="s">
        <v>3669</v>
      </c>
      <c r="D588" s="433" t="s">
        <v>4345</v>
      </c>
      <c r="E588" s="433" t="s">
        <v>2654</v>
      </c>
      <c r="F588" s="433" t="s">
        <v>2654</v>
      </c>
      <c r="G588" s="433" t="s">
        <v>2654</v>
      </c>
      <c r="H588" s="433" t="s">
        <v>2654</v>
      </c>
      <c r="I588" s="433" t="s">
        <v>2654</v>
      </c>
      <c r="J588" s="433" t="s">
        <v>2654</v>
      </c>
      <c r="K588" s="433" t="s">
        <v>2654</v>
      </c>
      <c r="L588" s="433" t="s">
        <v>2654</v>
      </c>
      <c r="M588" s="433" t="s">
        <v>2654</v>
      </c>
      <c r="N588" s="433" t="s">
        <v>2654</v>
      </c>
      <c r="O588" s="433" t="s">
        <v>2654</v>
      </c>
      <c r="P588" s="433" t="s">
        <v>2993</v>
      </c>
      <c r="Q588" s="433" t="s">
        <v>2654</v>
      </c>
      <c r="R588" s="433" t="s">
        <v>2654</v>
      </c>
      <c r="S588" s="426"/>
      <c r="T588" s="426"/>
      <c r="U588" s="426"/>
      <c r="V588" s="426"/>
      <c r="W588" s="426"/>
      <c r="X588" s="426"/>
      <c r="Y588" s="426"/>
      <c r="Z588" s="426"/>
      <c r="AA588" s="426"/>
      <c r="AB588" s="426"/>
      <c r="AC588" s="426"/>
      <c r="AD588" s="426"/>
      <c r="AE588" s="426"/>
      <c r="AF588" s="426"/>
      <c r="AG588" s="426"/>
      <c r="AH588" s="426"/>
      <c r="AI588" s="426"/>
    </row>
    <row r="589" spans="1:36" hidden="1">
      <c r="A589" s="392" t="s">
        <v>1882</v>
      </c>
      <c r="B589" s="427" t="s">
        <v>2647</v>
      </c>
      <c r="C589" s="433" t="s">
        <v>4346</v>
      </c>
      <c r="D589" s="433" t="s">
        <v>3354</v>
      </c>
      <c r="E589" s="433" t="s">
        <v>2654</v>
      </c>
      <c r="F589" s="433" t="s">
        <v>2654</v>
      </c>
      <c r="G589" s="433" t="s">
        <v>2654</v>
      </c>
      <c r="H589" s="433" t="s">
        <v>2654</v>
      </c>
      <c r="I589" s="433" t="s">
        <v>2654</v>
      </c>
      <c r="J589" s="433" t="s">
        <v>2654</v>
      </c>
      <c r="K589" s="433" t="s">
        <v>2654</v>
      </c>
      <c r="L589" s="433" t="s">
        <v>2654</v>
      </c>
      <c r="M589" s="433" t="s">
        <v>2654</v>
      </c>
      <c r="N589" s="433" t="s">
        <v>2654</v>
      </c>
      <c r="O589" s="433" t="s">
        <v>2654</v>
      </c>
      <c r="P589" s="433" t="s">
        <v>2649</v>
      </c>
      <c r="Q589" s="431"/>
      <c r="R589" s="431"/>
      <c r="S589" s="426" t="s">
        <v>3109</v>
      </c>
      <c r="T589" s="426" t="s">
        <v>2756</v>
      </c>
      <c r="U589" s="426" t="s">
        <v>3070</v>
      </c>
      <c r="V589" s="426" t="s">
        <v>3070</v>
      </c>
      <c r="W589" s="426" t="s">
        <v>3014</v>
      </c>
      <c r="X589" s="426" t="s">
        <v>2671</v>
      </c>
      <c r="Y589" s="426" t="s">
        <v>3087</v>
      </c>
      <c r="Z589" s="426" t="s">
        <v>2646</v>
      </c>
      <c r="AA589" s="426" t="s">
        <v>2646</v>
      </c>
      <c r="AB589" s="426" t="s">
        <v>2646</v>
      </c>
      <c r="AC589" s="426" t="s">
        <v>2646</v>
      </c>
      <c r="AD589" s="426" t="s">
        <v>2646</v>
      </c>
      <c r="AE589" s="426" t="s">
        <v>2646</v>
      </c>
      <c r="AF589" s="426" t="s">
        <v>2646</v>
      </c>
      <c r="AG589" s="426" t="s">
        <v>2646</v>
      </c>
      <c r="AH589" s="426" t="s">
        <v>2646</v>
      </c>
      <c r="AI589" s="426" t="s">
        <v>2646</v>
      </c>
      <c r="AJ589" s="68" t="s">
        <v>2646</v>
      </c>
    </row>
    <row r="590" spans="1:36" hidden="1">
      <c r="A590" s="392" t="s">
        <v>1883</v>
      </c>
      <c r="B590" s="427" t="s">
        <v>2648</v>
      </c>
      <c r="C590" s="433" t="s">
        <v>4347</v>
      </c>
      <c r="D590" s="433" t="s">
        <v>3049</v>
      </c>
      <c r="E590" s="433" t="s">
        <v>2654</v>
      </c>
      <c r="F590" s="433" t="s">
        <v>2654</v>
      </c>
      <c r="G590" s="433" t="s">
        <v>2654</v>
      </c>
      <c r="H590" s="433" t="s">
        <v>2654</v>
      </c>
      <c r="I590" s="433" t="s">
        <v>2654</v>
      </c>
      <c r="J590" s="433" t="s">
        <v>2654</v>
      </c>
      <c r="K590" s="433" t="s">
        <v>2654</v>
      </c>
      <c r="L590" s="433" t="s">
        <v>2654</v>
      </c>
      <c r="M590" s="433" t="s">
        <v>2654</v>
      </c>
      <c r="N590" s="433" t="s">
        <v>2654</v>
      </c>
      <c r="O590" s="433" t="s">
        <v>2654</v>
      </c>
      <c r="P590" s="433" t="s">
        <v>2650</v>
      </c>
      <c r="Q590" s="431"/>
      <c r="R590" s="431"/>
      <c r="S590" s="426" t="s">
        <v>2655</v>
      </c>
      <c r="T590" s="426" t="s">
        <v>2919</v>
      </c>
      <c r="U590" s="426" t="s">
        <v>2881</v>
      </c>
      <c r="V590" s="426" t="s">
        <v>3117</v>
      </c>
      <c r="W590" s="426" t="s">
        <v>3014</v>
      </c>
      <c r="X590" s="426" t="s">
        <v>2671</v>
      </c>
      <c r="Y590" s="426" t="s">
        <v>3087</v>
      </c>
      <c r="Z590" s="426" t="s">
        <v>2646</v>
      </c>
      <c r="AA590" s="426" t="s">
        <v>2646</v>
      </c>
      <c r="AB590" s="426" t="s">
        <v>2646</v>
      </c>
      <c r="AC590" s="426" t="s">
        <v>2646</v>
      </c>
      <c r="AD590" s="426" t="s">
        <v>2646</v>
      </c>
      <c r="AE590" s="426" t="s">
        <v>2646</v>
      </c>
      <c r="AF590" s="426" t="s">
        <v>2646</v>
      </c>
      <c r="AG590" s="426" t="s">
        <v>2646</v>
      </c>
      <c r="AH590" s="426" t="s">
        <v>2646</v>
      </c>
      <c r="AI590" s="426" t="s">
        <v>2646</v>
      </c>
      <c r="AJ590" s="68" t="s">
        <v>2646</v>
      </c>
    </row>
    <row r="591" spans="1:36" hidden="1">
      <c r="A591" s="392" t="s">
        <v>1884</v>
      </c>
      <c r="B591" s="427" t="s">
        <v>2649</v>
      </c>
      <c r="C591" s="433" t="s">
        <v>4348</v>
      </c>
      <c r="D591" s="433" t="s">
        <v>3539</v>
      </c>
      <c r="E591" s="433" t="s">
        <v>2654</v>
      </c>
      <c r="F591" s="433" t="s">
        <v>2654</v>
      </c>
      <c r="G591" s="433" t="s">
        <v>2654</v>
      </c>
      <c r="H591" s="433" t="s">
        <v>2654</v>
      </c>
      <c r="I591" s="433" t="s">
        <v>2654</v>
      </c>
      <c r="J591" s="433" t="s">
        <v>2654</v>
      </c>
      <c r="K591" s="433" t="s">
        <v>2654</v>
      </c>
      <c r="L591" s="433" t="s">
        <v>2654</v>
      </c>
      <c r="M591" s="433" t="s">
        <v>2654</v>
      </c>
      <c r="N591" s="433" t="s">
        <v>2654</v>
      </c>
      <c r="O591" s="433" t="s">
        <v>2654</v>
      </c>
      <c r="P591" s="433" t="s">
        <v>2649</v>
      </c>
      <c r="Q591" s="431"/>
      <c r="R591" s="431"/>
      <c r="S591" s="426" t="s">
        <v>2836</v>
      </c>
      <c r="T591" s="426" t="s">
        <v>2919</v>
      </c>
      <c r="U591" s="426" t="s">
        <v>3386</v>
      </c>
      <c r="V591" s="426" t="s">
        <v>3234</v>
      </c>
      <c r="W591" s="426" t="s">
        <v>3014</v>
      </c>
      <c r="X591" s="426" t="s">
        <v>2671</v>
      </c>
      <c r="Y591" s="426" t="s">
        <v>3087</v>
      </c>
      <c r="Z591" s="426" t="s">
        <v>2646</v>
      </c>
      <c r="AA591" s="426" t="s">
        <v>2646</v>
      </c>
      <c r="AB591" s="426" t="s">
        <v>2646</v>
      </c>
      <c r="AC591" s="426" t="s">
        <v>2646</v>
      </c>
      <c r="AD591" s="426" t="s">
        <v>2646</v>
      </c>
      <c r="AE591" s="426" t="s">
        <v>2646</v>
      </c>
      <c r="AF591" s="426" t="s">
        <v>2646</v>
      </c>
      <c r="AG591" s="426" t="s">
        <v>2646</v>
      </c>
      <c r="AH591" s="426" t="s">
        <v>2646</v>
      </c>
      <c r="AI591" s="426" t="s">
        <v>2646</v>
      </c>
      <c r="AJ591" s="68" t="s">
        <v>2646</v>
      </c>
    </row>
    <row r="592" spans="1:36" hidden="1">
      <c r="A592" s="392" t="s">
        <v>1885</v>
      </c>
      <c r="B592" s="427" t="s">
        <v>2650</v>
      </c>
      <c r="C592" s="433" t="s">
        <v>4347</v>
      </c>
      <c r="D592" s="433" t="s">
        <v>3539</v>
      </c>
      <c r="E592" s="433" t="s">
        <v>2654</v>
      </c>
      <c r="F592" s="433" t="s">
        <v>2654</v>
      </c>
      <c r="G592" s="433" t="s">
        <v>2654</v>
      </c>
      <c r="H592" s="433" t="s">
        <v>2654</v>
      </c>
      <c r="I592" s="433" t="s">
        <v>2654</v>
      </c>
      <c r="J592" s="433" t="s">
        <v>2654</v>
      </c>
      <c r="K592" s="433" t="s">
        <v>2654</v>
      </c>
      <c r="L592" s="433" t="s">
        <v>2654</v>
      </c>
      <c r="M592" s="433" t="s">
        <v>2654</v>
      </c>
      <c r="N592" s="433" t="s">
        <v>2654</v>
      </c>
      <c r="O592" s="433" t="s">
        <v>2654</v>
      </c>
      <c r="P592" s="433" t="s">
        <v>2650</v>
      </c>
      <c r="Q592" s="431"/>
      <c r="R592" s="431"/>
      <c r="S592" s="426" t="s">
        <v>2665</v>
      </c>
      <c r="T592" s="426" t="s">
        <v>2646</v>
      </c>
      <c r="U592" s="426" t="s">
        <v>2756</v>
      </c>
      <c r="V592" s="426" t="s">
        <v>2646</v>
      </c>
      <c r="W592" s="426" t="s">
        <v>3014</v>
      </c>
      <c r="X592" s="426" t="s">
        <v>2671</v>
      </c>
      <c r="Y592" s="426" t="s">
        <v>3087</v>
      </c>
      <c r="Z592" s="426" t="s">
        <v>2646</v>
      </c>
      <c r="AA592" s="426" t="s">
        <v>2646</v>
      </c>
      <c r="AB592" s="426" t="s">
        <v>2646</v>
      </c>
      <c r="AC592" s="426" t="s">
        <v>2646</v>
      </c>
      <c r="AD592" s="426" t="s">
        <v>2646</v>
      </c>
      <c r="AE592" s="426" t="s">
        <v>2646</v>
      </c>
      <c r="AF592" s="426" t="s">
        <v>2646</v>
      </c>
      <c r="AG592" s="426" t="s">
        <v>2646</v>
      </c>
      <c r="AH592" s="426" t="s">
        <v>2646</v>
      </c>
      <c r="AI592" s="426" t="s">
        <v>2646</v>
      </c>
      <c r="AJ592" s="68" t="s">
        <v>2646</v>
      </c>
    </row>
    <row r="593" spans="1:36" hidden="1">
      <c r="A593" s="392" t="s">
        <v>1886</v>
      </c>
      <c r="B593" s="427" t="s">
        <v>2651</v>
      </c>
      <c r="C593" s="433" t="s">
        <v>4349</v>
      </c>
      <c r="D593" s="433" t="s">
        <v>3539</v>
      </c>
      <c r="E593" s="433" t="s">
        <v>2654</v>
      </c>
      <c r="F593" s="433" t="s">
        <v>2654</v>
      </c>
      <c r="G593" s="433" t="s">
        <v>2654</v>
      </c>
      <c r="H593" s="433" t="s">
        <v>2654</v>
      </c>
      <c r="I593" s="433" t="s">
        <v>2654</v>
      </c>
      <c r="J593" s="433" t="s">
        <v>2654</v>
      </c>
      <c r="K593" s="433" t="s">
        <v>2654</v>
      </c>
      <c r="L593" s="433" t="s">
        <v>2654</v>
      </c>
      <c r="M593" s="433" t="s">
        <v>2654</v>
      </c>
      <c r="N593" s="433" t="s">
        <v>2654</v>
      </c>
      <c r="O593" s="433" t="s">
        <v>2654</v>
      </c>
      <c r="P593" s="433" t="s">
        <v>2651</v>
      </c>
      <c r="Q593" s="431"/>
      <c r="R593" s="431"/>
      <c r="S593" s="426" t="s">
        <v>2660</v>
      </c>
      <c r="T593" s="426" t="s">
        <v>3239</v>
      </c>
      <c r="U593" s="426" t="s">
        <v>3077</v>
      </c>
      <c r="V593" s="426" t="s">
        <v>3077</v>
      </c>
      <c r="W593" s="426" t="s">
        <v>3014</v>
      </c>
      <c r="X593" s="426" t="s">
        <v>2671</v>
      </c>
      <c r="Y593" s="426" t="s">
        <v>3087</v>
      </c>
      <c r="Z593" s="426" t="s">
        <v>2646</v>
      </c>
      <c r="AA593" s="426" t="s">
        <v>2646</v>
      </c>
      <c r="AB593" s="426" t="s">
        <v>2646</v>
      </c>
      <c r="AC593" s="426" t="s">
        <v>2646</v>
      </c>
      <c r="AD593" s="426" t="s">
        <v>2646</v>
      </c>
      <c r="AE593" s="426" t="s">
        <v>2646</v>
      </c>
      <c r="AF593" s="426" t="s">
        <v>2646</v>
      </c>
      <c r="AG593" s="426" t="s">
        <v>2646</v>
      </c>
      <c r="AH593" s="426" t="s">
        <v>2646</v>
      </c>
      <c r="AI593" s="426" t="s">
        <v>2646</v>
      </c>
      <c r="AJ593" s="68" t="s">
        <v>2646</v>
      </c>
    </row>
    <row r="594" spans="1:36">
      <c r="A594" s="392" t="s">
        <v>1886</v>
      </c>
      <c r="B594" s="427" t="s">
        <v>48</v>
      </c>
      <c r="C594" s="433" t="s">
        <v>4350</v>
      </c>
      <c r="D594" s="433" t="s">
        <v>4194</v>
      </c>
      <c r="E594" s="433" t="s">
        <v>2654</v>
      </c>
      <c r="F594" s="433" t="s">
        <v>2654</v>
      </c>
      <c r="G594" s="433" t="s">
        <v>2654</v>
      </c>
      <c r="H594" s="433" t="s">
        <v>2654</v>
      </c>
      <c r="I594" s="433" t="s">
        <v>2654</v>
      </c>
      <c r="J594" s="433" t="s">
        <v>2654</v>
      </c>
      <c r="K594" s="433" t="s">
        <v>2654</v>
      </c>
      <c r="L594" s="433" t="s">
        <v>2654</v>
      </c>
      <c r="M594" s="433" t="s">
        <v>2654</v>
      </c>
      <c r="N594" s="433" t="s">
        <v>2654</v>
      </c>
      <c r="O594" s="433" t="s">
        <v>2654</v>
      </c>
      <c r="P594" s="433" t="s">
        <v>3214</v>
      </c>
      <c r="Q594" s="433" t="s">
        <v>2654</v>
      </c>
      <c r="R594" s="433" t="s">
        <v>2654</v>
      </c>
      <c r="S594" s="426"/>
      <c r="T594" s="426"/>
      <c r="U594" s="426"/>
      <c r="V594" s="426"/>
      <c r="W594" s="426"/>
      <c r="X594" s="426"/>
      <c r="Y594" s="426"/>
      <c r="Z594" s="426"/>
      <c r="AA594" s="426"/>
      <c r="AB594" s="426"/>
      <c r="AC594" s="426"/>
      <c r="AD594" s="426"/>
      <c r="AE594" s="426"/>
      <c r="AF594" s="426"/>
      <c r="AG594" s="426"/>
      <c r="AH594" s="426"/>
      <c r="AI594" s="426"/>
    </row>
    <row r="595" spans="1:36" hidden="1">
      <c r="A595" s="392" t="s">
        <v>1887</v>
      </c>
      <c r="B595" s="427" t="s">
        <v>2647</v>
      </c>
      <c r="C595" s="433" t="s">
        <v>3363</v>
      </c>
      <c r="D595" s="433" t="s">
        <v>3500</v>
      </c>
      <c r="E595" s="433" t="s">
        <v>2654</v>
      </c>
      <c r="F595" s="433" t="s">
        <v>2654</v>
      </c>
      <c r="G595" s="433" t="s">
        <v>2654</v>
      </c>
      <c r="H595" s="433" t="s">
        <v>2654</v>
      </c>
      <c r="I595" s="433" t="s">
        <v>2654</v>
      </c>
      <c r="J595" s="433" t="s">
        <v>2654</v>
      </c>
      <c r="K595" s="433" t="s">
        <v>2654</v>
      </c>
      <c r="L595" s="433" t="s">
        <v>2654</v>
      </c>
      <c r="M595" s="433" t="s">
        <v>2654</v>
      </c>
      <c r="N595" s="433" t="s">
        <v>2654</v>
      </c>
      <c r="O595" s="433" t="s">
        <v>2654</v>
      </c>
      <c r="P595" s="433" t="s">
        <v>2647</v>
      </c>
      <c r="Q595" s="431"/>
      <c r="R595" s="431"/>
      <c r="S595" s="426" t="s">
        <v>2655</v>
      </c>
      <c r="T595" s="426" t="s">
        <v>3022</v>
      </c>
      <c r="U595" s="426" t="s">
        <v>3238</v>
      </c>
      <c r="V595" s="426" t="s">
        <v>2878</v>
      </c>
      <c r="W595" s="426" t="s">
        <v>3014</v>
      </c>
      <c r="X595" s="426" t="s">
        <v>2813</v>
      </c>
      <c r="Y595" s="426" t="s">
        <v>2888</v>
      </c>
      <c r="Z595" s="426" t="s">
        <v>3313</v>
      </c>
      <c r="AA595" s="426" t="s">
        <v>2845</v>
      </c>
      <c r="AB595" s="426" t="s">
        <v>2646</v>
      </c>
      <c r="AC595" s="426" t="s">
        <v>2646</v>
      </c>
      <c r="AD595" s="426" t="s">
        <v>2646</v>
      </c>
      <c r="AE595" s="426" t="s">
        <v>2646</v>
      </c>
      <c r="AF595" s="426" t="s">
        <v>2646</v>
      </c>
      <c r="AG595" s="426" t="s">
        <v>2646</v>
      </c>
      <c r="AH595" s="426" t="s">
        <v>2646</v>
      </c>
      <c r="AI595" s="426" t="s">
        <v>2646</v>
      </c>
      <c r="AJ595" s="68" t="s">
        <v>2646</v>
      </c>
    </row>
    <row r="596" spans="1:36" hidden="1">
      <c r="A596" s="392" t="s">
        <v>1888</v>
      </c>
      <c r="B596" s="427" t="s">
        <v>2648</v>
      </c>
      <c r="C596" s="433" t="s">
        <v>3607</v>
      </c>
      <c r="D596" s="433" t="s">
        <v>3500</v>
      </c>
      <c r="E596" s="433" t="s">
        <v>2654</v>
      </c>
      <c r="F596" s="433" t="s">
        <v>2654</v>
      </c>
      <c r="G596" s="433" t="s">
        <v>2654</v>
      </c>
      <c r="H596" s="433" t="s">
        <v>2654</v>
      </c>
      <c r="I596" s="433" t="s">
        <v>2654</v>
      </c>
      <c r="J596" s="433" t="s">
        <v>2654</v>
      </c>
      <c r="K596" s="433" t="s">
        <v>2654</v>
      </c>
      <c r="L596" s="433" t="s">
        <v>2654</v>
      </c>
      <c r="M596" s="433" t="s">
        <v>2654</v>
      </c>
      <c r="N596" s="433" t="s">
        <v>2654</v>
      </c>
      <c r="O596" s="433" t="s">
        <v>2654</v>
      </c>
      <c r="P596" s="433" t="s">
        <v>2648</v>
      </c>
      <c r="Q596" s="431"/>
      <c r="R596" s="431"/>
      <c r="S596" s="426" t="s">
        <v>2660</v>
      </c>
      <c r="T596" s="426" t="s">
        <v>2823</v>
      </c>
      <c r="U596" s="426" t="s">
        <v>3238</v>
      </c>
      <c r="V596" s="426" t="s">
        <v>3080</v>
      </c>
      <c r="W596" s="426" t="s">
        <v>3014</v>
      </c>
      <c r="X596" s="426" t="s">
        <v>2813</v>
      </c>
      <c r="Y596" s="426" t="s">
        <v>2888</v>
      </c>
      <c r="Z596" s="426" t="s">
        <v>2937</v>
      </c>
      <c r="AA596" s="426" t="s">
        <v>2646</v>
      </c>
      <c r="AB596" s="426" t="s">
        <v>2646</v>
      </c>
      <c r="AC596" s="426" t="s">
        <v>2646</v>
      </c>
      <c r="AD596" s="426" t="s">
        <v>2646</v>
      </c>
      <c r="AE596" s="426" t="s">
        <v>2646</v>
      </c>
      <c r="AF596" s="426" t="s">
        <v>2646</v>
      </c>
      <c r="AG596" s="426" t="s">
        <v>2646</v>
      </c>
      <c r="AH596" s="426" t="s">
        <v>2646</v>
      </c>
      <c r="AI596" s="426" t="s">
        <v>2646</v>
      </c>
      <c r="AJ596" s="68" t="s">
        <v>2646</v>
      </c>
    </row>
    <row r="597" spans="1:36" hidden="1">
      <c r="A597" s="392" t="s">
        <v>1889</v>
      </c>
      <c r="B597" s="427" t="s">
        <v>2649</v>
      </c>
      <c r="C597" s="433" t="s">
        <v>3750</v>
      </c>
      <c r="D597" s="433" t="s">
        <v>3500</v>
      </c>
      <c r="E597" s="433" t="s">
        <v>2896</v>
      </c>
      <c r="F597" s="433" t="s">
        <v>2654</v>
      </c>
      <c r="G597" s="433" t="s">
        <v>2654</v>
      </c>
      <c r="H597" s="433" t="s">
        <v>2654</v>
      </c>
      <c r="I597" s="433" t="s">
        <v>2654</v>
      </c>
      <c r="J597" s="433" t="s">
        <v>2654</v>
      </c>
      <c r="K597" s="433" t="s">
        <v>2654</v>
      </c>
      <c r="L597" s="433" t="s">
        <v>2654</v>
      </c>
      <c r="M597" s="433" t="s">
        <v>2654</v>
      </c>
      <c r="N597" s="433" t="s">
        <v>2654</v>
      </c>
      <c r="O597" s="433" t="s">
        <v>2793</v>
      </c>
      <c r="P597" s="433" t="s">
        <v>4129</v>
      </c>
      <c r="Q597" s="431"/>
      <c r="R597" s="431"/>
      <c r="S597" s="426" t="s">
        <v>2658</v>
      </c>
      <c r="T597" s="426" t="s">
        <v>3120</v>
      </c>
      <c r="U597" s="426" t="s">
        <v>3469</v>
      </c>
      <c r="V597" s="426" t="s">
        <v>2703</v>
      </c>
      <c r="W597" s="426" t="s">
        <v>3014</v>
      </c>
      <c r="X597" s="426" t="s">
        <v>2813</v>
      </c>
      <c r="Y597" s="426" t="s">
        <v>2888</v>
      </c>
      <c r="Z597" s="426" t="s">
        <v>2937</v>
      </c>
      <c r="AA597" s="426" t="s">
        <v>3313</v>
      </c>
      <c r="AB597" s="426" t="s">
        <v>2646</v>
      </c>
      <c r="AC597" s="426" t="s">
        <v>2646</v>
      </c>
      <c r="AD597" s="426" t="s">
        <v>2646</v>
      </c>
      <c r="AE597" s="426" t="s">
        <v>2646</v>
      </c>
      <c r="AF597" s="426" t="s">
        <v>2646</v>
      </c>
      <c r="AG597" s="426" t="s">
        <v>2646</v>
      </c>
      <c r="AH597" s="426" t="s">
        <v>2646</v>
      </c>
      <c r="AI597" s="426" t="s">
        <v>2646</v>
      </c>
      <c r="AJ597" s="68" t="s">
        <v>2646</v>
      </c>
    </row>
    <row r="598" spans="1:36" hidden="1">
      <c r="A598" s="392" t="s">
        <v>1890</v>
      </c>
      <c r="B598" s="427" t="s">
        <v>2650</v>
      </c>
      <c r="C598" s="433" t="s">
        <v>3363</v>
      </c>
      <c r="D598" s="433" t="s">
        <v>3729</v>
      </c>
      <c r="E598" s="433" t="s">
        <v>2654</v>
      </c>
      <c r="F598" s="433" t="s">
        <v>2654</v>
      </c>
      <c r="G598" s="433" t="s">
        <v>2654</v>
      </c>
      <c r="H598" s="433" t="s">
        <v>2654</v>
      </c>
      <c r="I598" s="433" t="s">
        <v>2654</v>
      </c>
      <c r="J598" s="433" t="s">
        <v>2654</v>
      </c>
      <c r="K598" s="433" t="s">
        <v>2654</v>
      </c>
      <c r="L598" s="433" t="s">
        <v>2654</v>
      </c>
      <c r="M598" s="433" t="s">
        <v>2654</v>
      </c>
      <c r="N598" s="433" t="s">
        <v>2654</v>
      </c>
      <c r="O598" s="433" t="s">
        <v>2654</v>
      </c>
      <c r="P598" s="433" t="s">
        <v>2651</v>
      </c>
      <c r="Q598" s="431"/>
      <c r="R598" s="431"/>
      <c r="S598" s="426" t="s">
        <v>2673</v>
      </c>
      <c r="T598" s="426" t="s">
        <v>2716</v>
      </c>
      <c r="U598" s="426" t="s">
        <v>3469</v>
      </c>
      <c r="V598" s="426" t="s">
        <v>2919</v>
      </c>
      <c r="W598" s="426" t="s">
        <v>3014</v>
      </c>
      <c r="X598" s="426" t="s">
        <v>2813</v>
      </c>
      <c r="Y598" s="426" t="s">
        <v>2888</v>
      </c>
      <c r="Z598" s="426" t="s">
        <v>3313</v>
      </c>
      <c r="AA598" s="426" t="s">
        <v>3313</v>
      </c>
      <c r="AB598" s="426" t="s">
        <v>2646</v>
      </c>
      <c r="AC598" s="426" t="s">
        <v>2646</v>
      </c>
      <c r="AD598" s="426" t="s">
        <v>2646</v>
      </c>
      <c r="AE598" s="426" t="s">
        <v>2646</v>
      </c>
      <c r="AF598" s="426" t="s">
        <v>2646</v>
      </c>
      <c r="AG598" s="426" t="s">
        <v>2646</v>
      </c>
      <c r="AH598" s="426" t="s">
        <v>2646</v>
      </c>
      <c r="AI598" s="426" t="s">
        <v>2646</v>
      </c>
      <c r="AJ598" s="68" t="s">
        <v>2646</v>
      </c>
    </row>
    <row r="599" spans="1:36" hidden="1">
      <c r="A599" s="392" t="s">
        <v>1891</v>
      </c>
      <c r="B599" s="427" t="s">
        <v>2651</v>
      </c>
      <c r="C599" s="433" t="s">
        <v>3650</v>
      </c>
      <c r="D599" s="433" t="s">
        <v>3729</v>
      </c>
      <c r="E599" s="433" t="s">
        <v>2654</v>
      </c>
      <c r="F599" s="433" t="s">
        <v>2654</v>
      </c>
      <c r="G599" s="433" t="s">
        <v>2654</v>
      </c>
      <c r="H599" s="433" t="s">
        <v>2654</v>
      </c>
      <c r="I599" s="433" t="s">
        <v>2654</v>
      </c>
      <c r="J599" s="433" t="s">
        <v>2654</v>
      </c>
      <c r="K599" s="433" t="s">
        <v>2654</v>
      </c>
      <c r="L599" s="433" t="s">
        <v>2654</v>
      </c>
      <c r="M599" s="433" t="s">
        <v>2654</v>
      </c>
      <c r="N599" s="433" t="s">
        <v>2654</v>
      </c>
      <c r="O599" s="433" t="s">
        <v>2654</v>
      </c>
      <c r="P599" s="433" t="s">
        <v>4083</v>
      </c>
      <c r="Q599" s="431"/>
      <c r="R599" s="431"/>
      <c r="S599" s="426" t="s">
        <v>2673</v>
      </c>
      <c r="T599" s="426" t="s">
        <v>2881</v>
      </c>
      <c r="U599" s="426" t="s">
        <v>3238</v>
      </c>
      <c r="V599" s="426" t="s">
        <v>2881</v>
      </c>
      <c r="W599" s="426" t="s">
        <v>3014</v>
      </c>
      <c r="X599" s="426" t="s">
        <v>2813</v>
      </c>
      <c r="Y599" s="426" t="s">
        <v>2888</v>
      </c>
      <c r="Z599" s="426" t="s">
        <v>3313</v>
      </c>
      <c r="AA599" s="426" t="s">
        <v>2822</v>
      </c>
      <c r="AB599" s="426" t="s">
        <v>2646</v>
      </c>
      <c r="AC599" s="426" t="s">
        <v>2646</v>
      </c>
      <c r="AD599" s="426" t="s">
        <v>2646</v>
      </c>
      <c r="AE599" s="426" t="s">
        <v>2646</v>
      </c>
      <c r="AF599" s="426" t="s">
        <v>2646</v>
      </c>
      <c r="AG599" s="426" t="s">
        <v>2646</v>
      </c>
      <c r="AH599" s="426" t="s">
        <v>2646</v>
      </c>
      <c r="AI599" s="426" t="s">
        <v>2646</v>
      </c>
      <c r="AJ599" s="68" t="s">
        <v>2646</v>
      </c>
    </row>
    <row r="600" spans="1:36">
      <c r="A600" s="392" t="s">
        <v>1891</v>
      </c>
      <c r="B600" s="427" t="s">
        <v>48</v>
      </c>
      <c r="C600" s="433" t="s">
        <v>4351</v>
      </c>
      <c r="D600" s="433" t="s">
        <v>3918</v>
      </c>
      <c r="E600" s="433" t="s">
        <v>2680</v>
      </c>
      <c r="F600" s="433" t="s">
        <v>2654</v>
      </c>
      <c r="G600" s="433" t="s">
        <v>2654</v>
      </c>
      <c r="H600" s="433" t="s">
        <v>2654</v>
      </c>
      <c r="I600" s="433" t="s">
        <v>2654</v>
      </c>
      <c r="J600" s="433" t="s">
        <v>2654</v>
      </c>
      <c r="K600" s="433" t="s">
        <v>2654</v>
      </c>
      <c r="L600" s="433" t="s">
        <v>2654</v>
      </c>
      <c r="M600" s="433" t="s">
        <v>2654</v>
      </c>
      <c r="N600" s="433" t="s">
        <v>2654</v>
      </c>
      <c r="O600" s="433" t="s">
        <v>2654</v>
      </c>
      <c r="P600" s="433" t="s">
        <v>2912</v>
      </c>
      <c r="Q600" s="433" t="s">
        <v>2654</v>
      </c>
      <c r="R600" s="433" t="s">
        <v>2654</v>
      </c>
      <c r="S600" s="426"/>
      <c r="T600" s="426"/>
      <c r="U600" s="426"/>
      <c r="V600" s="426"/>
      <c r="W600" s="426"/>
      <c r="X600" s="426"/>
      <c r="Y600" s="426"/>
      <c r="Z600" s="426"/>
      <c r="AA600" s="426"/>
      <c r="AB600" s="426"/>
      <c r="AC600" s="426"/>
      <c r="AD600" s="426"/>
      <c r="AE600" s="426"/>
      <c r="AF600" s="426"/>
      <c r="AG600" s="426"/>
      <c r="AH600" s="426"/>
      <c r="AI600" s="426"/>
    </row>
    <row r="601" spans="1:36" hidden="1">
      <c r="A601" s="392" t="s">
        <v>1892</v>
      </c>
      <c r="B601" s="427" t="s">
        <v>2647</v>
      </c>
      <c r="C601" s="433" t="s">
        <v>3709</v>
      </c>
      <c r="D601" s="433" t="s">
        <v>3561</v>
      </c>
      <c r="E601" s="433" t="s">
        <v>2654</v>
      </c>
      <c r="F601" s="433" t="s">
        <v>2654</v>
      </c>
      <c r="G601" s="433" t="s">
        <v>2654</v>
      </c>
      <c r="H601" s="433" t="s">
        <v>2654</v>
      </c>
      <c r="I601" s="433" t="s">
        <v>2654</v>
      </c>
      <c r="J601" s="433" t="s">
        <v>2654</v>
      </c>
      <c r="K601" s="433" t="s">
        <v>2654</v>
      </c>
      <c r="L601" s="433" t="s">
        <v>2654</v>
      </c>
      <c r="M601" s="433" t="s">
        <v>2654</v>
      </c>
      <c r="N601" s="433" t="s">
        <v>2654</v>
      </c>
      <c r="O601" s="433" t="s">
        <v>2654</v>
      </c>
      <c r="P601" s="433" t="s">
        <v>2648</v>
      </c>
      <c r="Q601" s="431"/>
      <c r="R601" s="431"/>
      <c r="S601" s="426" t="s">
        <v>2778</v>
      </c>
      <c r="T601" s="426" t="s">
        <v>2803</v>
      </c>
      <c r="U601" s="426" t="s">
        <v>3048</v>
      </c>
      <c r="V601" s="426" t="s">
        <v>3048</v>
      </c>
      <c r="W601" s="426" t="s">
        <v>3014</v>
      </c>
      <c r="X601" s="426" t="s">
        <v>2840</v>
      </c>
      <c r="Y601" s="426" t="s">
        <v>2662</v>
      </c>
      <c r="Z601" s="426" t="s">
        <v>3313</v>
      </c>
      <c r="AA601" s="426" t="s">
        <v>2827</v>
      </c>
      <c r="AB601" s="426" t="s">
        <v>3106</v>
      </c>
      <c r="AC601" s="426" t="s">
        <v>2646</v>
      </c>
      <c r="AD601" s="426" t="s">
        <v>2646</v>
      </c>
      <c r="AE601" s="426" t="s">
        <v>2646</v>
      </c>
      <c r="AF601" s="426" t="s">
        <v>2646</v>
      </c>
      <c r="AG601" s="426" t="s">
        <v>2646</v>
      </c>
      <c r="AH601" s="426" t="s">
        <v>2646</v>
      </c>
      <c r="AI601" s="426" t="s">
        <v>2646</v>
      </c>
      <c r="AJ601" s="68" t="s">
        <v>2646</v>
      </c>
    </row>
    <row r="602" spans="1:36" hidden="1">
      <c r="A602" s="392" t="s">
        <v>1893</v>
      </c>
      <c r="B602" s="427" t="s">
        <v>2648</v>
      </c>
      <c r="C602" s="433" t="s">
        <v>3256</v>
      </c>
      <c r="D602" s="433" t="s">
        <v>3583</v>
      </c>
      <c r="E602" s="433" t="s">
        <v>2654</v>
      </c>
      <c r="F602" s="433" t="s">
        <v>2654</v>
      </c>
      <c r="G602" s="433" t="s">
        <v>2654</v>
      </c>
      <c r="H602" s="433" t="s">
        <v>2654</v>
      </c>
      <c r="I602" s="433" t="s">
        <v>2654</v>
      </c>
      <c r="J602" s="433" t="s">
        <v>2654</v>
      </c>
      <c r="K602" s="433" t="s">
        <v>2654</v>
      </c>
      <c r="L602" s="433" t="s">
        <v>2654</v>
      </c>
      <c r="M602" s="433" t="s">
        <v>2654</v>
      </c>
      <c r="N602" s="433" t="s">
        <v>2654</v>
      </c>
      <c r="O602" s="433" t="s">
        <v>2654</v>
      </c>
      <c r="P602" s="433" t="s">
        <v>2650</v>
      </c>
      <c r="Q602" s="431"/>
      <c r="R602" s="431"/>
      <c r="S602" s="426" t="s">
        <v>2665</v>
      </c>
      <c r="T602" s="426" t="s">
        <v>2828</v>
      </c>
      <c r="U602" s="426" t="s">
        <v>3012</v>
      </c>
      <c r="V602" s="426" t="s">
        <v>2756</v>
      </c>
      <c r="W602" s="426" t="s">
        <v>3014</v>
      </c>
      <c r="X602" s="426" t="s">
        <v>2840</v>
      </c>
      <c r="Y602" s="426" t="s">
        <v>2662</v>
      </c>
      <c r="Z602" s="426" t="s">
        <v>3313</v>
      </c>
      <c r="AA602" s="426" t="s">
        <v>2827</v>
      </c>
      <c r="AB602" s="426" t="s">
        <v>2646</v>
      </c>
      <c r="AC602" s="426" t="s">
        <v>2646</v>
      </c>
      <c r="AD602" s="426" t="s">
        <v>2646</v>
      </c>
      <c r="AE602" s="426" t="s">
        <v>2646</v>
      </c>
      <c r="AF602" s="426" t="s">
        <v>2646</v>
      </c>
      <c r="AG602" s="426" t="s">
        <v>2646</v>
      </c>
      <c r="AH602" s="426" t="s">
        <v>2646</v>
      </c>
      <c r="AI602" s="426" t="s">
        <v>2646</v>
      </c>
      <c r="AJ602" s="68" t="s">
        <v>2646</v>
      </c>
    </row>
    <row r="603" spans="1:36" hidden="1">
      <c r="A603" s="392" t="s">
        <v>1894</v>
      </c>
      <c r="B603" s="427" t="s">
        <v>2649</v>
      </c>
      <c r="C603" s="433" t="s">
        <v>3625</v>
      </c>
      <c r="D603" s="433" t="s">
        <v>3561</v>
      </c>
      <c r="E603" s="433" t="s">
        <v>2654</v>
      </c>
      <c r="F603" s="433" t="s">
        <v>2654</v>
      </c>
      <c r="G603" s="433" t="s">
        <v>2654</v>
      </c>
      <c r="H603" s="433" t="s">
        <v>2654</v>
      </c>
      <c r="I603" s="433" t="s">
        <v>2654</v>
      </c>
      <c r="J603" s="433" t="s">
        <v>2654</v>
      </c>
      <c r="K603" s="433" t="s">
        <v>2654</v>
      </c>
      <c r="L603" s="433" t="s">
        <v>2654</v>
      </c>
      <c r="M603" s="433" t="s">
        <v>2654</v>
      </c>
      <c r="N603" s="433" t="s">
        <v>2654</v>
      </c>
      <c r="O603" s="433" t="s">
        <v>2654</v>
      </c>
      <c r="P603" s="433" t="s">
        <v>2648</v>
      </c>
      <c r="Q603" s="431"/>
      <c r="R603" s="431"/>
      <c r="S603" s="426" t="s">
        <v>2778</v>
      </c>
      <c r="T603" s="426" t="s">
        <v>3158</v>
      </c>
      <c r="U603" s="426" t="s">
        <v>3238</v>
      </c>
      <c r="V603" s="426" t="s">
        <v>2797</v>
      </c>
      <c r="W603" s="426" t="s">
        <v>3014</v>
      </c>
      <c r="X603" s="426" t="s">
        <v>2840</v>
      </c>
      <c r="Y603" s="426" t="s">
        <v>2662</v>
      </c>
      <c r="Z603" s="426" t="s">
        <v>3313</v>
      </c>
      <c r="AA603" s="426" t="s">
        <v>2857</v>
      </c>
      <c r="AB603" s="426" t="s">
        <v>2646</v>
      </c>
      <c r="AC603" s="426" t="s">
        <v>2646</v>
      </c>
      <c r="AD603" s="426" t="s">
        <v>2646</v>
      </c>
      <c r="AE603" s="426" t="s">
        <v>2646</v>
      </c>
      <c r="AF603" s="426" t="s">
        <v>2646</v>
      </c>
      <c r="AG603" s="426" t="s">
        <v>2646</v>
      </c>
      <c r="AH603" s="426" t="s">
        <v>2646</v>
      </c>
      <c r="AI603" s="426" t="s">
        <v>2646</v>
      </c>
      <c r="AJ603" s="68" t="s">
        <v>2646</v>
      </c>
    </row>
    <row r="604" spans="1:36" hidden="1">
      <c r="A604" s="392" t="s">
        <v>1895</v>
      </c>
      <c r="B604" s="427" t="s">
        <v>2650</v>
      </c>
      <c r="C604" s="433" t="s">
        <v>3635</v>
      </c>
      <c r="D604" s="433" t="s">
        <v>4049</v>
      </c>
      <c r="E604" s="433" t="s">
        <v>2654</v>
      </c>
      <c r="F604" s="433" t="s">
        <v>2654</v>
      </c>
      <c r="G604" s="433" t="s">
        <v>2654</v>
      </c>
      <c r="H604" s="433" t="s">
        <v>2654</v>
      </c>
      <c r="I604" s="433" t="s">
        <v>2654</v>
      </c>
      <c r="J604" s="433" t="s">
        <v>2654</v>
      </c>
      <c r="K604" s="433" t="s">
        <v>2654</v>
      </c>
      <c r="L604" s="433" t="s">
        <v>2654</v>
      </c>
      <c r="M604" s="433" t="s">
        <v>2654</v>
      </c>
      <c r="N604" s="433" t="s">
        <v>2654</v>
      </c>
      <c r="O604" s="433" t="s">
        <v>2654</v>
      </c>
      <c r="P604" s="433" t="s">
        <v>2651</v>
      </c>
      <c r="Q604" s="431"/>
      <c r="R604" s="431"/>
      <c r="S604" s="426" t="s">
        <v>2660</v>
      </c>
      <c r="T604" s="426" t="s">
        <v>2703</v>
      </c>
      <c r="U604" s="426" t="s">
        <v>3012</v>
      </c>
      <c r="V604" s="426" t="s">
        <v>3019</v>
      </c>
      <c r="W604" s="426" t="s">
        <v>3014</v>
      </c>
      <c r="X604" s="426" t="s">
        <v>2840</v>
      </c>
      <c r="Y604" s="426" t="s">
        <v>2662</v>
      </c>
      <c r="Z604" s="426" t="s">
        <v>3313</v>
      </c>
      <c r="AA604" s="426" t="s">
        <v>2857</v>
      </c>
      <c r="AB604" s="426" t="s">
        <v>2646</v>
      </c>
      <c r="AC604" s="426" t="s">
        <v>2646</v>
      </c>
      <c r="AD604" s="426" t="s">
        <v>2646</v>
      </c>
      <c r="AE604" s="426" t="s">
        <v>2646</v>
      </c>
      <c r="AF604" s="426" t="s">
        <v>2646</v>
      </c>
      <c r="AG604" s="426" t="s">
        <v>2646</v>
      </c>
      <c r="AH604" s="426" t="s">
        <v>2646</v>
      </c>
      <c r="AI604" s="426" t="s">
        <v>2646</v>
      </c>
      <c r="AJ604" s="68" t="s">
        <v>2646</v>
      </c>
    </row>
    <row r="605" spans="1:36" hidden="1">
      <c r="A605" s="392" t="s">
        <v>1896</v>
      </c>
      <c r="B605" s="427" t="s">
        <v>2651</v>
      </c>
      <c r="C605" s="433" t="s">
        <v>3215</v>
      </c>
      <c r="D605" s="433" t="s">
        <v>3583</v>
      </c>
      <c r="E605" s="433" t="s">
        <v>2654</v>
      </c>
      <c r="F605" s="433" t="s">
        <v>2654</v>
      </c>
      <c r="G605" s="433" t="s">
        <v>2654</v>
      </c>
      <c r="H605" s="433" t="s">
        <v>2654</v>
      </c>
      <c r="I605" s="433" t="s">
        <v>2654</v>
      </c>
      <c r="J605" s="433" t="s">
        <v>2654</v>
      </c>
      <c r="K605" s="433" t="s">
        <v>2654</v>
      </c>
      <c r="L605" s="433" t="s">
        <v>2654</v>
      </c>
      <c r="M605" s="433" t="s">
        <v>2654</v>
      </c>
      <c r="N605" s="433" t="s">
        <v>2654</v>
      </c>
      <c r="O605" s="433" t="s">
        <v>2654</v>
      </c>
      <c r="P605" s="433" t="s">
        <v>2649</v>
      </c>
      <c r="Q605" s="431"/>
      <c r="R605" s="431"/>
      <c r="S605" s="426" t="s">
        <v>3194</v>
      </c>
      <c r="T605" s="426" t="s">
        <v>3114</v>
      </c>
      <c r="U605" s="426" t="s">
        <v>3238</v>
      </c>
      <c r="V605" s="426" t="s">
        <v>3130</v>
      </c>
      <c r="W605" s="426" t="s">
        <v>3014</v>
      </c>
      <c r="X605" s="426" t="s">
        <v>2840</v>
      </c>
      <c r="Y605" s="426" t="s">
        <v>2662</v>
      </c>
      <c r="Z605" s="426" t="s">
        <v>3313</v>
      </c>
      <c r="AA605" s="426" t="s">
        <v>2820</v>
      </c>
      <c r="AB605" s="426" t="s">
        <v>2646</v>
      </c>
      <c r="AC605" s="426" t="s">
        <v>2646</v>
      </c>
      <c r="AD605" s="426" t="s">
        <v>2646</v>
      </c>
      <c r="AE605" s="426" t="s">
        <v>2646</v>
      </c>
      <c r="AF605" s="426" t="s">
        <v>2646</v>
      </c>
      <c r="AG605" s="426" t="s">
        <v>2646</v>
      </c>
      <c r="AH605" s="426" t="s">
        <v>2646</v>
      </c>
      <c r="AI605" s="426" t="s">
        <v>2646</v>
      </c>
      <c r="AJ605" s="68" t="s">
        <v>2646</v>
      </c>
    </row>
    <row r="606" spans="1:36">
      <c r="A606" s="392" t="s">
        <v>1896</v>
      </c>
      <c r="B606" s="427" t="s">
        <v>48</v>
      </c>
      <c r="C606" s="433" t="s">
        <v>4352</v>
      </c>
      <c r="D606" s="433" t="s">
        <v>3915</v>
      </c>
      <c r="E606" s="433" t="s">
        <v>2654</v>
      </c>
      <c r="F606" s="433" t="s">
        <v>2654</v>
      </c>
      <c r="G606" s="433" t="s">
        <v>2654</v>
      </c>
      <c r="H606" s="433" t="s">
        <v>2654</v>
      </c>
      <c r="I606" s="433" t="s">
        <v>2654</v>
      </c>
      <c r="J606" s="433" t="s">
        <v>2654</v>
      </c>
      <c r="K606" s="433" t="s">
        <v>2654</v>
      </c>
      <c r="L606" s="433" t="s">
        <v>2654</v>
      </c>
      <c r="M606" s="433" t="s">
        <v>2654</v>
      </c>
      <c r="N606" s="433" t="s">
        <v>2654</v>
      </c>
      <c r="O606" s="433" t="s">
        <v>2654</v>
      </c>
      <c r="P606" s="433" t="s">
        <v>3394</v>
      </c>
      <c r="Q606" s="433" t="s">
        <v>2654</v>
      </c>
      <c r="R606" s="433" t="s">
        <v>2654</v>
      </c>
      <c r="S606" s="426"/>
      <c r="T606" s="426"/>
      <c r="U606" s="426"/>
      <c r="V606" s="426"/>
      <c r="W606" s="426"/>
      <c r="X606" s="426"/>
      <c r="Y606" s="426"/>
      <c r="Z606" s="426"/>
      <c r="AA606" s="426"/>
      <c r="AB606" s="426"/>
      <c r="AC606" s="426"/>
      <c r="AD606" s="426"/>
      <c r="AE606" s="426"/>
      <c r="AF606" s="426"/>
      <c r="AG606" s="426"/>
      <c r="AH606" s="426"/>
      <c r="AI606" s="426"/>
    </row>
    <row r="607" spans="1:36" hidden="1">
      <c r="A607" s="392" t="s">
        <v>1897</v>
      </c>
      <c r="B607" s="427" t="s">
        <v>2647</v>
      </c>
      <c r="C607" s="433" t="s">
        <v>3762</v>
      </c>
      <c r="D607" s="433" t="s">
        <v>3909</v>
      </c>
      <c r="E607" s="433" t="s">
        <v>2654</v>
      </c>
      <c r="F607" s="433" t="s">
        <v>2654</v>
      </c>
      <c r="G607" s="433" t="s">
        <v>2654</v>
      </c>
      <c r="H607" s="433" t="s">
        <v>2654</v>
      </c>
      <c r="I607" s="433" t="s">
        <v>2654</v>
      </c>
      <c r="J607" s="433" t="s">
        <v>2654</v>
      </c>
      <c r="K607" s="433" t="s">
        <v>2654</v>
      </c>
      <c r="L607" s="433" t="s">
        <v>2654</v>
      </c>
      <c r="M607" s="433" t="s">
        <v>2654</v>
      </c>
      <c r="N607" s="433" t="s">
        <v>2654</v>
      </c>
      <c r="O607" s="433" t="s">
        <v>2654</v>
      </c>
      <c r="P607" s="433" t="s">
        <v>2648</v>
      </c>
      <c r="Q607" s="431"/>
      <c r="R607" s="431"/>
      <c r="S607" s="426" t="s">
        <v>3137</v>
      </c>
      <c r="T607" s="426" t="s">
        <v>3073</v>
      </c>
      <c r="U607" s="426" t="s">
        <v>3023</v>
      </c>
      <c r="V607" s="426" t="s">
        <v>3054</v>
      </c>
      <c r="W607" s="426" t="s">
        <v>3014</v>
      </c>
      <c r="X607" s="426" t="s">
        <v>2758</v>
      </c>
      <c r="Y607" s="426" t="s">
        <v>2671</v>
      </c>
      <c r="Z607" s="426" t="s">
        <v>3313</v>
      </c>
      <c r="AA607" s="426" t="s">
        <v>3240</v>
      </c>
      <c r="AB607" s="426" t="s">
        <v>2646</v>
      </c>
      <c r="AC607" s="426" t="s">
        <v>2646</v>
      </c>
      <c r="AD607" s="426" t="s">
        <v>2646</v>
      </c>
      <c r="AE607" s="426" t="s">
        <v>2646</v>
      </c>
      <c r="AF607" s="426" t="s">
        <v>2646</v>
      </c>
      <c r="AG607" s="426" t="s">
        <v>2646</v>
      </c>
      <c r="AH607" s="426" t="s">
        <v>2646</v>
      </c>
      <c r="AI607" s="426" t="s">
        <v>2646</v>
      </c>
      <c r="AJ607" s="68" t="s">
        <v>2646</v>
      </c>
    </row>
    <row r="608" spans="1:36" hidden="1">
      <c r="A608" s="392" t="s">
        <v>1898</v>
      </c>
      <c r="B608" s="427" t="s">
        <v>2648</v>
      </c>
      <c r="C608" s="433" t="s">
        <v>3840</v>
      </c>
      <c r="D608" s="433" t="s">
        <v>3089</v>
      </c>
      <c r="E608" s="433" t="s">
        <v>2654</v>
      </c>
      <c r="F608" s="433" t="s">
        <v>2654</v>
      </c>
      <c r="G608" s="433" t="s">
        <v>2654</v>
      </c>
      <c r="H608" s="433" t="s">
        <v>2654</v>
      </c>
      <c r="I608" s="433" t="s">
        <v>2654</v>
      </c>
      <c r="J608" s="433" t="s">
        <v>2654</v>
      </c>
      <c r="K608" s="433" t="s">
        <v>2654</v>
      </c>
      <c r="L608" s="433" t="s">
        <v>2654</v>
      </c>
      <c r="M608" s="433" t="s">
        <v>2654</v>
      </c>
      <c r="N608" s="433" t="s">
        <v>2654</v>
      </c>
      <c r="O608" s="433" t="s">
        <v>2654</v>
      </c>
      <c r="P608" s="433" t="s">
        <v>2651</v>
      </c>
      <c r="Q608" s="431"/>
      <c r="R608" s="431"/>
      <c r="S608" s="426" t="s">
        <v>3132</v>
      </c>
      <c r="T608" s="426" t="s">
        <v>3259</v>
      </c>
      <c r="U608" s="426" t="s">
        <v>3023</v>
      </c>
      <c r="V608" s="426" t="s">
        <v>3054</v>
      </c>
      <c r="W608" s="426" t="s">
        <v>3014</v>
      </c>
      <c r="X608" s="426" t="s">
        <v>2758</v>
      </c>
      <c r="Y608" s="426" t="s">
        <v>2671</v>
      </c>
      <c r="Z608" s="426" t="s">
        <v>3313</v>
      </c>
      <c r="AA608" s="426" t="s">
        <v>2740</v>
      </c>
      <c r="AB608" s="426" t="s">
        <v>2646</v>
      </c>
      <c r="AC608" s="426" t="s">
        <v>2646</v>
      </c>
      <c r="AD608" s="426" t="s">
        <v>2646</v>
      </c>
      <c r="AE608" s="426" t="s">
        <v>2646</v>
      </c>
      <c r="AF608" s="426" t="s">
        <v>2646</v>
      </c>
      <c r="AG608" s="426" t="s">
        <v>2646</v>
      </c>
      <c r="AH608" s="426" t="s">
        <v>2646</v>
      </c>
      <c r="AI608" s="426" t="s">
        <v>2646</v>
      </c>
      <c r="AJ608" s="68" t="s">
        <v>2646</v>
      </c>
    </row>
    <row r="609" spans="1:36" hidden="1">
      <c r="A609" s="392" t="s">
        <v>1899</v>
      </c>
      <c r="B609" s="427" t="s">
        <v>2649</v>
      </c>
      <c r="C609" s="433" t="s">
        <v>4353</v>
      </c>
      <c r="D609" s="433" t="s">
        <v>3222</v>
      </c>
      <c r="E609" s="433" t="s">
        <v>2654</v>
      </c>
      <c r="F609" s="433" t="s">
        <v>2654</v>
      </c>
      <c r="G609" s="433" t="s">
        <v>2654</v>
      </c>
      <c r="H609" s="433" t="s">
        <v>2654</v>
      </c>
      <c r="I609" s="433" t="s">
        <v>2654</v>
      </c>
      <c r="J609" s="433" t="s">
        <v>2654</v>
      </c>
      <c r="K609" s="433" t="s">
        <v>2654</v>
      </c>
      <c r="L609" s="433" t="s">
        <v>2654</v>
      </c>
      <c r="M609" s="433" t="s">
        <v>2654</v>
      </c>
      <c r="N609" s="433" t="s">
        <v>2654</v>
      </c>
      <c r="O609" s="433" t="s">
        <v>2654</v>
      </c>
      <c r="P609" s="433" t="s">
        <v>2647</v>
      </c>
      <c r="Q609" s="431"/>
      <c r="R609" s="431"/>
      <c r="S609" s="426" t="s">
        <v>3220</v>
      </c>
      <c r="T609" s="426" t="s">
        <v>3264</v>
      </c>
      <c r="U609" s="426" t="s">
        <v>3023</v>
      </c>
      <c r="V609" s="426" t="s">
        <v>2690</v>
      </c>
      <c r="W609" s="426" t="s">
        <v>3014</v>
      </c>
      <c r="X609" s="426" t="s">
        <v>2758</v>
      </c>
      <c r="Y609" s="426" t="s">
        <v>2671</v>
      </c>
      <c r="Z609" s="426" t="s">
        <v>3313</v>
      </c>
      <c r="AA609" s="426" t="s">
        <v>2837</v>
      </c>
      <c r="AB609" s="426" t="s">
        <v>2977</v>
      </c>
      <c r="AC609" s="426" t="s">
        <v>2646</v>
      </c>
      <c r="AD609" s="426" t="s">
        <v>2646</v>
      </c>
      <c r="AE609" s="426" t="s">
        <v>2646</v>
      </c>
      <c r="AF609" s="426" t="s">
        <v>2646</v>
      </c>
      <c r="AG609" s="426" t="s">
        <v>2646</v>
      </c>
      <c r="AH609" s="426" t="s">
        <v>2646</v>
      </c>
      <c r="AI609" s="426" t="s">
        <v>2646</v>
      </c>
      <c r="AJ609" s="68" t="s">
        <v>2646</v>
      </c>
    </row>
    <row r="610" spans="1:36" hidden="1">
      <c r="A610" s="392" t="s">
        <v>1900</v>
      </c>
      <c r="B610" s="427" t="s">
        <v>2650</v>
      </c>
      <c r="C610" s="433" t="s">
        <v>3218</v>
      </c>
      <c r="D610" s="433" t="s">
        <v>3789</v>
      </c>
      <c r="E610" s="433" t="s">
        <v>2654</v>
      </c>
      <c r="F610" s="433" t="s">
        <v>2654</v>
      </c>
      <c r="G610" s="433" t="s">
        <v>2654</v>
      </c>
      <c r="H610" s="433" t="s">
        <v>2654</v>
      </c>
      <c r="I610" s="433" t="s">
        <v>2654</v>
      </c>
      <c r="J610" s="433" t="s">
        <v>2654</v>
      </c>
      <c r="K610" s="433" t="s">
        <v>2654</v>
      </c>
      <c r="L610" s="433" t="s">
        <v>2654</v>
      </c>
      <c r="M610" s="433" t="s">
        <v>2654</v>
      </c>
      <c r="N610" s="433" t="s">
        <v>2654</v>
      </c>
      <c r="O610" s="433" t="s">
        <v>2654</v>
      </c>
      <c r="P610" s="433" t="s">
        <v>2649</v>
      </c>
      <c r="Q610" s="431"/>
      <c r="R610" s="431"/>
      <c r="S610" s="426" t="s">
        <v>3220</v>
      </c>
      <c r="T610" s="426" t="s">
        <v>2697</v>
      </c>
      <c r="U610" s="426" t="s">
        <v>3012</v>
      </c>
      <c r="V610" s="426" t="s">
        <v>3456</v>
      </c>
      <c r="W610" s="426" t="s">
        <v>3014</v>
      </c>
      <c r="X610" s="426" t="s">
        <v>2758</v>
      </c>
      <c r="Y610" s="426" t="s">
        <v>2671</v>
      </c>
      <c r="Z610" s="426" t="s">
        <v>3313</v>
      </c>
      <c r="AA610" s="426" t="s">
        <v>2757</v>
      </c>
      <c r="AB610" s="426" t="s">
        <v>3472</v>
      </c>
      <c r="AC610" s="426" t="s">
        <v>2646</v>
      </c>
      <c r="AD610" s="426" t="s">
        <v>2646</v>
      </c>
      <c r="AE610" s="426" t="s">
        <v>2646</v>
      </c>
      <c r="AF610" s="426" t="s">
        <v>2646</v>
      </c>
      <c r="AG610" s="426" t="s">
        <v>2646</v>
      </c>
      <c r="AH610" s="426" t="s">
        <v>2646</v>
      </c>
      <c r="AI610" s="426" t="s">
        <v>2646</v>
      </c>
      <c r="AJ610" s="68" t="s">
        <v>2646</v>
      </c>
    </row>
    <row r="611" spans="1:36" hidden="1">
      <c r="A611" s="392" t="s">
        <v>1901</v>
      </c>
      <c r="B611" s="427" t="s">
        <v>2651</v>
      </c>
      <c r="C611" s="433" t="s">
        <v>3698</v>
      </c>
      <c r="D611" s="433" t="s">
        <v>3670</v>
      </c>
      <c r="E611" s="433" t="s">
        <v>2680</v>
      </c>
      <c r="F611" s="433" t="s">
        <v>2654</v>
      </c>
      <c r="G611" s="433" t="s">
        <v>2654</v>
      </c>
      <c r="H611" s="433" t="s">
        <v>2654</v>
      </c>
      <c r="I611" s="433" t="s">
        <v>2654</v>
      </c>
      <c r="J611" s="433" t="s">
        <v>2654</v>
      </c>
      <c r="K611" s="433" t="s">
        <v>2654</v>
      </c>
      <c r="L611" s="433" t="s">
        <v>2654</v>
      </c>
      <c r="M611" s="433" t="s">
        <v>2654</v>
      </c>
      <c r="N611" s="433" t="s">
        <v>2654</v>
      </c>
      <c r="O611" s="433" t="s">
        <v>2654</v>
      </c>
      <c r="P611" s="433" t="s">
        <v>4083</v>
      </c>
      <c r="Q611" s="431"/>
      <c r="R611" s="431"/>
      <c r="S611" s="426" t="s">
        <v>3132</v>
      </c>
      <c r="T611" s="426" t="s">
        <v>2703</v>
      </c>
      <c r="U611" s="426" t="s">
        <v>3012</v>
      </c>
      <c r="V611" s="426" t="s">
        <v>3355</v>
      </c>
      <c r="W611" s="426" t="s">
        <v>3014</v>
      </c>
      <c r="X611" s="426" t="s">
        <v>2758</v>
      </c>
      <c r="Y611" s="426" t="s">
        <v>2671</v>
      </c>
      <c r="Z611" s="426" t="s">
        <v>3313</v>
      </c>
      <c r="AA611" s="426" t="s">
        <v>2812</v>
      </c>
      <c r="AB611" s="426" t="s">
        <v>3266</v>
      </c>
      <c r="AC611" s="426" t="s">
        <v>2646</v>
      </c>
      <c r="AD611" s="426" t="s">
        <v>2646</v>
      </c>
      <c r="AE611" s="426" t="s">
        <v>2646</v>
      </c>
      <c r="AF611" s="426" t="s">
        <v>2646</v>
      </c>
      <c r="AG611" s="426" t="s">
        <v>2646</v>
      </c>
      <c r="AH611" s="426" t="s">
        <v>2646</v>
      </c>
      <c r="AI611" s="426" t="s">
        <v>2646</v>
      </c>
      <c r="AJ611" s="68" t="s">
        <v>2646</v>
      </c>
    </row>
    <row r="612" spans="1:36">
      <c r="A612" s="392" t="s">
        <v>1901</v>
      </c>
      <c r="B612" s="427" t="s">
        <v>48</v>
      </c>
      <c r="C612" s="433" t="s">
        <v>4354</v>
      </c>
      <c r="D612" s="433" t="s">
        <v>3922</v>
      </c>
      <c r="E612" s="433" t="s">
        <v>2683</v>
      </c>
      <c r="F612" s="433" t="s">
        <v>2654</v>
      </c>
      <c r="G612" s="433" t="s">
        <v>2654</v>
      </c>
      <c r="H612" s="433" t="s">
        <v>2654</v>
      </c>
      <c r="I612" s="433" t="s">
        <v>2654</v>
      </c>
      <c r="J612" s="433" t="s">
        <v>2654</v>
      </c>
      <c r="K612" s="433" t="s">
        <v>2654</v>
      </c>
      <c r="L612" s="433" t="s">
        <v>2654</v>
      </c>
      <c r="M612" s="433" t="s">
        <v>2654</v>
      </c>
      <c r="N612" s="433" t="s">
        <v>2654</v>
      </c>
      <c r="O612" s="433" t="s">
        <v>2654</v>
      </c>
      <c r="P612" s="433" t="s">
        <v>3145</v>
      </c>
      <c r="Q612" s="433" t="s">
        <v>2654</v>
      </c>
      <c r="R612" s="433" t="s">
        <v>2654</v>
      </c>
      <c r="S612" s="426"/>
      <c r="T612" s="426"/>
      <c r="U612" s="426"/>
      <c r="V612" s="426"/>
      <c r="W612" s="426"/>
      <c r="X612" s="426"/>
      <c r="Y612" s="426"/>
      <c r="Z612" s="426"/>
      <c r="AA612" s="426"/>
      <c r="AB612" s="426"/>
      <c r="AC612" s="426"/>
      <c r="AD612" s="426"/>
      <c r="AE612" s="426"/>
      <c r="AF612" s="426"/>
      <c r="AG612" s="426"/>
      <c r="AH612" s="426"/>
      <c r="AI612" s="426"/>
    </row>
    <row r="613" spans="1:36" hidden="1">
      <c r="A613" s="392" t="s">
        <v>1902</v>
      </c>
      <c r="B613" s="427" t="s">
        <v>2647</v>
      </c>
      <c r="C613" s="433" t="s">
        <v>3262</v>
      </c>
      <c r="D613" s="433" t="s">
        <v>2777</v>
      </c>
      <c r="E613" s="433" t="s">
        <v>2654</v>
      </c>
      <c r="F613" s="433" t="s">
        <v>2654</v>
      </c>
      <c r="G613" s="433" t="s">
        <v>2654</v>
      </c>
      <c r="H613" s="433" t="s">
        <v>2654</v>
      </c>
      <c r="I613" s="433" t="s">
        <v>2654</v>
      </c>
      <c r="J613" s="433" t="s">
        <v>2654</v>
      </c>
      <c r="K613" s="433" t="s">
        <v>2654</v>
      </c>
      <c r="L613" s="433" t="s">
        <v>2654</v>
      </c>
      <c r="M613" s="433" t="s">
        <v>2654</v>
      </c>
      <c r="N613" s="433" t="s">
        <v>2654</v>
      </c>
      <c r="O613" s="433" t="s">
        <v>2654</v>
      </c>
      <c r="P613" s="433" t="s">
        <v>4083</v>
      </c>
      <c r="Q613" s="431"/>
      <c r="R613" s="431"/>
      <c r="S613" s="426" t="s">
        <v>2655</v>
      </c>
      <c r="T613" s="426" t="s">
        <v>2646</v>
      </c>
      <c r="U613" s="426" t="s">
        <v>2646</v>
      </c>
      <c r="V613" s="426" t="s">
        <v>2646</v>
      </c>
      <c r="W613" s="426" t="s">
        <v>2646</v>
      </c>
      <c r="X613" s="426" t="s">
        <v>2646</v>
      </c>
      <c r="Y613" s="426" t="s">
        <v>2646</v>
      </c>
      <c r="Z613" s="426" t="s">
        <v>2646</v>
      </c>
      <c r="AA613" s="426" t="s">
        <v>2646</v>
      </c>
      <c r="AB613" s="426" t="s">
        <v>2646</v>
      </c>
      <c r="AC613" s="426" t="s">
        <v>2646</v>
      </c>
      <c r="AD613" s="426" t="s">
        <v>2646</v>
      </c>
      <c r="AE613" s="426" t="s">
        <v>2646</v>
      </c>
      <c r="AF613" s="426" t="s">
        <v>2646</v>
      </c>
      <c r="AG613" s="426" t="s">
        <v>2646</v>
      </c>
      <c r="AH613" s="426" t="s">
        <v>2646</v>
      </c>
      <c r="AI613" s="426" t="s">
        <v>2646</v>
      </c>
      <c r="AJ613" s="68" t="s">
        <v>2646</v>
      </c>
    </row>
    <row r="614" spans="1:36" hidden="1">
      <c r="A614" s="392" t="s">
        <v>1903</v>
      </c>
      <c r="B614" s="427" t="s">
        <v>2648</v>
      </c>
      <c r="C614" s="433" t="s">
        <v>3262</v>
      </c>
      <c r="D614" s="433" t="s">
        <v>2835</v>
      </c>
      <c r="E614" s="433" t="s">
        <v>2654</v>
      </c>
      <c r="F614" s="433" t="s">
        <v>2654</v>
      </c>
      <c r="G614" s="433" t="s">
        <v>2654</v>
      </c>
      <c r="H614" s="433" t="s">
        <v>2654</v>
      </c>
      <c r="I614" s="433" t="s">
        <v>2654</v>
      </c>
      <c r="J614" s="433" t="s">
        <v>2654</v>
      </c>
      <c r="K614" s="433" t="s">
        <v>2654</v>
      </c>
      <c r="L614" s="433" t="s">
        <v>2654</v>
      </c>
      <c r="M614" s="433" t="s">
        <v>2654</v>
      </c>
      <c r="N614" s="433" t="s">
        <v>2654</v>
      </c>
      <c r="O614" s="433" t="s">
        <v>2654</v>
      </c>
      <c r="P614" s="433" t="s">
        <v>2647</v>
      </c>
      <c r="Q614" s="431"/>
      <c r="R614" s="431"/>
      <c r="S614" s="426" t="s">
        <v>2673</v>
      </c>
      <c r="T614" s="426" t="s">
        <v>2646</v>
      </c>
      <c r="U614" s="426" t="s">
        <v>2646</v>
      </c>
      <c r="V614" s="426" t="s">
        <v>2646</v>
      </c>
      <c r="W614" s="426" t="s">
        <v>2646</v>
      </c>
      <c r="X614" s="426" t="s">
        <v>2646</v>
      </c>
      <c r="Y614" s="426" t="s">
        <v>2646</v>
      </c>
      <c r="Z614" s="426" t="s">
        <v>2646</v>
      </c>
      <c r="AA614" s="426" t="s">
        <v>2646</v>
      </c>
      <c r="AB614" s="426" t="s">
        <v>2646</v>
      </c>
      <c r="AC614" s="426" t="s">
        <v>2646</v>
      </c>
      <c r="AD614" s="426" t="s">
        <v>2646</v>
      </c>
      <c r="AE614" s="426" t="s">
        <v>2646</v>
      </c>
      <c r="AF614" s="426" t="s">
        <v>2646</v>
      </c>
      <c r="AG614" s="426" t="s">
        <v>2646</v>
      </c>
      <c r="AH614" s="426" t="s">
        <v>2646</v>
      </c>
      <c r="AI614" s="426" t="s">
        <v>2646</v>
      </c>
      <c r="AJ614" s="68" t="s">
        <v>2646</v>
      </c>
    </row>
    <row r="615" spans="1:36" hidden="1">
      <c r="A615" s="392" t="s">
        <v>1904</v>
      </c>
      <c r="B615" s="427" t="s">
        <v>2649</v>
      </c>
      <c r="C615" s="433" t="s">
        <v>3745</v>
      </c>
      <c r="D615" s="433" t="s">
        <v>2676</v>
      </c>
      <c r="E615" s="433" t="s">
        <v>2654</v>
      </c>
      <c r="F615" s="433" t="s">
        <v>2654</v>
      </c>
      <c r="G615" s="433" t="s">
        <v>2654</v>
      </c>
      <c r="H615" s="433" t="s">
        <v>2654</v>
      </c>
      <c r="I615" s="433" t="s">
        <v>2654</v>
      </c>
      <c r="J615" s="433" t="s">
        <v>2654</v>
      </c>
      <c r="K615" s="433" t="s">
        <v>2654</v>
      </c>
      <c r="L615" s="433" t="s">
        <v>2654</v>
      </c>
      <c r="M615" s="433" t="s">
        <v>2654</v>
      </c>
      <c r="N615" s="433" t="s">
        <v>2654</v>
      </c>
      <c r="O615" s="433" t="s">
        <v>2654</v>
      </c>
      <c r="P615" s="433" t="s">
        <v>2650</v>
      </c>
      <c r="Q615" s="431"/>
      <c r="R615" s="431"/>
      <c r="S615" s="426" t="s">
        <v>316</v>
      </c>
      <c r="T615" s="426" t="s">
        <v>2646</v>
      </c>
      <c r="U615" s="426" t="s">
        <v>2646</v>
      </c>
      <c r="V615" s="426" t="s">
        <v>2646</v>
      </c>
      <c r="W615" s="426" t="s">
        <v>2646</v>
      </c>
      <c r="X615" s="426" t="s">
        <v>2646</v>
      </c>
      <c r="Y615" s="426" t="s">
        <v>2646</v>
      </c>
      <c r="Z615" s="426" t="s">
        <v>2646</v>
      </c>
      <c r="AA615" s="426" t="s">
        <v>2646</v>
      </c>
      <c r="AB615" s="426" t="s">
        <v>2646</v>
      </c>
      <c r="AC615" s="426" t="s">
        <v>2646</v>
      </c>
      <c r="AD615" s="426" t="s">
        <v>2646</v>
      </c>
      <c r="AE615" s="426" t="s">
        <v>2646</v>
      </c>
      <c r="AF615" s="426" t="s">
        <v>2646</v>
      </c>
      <c r="AG615" s="426" t="s">
        <v>2646</v>
      </c>
      <c r="AH615" s="426" t="s">
        <v>2646</v>
      </c>
      <c r="AI615" s="426" t="s">
        <v>2646</v>
      </c>
      <c r="AJ615" s="68" t="s">
        <v>2646</v>
      </c>
    </row>
    <row r="616" spans="1:36" hidden="1">
      <c r="A616" s="392" t="s">
        <v>1905</v>
      </c>
      <c r="B616" s="427" t="s">
        <v>2650</v>
      </c>
      <c r="C616" s="433" t="s">
        <v>3728</v>
      </c>
      <c r="D616" s="433" t="s">
        <v>2676</v>
      </c>
      <c r="E616" s="433" t="s">
        <v>2654</v>
      </c>
      <c r="F616" s="433" t="s">
        <v>2654</v>
      </c>
      <c r="G616" s="433" t="s">
        <v>2654</v>
      </c>
      <c r="H616" s="433" t="s">
        <v>2654</v>
      </c>
      <c r="I616" s="433" t="s">
        <v>2654</v>
      </c>
      <c r="J616" s="433" t="s">
        <v>2654</v>
      </c>
      <c r="K616" s="433" t="s">
        <v>2654</v>
      </c>
      <c r="L616" s="433" t="s">
        <v>2654</v>
      </c>
      <c r="M616" s="433" t="s">
        <v>2654</v>
      </c>
      <c r="N616" s="433" t="s">
        <v>2654</v>
      </c>
      <c r="O616" s="433" t="s">
        <v>2654</v>
      </c>
      <c r="P616" s="433" t="s">
        <v>2649</v>
      </c>
      <c r="Q616" s="431"/>
      <c r="R616" s="431"/>
      <c r="S616" s="426" t="s">
        <v>2901</v>
      </c>
      <c r="T616" s="426" t="s">
        <v>2646</v>
      </c>
      <c r="U616" s="426" t="s">
        <v>2646</v>
      </c>
      <c r="V616" s="426" t="s">
        <v>2646</v>
      </c>
      <c r="W616" s="426" t="s">
        <v>2646</v>
      </c>
      <c r="X616" s="426" t="s">
        <v>2646</v>
      </c>
      <c r="Y616" s="426" t="s">
        <v>2646</v>
      </c>
      <c r="Z616" s="426" t="s">
        <v>2646</v>
      </c>
      <c r="AA616" s="426" t="s">
        <v>2646</v>
      </c>
      <c r="AB616" s="426" t="s">
        <v>2646</v>
      </c>
      <c r="AC616" s="426" t="s">
        <v>2646</v>
      </c>
      <c r="AD616" s="426" t="s">
        <v>2646</v>
      </c>
      <c r="AE616" s="426" t="s">
        <v>2646</v>
      </c>
      <c r="AF616" s="426" t="s">
        <v>2646</v>
      </c>
      <c r="AG616" s="426" t="s">
        <v>2646</v>
      </c>
      <c r="AH616" s="426" t="s">
        <v>2646</v>
      </c>
      <c r="AI616" s="426" t="s">
        <v>2646</v>
      </c>
      <c r="AJ616" s="68" t="s">
        <v>2646</v>
      </c>
    </row>
    <row r="617" spans="1:36" hidden="1">
      <c r="A617" s="392" t="s">
        <v>1906</v>
      </c>
      <c r="B617" s="427" t="s">
        <v>2651</v>
      </c>
      <c r="C617" s="433" t="s">
        <v>3416</v>
      </c>
      <c r="D617" s="433" t="s">
        <v>2676</v>
      </c>
      <c r="E617" s="433" t="s">
        <v>2654</v>
      </c>
      <c r="F617" s="433" t="s">
        <v>2654</v>
      </c>
      <c r="G617" s="433" t="s">
        <v>2654</v>
      </c>
      <c r="H617" s="433" t="s">
        <v>2654</v>
      </c>
      <c r="I617" s="433" t="s">
        <v>2654</v>
      </c>
      <c r="J617" s="433" t="s">
        <v>2654</v>
      </c>
      <c r="K617" s="433" t="s">
        <v>2654</v>
      </c>
      <c r="L617" s="433" t="s">
        <v>2654</v>
      </c>
      <c r="M617" s="433" t="s">
        <v>2654</v>
      </c>
      <c r="N617" s="433" t="s">
        <v>2654</v>
      </c>
      <c r="O617" s="433" t="s">
        <v>2654</v>
      </c>
      <c r="P617" s="433" t="s">
        <v>2649</v>
      </c>
      <c r="Q617" s="431"/>
      <c r="R617" s="431"/>
      <c r="S617" s="426" t="s">
        <v>3194</v>
      </c>
      <c r="T617" s="426" t="s">
        <v>2646</v>
      </c>
      <c r="U617" s="426" t="s">
        <v>2646</v>
      </c>
      <c r="V617" s="426" t="s">
        <v>2646</v>
      </c>
      <c r="W617" s="426" t="s">
        <v>2646</v>
      </c>
      <c r="X617" s="426" t="s">
        <v>2646</v>
      </c>
      <c r="Y617" s="426" t="s">
        <v>2646</v>
      </c>
      <c r="Z617" s="426" t="s">
        <v>2646</v>
      </c>
      <c r="AA617" s="426" t="s">
        <v>2646</v>
      </c>
      <c r="AB617" s="426" t="s">
        <v>2646</v>
      </c>
      <c r="AC617" s="426" t="s">
        <v>2646</v>
      </c>
      <c r="AD617" s="426" t="s">
        <v>2646</v>
      </c>
      <c r="AE617" s="426" t="s">
        <v>2646</v>
      </c>
      <c r="AF617" s="426" t="s">
        <v>2646</v>
      </c>
      <c r="AG617" s="426" t="s">
        <v>2646</v>
      </c>
      <c r="AH617" s="426" t="s">
        <v>2646</v>
      </c>
      <c r="AI617" s="426" t="s">
        <v>2646</v>
      </c>
      <c r="AJ617" s="68" t="s">
        <v>2646</v>
      </c>
    </row>
    <row r="618" spans="1:36">
      <c r="A618" s="392" t="s">
        <v>1906</v>
      </c>
      <c r="B618" s="427" t="s">
        <v>48</v>
      </c>
      <c r="C618" s="433" t="s">
        <v>3602</v>
      </c>
      <c r="D618" s="433" t="s">
        <v>2676</v>
      </c>
      <c r="E618" s="433" t="s">
        <v>2654</v>
      </c>
      <c r="F618" s="433" t="s">
        <v>2654</v>
      </c>
      <c r="G618" s="433" t="s">
        <v>2654</v>
      </c>
      <c r="H618" s="433" t="s">
        <v>2654</v>
      </c>
      <c r="I618" s="433" t="s">
        <v>2654</v>
      </c>
      <c r="J618" s="433" t="s">
        <v>2654</v>
      </c>
      <c r="K618" s="433" t="s">
        <v>2654</v>
      </c>
      <c r="L618" s="433" t="s">
        <v>2654</v>
      </c>
      <c r="M618" s="433" t="s">
        <v>2654</v>
      </c>
      <c r="N618" s="433" t="s">
        <v>2654</v>
      </c>
      <c r="O618" s="433" t="s">
        <v>2654</v>
      </c>
      <c r="P618" s="433" t="s">
        <v>3145</v>
      </c>
      <c r="Q618" s="433" t="s">
        <v>2654</v>
      </c>
      <c r="R618" s="433" t="s">
        <v>2654</v>
      </c>
      <c r="S618" s="426"/>
      <c r="T618" s="426"/>
      <c r="U618" s="426"/>
      <c r="V618" s="426"/>
      <c r="W618" s="426"/>
      <c r="X618" s="426"/>
      <c r="Y618" s="426"/>
      <c r="Z618" s="426"/>
      <c r="AA618" s="426"/>
      <c r="AB618" s="426"/>
      <c r="AC618" s="426"/>
      <c r="AD618" s="426"/>
      <c r="AE618" s="426"/>
      <c r="AF618" s="426"/>
      <c r="AG618" s="426"/>
      <c r="AH618" s="426"/>
      <c r="AI618" s="426"/>
    </row>
    <row r="619" spans="1:36" hidden="1">
      <c r="A619" s="392" t="s">
        <v>1907</v>
      </c>
      <c r="B619" s="427" t="s">
        <v>2647</v>
      </c>
      <c r="C619" s="433" t="s">
        <v>3060</v>
      </c>
      <c r="D619" s="433" t="s">
        <v>3018</v>
      </c>
      <c r="E619" s="433" t="s">
        <v>2654</v>
      </c>
      <c r="F619" s="433" t="s">
        <v>2654</v>
      </c>
      <c r="G619" s="433" t="s">
        <v>2654</v>
      </c>
      <c r="H619" s="433" t="s">
        <v>2654</v>
      </c>
      <c r="I619" s="433" t="s">
        <v>2654</v>
      </c>
      <c r="J619" s="433" t="s">
        <v>2654</v>
      </c>
      <c r="K619" s="433" t="s">
        <v>2654</v>
      </c>
      <c r="L619" s="433" t="s">
        <v>2654</v>
      </c>
      <c r="M619" s="433" t="s">
        <v>2654</v>
      </c>
      <c r="N619" s="433" t="s">
        <v>2654</v>
      </c>
      <c r="O619" s="433" t="s">
        <v>2654</v>
      </c>
      <c r="P619" s="433" t="s">
        <v>2649</v>
      </c>
      <c r="Q619" s="431"/>
      <c r="R619" s="431"/>
      <c r="S619" s="426" t="s">
        <v>2660</v>
      </c>
      <c r="T619" s="426" t="s">
        <v>2646</v>
      </c>
      <c r="U619" s="426" t="s">
        <v>2646</v>
      </c>
      <c r="V619" s="426" t="s">
        <v>2646</v>
      </c>
      <c r="W619" s="426" t="s">
        <v>2646</v>
      </c>
      <c r="X619" s="426" t="s">
        <v>2646</v>
      </c>
      <c r="Y619" s="426" t="s">
        <v>2646</v>
      </c>
      <c r="Z619" s="426" t="s">
        <v>2646</v>
      </c>
      <c r="AA619" s="426" t="s">
        <v>2646</v>
      </c>
      <c r="AB619" s="426" t="s">
        <v>2646</v>
      </c>
      <c r="AC619" s="426" t="s">
        <v>2646</v>
      </c>
      <c r="AD619" s="426" t="s">
        <v>2646</v>
      </c>
      <c r="AE619" s="426" t="s">
        <v>2646</v>
      </c>
      <c r="AF619" s="426" t="s">
        <v>2646</v>
      </c>
      <c r="AG619" s="426" t="s">
        <v>2646</v>
      </c>
      <c r="AH619" s="426" t="s">
        <v>2646</v>
      </c>
      <c r="AI619" s="426" t="s">
        <v>2646</v>
      </c>
      <c r="AJ619" s="68" t="s">
        <v>2646</v>
      </c>
    </row>
    <row r="620" spans="1:36" hidden="1">
      <c r="A620" s="392" t="s">
        <v>1908</v>
      </c>
      <c r="B620" s="427" t="s">
        <v>2648</v>
      </c>
      <c r="C620" s="433" t="s">
        <v>3899</v>
      </c>
      <c r="D620" s="433" t="s">
        <v>3018</v>
      </c>
      <c r="E620" s="433" t="s">
        <v>2654</v>
      </c>
      <c r="F620" s="433" t="s">
        <v>2654</v>
      </c>
      <c r="G620" s="433" t="s">
        <v>2654</v>
      </c>
      <c r="H620" s="433" t="s">
        <v>2654</v>
      </c>
      <c r="I620" s="433" t="s">
        <v>2654</v>
      </c>
      <c r="J620" s="433" t="s">
        <v>2654</v>
      </c>
      <c r="K620" s="433" t="s">
        <v>2654</v>
      </c>
      <c r="L620" s="433" t="s">
        <v>2654</v>
      </c>
      <c r="M620" s="433" t="s">
        <v>2654</v>
      </c>
      <c r="N620" s="433" t="s">
        <v>2654</v>
      </c>
      <c r="O620" s="433" t="s">
        <v>2654</v>
      </c>
      <c r="P620" s="433" t="s">
        <v>2649</v>
      </c>
      <c r="Q620" s="431"/>
      <c r="R620" s="431"/>
      <c r="S620" s="426" t="s">
        <v>2844</v>
      </c>
      <c r="T620" s="426" t="s">
        <v>2646</v>
      </c>
      <c r="U620" s="426" t="s">
        <v>2646</v>
      </c>
      <c r="V620" s="426" t="s">
        <v>2646</v>
      </c>
      <c r="W620" s="426" t="s">
        <v>2646</v>
      </c>
      <c r="X620" s="426" t="s">
        <v>2646</v>
      </c>
      <c r="Y620" s="426" t="s">
        <v>2646</v>
      </c>
      <c r="Z620" s="426" t="s">
        <v>2646</v>
      </c>
      <c r="AA620" s="426" t="s">
        <v>2646</v>
      </c>
      <c r="AB620" s="426" t="s">
        <v>2646</v>
      </c>
      <c r="AC620" s="426" t="s">
        <v>2646</v>
      </c>
      <c r="AD620" s="426" t="s">
        <v>2646</v>
      </c>
      <c r="AE620" s="426" t="s">
        <v>2646</v>
      </c>
      <c r="AF620" s="426" t="s">
        <v>2646</v>
      </c>
      <c r="AG620" s="426" t="s">
        <v>2646</v>
      </c>
      <c r="AH620" s="426" t="s">
        <v>2646</v>
      </c>
      <c r="AI620" s="426" t="s">
        <v>2646</v>
      </c>
      <c r="AJ620" s="68" t="s">
        <v>2646</v>
      </c>
    </row>
    <row r="621" spans="1:36" hidden="1">
      <c r="A621" s="392" t="s">
        <v>1909</v>
      </c>
      <c r="B621" s="427" t="s">
        <v>2649</v>
      </c>
      <c r="C621" s="433" t="s">
        <v>3382</v>
      </c>
      <c r="D621" s="433" t="s">
        <v>3018</v>
      </c>
      <c r="E621" s="433" t="s">
        <v>2654</v>
      </c>
      <c r="F621" s="433" t="s">
        <v>2654</v>
      </c>
      <c r="G621" s="433" t="s">
        <v>2654</v>
      </c>
      <c r="H621" s="433" t="s">
        <v>2654</v>
      </c>
      <c r="I621" s="433" t="s">
        <v>2654</v>
      </c>
      <c r="J621" s="433" t="s">
        <v>2654</v>
      </c>
      <c r="K621" s="433" t="s">
        <v>2654</v>
      </c>
      <c r="L621" s="433" t="s">
        <v>2654</v>
      </c>
      <c r="M621" s="433" t="s">
        <v>2654</v>
      </c>
      <c r="N621" s="433" t="s">
        <v>2654</v>
      </c>
      <c r="O621" s="433" t="s">
        <v>2654</v>
      </c>
      <c r="P621" s="433" t="s">
        <v>2647</v>
      </c>
      <c r="Q621" s="431"/>
      <c r="R621" s="431"/>
      <c r="S621" s="426" t="s">
        <v>3339</v>
      </c>
      <c r="T621" s="426" t="s">
        <v>2646</v>
      </c>
      <c r="U621" s="426" t="s">
        <v>2646</v>
      </c>
      <c r="V621" s="426" t="s">
        <v>2646</v>
      </c>
      <c r="W621" s="426" t="s">
        <v>2646</v>
      </c>
      <c r="X621" s="426" t="s">
        <v>2646</v>
      </c>
      <c r="Y621" s="426" t="s">
        <v>3275</v>
      </c>
      <c r="Z621" s="426" t="s">
        <v>2646</v>
      </c>
      <c r="AA621" s="426" t="s">
        <v>2646</v>
      </c>
      <c r="AB621" s="426" t="s">
        <v>2646</v>
      </c>
      <c r="AC621" s="426" t="s">
        <v>2646</v>
      </c>
      <c r="AD621" s="426" t="s">
        <v>2646</v>
      </c>
      <c r="AE621" s="426" t="s">
        <v>2646</v>
      </c>
      <c r="AF621" s="426" t="s">
        <v>2646</v>
      </c>
      <c r="AG621" s="426" t="s">
        <v>2646</v>
      </c>
      <c r="AH621" s="426" t="s">
        <v>2646</v>
      </c>
      <c r="AI621" s="426" t="s">
        <v>2646</v>
      </c>
      <c r="AJ621" s="68" t="s">
        <v>2646</v>
      </c>
    </row>
    <row r="622" spans="1:36" hidden="1">
      <c r="A622" s="392" t="s">
        <v>1910</v>
      </c>
      <c r="B622" s="427" t="s">
        <v>2650</v>
      </c>
      <c r="C622" s="433" t="s">
        <v>3671</v>
      </c>
      <c r="D622" s="433" t="s">
        <v>3233</v>
      </c>
      <c r="E622" s="433" t="s">
        <v>2654</v>
      </c>
      <c r="F622" s="433" t="s">
        <v>2654</v>
      </c>
      <c r="G622" s="433" t="s">
        <v>2654</v>
      </c>
      <c r="H622" s="433" t="s">
        <v>2654</v>
      </c>
      <c r="I622" s="433" t="s">
        <v>2654</v>
      </c>
      <c r="J622" s="433" t="s">
        <v>2654</v>
      </c>
      <c r="K622" s="433" t="s">
        <v>2654</v>
      </c>
      <c r="L622" s="433" t="s">
        <v>2654</v>
      </c>
      <c r="M622" s="433" t="s">
        <v>2654</v>
      </c>
      <c r="N622" s="433" t="s">
        <v>2654</v>
      </c>
      <c r="O622" s="433" t="s">
        <v>2654</v>
      </c>
      <c r="P622" s="433" t="s">
        <v>2649</v>
      </c>
      <c r="Q622" s="431"/>
      <c r="R622" s="431"/>
      <c r="S622" s="426" t="s">
        <v>2786</v>
      </c>
      <c r="T622" s="426" t="s">
        <v>2646</v>
      </c>
      <c r="U622" s="426" t="s">
        <v>2646</v>
      </c>
      <c r="V622" s="426" t="s">
        <v>2646</v>
      </c>
      <c r="W622" s="426" t="s">
        <v>2646</v>
      </c>
      <c r="X622" s="426" t="s">
        <v>2646</v>
      </c>
      <c r="Y622" s="426" t="s">
        <v>2646</v>
      </c>
      <c r="Z622" s="426" t="s">
        <v>2646</v>
      </c>
      <c r="AA622" s="426" t="s">
        <v>2646</v>
      </c>
      <c r="AB622" s="426" t="s">
        <v>2646</v>
      </c>
      <c r="AC622" s="426" t="s">
        <v>2646</v>
      </c>
      <c r="AD622" s="426" t="s">
        <v>2646</v>
      </c>
      <c r="AE622" s="426" t="s">
        <v>2646</v>
      </c>
      <c r="AF622" s="426" t="s">
        <v>2646</v>
      </c>
      <c r="AG622" s="426" t="s">
        <v>2646</v>
      </c>
      <c r="AH622" s="426" t="s">
        <v>2646</v>
      </c>
      <c r="AI622" s="426" t="s">
        <v>2646</v>
      </c>
      <c r="AJ622" s="68" t="s">
        <v>2646</v>
      </c>
    </row>
    <row r="623" spans="1:36" hidden="1">
      <c r="A623" s="392" t="s">
        <v>1911</v>
      </c>
      <c r="B623" s="427" t="s">
        <v>2651</v>
      </c>
      <c r="C623" s="433" t="s">
        <v>3896</v>
      </c>
      <c r="D623" s="433" t="s">
        <v>3018</v>
      </c>
      <c r="E623" s="433" t="s">
        <v>2654</v>
      </c>
      <c r="F623" s="433" t="s">
        <v>2654</v>
      </c>
      <c r="G623" s="433" t="s">
        <v>2654</v>
      </c>
      <c r="H623" s="433" t="s">
        <v>2654</v>
      </c>
      <c r="I623" s="433" t="s">
        <v>2654</v>
      </c>
      <c r="J623" s="433" t="s">
        <v>2654</v>
      </c>
      <c r="K623" s="433" t="s">
        <v>2654</v>
      </c>
      <c r="L623" s="433" t="s">
        <v>2654</v>
      </c>
      <c r="M623" s="433" t="s">
        <v>2654</v>
      </c>
      <c r="N623" s="433" t="s">
        <v>2654</v>
      </c>
      <c r="O623" s="433" t="s">
        <v>2654</v>
      </c>
      <c r="P623" s="433" t="s">
        <v>4083</v>
      </c>
      <c r="Q623" s="431"/>
      <c r="R623" s="431"/>
      <c r="S623" s="426" t="s">
        <v>3220</v>
      </c>
      <c r="T623" s="426" t="s">
        <v>2646</v>
      </c>
      <c r="U623" s="426" t="s">
        <v>2646</v>
      </c>
      <c r="V623" s="426" t="s">
        <v>2646</v>
      </c>
      <c r="W623" s="426" t="s">
        <v>2646</v>
      </c>
      <c r="X623" s="426" t="s">
        <v>2646</v>
      </c>
      <c r="Y623" s="426" t="s">
        <v>2646</v>
      </c>
      <c r="Z623" s="426" t="s">
        <v>2646</v>
      </c>
      <c r="AA623" s="426" t="s">
        <v>2646</v>
      </c>
      <c r="AB623" s="426" t="s">
        <v>2646</v>
      </c>
      <c r="AC623" s="426" t="s">
        <v>2646</v>
      </c>
      <c r="AD623" s="426" t="s">
        <v>2646</v>
      </c>
      <c r="AE623" s="426" t="s">
        <v>2646</v>
      </c>
      <c r="AF623" s="426" t="s">
        <v>2646</v>
      </c>
      <c r="AG623" s="426" t="s">
        <v>2646</v>
      </c>
      <c r="AH623" s="426" t="s">
        <v>2646</v>
      </c>
      <c r="AI623" s="426" t="s">
        <v>2646</v>
      </c>
      <c r="AJ623" s="68" t="s">
        <v>2646</v>
      </c>
    </row>
    <row r="624" spans="1:36">
      <c r="A624" s="392" t="s">
        <v>1911</v>
      </c>
      <c r="B624" s="427" t="s">
        <v>48</v>
      </c>
      <c r="C624" s="433" t="s">
        <v>4355</v>
      </c>
      <c r="D624" s="433" t="s">
        <v>3536</v>
      </c>
      <c r="E624" s="433" t="s">
        <v>2654</v>
      </c>
      <c r="F624" s="433" t="s">
        <v>2654</v>
      </c>
      <c r="G624" s="433" t="s">
        <v>2654</v>
      </c>
      <c r="H624" s="433" t="s">
        <v>2654</v>
      </c>
      <c r="I624" s="433" t="s">
        <v>2654</v>
      </c>
      <c r="J624" s="433" t="s">
        <v>2654</v>
      </c>
      <c r="K624" s="433" t="s">
        <v>2654</v>
      </c>
      <c r="L624" s="433" t="s">
        <v>2654</v>
      </c>
      <c r="M624" s="433" t="s">
        <v>2654</v>
      </c>
      <c r="N624" s="433" t="s">
        <v>2654</v>
      </c>
      <c r="O624" s="433" t="s">
        <v>2654</v>
      </c>
      <c r="P624" s="433" t="s">
        <v>3394</v>
      </c>
      <c r="Q624" s="433" t="s">
        <v>2654</v>
      </c>
      <c r="R624" s="433" t="s">
        <v>2654</v>
      </c>
      <c r="S624" s="426"/>
      <c r="T624" s="426"/>
      <c r="U624" s="426"/>
      <c r="V624" s="426"/>
      <c r="W624" s="426"/>
      <c r="X624" s="426"/>
      <c r="Y624" s="426"/>
      <c r="Z624" s="426"/>
      <c r="AA624" s="426"/>
      <c r="AB624" s="426"/>
      <c r="AC624" s="426"/>
      <c r="AD624" s="426"/>
      <c r="AE624" s="426"/>
      <c r="AF624" s="426"/>
      <c r="AG624" s="426"/>
      <c r="AH624" s="426"/>
      <c r="AI624" s="426"/>
    </row>
    <row r="625" spans="1:36" hidden="1">
      <c r="A625" s="392" t="s">
        <v>1912</v>
      </c>
      <c r="B625" s="427" t="s">
        <v>2647</v>
      </c>
      <c r="C625" s="433" t="s">
        <v>4356</v>
      </c>
      <c r="D625" s="433" t="s">
        <v>3262</v>
      </c>
      <c r="E625" s="433" t="s">
        <v>2654</v>
      </c>
      <c r="F625" s="433" t="s">
        <v>2654</v>
      </c>
      <c r="G625" s="433" t="s">
        <v>2654</v>
      </c>
      <c r="H625" s="433" t="s">
        <v>2654</v>
      </c>
      <c r="I625" s="433" t="s">
        <v>2654</v>
      </c>
      <c r="J625" s="433" t="s">
        <v>2654</v>
      </c>
      <c r="K625" s="433" t="s">
        <v>2654</v>
      </c>
      <c r="L625" s="433" t="s">
        <v>2654</v>
      </c>
      <c r="M625" s="433" t="s">
        <v>2654</v>
      </c>
      <c r="N625" s="433" t="s">
        <v>2654</v>
      </c>
      <c r="O625" s="433" t="s">
        <v>2654</v>
      </c>
      <c r="P625" s="433" t="s">
        <v>2650</v>
      </c>
      <c r="Q625" s="431"/>
      <c r="R625" s="431"/>
      <c r="S625" s="426" t="s">
        <v>2664</v>
      </c>
      <c r="T625" s="426" t="s">
        <v>2646</v>
      </c>
      <c r="U625" s="426" t="s">
        <v>2646</v>
      </c>
      <c r="V625" s="426" t="s">
        <v>2646</v>
      </c>
      <c r="W625" s="426" t="s">
        <v>3412</v>
      </c>
      <c r="X625" s="426" t="s">
        <v>3476</v>
      </c>
      <c r="Y625" s="426" t="s">
        <v>3477</v>
      </c>
      <c r="Z625" s="426" t="s">
        <v>2646</v>
      </c>
      <c r="AA625" s="426" t="s">
        <v>2646</v>
      </c>
      <c r="AB625" s="426" t="s">
        <v>2646</v>
      </c>
      <c r="AC625" s="426" t="s">
        <v>2646</v>
      </c>
      <c r="AD625" s="426" t="s">
        <v>2646</v>
      </c>
      <c r="AE625" s="426" t="s">
        <v>2646</v>
      </c>
      <c r="AF625" s="426" t="s">
        <v>2646</v>
      </c>
      <c r="AG625" s="426" t="s">
        <v>2646</v>
      </c>
      <c r="AH625" s="426" t="s">
        <v>2646</v>
      </c>
      <c r="AI625" s="426" t="s">
        <v>2646</v>
      </c>
      <c r="AJ625" s="68" t="s">
        <v>2646</v>
      </c>
    </row>
    <row r="626" spans="1:36" hidden="1">
      <c r="A626" s="392" t="s">
        <v>1913</v>
      </c>
      <c r="B626" s="427" t="s">
        <v>2648</v>
      </c>
      <c r="C626" s="433" t="s">
        <v>3216</v>
      </c>
      <c r="D626" s="433" t="s">
        <v>3539</v>
      </c>
      <c r="E626" s="433" t="s">
        <v>2654</v>
      </c>
      <c r="F626" s="433" t="s">
        <v>2654</v>
      </c>
      <c r="G626" s="433" t="s">
        <v>2654</v>
      </c>
      <c r="H626" s="433" t="s">
        <v>2654</v>
      </c>
      <c r="I626" s="433" t="s">
        <v>2654</v>
      </c>
      <c r="J626" s="433" t="s">
        <v>2654</v>
      </c>
      <c r="K626" s="433" t="s">
        <v>2654</v>
      </c>
      <c r="L626" s="433" t="s">
        <v>2654</v>
      </c>
      <c r="M626" s="433" t="s">
        <v>2654</v>
      </c>
      <c r="N626" s="433" t="s">
        <v>2654</v>
      </c>
      <c r="O626" s="433" t="s">
        <v>2654</v>
      </c>
      <c r="P626" s="433" t="s">
        <v>2648</v>
      </c>
      <c r="Q626" s="431"/>
      <c r="R626" s="431"/>
      <c r="S626" s="426" t="s">
        <v>2778</v>
      </c>
      <c r="T626" s="426" t="s">
        <v>2646</v>
      </c>
      <c r="U626" s="426" t="s">
        <v>2646</v>
      </c>
      <c r="V626" s="426" t="s">
        <v>2646</v>
      </c>
      <c r="W626" s="426" t="s">
        <v>3479</v>
      </c>
      <c r="X626" s="426" t="s">
        <v>3480</v>
      </c>
      <c r="Y626" s="426" t="s">
        <v>3481</v>
      </c>
      <c r="Z626" s="426" t="s">
        <v>2646</v>
      </c>
      <c r="AA626" s="426" t="s">
        <v>2646</v>
      </c>
      <c r="AB626" s="426" t="s">
        <v>2646</v>
      </c>
      <c r="AC626" s="426" t="s">
        <v>2646</v>
      </c>
      <c r="AD626" s="426" t="s">
        <v>2646</v>
      </c>
      <c r="AE626" s="426" t="s">
        <v>2646</v>
      </c>
      <c r="AF626" s="426" t="s">
        <v>2646</v>
      </c>
      <c r="AG626" s="426" t="s">
        <v>2646</v>
      </c>
      <c r="AH626" s="426" t="s">
        <v>2646</v>
      </c>
      <c r="AI626" s="426" t="s">
        <v>2646</v>
      </c>
      <c r="AJ626" s="68" t="s">
        <v>2646</v>
      </c>
    </row>
    <row r="627" spans="1:36" hidden="1">
      <c r="A627" s="392" t="s">
        <v>1914</v>
      </c>
      <c r="B627" s="427" t="s">
        <v>2649</v>
      </c>
      <c r="C627" s="433" t="s">
        <v>4357</v>
      </c>
      <c r="D627" s="433" t="s">
        <v>3049</v>
      </c>
      <c r="E627" s="433" t="s">
        <v>2654</v>
      </c>
      <c r="F627" s="433" t="s">
        <v>2654</v>
      </c>
      <c r="G627" s="433" t="s">
        <v>2654</v>
      </c>
      <c r="H627" s="433" t="s">
        <v>2654</v>
      </c>
      <c r="I627" s="433" t="s">
        <v>2654</v>
      </c>
      <c r="J627" s="433" t="s">
        <v>2654</v>
      </c>
      <c r="K627" s="433" t="s">
        <v>2654</v>
      </c>
      <c r="L627" s="433" t="s">
        <v>2654</v>
      </c>
      <c r="M627" s="433" t="s">
        <v>2654</v>
      </c>
      <c r="N627" s="433" t="s">
        <v>2654</v>
      </c>
      <c r="O627" s="433" t="s">
        <v>2654</v>
      </c>
      <c r="P627" s="433" t="s">
        <v>2649</v>
      </c>
      <c r="Q627" s="431"/>
      <c r="R627" s="431"/>
      <c r="S627" s="426" t="s">
        <v>2673</v>
      </c>
      <c r="T627" s="426" t="s">
        <v>2646</v>
      </c>
      <c r="U627" s="426" t="s">
        <v>2646</v>
      </c>
      <c r="V627" s="426" t="s">
        <v>2646</v>
      </c>
      <c r="W627" s="426" t="s">
        <v>3479</v>
      </c>
      <c r="X627" s="426" t="s">
        <v>3480</v>
      </c>
      <c r="Y627" s="426" t="s">
        <v>3481</v>
      </c>
      <c r="Z627" s="426" t="s">
        <v>2646</v>
      </c>
      <c r="AA627" s="426" t="s">
        <v>2646</v>
      </c>
      <c r="AB627" s="426" t="s">
        <v>2646</v>
      </c>
      <c r="AC627" s="426" t="s">
        <v>2646</v>
      </c>
      <c r="AD627" s="426" t="s">
        <v>2646</v>
      </c>
      <c r="AE627" s="426" t="s">
        <v>2646</v>
      </c>
      <c r="AF627" s="426" t="s">
        <v>2646</v>
      </c>
      <c r="AG627" s="426" t="s">
        <v>2646</v>
      </c>
      <c r="AH627" s="426" t="s">
        <v>2646</v>
      </c>
      <c r="AI627" s="426" t="s">
        <v>2646</v>
      </c>
      <c r="AJ627" s="68" t="s">
        <v>2646</v>
      </c>
    </row>
    <row r="628" spans="1:36" hidden="1">
      <c r="A628" s="392" t="s">
        <v>1915</v>
      </c>
      <c r="B628" s="427" t="s">
        <v>2650</v>
      </c>
      <c r="C628" s="433" t="s">
        <v>3851</v>
      </c>
      <c r="D628" s="433" t="s">
        <v>3539</v>
      </c>
      <c r="E628" s="433" t="s">
        <v>2654</v>
      </c>
      <c r="F628" s="433" t="s">
        <v>2654</v>
      </c>
      <c r="G628" s="433" t="s">
        <v>2654</v>
      </c>
      <c r="H628" s="433" t="s">
        <v>2654</v>
      </c>
      <c r="I628" s="433" t="s">
        <v>2654</v>
      </c>
      <c r="J628" s="433" t="s">
        <v>2654</v>
      </c>
      <c r="K628" s="433" t="s">
        <v>2654</v>
      </c>
      <c r="L628" s="433" t="s">
        <v>2654</v>
      </c>
      <c r="M628" s="433" t="s">
        <v>2654</v>
      </c>
      <c r="N628" s="433" t="s">
        <v>2654</v>
      </c>
      <c r="O628" s="433" t="s">
        <v>2654</v>
      </c>
      <c r="P628" s="433" t="s">
        <v>2649</v>
      </c>
      <c r="Q628" s="431"/>
      <c r="R628" s="431"/>
      <c r="S628" s="426" t="s">
        <v>2660</v>
      </c>
      <c r="T628" s="426" t="s">
        <v>2646</v>
      </c>
      <c r="U628" s="426" t="s">
        <v>2646</v>
      </c>
      <c r="V628" s="426" t="s">
        <v>2646</v>
      </c>
      <c r="W628" s="426" t="s">
        <v>3484</v>
      </c>
      <c r="X628" s="426" t="s">
        <v>3480</v>
      </c>
      <c r="Y628" s="426" t="s">
        <v>2672</v>
      </c>
      <c r="Z628" s="426" t="s">
        <v>2646</v>
      </c>
      <c r="AA628" s="426" t="s">
        <v>2646</v>
      </c>
      <c r="AB628" s="426" t="s">
        <v>2646</v>
      </c>
      <c r="AC628" s="426" t="s">
        <v>2646</v>
      </c>
      <c r="AD628" s="426" t="s">
        <v>2646</v>
      </c>
      <c r="AE628" s="426" t="s">
        <v>2646</v>
      </c>
      <c r="AF628" s="426" t="s">
        <v>2646</v>
      </c>
      <c r="AG628" s="426" t="s">
        <v>2646</v>
      </c>
      <c r="AH628" s="426" t="s">
        <v>2646</v>
      </c>
      <c r="AI628" s="426" t="s">
        <v>2646</v>
      </c>
      <c r="AJ628" s="68" t="s">
        <v>2646</v>
      </c>
    </row>
    <row r="629" spans="1:36" hidden="1">
      <c r="A629" s="392" t="s">
        <v>1916</v>
      </c>
      <c r="B629" s="427" t="s">
        <v>2651</v>
      </c>
      <c r="C629" s="433" t="s">
        <v>3451</v>
      </c>
      <c r="D629" s="433" t="s">
        <v>3262</v>
      </c>
      <c r="E629" s="433" t="s">
        <v>2654</v>
      </c>
      <c r="F629" s="433" t="s">
        <v>2654</v>
      </c>
      <c r="G629" s="433" t="s">
        <v>2654</v>
      </c>
      <c r="H629" s="433" t="s">
        <v>2654</v>
      </c>
      <c r="I629" s="433" t="s">
        <v>2654</v>
      </c>
      <c r="J629" s="433" t="s">
        <v>2654</v>
      </c>
      <c r="K629" s="433" t="s">
        <v>2654</v>
      </c>
      <c r="L629" s="433" t="s">
        <v>2654</v>
      </c>
      <c r="M629" s="433" t="s">
        <v>2654</v>
      </c>
      <c r="N629" s="433" t="s">
        <v>2654</v>
      </c>
      <c r="O629" s="433" t="s">
        <v>2654</v>
      </c>
      <c r="P629" s="433" t="s">
        <v>2648</v>
      </c>
      <c r="Q629" s="431"/>
      <c r="R629" s="431"/>
      <c r="S629" s="426" t="s">
        <v>3186</v>
      </c>
      <c r="T629" s="426" t="s">
        <v>2646</v>
      </c>
      <c r="U629" s="426" t="s">
        <v>2646</v>
      </c>
      <c r="V629" s="426" t="s">
        <v>2646</v>
      </c>
      <c r="W629" s="426" t="s">
        <v>3417</v>
      </c>
      <c r="X629" s="426" t="s">
        <v>3486</v>
      </c>
      <c r="Y629" s="426" t="s">
        <v>3487</v>
      </c>
      <c r="Z629" s="426" t="s">
        <v>2646</v>
      </c>
      <c r="AA629" s="426" t="s">
        <v>2646</v>
      </c>
      <c r="AB629" s="426" t="s">
        <v>2646</v>
      </c>
      <c r="AC629" s="426" t="s">
        <v>2646</v>
      </c>
      <c r="AD629" s="426" t="s">
        <v>2646</v>
      </c>
      <c r="AE629" s="426" t="s">
        <v>2646</v>
      </c>
      <c r="AF629" s="426" t="s">
        <v>2646</v>
      </c>
      <c r="AG629" s="426" t="s">
        <v>2646</v>
      </c>
      <c r="AH629" s="426" t="s">
        <v>2646</v>
      </c>
      <c r="AI629" s="426" t="s">
        <v>2646</v>
      </c>
      <c r="AJ629" s="68" t="s">
        <v>2646</v>
      </c>
    </row>
    <row r="630" spans="1:36">
      <c r="A630" s="392" t="s">
        <v>1916</v>
      </c>
      <c r="B630" s="427" t="s">
        <v>48</v>
      </c>
      <c r="C630" s="433" t="s">
        <v>4358</v>
      </c>
      <c r="D630" s="433" t="s">
        <v>3914</v>
      </c>
      <c r="E630" s="433" t="s">
        <v>2654</v>
      </c>
      <c r="F630" s="433" t="s">
        <v>2654</v>
      </c>
      <c r="G630" s="433" t="s">
        <v>2654</v>
      </c>
      <c r="H630" s="433" t="s">
        <v>2654</v>
      </c>
      <c r="I630" s="433" t="s">
        <v>2654</v>
      </c>
      <c r="J630" s="433" t="s">
        <v>2654</v>
      </c>
      <c r="K630" s="433" t="s">
        <v>2654</v>
      </c>
      <c r="L630" s="433" t="s">
        <v>2654</v>
      </c>
      <c r="M630" s="433" t="s">
        <v>2654</v>
      </c>
      <c r="N630" s="433" t="s">
        <v>2654</v>
      </c>
      <c r="O630" s="433" t="s">
        <v>2654</v>
      </c>
      <c r="P630" s="433" t="s">
        <v>2781</v>
      </c>
      <c r="Q630" s="433" t="s">
        <v>2654</v>
      </c>
      <c r="R630" s="433" t="s">
        <v>2654</v>
      </c>
      <c r="S630" s="426"/>
      <c r="T630" s="426"/>
      <c r="U630" s="426"/>
      <c r="V630" s="426"/>
      <c r="W630" s="426"/>
      <c r="X630" s="426"/>
      <c r="Y630" s="426"/>
      <c r="Z630" s="426"/>
      <c r="AA630" s="426"/>
      <c r="AB630" s="426"/>
      <c r="AC630" s="426"/>
      <c r="AD630" s="426"/>
      <c r="AE630" s="426"/>
      <c r="AF630" s="426"/>
      <c r="AG630" s="426"/>
      <c r="AH630" s="426"/>
      <c r="AI630" s="426"/>
    </row>
    <row r="631" spans="1:36" hidden="1">
      <c r="A631" s="392" t="s">
        <v>1917</v>
      </c>
      <c r="B631" s="427" t="s">
        <v>2647</v>
      </c>
      <c r="C631" s="433" t="s">
        <v>3611</v>
      </c>
      <c r="D631" s="433" t="s">
        <v>3729</v>
      </c>
      <c r="E631" s="433" t="s">
        <v>2654</v>
      </c>
      <c r="F631" s="433" t="s">
        <v>2654</v>
      </c>
      <c r="G631" s="433" t="s">
        <v>2654</v>
      </c>
      <c r="H631" s="433" t="s">
        <v>2654</v>
      </c>
      <c r="I631" s="433" t="s">
        <v>2654</v>
      </c>
      <c r="J631" s="433" t="s">
        <v>2654</v>
      </c>
      <c r="K631" s="433" t="s">
        <v>2654</v>
      </c>
      <c r="L631" s="433" t="s">
        <v>2654</v>
      </c>
      <c r="M631" s="433" t="s">
        <v>2654</v>
      </c>
      <c r="N631" s="433" t="s">
        <v>2654</v>
      </c>
      <c r="O631" s="433" t="s">
        <v>2654</v>
      </c>
      <c r="P631" s="433" t="s">
        <v>2650</v>
      </c>
      <c r="Q631" s="431"/>
      <c r="R631" s="431"/>
      <c r="S631" s="426" t="s">
        <v>2665</v>
      </c>
      <c r="T631" s="426" t="s">
        <v>2998</v>
      </c>
      <c r="U631" s="426" t="s">
        <v>3120</v>
      </c>
      <c r="V631" s="426" t="s">
        <v>3120</v>
      </c>
      <c r="W631" s="426" t="s">
        <v>3488</v>
      </c>
      <c r="X631" s="426" t="s">
        <v>2939</v>
      </c>
      <c r="Y631" s="426" t="s">
        <v>3489</v>
      </c>
      <c r="Z631" s="426" t="s">
        <v>2646</v>
      </c>
      <c r="AA631" s="426" t="s">
        <v>2646</v>
      </c>
      <c r="AB631" s="426" t="s">
        <v>2646</v>
      </c>
      <c r="AC631" s="426" t="s">
        <v>2646</v>
      </c>
      <c r="AD631" s="426" t="s">
        <v>2646</v>
      </c>
      <c r="AE631" s="426" t="s">
        <v>2646</v>
      </c>
      <c r="AF631" s="426" t="s">
        <v>2646</v>
      </c>
      <c r="AG631" s="426" t="s">
        <v>2646</v>
      </c>
      <c r="AH631" s="426" t="s">
        <v>2646</v>
      </c>
      <c r="AI631" s="426" t="s">
        <v>2646</v>
      </c>
      <c r="AJ631" s="68" t="s">
        <v>2646</v>
      </c>
    </row>
    <row r="632" spans="1:36" hidden="1">
      <c r="A632" s="392" t="s">
        <v>1918</v>
      </c>
      <c r="B632" s="427" t="s">
        <v>2648</v>
      </c>
      <c r="C632" s="433" t="s">
        <v>3653</v>
      </c>
      <c r="D632" s="433" t="s">
        <v>3500</v>
      </c>
      <c r="E632" s="433" t="s">
        <v>2654</v>
      </c>
      <c r="F632" s="433" t="s">
        <v>2654</v>
      </c>
      <c r="G632" s="433" t="s">
        <v>2654</v>
      </c>
      <c r="H632" s="433" t="s">
        <v>2654</v>
      </c>
      <c r="I632" s="433" t="s">
        <v>2654</v>
      </c>
      <c r="J632" s="433" t="s">
        <v>2654</v>
      </c>
      <c r="K632" s="433" t="s">
        <v>2654</v>
      </c>
      <c r="L632" s="433" t="s">
        <v>2654</v>
      </c>
      <c r="M632" s="433" t="s">
        <v>2654</v>
      </c>
      <c r="N632" s="433" t="s">
        <v>2654</v>
      </c>
      <c r="O632" s="433" t="s">
        <v>2654</v>
      </c>
      <c r="P632" s="433" t="s">
        <v>2649</v>
      </c>
      <c r="Q632" s="431"/>
      <c r="R632" s="431"/>
      <c r="S632" s="426" t="s">
        <v>2673</v>
      </c>
      <c r="T632" s="426" t="s">
        <v>3462</v>
      </c>
      <c r="U632" s="426" t="s">
        <v>3259</v>
      </c>
      <c r="V632" s="426" t="s">
        <v>2804</v>
      </c>
      <c r="W632" s="426" t="s">
        <v>3488</v>
      </c>
      <c r="X632" s="426" t="s">
        <v>2939</v>
      </c>
      <c r="Y632" s="426" t="s">
        <v>3489</v>
      </c>
      <c r="Z632" s="426" t="s">
        <v>2646</v>
      </c>
      <c r="AA632" s="426" t="s">
        <v>2646</v>
      </c>
      <c r="AB632" s="426" t="s">
        <v>2646</v>
      </c>
      <c r="AC632" s="426" t="s">
        <v>2646</v>
      </c>
      <c r="AD632" s="426" t="s">
        <v>2646</v>
      </c>
      <c r="AE632" s="426" t="s">
        <v>2646</v>
      </c>
      <c r="AF632" s="426" t="s">
        <v>2646</v>
      </c>
      <c r="AG632" s="426" t="s">
        <v>2646</v>
      </c>
      <c r="AH632" s="426" t="s">
        <v>2646</v>
      </c>
      <c r="AI632" s="426" t="s">
        <v>2646</v>
      </c>
      <c r="AJ632" s="68" t="s">
        <v>2646</v>
      </c>
    </row>
    <row r="633" spans="1:36" hidden="1">
      <c r="A633" s="392" t="s">
        <v>1919</v>
      </c>
      <c r="B633" s="427" t="s">
        <v>2649</v>
      </c>
      <c r="C633" s="433" t="s">
        <v>3624</v>
      </c>
      <c r="D633" s="433" t="s">
        <v>3500</v>
      </c>
      <c r="E633" s="433" t="s">
        <v>2654</v>
      </c>
      <c r="F633" s="433" t="s">
        <v>2654</v>
      </c>
      <c r="G633" s="433" t="s">
        <v>2654</v>
      </c>
      <c r="H633" s="433" t="s">
        <v>2654</v>
      </c>
      <c r="I633" s="433" t="s">
        <v>2654</v>
      </c>
      <c r="J633" s="433" t="s">
        <v>2654</v>
      </c>
      <c r="K633" s="433" t="s">
        <v>2654</v>
      </c>
      <c r="L633" s="433" t="s">
        <v>2654</v>
      </c>
      <c r="M633" s="433" t="s">
        <v>2654</v>
      </c>
      <c r="N633" s="433" t="s">
        <v>2654</v>
      </c>
      <c r="O633" s="433" t="s">
        <v>2654</v>
      </c>
      <c r="P633" s="433" t="s">
        <v>2650</v>
      </c>
      <c r="Q633" s="431"/>
      <c r="R633" s="431"/>
      <c r="S633" s="426" t="s">
        <v>2673</v>
      </c>
      <c r="T633" s="426" t="s">
        <v>3264</v>
      </c>
      <c r="U633" s="426" t="s">
        <v>3264</v>
      </c>
      <c r="V633" s="426" t="s">
        <v>3264</v>
      </c>
      <c r="W633" s="426" t="s">
        <v>3488</v>
      </c>
      <c r="X633" s="426" t="s">
        <v>2939</v>
      </c>
      <c r="Y633" s="426" t="s">
        <v>3489</v>
      </c>
      <c r="Z633" s="426" t="s">
        <v>2646</v>
      </c>
      <c r="AA633" s="426" t="s">
        <v>2646</v>
      </c>
      <c r="AB633" s="426" t="s">
        <v>2646</v>
      </c>
      <c r="AC633" s="426" t="s">
        <v>2646</v>
      </c>
      <c r="AD633" s="426" t="s">
        <v>2646</v>
      </c>
      <c r="AE633" s="426" t="s">
        <v>2646</v>
      </c>
      <c r="AF633" s="426" t="s">
        <v>2646</v>
      </c>
      <c r="AG633" s="426" t="s">
        <v>2646</v>
      </c>
      <c r="AH633" s="426" t="s">
        <v>2646</v>
      </c>
      <c r="AI633" s="426" t="s">
        <v>2646</v>
      </c>
      <c r="AJ633" s="68" t="s">
        <v>2646</v>
      </c>
    </row>
    <row r="634" spans="1:36" hidden="1">
      <c r="A634" s="392" t="s">
        <v>1920</v>
      </c>
      <c r="B634" s="427" t="s">
        <v>2650</v>
      </c>
      <c r="C634" s="433" t="s">
        <v>4359</v>
      </c>
      <c r="D634" s="433" t="s">
        <v>3729</v>
      </c>
      <c r="E634" s="433" t="s">
        <v>2654</v>
      </c>
      <c r="F634" s="433" t="s">
        <v>2654</v>
      </c>
      <c r="G634" s="433" t="s">
        <v>2654</v>
      </c>
      <c r="H634" s="433" t="s">
        <v>2654</v>
      </c>
      <c r="I634" s="433" t="s">
        <v>2654</v>
      </c>
      <c r="J634" s="433" t="s">
        <v>2654</v>
      </c>
      <c r="K634" s="433" t="s">
        <v>2654</v>
      </c>
      <c r="L634" s="433" t="s">
        <v>2654</v>
      </c>
      <c r="M634" s="433" t="s">
        <v>2654</v>
      </c>
      <c r="N634" s="433" t="s">
        <v>2654</v>
      </c>
      <c r="O634" s="433" t="s">
        <v>2654</v>
      </c>
      <c r="P634" s="433" t="s">
        <v>2649</v>
      </c>
      <c r="Q634" s="431"/>
      <c r="R634" s="431"/>
      <c r="S634" s="426" t="s">
        <v>3194</v>
      </c>
      <c r="T634" s="426" t="s">
        <v>3158</v>
      </c>
      <c r="U634" s="426" t="s">
        <v>3340</v>
      </c>
      <c r="V634" s="426" t="s">
        <v>3114</v>
      </c>
      <c r="W634" s="426" t="s">
        <v>3410</v>
      </c>
      <c r="X634" s="426" t="s">
        <v>2939</v>
      </c>
      <c r="Y634" s="426" t="s">
        <v>3490</v>
      </c>
      <c r="Z634" s="426" t="s">
        <v>2646</v>
      </c>
      <c r="AA634" s="426" t="s">
        <v>2646</v>
      </c>
      <c r="AB634" s="426" t="s">
        <v>2646</v>
      </c>
      <c r="AC634" s="426" t="s">
        <v>2646</v>
      </c>
      <c r="AD634" s="426" t="s">
        <v>2646</v>
      </c>
      <c r="AE634" s="426" t="s">
        <v>2646</v>
      </c>
      <c r="AF634" s="426" t="s">
        <v>2646</v>
      </c>
      <c r="AG634" s="426" t="s">
        <v>2646</v>
      </c>
      <c r="AH634" s="426" t="s">
        <v>2646</v>
      </c>
      <c r="AI634" s="426" t="s">
        <v>2646</v>
      </c>
      <c r="AJ634" s="68" t="s">
        <v>2646</v>
      </c>
    </row>
    <row r="635" spans="1:36" hidden="1">
      <c r="A635" s="392" t="s">
        <v>1921</v>
      </c>
      <c r="B635" s="427" t="s">
        <v>2651</v>
      </c>
      <c r="C635" s="433" t="s">
        <v>4360</v>
      </c>
      <c r="D635" s="433" t="s">
        <v>3409</v>
      </c>
      <c r="E635" s="433" t="s">
        <v>2654</v>
      </c>
      <c r="F635" s="433" t="s">
        <v>2654</v>
      </c>
      <c r="G635" s="433" t="s">
        <v>2654</v>
      </c>
      <c r="H635" s="433" t="s">
        <v>2654</v>
      </c>
      <c r="I635" s="433" t="s">
        <v>2654</v>
      </c>
      <c r="J635" s="433" t="s">
        <v>2654</v>
      </c>
      <c r="K635" s="433" t="s">
        <v>2654</v>
      </c>
      <c r="L635" s="433" t="s">
        <v>2654</v>
      </c>
      <c r="M635" s="433" t="s">
        <v>2654</v>
      </c>
      <c r="N635" s="433" t="s">
        <v>2654</v>
      </c>
      <c r="O635" s="433" t="s">
        <v>2654</v>
      </c>
      <c r="P635" s="433" t="s">
        <v>2648</v>
      </c>
      <c r="Q635" s="431"/>
      <c r="R635" s="431"/>
      <c r="S635" s="426" t="s">
        <v>2778</v>
      </c>
      <c r="T635" s="426" t="s">
        <v>3491</v>
      </c>
      <c r="U635" s="426" t="s">
        <v>2828</v>
      </c>
      <c r="V635" s="426" t="s">
        <v>2828</v>
      </c>
      <c r="W635" s="426" t="s">
        <v>3412</v>
      </c>
      <c r="X635" s="426" t="s">
        <v>2939</v>
      </c>
      <c r="Y635" s="426" t="s">
        <v>2662</v>
      </c>
      <c r="Z635" s="426" t="s">
        <v>2646</v>
      </c>
      <c r="AA635" s="426" t="s">
        <v>2646</v>
      </c>
      <c r="AB635" s="426" t="s">
        <v>2646</v>
      </c>
      <c r="AC635" s="426" t="s">
        <v>2646</v>
      </c>
      <c r="AD635" s="426" t="s">
        <v>2646</v>
      </c>
      <c r="AE635" s="426" t="s">
        <v>2646</v>
      </c>
      <c r="AF635" s="426" t="s">
        <v>2646</v>
      </c>
      <c r="AG635" s="426" t="s">
        <v>2646</v>
      </c>
      <c r="AH635" s="426" t="s">
        <v>2646</v>
      </c>
      <c r="AI635" s="426" t="s">
        <v>2646</v>
      </c>
      <c r="AJ635" s="68" t="s">
        <v>2646</v>
      </c>
    </row>
    <row r="636" spans="1:36">
      <c r="A636" s="392" t="s">
        <v>1921</v>
      </c>
      <c r="B636" s="427" t="s">
        <v>48</v>
      </c>
      <c r="C636" s="433" t="s">
        <v>4361</v>
      </c>
      <c r="D636" s="433" t="s">
        <v>4045</v>
      </c>
      <c r="E636" s="433" t="s">
        <v>2654</v>
      </c>
      <c r="F636" s="433" t="s">
        <v>2654</v>
      </c>
      <c r="G636" s="433" t="s">
        <v>2654</v>
      </c>
      <c r="H636" s="433" t="s">
        <v>2654</v>
      </c>
      <c r="I636" s="433" t="s">
        <v>2654</v>
      </c>
      <c r="J636" s="433" t="s">
        <v>2654</v>
      </c>
      <c r="K636" s="433" t="s">
        <v>2654</v>
      </c>
      <c r="L636" s="433" t="s">
        <v>2654</v>
      </c>
      <c r="M636" s="433" t="s">
        <v>2654</v>
      </c>
      <c r="N636" s="433" t="s">
        <v>2654</v>
      </c>
      <c r="O636" s="433" t="s">
        <v>2654</v>
      </c>
      <c r="P636" s="433" t="s">
        <v>3394</v>
      </c>
      <c r="Q636" s="433" t="s">
        <v>2654</v>
      </c>
      <c r="R636" s="433" t="s">
        <v>2654</v>
      </c>
      <c r="S636" s="426"/>
      <c r="T636" s="426"/>
      <c r="U636" s="426"/>
      <c r="V636" s="426"/>
      <c r="W636" s="426"/>
      <c r="X636" s="426"/>
      <c r="Y636" s="426"/>
      <c r="Z636" s="426"/>
      <c r="AA636" s="426"/>
      <c r="AB636" s="426"/>
      <c r="AC636" s="426"/>
      <c r="AD636" s="426"/>
      <c r="AE636" s="426"/>
      <c r="AF636" s="426"/>
      <c r="AG636" s="426"/>
      <c r="AH636" s="426"/>
      <c r="AI636" s="426"/>
    </row>
    <row r="637" spans="1:36" hidden="1">
      <c r="A637" s="392" t="s">
        <v>1922</v>
      </c>
      <c r="B637" s="427" t="s">
        <v>2647</v>
      </c>
      <c r="C637" s="433" t="s">
        <v>3150</v>
      </c>
      <c r="D637" s="433" t="s">
        <v>4049</v>
      </c>
      <c r="E637" s="433" t="s">
        <v>2654</v>
      </c>
      <c r="F637" s="433" t="s">
        <v>2654</v>
      </c>
      <c r="G637" s="433" t="s">
        <v>2654</v>
      </c>
      <c r="H637" s="433" t="s">
        <v>2654</v>
      </c>
      <c r="I637" s="433" t="s">
        <v>2654</v>
      </c>
      <c r="J637" s="433" t="s">
        <v>2654</v>
      </c>
      <c r="K637" s="433" t="s">
        <v>2654</v>
      </c>
      <c r="L637" s="433" t="s">
        <v>2654</v>
      </c>
      <c r="M637" s="433" t="s">
        <v>2654</v>
      </c>
      <c r="N637" s="433" t="s">
        <v>2654</v>
      </c>
      <c r="O637" s="433" t="s">
        <v>2654</v>
      </c>
      <c r="P637" s="433" t="s">
        <v>2650</v>
      </c>
      <c r="Q637" s="431"/>
      <c r="R637" s="431"/>
      <c r="S637" s="426" t="s">
        <v>2665</v>
      </c>
      <c r="T637" s="426" t="s">
        <v>2804</v>
      </c>
      <c r="U637" s="426" t="s">
        <v>3117</v>
      </c>
      <c r="V637" s="426" t="s">
        <v>3114</v>
      </c>
      <c r="W637" s="426" t="s">
        <v>3276</v>
      </c>
      <c r="X637" s="426" t="s">
        <v>2939</v>
      </c>
      <c r="Y637" s="426" t="s">
        <v>3492</v>
      </c>
      <c r="Z637" s="426" t="s">
        <v>2872</v>
      </c>
      <c r="AA637" s="426" t="s">
        <v>2646</v>
      </c>
      <c r="AB637" s="426" t="s">
        <v>2646</v>
      </c>
      <c r="AC637" s="426" t="s">
        <v>2646</v>
      </c>
      <c r="AD637" s="426" t="s">
        <v>2646</v>
      </c>
      <c r="AE637" s="426" t="s">
        <v>2646</v>
      </c>
      <c r="AF637" s="426" t="s">
        <v>2646</v>
      </c>
      <c r="AG637" s="426" t="s">
        <v>2646</v>
      </c>
      <c r="AH637" s="426" t="s">
        <v>2646</v>
      </c>
      <c r="AI637" s="426" t="s">
        <v>2646</v>
      </c>
      <c r="AJ637" s="68" t="s">
        <v>2646</v>
      </c>
    </row>
    <row r="638" spans="1:36" hidden="1">
      <c r="A638" s="392" t="s">
        <v>1923</v>
      </c>
      <c r="B638" s="427" t="s">
        <v>2648</v>
      </c>
      <c r="C638" s="433" t="s">
        <v>3600</v>
      </c>
      <c r="D638" s="433" t="s">
        <v>3788</v>
      </c>
      <c r="E638" s="433" t="s">
        <v>2654</v>
      </c>
      <c r="F638" s="433" t="s">
        <v>2654</v>
      </c>
      <c r="G638" s="433" t="s">
        <v>2654</v>
      </c>
      <c r="H638" s="433" t="s">
        <v>2654</v>
      </c>
      <c r="I638" s="433" t="s">
        <v>2654</v>
      </c>
      <c r="J638" s="433" t="s">
        <v>2654</v>
      </c>
      <c r="K638" s="433" t="s">
        <v>2654</v>
      </c>
      <c r="L638" s="433" t="s">
        <v>2654</v>
      </c>
      <c r="M638" s="433" t="s">
        <v>2654</v>
      </c>
      <c r="N638" s="433" t="s">
        <v>2654</v>
      </c>
      <c r="O638" s="433" t="s">
        <v>2654</v>
      </c>
      <c r="P638" s="433" t="s">
        <v>2650</v>
      </c>
      <c r="Q638" s="431"/>
      <c r="R638" s="431"/>
      <c r="S638" s="426" t="s">
        <v>2655</v>
      </c>
      <c r="T638" s="426" t="s">
        <v>3158</v>
      </c>
      <c r="U638" s="426" t="s">
        <v>3340</v>
      </c>
      <c r="V638" s="426" t="s">
        <v>3241</v>
      </c>
      <c r="W638" s="426" t="s">
        <v>3410</v>
      </c>
      <c r="X638" s="426" t="s">
        <v>2939</v>
      </c>
      <c r="Y638" s="426" t="s">
        <v>3493</v>
      </c>
      <c r="Z638" s="426" t="s">
        <v>2812</v>
      </c>
      <c r="AA638" s="426" t="s">
        <v>2646</v>
      </c>
      <c r="AB638" s="426" t="s">
        <v>2646</v>
      </c>
      <c r="AC638" s="426" t="s">
        <v>2646</v>
      </c>
      <c r="AD638" s="426" t="s">
        <v>2646</v>
      </c>
      <c r="AE638" s="426" t="s">
        <v>2646</v>
      </c>
      <c r="AF638" s="426" t="s">
        <v>2646</v>
      </c>
      <c r="AG638" s="426" t="s">
        <v>2646</v>
      </c>
      <c r="AH638" s="426" t="s">
        <v>2646</v>
      </c>
      <c r="AI638" s="426" t="s">
        <v>2646</v>
      </c>
      <c r="AJ638" s="68" t="s">
        <v>2646</v>
      </c>
    </row>
    <row r="639" spans="1:36" hidden="1">
      <c r="A639" s="392" t="s">
        <v>1924</v>
      </c>
      <c r="B639" s="427" t="s">
        <v>2649</v>
      </c>
      <c r="C639" s="433" t="s">
        <v>3607</v>
      </c>
      <c r="D639" s="433" t="s">
        <v>3788</v>
      </c>
      <c r="E639" s="433" t="s">
        <v>2654</v>
      </c>
      <c r="F639" s="433" t="s">
        <v>2654</v>
      </c>
      <c r="G639" s="433" t="s">
        <v>2654</v>
      </c>
      <c r="H639" s="433" t="s">
        <v>2654</v>
      </c>
      <c r="I639" s="433" t="s">
        <v>2654</v>
      </c>
      <c r="J639" s="433" t="s">
        <v>2654</v>
      </c>
      <c r="K639" s="433" t="s">
        <v>2654</v>
      </c>
      <c r="L639" s="433" t="s">
        <v>2654</v>
      </c>
      <c r="M639" s="433" t="s">
        <v>2654</v>
      </c>
      <c r="N639" s="433" t="s">
        <v>2654</v>
      </c>
      <c r="O639" s="433" t="s">
        <v>2654</v>
      </c>
      <c r="P639" s="433" t="s">
        <v>2647</v>
      </c>
      <c r="Q639" s="431"/>
      <c r="R639" s="431"/>
      <c r="S639" s="426" t="s">
        <v>2665</v>
      </c>
      <c r="T639" s="426" t="s">
        <v>2804</v>
      </c>
      <c r="U639" s="426" t="s">
        <v>3456</v>
      </c>
      <c r="V639" s="426" t="s">
        <v>3062</v>
      </c>
      <c r="W639" s="426" t="s">
        <v>3410</v>
      </c>
      <c r="X639" s="426" t="s">
        <v>2939</v>
      </c>
      <c r="Y639" s="426" t="s">
        <v>3493</v>
      </c>
      <c r="Z639" s="426" t="s">
        <v>3240</v>
      </c>
      <c r="AA639" s="426" t="s">
        <v>2646</v>
      </c>
      <c r="AB639" s="426" t="s">
        <v>2646</v>
      </c>
      <c r="AC639" s="426" t="s">
        <v>2646</v>
      </c>
      <c r="AD639" s="426" t="s">
        <v>2646</v>
      </c>
      <c r="AE639" s="426" t="s">
        <v>2646</v>
      </c>
      <c r="AF639" s="426" t="s">
        <v>2646</v>
      </c>
      <c r="AG639" s="426" t="s">
        <v>2646</v>
      </c>
      <c r="AH639" s="426" t="s">
        <v>2646</v>
      </c>
      <c r="AI639" s="426" t="s">
        <v>2646</v>
      </c>
      <c r="AJ639" s="68" t="s">
        <v>2646</v>
      </c>
    </row>
    <row r="640" spans="1:36" hidden="1">
      <c r="A640" s="392" t="s">
        <v>1925</v>
      </c>
      <c r="B640" s="427" t="s">
        <v>2650</v>
      </c>
      <c r="C640" s="433" t="s">
        <v>3514</v>
      </c>
      <c r="D640" s="433" t="s">
        <v>3788</v>
      </c>
      <c r="E640" s="433" t="s">
        <v>2654</v>
      </c>
      <c r="F640" s="433" t="s">
        <v>2654</v>
      </c>
      <c r="G640" s="433" t="s">
        <v>2654</v>
      </c>
      <c r="H640" s="433" t="s">
        <v>2654</v>
      </c>
      <c r="I640" s="433" t="s">
        <v>2654</v>
      </c>
      <c r="J640" s="433" t="s">
        <v>2654</v>
      </c>
      <c r="K640" s="433" t="s">
        <v>2654</v>
      </c>
      <c r="L640" s="433" t="s">
        <v>2654</v>
      </c>
      <c r="M640" s="433" t="s">
        <v>2654</v>
      </c>
      <c r="N640" s="433" t="s">
        <v>2654</v>
      </c>
      <c r="O640" s="433" t="s">
        <v>2654</v>
      </c>
      <c r="P640" s="433" t="s">
        <v>2648</v>
      </c>
      <c r="Q640" s="431"/>
      <c r="R640" s="431"/>
      <c r="S640" s="426" t="s">
        <v>2665</v>
      </c>
      <c r="T640" s="426" t="s">
        <v>3462</v>
      </c>
      <c r="U640" s="426" t="s">
        <v>3340</v>
      </c>
      <c r="V640" s="426" t="s">
        <v>3494</v>
      </c>
      <c r="W640" s="426" t="s">
        <v>3276</v>
      </c>
      <c r="X640" s="426" t="s">
        <v>2939</v>
      </c>
      <c r="Y640" s="426" t="s">
        <v>3492</v>
      </c>
      <c r="Z640" s="426" t="s">
        <v>2689</v>
      </c>
      <c r="AA640" s="426" t="s">
        <v>2646</v>
      </c>
      <c r="AB640" s="426" t="s">
        <v>2646</v>
      </c>
      <c r="AC640" s="426" t="s">
        <v>2646</v>
      </c>
      <c r="AD640" s="426" t="s">
        <v>2646</v>
      </c>
      <c r="AE640" s="426" t="s">
        <v>2646</v>
      </c>
      <c r="AF640" s="426" t="s">
        <v>2646</v>
      </c>
      <c r="AG640" s="426" t="s">
        <v>2646</v>
      </c>
      <c r="AH640" s="426" t="s">
        <v>2646</v>
      </c>
      <c r="AI640" s="426" t="s">
        <v>2646</v>
      </c>
      <c r="AJ640" s="68" t="s">
        <v>2646</v>
      </c>
    </row>
    <row r="641" spans="1:36" hidden="1">
      <c r="A641" s="392" t="s">
        <v>1926</v>
      </c>
      <c r="B641" s="427" t="s">
        <v>2651</v>
      </c>
      <c r="C641" s="433" t="s">
        <v>3588</v>
      </c>
      <c r="D641" s="433" t="s">
        <v>3561</v>
      </c>
      <c r="E641" s="433" t="s">
        <v>2654</v>
      </c>
      <c r="F641" s="433" t="s">
        <v>2654</v>
      </c>
      <c r="G641" s="433" t="s">
        <v>2654</v>
      </c>
      <c r="H641" s="433" t="s">
        <v>2654</v>
      </c>
      <c r="I641" s="433" t="s">
        <v>2654</v>
      </c>
      <c r="J641" s="433" t="s">
        <v>2654</v>
      </c>
      <c r="K641" s="433" t="s">
        <v>2654</v>
      </c>
      <c r="L641" s="433" t="s">
        <v>2654</v>
      </c>
      <c r="M641" s="433" t="s">
        <v>2654</v>
      </c>
      <c r="N641" s="433" t="s">
        <v>2654</v>
      </c>
      <c r="O641" s="433" t="s">
        <v>2654</v>
      </c>
      <c r="P641" s="433" t="s">
        <v>2649</v>
      </c>
      <c r="Q641" s="431"/>
      <c r="R641" s="431"/>
      <c r="S641" s="426" t="s">
        <v>3109</v>
      </c>
      <c r="T641" s="426" t="s">
        <v>2797</v>
      </c>
      <c r="U641" s="426" t="s">
        <v>3456</v>
      </c>
      <c r="V641" s="426" t="s">
        <v>2998</v>
      </c>
      <c r="W641" s="426" t="s">
        <v>3410</v>
      </c>
      <c r="X641" s="426" t="s">
        <v>2939</v>
      </c>
      <c r="Y641" s="426" t="s">
        <v>3493</v>
      </c>
      <c r="Z641" s="426" t="s">
        <v>3166</v>
      </c>
      <c r="AA641" s="426" t="s">
        <v>2646</v>
      </c>
      <c r="AB641" s="426" t="s">
        <v>2646</v>
      </c>
      <c r="AC641" s="426" t="s">
        <v>2646</v>
      </c>
      <c r="AD641" s="426" t="s">
        <v>2646</v>
      </c>
      <c r="AE641" s="426" t="s">
        <v>2646</v>
      </c>
      <c r="AF641" s="426" t="s">
        <v>2646</v>
      </c>
      <c r="AG641" s="426" t="s">
        <v>2646</v>
      </c>
      <c r="AH641" s="426" t="s">
        <v>2646</v>
      </c>
      <c r="AI641" s="426" t="s">
        <v>2646</v>
      </c>
      <c r="AJ641" s="68" t="s">
        <v>2646</v>
      </c>
    </row>
    <row r="642" spans="1:36">
      <c r="A642" s="392" t="s">
        <v>1926</v>
      </c>
      <c r="B642" s="427" t="s">
        <v>48</v>
      </c>
      <c r="C642" s="433" t="s">
        <v>4362</v>
      </c>
      <c r="D642" s="433" t="s">
        <v>3911</v>
      </c>
      <c r="E642" s="433" t="s">
        <v>2654</v>
      </c>
      <c r="F642" s="433" t="s">
        <v>2654</v>
      </c>
      <c r="G642" s="433" t="s">
        <v>2654</v>
      </c>
      <c r="H642" s="433" t="s">
        <v>2654</v>
      </c>
      <c r="I642" s="433" t="s">
        <v>2654</v>
      </c>
      <c r="J642" s="433" t="s">
        <v>2654</v>
      </c>
      <c r="K642" s="433" t="s">
        <v>2654</v>
      </c>
      <c r="L642" s="433" t="s">
        <v>2654</v>
      </c>
      <c r="M642" s="433" t="s">
        <v>2654</v>
      </c>
      <c r="N642" s="433" t="s">
        <v>2654</v>
      </c>
      <c r="O642" s="433" t="s">
        <v>2654</v>
      </c>
      <c r="P642" s="433" t="s">
        <v>2781</v>
      </c>
      <c r="Q642" s="433" t="s">
        <v>2654</v>
      </c>
      <c r="R642" s="433" t="s">
        <v>2654</v>
      </c>
      <c r="S642" s="426"/>
      <c r="T642" s="426"/>
      <c r="U642" s="426"/>
      <c r="V642" s="426"/>
      <c r="W642" s="426"/>
      <c r="X642" s="426"/>
      <c r="Y642" s="426"/>
      <c r="Z642" s="426"/>
      <c r="AA642" s="426"/>
      <c r="AB642" s="426"/>
      <c r="AC642" s="426"/>
      <c r="AD642" s="426"/>
      <c r="AE642" s="426"/>
      <c r="AF642" s="426"/>
      <c r="AG642" s="426"/>
      <c r="AH642" s="426"/>
      <c r="AI642" s="426"/>
    </row>
    <row r="643" spans="1:36" hidden="1">
      <c r="A643" s="392" t="s">
        <v>1927</v>
      </c>
      <c r="B643" s="427" t="s">
        <v>2647</v>
      </c>
      <c r="C643" s="433" t="s">
        <v>3625</v>
      </c>
      <c r="D643" s="433" t="s">
        <v>3734</v>
      </c>
      <c r="E643" s="433" t="s">
        <v>2654</v>
      </c>
      <c r="F643" s="433" t="s">
        <v>2654</v>
      </c>
      <c r="G643" s="433" t="s">
        <v>2654</v>
      </c>
      <c r="H643" s="433" t="s">
        <v>2654</v>
      </c>
      <c r="I643" s="433" t="s">
        <v>2654</v>
      </c>
      <c r="J643" s="433" t="s">
        <v>2654</v>
      </c>
      <c r="K643" s="433" t="s">
        <v>2654</v>
      </c>
      <c r="L643" s="433" t="s">
        <v>2654</v>
      </c>
      <c r="M643" s="433" t="s">
        <v>2654</v>
      </c>
      <c r="N643" s="433" t="s">
        <v>2654</v>
      </c>
      <c r="O643" s="433" t="s">
        <v>2654</v>
      </c>
      <c r="P643" s="433" t="s">
        <v>2650</v>
      </c>
      <c r="Q643" s="431"/>
      <c r="R643" s="431"/>
      <c r="S643" s="426" t="s">
        <v>3220</v>
      </c>
      <c r="T643" s="426" t="s">
        <v>2998</v>
      </c>
      <c r="U643" s="426" t="s">
        <v>3496</v>
      </c>
      <c r="V643" s="426" t="s">
        <v>3496</v>
      </c>
      <c r="W643" s="426" t="s">
        <v>3431</v>
      </c>
      <c r="X643" s="426" t="s">
        <v>2939</v>
      </c>
      <c r="Y643" s="426" t="s">
        <v>3127</v>
      </c>
      <c r="Z643" s="426" t="s">
        <v>2861</v>
      </c>
      <c r="AA643" s="426" t="s">
        <v>2646</v>
      </c>
      <c r="AB643" s="426" t="s">
        <v>2646</v>
      </c>
      <c r="AC643" s="426" t="s">
        <v>2646</v>
      </c>
      <c r="AD643" s="426" t="s">
        <v>2646</v>
      </c>
      <c r="AE643" s="426" t="s">
        <v>2646</v>
      </c>
      <c r="AF643" s="426" t="s">
        <v>2646</v>
      </c>
      <c r="AG643" s="426" t="s">
        <v>2646</v>
      </c>
      <c r="AH643" s="426" t="s">
        <v>2646</v>
      </c>
      <c r="AI643" s="426" t="s">
        <v>2646</v>
      </c>
      <c r="AJ643" s="68" t="s">
        <v>2646</v>
      </c>
    </row>
    <row r="644" spans="1:36" hidden="1">
      <c r="A644" s="392" t="s">
        <v>1928</v>
      </c>
      <c r="B644" s="427" t="s">
        <v>2648</v>
      </c>
      <c r="C644" s="433" t="s">
        <v>3781</v>
      </c>
      <c r="D644" s="433" t="s">
        <v>3734</v>
      </c>
      <c r="E644" s="433" t="s">
        <v>2654</v>
      </c>
      <c r="F644" s="433" t="s">
        <v>2654</v>
      </c>
      <c r="G644" s="433" t="s">
        <v>2654</v>
      </c>
      <c r="H644" s="433" t="s">
        <v>2654</v>
      </c>
      <c r="I644" s="433" t="s">
        <v>2654</v>
      </c>
      <c r="J644" s="433" t="s">
        <v>2654</v>
      </c>
      <c r="K644" s="433" t="s">
        <v>2654</v>
      </c>
      <c r="L644" s="433" t="s">
        <v>2654</v>
      </c>
      <c r="M644" s="433" t="s">
        <v>2654</v>
      </c>
      <c r="N644" s="433" t="s">
        <v>2654</v>
      </c>
      <c r="O644" s="433" t="s">
        <v>2654</v>
      </c>
      <c r="P644" s="433" t="s">
        <v>2649</v>
      </c>
      <c r="Q644" s="431"/>
      <c r="R644" s="431"/>
      <c r="S644" s="426" t="s">
        <v>3137</v>
      </c>
      <c r="T644" s="426" t="s">
        <v>3062</v>
      </c>
      <c r="U644" s="426" t="s">
        <v>3117</v>
      </c>
      <c r="V644" s="426" t="s">
        <v>3259</v>
      </c>
      <c r="W644" s="426" t="s">
        <v>3276</v>
      </c>
      <c r="X644" s="426" t="s">
        <v>2939</v>
      </c>
      <c r="Y644" s="426" t="s">
        <v>3213</v>
      </c>
      <c r="Z644" s="426" t="s">
        <v>3497</v>
      </c>
      <c r="AA644" s="426" t="s">
        <v>2646</v>
      </c>
      <c r="AB644" s="426" t="s">
        <v>2646</v>
      </c>
      <c r="AC644" s="426" t="s">
        <v>2646</v>
      </c>
      <c r="AD644" s="426" t="s">
        <v>2646</v>
      </c>
      <c r="AE644" s="426" t="s">
        <v>2646</v>
      </c>
      <c r="AF644" s="426" t="s">
        <v>2646</v>
      </c>
      <c r="AG644" s="426" t="s">
        <v>2646</v>
      </c>
      <c r="AH644" s="426" t="s">
        <v>2646</v>
      </c>
      <c r="AI644" s="426" t="s">
        <v>2646</v>
      </c>
      <c r="AJ644" s="68" t="s">
        <v>2646</v>
      </c>
    </row>
    <row r="645" spans="1:36" hidden="1">
      <c r="A645" s="392" t="s">
        <v>1929</v>
      </c>
      <c r="B645" s="427" t="s">
        <v>2649</v>
      </c>
      <c r="C645" s="433" t="s">
        <v>4296</v>
      </c>
      <c r="D645" s="433" t="s">
        <v>4363</v>
      </c>
      <c r="E645" s="433" t="s">
        <v>2654</v>
      </c>
      <c r="F645" s="433" t="s">
        <v>2654</v>
      </c>
      <c r="G645" s="433" t="s">
        <v>2654</v>
      </c>
      <c r="H645" s="433" t="s">
        <v>2654</v>
      </c>
      <c r="I645" s="433" t="s">
        <v>2654</v>
      </c>
      <c r="J645" s="433" t="s">
        <v>2654</v>
      </c>
      <c r="K645" s="433" t="s">
        <v>2654</v>
      </c>
      <c r="L645" s="433" t="s">
        <v>2654</v>
      </c>
      <c r="M645" s="433" t="s">
        <v>2654</v>
      </c>
      <c r="N645" s="433" t="s">
        <v>2654</v>
      </c>
      <c r="O645" s="433" t="s">
        <v>2654</v>
      </c>
      <c r="P645" s="433" t="s">
        <v>2649</v>
      </c>
      <c r="Q645" s="431"/>
      <c r="R645" s="431"/>
      <c r="S645" s="426" t="s">
        <v>3132</v>
      </c>
      <c r="T645" s="426" t="s">
        <v>2828</v>
      </c>
      <c r="U645" s="426" t="s">
        <v>3013</v>
      </c>
      <c r="V645" s="426" t="s">
        <v>2878</v>
      </c>
      <c r="W645" s="426" t="s">
        <v>3488</v>
      </c>
      <c r="X645" s="426" t="s">
        <v>2939</v>
      </c>
      <c r="Y645" s="426" t="s">
        <v>3498</v>
      </c>
      <c r="Z645" s="426" t="s">
        <v>3499</v>
      </c>
      <c r="AA645" s="426" t="s">
        <v>2646</v>
      </c>
      <c r="AB645" s="426" t="s">
        <v>2646</v>
      </c>
      <c r="AC645" s="426" t="s">
        <v>2646</v>
      </c>
      <c r="AD645" s="426" t="s">
        <v>2646</v>
      </c>
      <c r="AE645" s="426" t="s">
        <v>2646</v>
      </c>
      <c r="AF645" s="426" t="s">
        <v>2646</v>
      </c>
      <c r="AG645" s="426" t="s">
        <v>2646</v>
      </c>
      <c r="AH645" s="426" t="s">
        <v>2646</v>
      </c>
      <c r="AI645" s="426" t="s">
        <v>2646</v>
      </c>
      <c r="AJ645" s="68" t="s">
        <v>2646</v>
      </c>
    </row>
    <row r="646" spans="1:36" hidden="1">
      <c r="A646" s="392" t="s">
        <v>1930</v>
      </c>
      <c r="B646" s="427" t="s">
        <v>2650</v>
      </c>
      <c r="C646" s="433" t="s">
        <v>3651</v>
      </c>
      <c r="D646" s="433" t="s">
        <v>3222</v>
      </c>
      <c r="E646" s="433" t="s">
        <v>2654</v>
      </c>
      <c r="F646" s="433" t="s">
        <v>2654</v>
      </c>
      <c r="G646" s="433" t="s">
        <v>2654</v>
      </c>
      <c r="H646" s="433" t="s">
        <v>2654</v>
      </c>
      <c r="I646" s="433" t="s">
        <v>2654</v>
      </c>
      <c r="J646" s="433" t="s">
        <v>2654</v>
      </c>
      <c r="K646" s="433" t="s">
        <v>2654</v>
      </c>
      <c r="L646" s="433" t="s">
        <v>2654</v>
      </c>
      <c r="M646" s="433" t="s">
        <v>2654</v>
      </c>
      <c r="N646" s="433" t="s">
        <v>2654</v>
      </c>
      <c r="O646" s="433" t="s">
        <v>2654</v>
      </c>
      <c r="P646" s="433" t="s">
        <v>2648</v>
      </c>
      <c r="Q646" s="431"/>
      <c r="R646" s="431"/>
      <c r="S646" s="426" t="s">
        <v>3132</v>
      </c>
      <c r="T646" s="426" t="s">
        <v>3374</v>
      </c>
      <c r="U646" s="426" t="s">
        <v>3239</v>
      </c>
      <c r="V646" s="426" t="s">
        <v>3066</v>
      </c>
      <c r="W646" s="426" t="s">
        <v>3410</v>
      </c>
      <c r="X646" s="426" t="s">
        <v>2939</v>
      </c>
      <c r="Y646" s="426" t="s">
        <v>3348</v>
      </c>
      <c r="Z646" s="426" t="s">
        <v>3367</v>
      </c>
      <c r="AA646" s="426" t="s">
        <v>2646</v>
      </c>
      <c r="AB646" s="426" t="s">
        <v>2646</v>
      </c>
      <c r="AC646" s="426" t="s">
        <v>2646</v>
      </c>
      <c r="AD646" s="426" t="s">
        <v>2646</v>
      </c>
      <c r="AE646" s="426" t="s">
        <v>2646</v>
      </c>
      <c r="AF646" s="426" t="s">
        <v>2646</v>
      </c>
      <c r="AG646" s="426" t="s">
        <v>2646</v>
      </c>
      <c r="AH646" s="426" t="s">
        <v>2646</v>
      </c>
      <c r="AI646" s="426" t="s">
        <v>2646</v>
      </c>
      <c r="AJ646" s="68" t="s">
        <v>2646</v>
      </c>
    </row>
    <row r="647" spans="1:36" hidden="1">
      <c r="A647" s="392" t="s">
        <v>1931</v>
      </c>
      <c r="B647" s="427" t="s">
        <v>2651</v>
      </c>
      <c r="C647" s="433" t="s">
        <v>3256</v>
      </c>
      <c r="D647" s="433" t="s">
        <v>3734</v>
      </c>
      <c r="E647" s="433" t="s">
        <v>2654</v>
      </c>
      <c r="F647" s="433" t="s">
        <v>2654</v>
      </c>
      <c r="G647" s="433" t="s">
        <v>2654</v>
      </c>
      <c r="H647" s="433" t="s">
        <v>2654</v>
      </c>
      <c r="I647" s="433" t="s">
        <v>2654</v>
      </c>
      <c r="J647" s="433" t="s">
        <v>2654</v>
      </c>
      <c r="K647" s="433" t="s">
        <v>2654</v>
      </c>
      <c r="L647" s="433" t="s">
        <v>2654</v>
      </c>
      <c r="M647" s="433" t="s">
        <v>2654</v>
      </c>
      <c r="N647" s="433" t="s">
        <v>2654</v>
      </c>
      <c r="O647" s="433" t="s">
        <v>2654</v>
      </c>
      <c r="P647" s="433" t="s">
        <v>2650</v>
      </c>
      <c r="Q647" s="431"/>
      <c r="R647" s="431"/>
      <c r="S647" s="426" t="s">
        <v>3137</v>
      </c>
      <c r="T647" s="426" t="s">
        <v>2797</v>
      </c>
      <c r="U647" s="426" t="s">
        <v>3456</v>
      </c>
      <c r="V647" s="426" t="s">
        <v>3245</v>
      </c>
      <c r="W647" s="426" t="s">
        <v>3276</v>
      </c>
      <c r="X647" s="426" t="s">
        <v>2939</v>
      </c>
      <c r="Y647" s="426" t="s">
        <v>3213</v>
      </c>
      <c r="Z647" s="426" t="s">
        <v>3370</v>
      </c>
      <c r="AA647" s="426" t="s">
        <v>2646</v>
      </c>
      <c r="AB647" s="426" t="s">
        <v>2646</v>
      </c>
      <c r="AC647" s="426" t="s">
        <v>2646</v>
      </c>
      <c r="AD647" s="426" t="s">
        <v>2646</v>
      </c>
      <c r="AE647" s="426" t="s">
        <v>2646</v>
      </c>
      <c r="AF647" s="426" t="s">
        <v>2646</v>
      </c>
      <c r="AG647" s="426" t="s">
        <v>2646</v>
      </c>
      <c r="AH647" s="426" t="s">
        <v>2646</v>
      </c>
      <c r="AI647" s="426" t="s">
        <v>2646</v>
      </c>
      <c r="AJ647" s="68" t="s">
        <v>2646</v>
      </c>
    </row>
    <row r="648" spans="1:36">
      <c r="A648" s="392" t="s">
        <v>1931</v>
      </c>
      <c r="B648" s="427" t="s">
        <v>48</v>
      </c>
      <c r="C648" s="433" t="s">
        <v>3936</v>
      </c>
      <c r="D648" s="433" t="s">
        <v>3972</v>
      </c>
      <c r="E648" s="433" t="s">
        <v>2654</v>
      </c>
      <c r="F648" s="433" t="s">
        <v>2654</v>
      </c>
      <c r="G648" s="433" t="s">
        <v>2654</v>
      </c>
      <c r="H648" s="433" t="s">
        <v>2654</v>
      </c>
      <c r="I648" s="433" t="s">
        <v>2654</v>
      </c>
      <c r="J648" s="433" t="s">
        <v>2654</v>
      </c>
      <c r="K648" s="433" t="s">
        <v>2654</v>
      </c>
      <c r="L648" s="433" t="s">
        <v>2654</v>
      </c>
      <c r="M648" s="433" t="s">
        <v>2654</v>
      </c>
      <c r="N648" s="433" t="s">
        <v>2654</v>
      </c>
      <c r="O648" s="433" t="s">
        <v>2654</v>
      </c>
      <c r="P648" s="433" t="s">
        <v>3394</v>
      </c>
      <c r="Q648" s="433" t="s">
        <v>2654</v>
      </c>
      <c r="R648" s="433" t="s">
        <v>2654</v>
      </c>
      <c r="S648" s="426"/>
      <c r="T648" s="426"/>
      <c r="U648" s="426"/>
      <c r="V648" s="426"/>
      <c r="W648" s="426"/>
      <c r="X648" s="426"/>
      <c r="Y648" s="426"/>
      <c r="Z648" s="426"/>
      <c r="AA648" s="426"/>
      <c r="AB648" s="426"/>
      <c r="AC648" s="426"/>
      <c r="AD648" s="426"/>
      <c r="AE648" s="426"/>
      <c r="AF648" s="426"/>
      <c r="AG648" s="426"/>
      <c r="AH648" s="426"/>
      <c r="AI648" s="426"/>
    </row>
    <row r="649" spans="1:36" ht="13.5" hidden="1">
      <c r="A649" s="296" t="s">
        <v>1932</v>
      </c>
      <c r="B649" s="427" t="s">
        <v>2647</v>
      </c>
      <c r="C649" s="433" t="s">
        <v>3767</v>
      </c>
      <c r="D649" s="433" t="s">
        <v>2676</v>
      </c>
      <c r="E649" s="433" t="s">
        <v>2654</v>
      </c>
      <c r="F649" s="433" t="s">
        <v>2654</v>
      </c>
      <c r="G649" s="433" t="s">
        <v>2654</v>
      </c>
      <c r="H649" s="433" t="s">
        <v>2654</v>
      </c>
      <c r="I649" s="433" t="s">
        <v>2654</v>
      </c>
      <c r="J649" s="433" t="s">
        <v>2654</v>
      </c>
      <c r="K649" s="433" t="s">
        <v>2654</v>
      </c>
      <c r="L649" s="433" t="s">
        <v>2654</v>
      </c>
      <c r="M649" s="433" t="s">
        <v>2654</v>
      </c>
      <c r="N649" s="433" t="s">
        <v>2654</v>
      </c>
      <c r="O649" s="433" t="s">
        <v>2654</v>
      </c>
      <c r="P649" s="433" t="s">
        <v>2647</v>
      </c>
      <c r="Q649" s="431"/>
      <c r="R649" s="431"/>
      <c r="S649" s="426" t="s">
        <v>2844</v>
      </c>
      <c r="T649" s="426" t="s">
        <v>2646</v>
      </c>
      <c r="U649" s="426" t="s">
        <v>2646</v>
      </c>
      <c r="V649" s="426" t="s">
        <v>2646</v>
      </c>
      <c r="W649" s="426" t="s">
        <v>2646</v>
      </c>
      <c r="X649" s="426" t="s">
        <v>2646</v>
      </c>
      <c r="Y649" s="426" t="s">
        <v>2646</v>
      </c>
      <c r="Z649" s="426" t="s">
        <v>2646</v>
      </c>
      <c r="AA649" s="426" t="s">
        <v>2646</v>
      </c>
      <c r="AB649" s="426" t="s">
        <v>2646</v>
      </c>
      <c r="AC649" s="426" t="s">
        <v>2646</v>
      </c>
      <c r="AD649" s="426" t="s">
        <v>2646</v>
      </c>
      <c r="AE649" s="426" t="s">
        <v>2646</v>
      </c>
      <c r="AF649" s="426" t="s">
        <v>2646</v>
      </c>
      <c r="AG649" s="426" t="s">
        <v>2646</v>
      </c>
      <c r="AH649" s="426" t="s">
        <v>2646</v>
      </c>
      <c r="AI649" s="426" t="s">
        <v>2646</v>
      </c>
      <c r="AJ649" s="68" t="s">
        <v>2646</v>
      </c>
    </row>
    <row r="650" spans="1:36" ht="13.5" hidden="1">
      <c r="A650" s="296" t="s">
        <v>1933</v>
      </c>
      <c r="B650" s="427" t="s">
        <v>2648</v>
      </c>
      <c r="C650" s="433" t="s">
        <v>3726</v>
      </c>
      <c r="D650" s="433" t="s">
        <v>2777</v>
      </c>
      <c r="E650" s="433" t="s">
        <v>2654</v>
      </c>
      <c r="F650" s="433" t="s">
        <v>2654</v>
      </c>
      <c r="G650" s="433" t="s">
        <v>2654</v>
      </c>
      <c r="H650" s="433" t="s">
        <v>2654</v>
      </c>
      <c r="I650" s="433" t="s">
        <v>2654</v>
      </c>
      <c r="J650" s="433" t="s">
        <v>2654</v>
      </c>
      <c r="K650" s="433" t="s">
        <v>2654</v>
      </c>
      <c r="L650" s="433" t="s">
        <v>2654</v>
      </c>
      <c r="M650" s="433" t="s">
        <v>2654</v>
      </c>
      <c r="N650" s="433" t="s">
        <v>2654</v>
      </c>
      <c r="O650" s="433" t="s">
        <v>2654</v>
      </c>
      <c r="P650" s="433" t="s">
        <v>2650</v>
      </c>
      <c r="Q650" s="431"/>
      <c r="R650" s="431"/>
      <c r="S650" s="426" t="s">
        <v>316</v>
      </c>
      <c r="T650" s="426" t="s">
        <v>2646</v>
      </c>
      <c r="U650" s="426" t="s">
        <v>2646</v>
      </c>
      <c r="V650" s="426" t="s">
        <v>2646</v>
      </c>
      <c r="W650" s="426" t="s">
        <v>2646</v>
      </c>
      <c r="X650" s="426" t="s">
        <v>2646</v>
      </c>
      <c r="Y650" s="426" t="s">
        <v>2646</v>
      </c>
      <c r="Z650" s="426" t="s">
        <v>2646</v>
      </c>
      <c r="AA650" s="426" t="s">
        <v>2646</v>
      </c>
      <c r="AB650" s="426" t="s">
        <v>2646</v>
      </c>
      <c r="AC650" s="426" t="s">
        <v>2646</v>
      </c>
      <c r="AD650" s="426" t="s">
        <v>2646</v>
      </c>
      <c r="AE650" s="426" t="s">
        <v>2646</v>
      </c>
      <c r="AF650" s="426" t="s">
        <v>2646</v>
      </c>
      <c r="AG650" s="426" t="s">
        <v>2646</v>
      </c>
      <c r="AH650" s="426" t="s">
        <v>2646</v>
      </c>
      <c r="AI650" s="426" t="s">
        <v>2646</v>
      </c>
      <c r="AJ650" s="68" t="s">
        <v>2646</v>
      </c>
    </row>
    <row r="651" spans="1:36" ht="13.5" hidden="1">
      <c r="A651" s="296" t="s">
        <v>1934</v>
      </c>
      <c r="B651" s="427" t="s">
        <v>2649</v>
      </c>
      <c r="C651" s="433" t="s">
        <v>3726</v>
      </c>
      <c r="D651" s="433" t="s">
        <v>2777</v>
      </c>
      <c r="E651" s="433" t="s">
        <v>2654</v>
      </c>
      <c r="F651" s="433" t="s">
        <v>2654</v>
      </c>
      <c r="G651" s="433" t="s">
        <v>2654</v>
      </c>
      <c r="H651" s="433" t="s">
        <v>2654</v>
      </c>
      <c r="I651" s="433" t="s">
        <v>2654</v>
      </c>
      <c r="J651" s="433" t="s">
        <v>2654</v>
      </c>
      <c r="K651" s="433" t="s">
        <v>2654</v>
      </c>
      <c r="L651" s="433" t="s">
        <v>2654</v>
      </c>
      <c r="M651" s="433" t="s">
        <v>2654</v>
      </c>
      <c r="N651" s="433" t="s">
        <v>2654</v>
      </c>
      <c r="O651" s="433" t="s">
        <v>2654</v>
      </c>
      <c r="P651" s="433" t="s">
        <v>2648</v>
      </c>
      <c r="Q651" s="431"/>
      <c r="R651" s="431"/>
      <c r="S651" s="426" t="s">
        <v>3501</v>
      </c>
      <c r="T651" s="426" t="s">
        <v>2646</v>
      </c>
      <c r="U651" s="426" t="s">
        <v>2646</v>
      </c>
      <c r="V651" s="426" t="s">
        <v>2646</v>
      </c>
      <c r="W651" s="426" t="s">
        <v>2646</v>
      </c>
      <c r="X651" s="426" t="s">
        <v>2646</v>
      </c>
      <c r="Y651" s="426" t="s">
        <v>2646</v>
      </c>
      <c r="Z651" s="426" t="s">
        <v>2646</v>
      </c>
      <c r="AA651" s="426" t="s">
        <v>2646</v>
      </c>
      <c r="AB651" s="426" t="s">
        <v>2646</v>
      </c>
      <c r="AC651" s="426" t="s">
        <v>2646</v>
      </c>
      <c r="AD651" s="426" t="s">
        <v>2646</v>
      </c>
      <c r="AE651" s="426" t="s">
        <v>2646</v>
      </c>
      <c r="AF651" s="426" t="s">
        <v>2646</v>
      </c>
      <c r="AG651" s="426" t="s">
        <v>2646</v>
      </c>
      <c r="AH651" s="426" t="s">
        <v>2646</v>
      </c>
      <c r="AI651" s="426" t="s">
        <v>2646</v>
      </c>
      <c r="AJ651" s="68" t="s">
        <v>2646</v>
      </c>
    </row>
    <row r="652" spans="1:36" ht="13.5" hidden="1">
      <c r="A652" s="296" t="s">
        <v>1935</v>
      </c>
      <c r="B652" s="427" t="s">
        <v>2650</v>
      </c>
      <c r="C652" s="433" t="s">
        <v>3512</v>
      </c>
      <c r="D652" s="433" t="s">
        <v>2731</v>
      </c>
      <c r="E652" s="433" t="s">
        <v>2654</v>
      </c>
      <c r="F652" s="433" t="s">
        <v>2654</v>
      </c>
      <c r="G652" s="433" t="s">
        <v>2654</v>
      </c>
      <c r="H652" s="433" t="s">
        <v>2654</v>
      </c>
      <c r="I652" s="433" t="s">
        <v>2654</v>
      </c>
      <c r="J652" s="433" t="s">
        <v>2654</v>
      </c>
      <c r="K652" s="433" t="s">
        <v>2654</v>
      </c>
      <c r="L652" s="433" t="s">
        <v>2654</v>
      </c>
      <c r="M652" s="433" t="s">
        <v>2654</v>
      </c>
      <c r="N652" s="433" t="s">
        <v>2654</v>
      </c>
      <c r="O652" s="433" t="s">
        <v>2654</v>
      </c>
      <c r="P652" s="433" t="s">
        <v>2648</v>
      </c>
      <c r="Q652" s="431"/>
      <c r="R652" s="431"/>
      <c r="S652" s="426" t="s">
        <v>2655</v>
      </c>
      <c r="T652" s="426" t="s">
        <v>2646</v>
      </c>
      <c r="U652" s="426" t="s">
        <v>2646</v>
      </c>
      <c r="V652" s="426" t="s">
        <v>2646</v>
      </c>
      <c r="W652" s="426" t="s">
        <v>2646</v>
      </c>
      <c r="X652" s="426" t="s">
        <v>2646</v>
      </c>
      <c r="Y652" s="426" t="s">
        <v>2646</v>
      </c>
      <c r="Z652" s="426" t="s">
        <v>2646</v>
      </c>
      <c r="AA652" s="426" t="s">
        <v>2646</v>
      </c>
      <c r="AB652" s="426" t="s">
        <v>2646</v>
      </c>
      <c r="AC652" s="426" t="s">
        <v>2646</v>
      </c>
      <c r="AD652" s="426" t="s">
        <v>2646</v>
      </c>
      <c r="AE652" s="426" t="s">
        <v>2646</v>
      </c>
      <c r="AF652" s="426" t="s">
        <v>2646</v>
      </c>
      <c r="AG652" s="426" t="s">
        <v>2646</v>
      </c>
      <c r="AH652" s="426" t="s">
        <v>2646</v>
      </c>
      <c r="AI652" s="426" t="s">
        <v>2646</v>
      </c>
      <c r="AJ652" s="68" t="s">
        <v>2646</v>
      </c>
    </row>
    <row r="653" spans="1:36" ht="13.5" hidden="1">
      <c r="A653" s="296" t="s">
        <v>1936</v>
      </c>
      <c r="B653" s="427" t="s">
        <v>2651</v>
      </c>
      <c r="C653" s="433" t="s">
        <v>3737</v>
      </c>
      <c r="D653" s="433" t="s">
        <v>2777</v>
      </c>
      <c r="E653" s="433" t="s">
        <v>2654</v>
      </c>
      <c r="F653" s="433" t="s">
        <v>2654</v>
      </c>
      <c r="G653" s="433" t="s">
        <v>2654</v>
      </c>
      <c r="H653" s="433" t="s">
        <v>2654</v>
      </c>
      <c r="I653" s="433" t="s">
        <v>2654</v>
      </c>
      <c r="J653" s="433" t="s">
        <v>2654</v>
      </c>
      <c r="K653" s="433" t="s">
        <v>2654</v>
      </c>
      <c r="L653" s="433" t="s">
        <v>2654</v>
      </c>
      <c r="M653" s="433" t="s">
        <v>2654</v>
      </c>
      <c r="N653" s="433" t="s">
        <v>2654</v>
      </c>
      <c r="O653" s="433" t="s">
        <v>2654</v>
      </c>
      <c r="P653" s="433" t="s">
        <v>4083</v>
      </c>
      <c r="Q653" s="431"/>
      <c r="R653" s="431"/>
      <c r="S653" s="426" t="s">
        <v>3124</v>
      </c>
      <c r="T653" s="426" t="s">
        <v>2646</v>
      </c>
      <c r="U653" s="426" t="s">
        <v>2646</v>
      </c>
      <c r="V653" s="426" t="s">
        <v>2646</v>
      </c>
      <c r="W653" s="426" t="s">
        <v>2646</v>
      </c>
      <c r="X653" s="426" t="s">
        <v>2646</v>
      </c>
      <c r="Y653" s="426" t="s">
        <v>2646</v>
      </c>
      <c r="Z653" s="426" t="s">
        <v>2646</v>
      </c>
      <c r="AA653" s="426" t="s">
        <v>2646</v>
      </c>
      <c r="AB653" s="426" t="s">
        <v>2646</v>
      </c>
      <c r="AC653" s="426" t="s">
        <v>2646</v>
      </c>
      <c r="AD653" s="426" t="s">
        <v>2646</v>
      </c>
      <c r="AE653" s="426" t="s">
        <v>2646</v>
      </c>
      <c r="AF653" s="426" t="s">
        <v>2646</v>
      </c>
      <c r="AG653" s="426" t="s">
        <v>2646</v>
      </c>
      <c r="AH653" s="426" t="s">
        <v>2646</v>
      </c>
      <c r="AI653" s="426" t="s">
        <v>2646</v>
      </c>
      <c r="AJ653" s="68" t="s">
        <v>2646</v>
      </c>
    </row>
    <row r="654" spans="1:36" ht="13.5">
      <c r="A654" s="296" t="s">
        <v>1936</v>
      </c>
      <c r="B654" s="427" t="s">
        <v>48</v>
      </c>
      <c r="C654" s="433" t="s">
        <v>4364</v>
      </c>
      <c r="D654" s="433" t="s">
        <v>3255</v>
      </c>
      <c r="E654" s="433" t="s">
        <v>2654</v>
      </c>
      <c r="F654" s="433" t="s">
        <v>2654</v>
      </c>
      <c r="G654" s="433" t="s">
        <v>2654</v>
      </c>
      <c r="H654" s="433" t="s">
        <v>2654</v>
      </c>
      <c r="I654" s="433" t="s">
        <v>2654</v>
      </c>
      <c r="J654" s="433" t="s">
        <v>2654</v>
      </c>
      <c r="K654" s="433" t="s">
        <v>2654</v>
      </c>
      <c r="L654" s="433" t="s">
        <v>2654</v>
      </c>
      <c r="M654" s="433" t="s">
        <v>2654</v>
      </c>
      <c r="N654" s="433" t="s">
        <v>2654</v>
      </c>
      <c r="O654" s="433" t="s">
        <v>2654</v>
      </c>
      <c r="P654" s="433" t="s">
        <v>2656</v>
      </c>
      <c r="Q654" s="433" t="s">
        <v>2654</v>
      </c>
      <c r="R654" s="433" t="s">
        <v>2654</v>
      </c>
      <c r="S654" s="426"/>
      <c r="T654" s="426"/>
      <c r="U654" s="426"/>
      <c r="V654" s="426"/>
      <c r="W654" s="426"/>
      <c r="X654" s="426"/>
      <c r="Y654" s="426"/>
      <c r="Z654" s="426"/>
      <c r="AA654" s="426"/>
      <c r="AB654" s="426"/>
      <c r="AC654" s="426"/>
      <c r="AD654" s="426"/>
      <c r="AE654" s="426"/>
      <c r="AF654" s="426"/>
      <c r="AG654" s="426"/>
      <c r="AH654" s="426"/>
      <c r="AI654" s="426"/>
    </row>
    <row r="655" spans="1:36" ht="13.5" hidden="1">
      <c r="A655" s="296" t="s">
        <v>1937</v>
      </c>
      <c r="B655" s="427" t="s">
        <v>2647</v>
      </c>
      <c r="C655" s="433" t="s">
        <v>3979</v>
      </c>
      <c r="D655" s="433" t="s">
        <v>2833</v>
      </c>
      <c r="E655" s="433" t="s">
        <v>2654</v>
      </c>
      <c r="F655" s="433" t="s">
        <v>2654</v>
      </c>
      <c r="G655" s="433" t="s">
        <v>2654</v>
      </c>
      <c r="H655" s="433" t="s">
        <v>2654</v>
      </c>
      <c r="I655" s="433" t="s">
        <v>2654</v>
      </c>
      <c r="J655" s="433" t="s">
        <v>2654</v>
      </c>
      <c r="K655" s="433" t="s">
        <v>2654</v>
      </c>
      <c r="L655" s="433" t="s">
        <v>2654</v>
      </c>
      <c r="M655" s="433" t="s">
        <v>2654</v>
      </c>
      <c r="N655" s="433" t="s">
        <v>2654</v>
      </c>
      <c r="O655" s="433" t="s">
        <v>2654</v>
      </c>
      <c r="P655" s="433" t="s">
        <v>4143</v>
      </c>
      <c r="Q655" s="431"/>
      <c r="R655" s="431"/>
      <c r="S655" s="426" t="s">
        <v>3194</v>
      </c>
      <c r="T655" s="426" t="s">
        <v>2646</v>
      </c>
      <c r="U655" s="426" t="s">
        <v>2646</v>
      </c>
      <c r="V655" s="426" t="s">
        <v>2646</v>
      </c>
      <c r="W655" s="426" t="s">
        <v>2646</v>
      </c>
      <c r="X655" s="426" t="s">
        <v>2646</v>
      </c>
      <c r="Y655" s="426" t="s">
        <v>2646</v>
      </c>
      <c r="Z655" s="426" t="s">
        <v>2646</v>
      </c>
      <c r="AA655" s="426" t="s">
        <v>2646</v>
      </c>
      <c r="AB655" s="426" t="s">
        <v>2646</v>
      </c>
      <c r="AC655" s="426" t="s">
        <v>2646</v>
      </c>
      <c r="AD655" s="426" t="s">
        <v>2646</v>
      </c>
      <c r="AE655" s="426" t="s">
        <v>2646</v>
      </c>
      <c r="AF655" s="426" t="s">
        <v>2646</v>
      </c>
      <c r="AG655" s="426" t="s">
        <v>2646</v>
      </c>
      <c r="AH655" s="426" t="s">
        <v>2646</v>
      </c>
      <c r="AI655" s="426" t="s">
        <v>2646</v>
      </c>
      <c r="AJ655" s="68" t="s">
        <v>2646</v>
      </c>
    </row>
    <row r="656" spans="1:36" ht="13.5" hidden="1">
      <c r="A656" s="296" t="s">
        <v>1938</v>
      </c>
      <c r="B656" s="427" t="s">
        <v>2648</v>
      </c>
      <c r="C656" s="433" t="s">
        <v>3583</v>
      </c>
      <c r="D656" s="433" t="s">
        <v>2720</v>
      </c>
      <c r="E656" s="433" t="s">
        <v>2654</v>
      </c>
      <c r="F656" s="433" t="s">
        <v>2654</v>
      </c>
      <c r="G656" s="433" t="s">
        <v>2654</v>
      </c>
      <c r="H656" s="433" t="s">
        <v>2654</v>
      </c>
      <c r="I656" s="433" t="s">
        <v>2654</v>
      </c>
      <c r="J656" s="433" t="s">
        <v>2654</v>
      </c>
      <c r="K656" s="433" t="s">
        <v>2654</v>
      </c>
      <c r="L656" s="433" t="s">
        <v>2654</v>
      </c>
      <c r="M656" s="433" t="s">
        <v>2654</v>
      </c>
      <c r="N656" s="433" t="s">
        <v>2654</v>
      </c>
      <c r="O656" s="433" t="s">
        <v>2654</v>
      </c>
      <c r="P656" s="433" t="s">
        <v>2650</v>
      </c>
      <c r="Q656" s="431"/>
      <c r="R656" s="431"/>
      <c r="S656" s="426" t="s">
        <v>3187</v>
      </c>
      <c r="T656" s="426" t="s">
        <v>2646</v>
      </c>
      <c r="U656" s="426" t="s">
        <v>2646</v>
      </c>
      <c r="V656" s="426" t="s">
        <v>2646</v>
      </c>
      <c r="W656" s="426" t="s">
        <v>2646</v>
      </c>
      <c r="X656" s="426" t="s">
        <v>2646</v>
      </c>
      <c r="Y656" s="426" t="s">
        <v>2646</v>
      </c>
      <c r="Z656" s="426" t="s">
        <v>2646</v>
      </c>
      <c r="AA656" s="426" t="s">
        <v>2646</v>
      </c>
      <c r="AB656" s="426" t="s">
        <v>2646</v>
      </c>
      <c r="AC656" s="426" t="s">
        <v>2646</v>
      </c>
      <c r="AD656" s="426" t="s">
        <v>2646</v>
      </c>
      <c r="AE656" s="426" t="s">
        <v>2646</v>
      </c>
      <c r="AF656" s="426" t="s">
        <v>2646</v>
      </c>
      <c r="AG656" s="426" t="s">
        <v>2646</v>
      </c>
      <c r="AH656" s="426" t="s">
        <v>2646</v>
      </c>
      <c r="AI656" s="426" t="s">
        <v>2646</v>
      </c>
      <c r="AJ656" s="68" t="s">
        <v>2646</v>
      </c>
    </row>
    <row r="657" spans="1:36" ht="13.5" hidden="1">
      <c r="A657" s="296" t="s">
        <v>1939</v>
      </c>
      <c r="B657" s="427" t="s">
        <v>2649</v>
      </c>
      <c r="C657" s="433" t="s">
        <v>3521</v>
      </c>
      <c r="D657" s="433" t="s">
        <v>3233</v>
      </c>
      <c r="E657" s="433" t="s">
        <v>2654</v>
      </c>
      <c r="F657" s="433" t="s">
        <v>2654</v>
      </c>
      <c r="G657" s="433" t="s">
        <v>2654</v>
      </c>
      <c r="H657" s="433" t="s">
        <v>2654</v>
      </c>
      <c r="I657" s="433" t="s">
        <v>2654</v>
      </c>
      <c r="J657" s="433" t="s">
        <v>2654</v>
      </c>
      <c r="K657" s="433" t="s">
        <v>2654</v>
      </c>
      <c r="L657" s="433" t="s">
        <v>2654</v>
      </c>
      <c r="M657" s="433" t="s">
        <v>2654</v>
      </c>
      <c r="N657" s="433" t="s">
        <v>2654</v>
      </c>
      <c r="O657" s="433" t="s">
        <v>2654</v>
      </c>
      <c r="P657" s="433" t="s">
        <v>2649</v>
      </c>
      <c r="Q657" s="431"/>
      <c r="R657" s="431"/>
      <c r="S657" s="426" t="s">
        <v>2673</v>
      </c>
      <c r="T657" s="426" t="s">
        <v>2646</v>
      </c>
      <c r="U657" s="426" t="s">
        <v>2646</v>
      </c>
      <c r="V657" s="426" t="s">
        <v>2646</v>
      </c>
      <c r="W657" s="426" t="s">
        <v>2646</v>
      </c>
      <c r="X657" s="426" t="s">
        <v>2646</v>
      </c>
      <c r="Y657" s="426" t="s">
        <v>2646</v>
      </c>
      <c r="Z657" s="426" t="s">
        <v>2646</v>
      </c>
      <c r="AA657" s="426" t="s">
        <v>2646</v>
      </c>
      <c r="AB657" s="426" t="s">
        <v>2646</v>
      </c>
      <c r="AC657" s="426" t="s">
        <v>2646</v>
      </c>
      <c r="AD657" s="426" t="s">
        <v>2646</v>
      </c>
      <c r="AE657" s="426" t="s">
        <v>2646</v>
      </c>
      <c r="AF657" s="426" t="s">
        <v>2646</v>
      </c>
      <c r="AG657" s="426" t="s">
        <v>2646</v>
      </c>
      <c r="AH657" s="426" t="s">
        <v>2646</v>
      </c>
      <c r="AI657" s="426" t="s">
        <v>2646</v>
      </c>
      <c r="AJ657" s="68" t="s">
        <v>2646</v>
      </c>
    </row>
    <row r="658" spans="1:36" hidden="1">
      <c r="A658" s="68" t="s">
        <v>1940</v>
      </c>
      <c r="B658" s="427" t="s">
        <v>2650</v>
      </c>
      <c r="C658" s="433" t="s">
        <v>3184</v>
      </c>
      <c r="D658" s="433" t="s">
        <v>2833</v>
      </c>
      <c r="E658" s="433" t="s">
        <v>2654</v>
      </c>
      <c r="F658" s="433" t="s">
        <v>2654</v>
      </c>
      <c r="G658" s="433" t="s">
        <v>2654</v>
      </c>
      <c r="H658" s="433" t="s">
        <v>2654</v>
      </c>
      <c r="I658" s="433" t="s">
        <v>2654</v>
      </c>
      <c r="J658" s="433" t="s">
        <v>2654</v>
      </c>
      <c r="K658" s="433" t="s">
        <v>2654</v>
      </c>
      <c r="L658" s="433" t="s">
        <v>2654</v>
      </c>
      <c r="M658" s="433" t="s">
        <v>2654</v>
      </c>
      <c r="N658" s="433" t="s">
        <v>2654</v>
      </c>
      <c r="O658" s="433" t="s">
        <v>2654</v>
      </c>
      <c r="P658" s="433" t="s">
        <v>2650</v>
      </c>
      <c r="Q658" s="431"/>
      <c r="R658" s="431"/>
      <c r="S658" s="426" t="s">
        <v>2660</v>
      </c>
      <c r="T658" s="426" t="s">
        <v>2646</v>
      </c>
      <c r="U658" s="426" t="s">
        <v>2646</v>
      </c>
      <c r="V658" s="426" t="s">
        <v>2646</v>
      </c>
      <c r="W658" s="426" t="s">
        <v>2646</v>
      </c>
      <c r="X658" s="426" t="s">
        <v>2646</v>
      </c>
      <c r="Y658" s="426" t="s">
        <v>2646</v>
      </c>
      <c r="Z658" s="426" t="s">
        <v>2646</v>
      </c>
      <c r="AA658" s="426" t="s">
        <v>2646</v>
      </c>
      <c r="AB658" s="426" t="s">
        <v>2646</v>
      </c>
      <c r="AC658" s="426" t="s">
        <v>2646</v>
      </c>
      <c r="AD658" s="426" t="s">
        <v>2646</v>
      </c>
      <c r="AE658" s="426" t="s">
        <v>2646</v>
      </c>
      <c r="AF658" s="426" t="s">
        <v>2646</v>
      </c>
      <c r="AG658" s="426" t="s">
        <v>2646</v>
      </c>
      <c r="AH658" s="426" t="s">
        <v>2646</v>
      </c>
      <c r="AI658" s="426" t="s">
        <v>2646</v>
      </c>
      <c r="AJ658" s="68" t="s">
        <v>2646</v>
      </c>
    </row>
    <row r="659" spans="1:36" hidden="1">
      <c r="A659" s="68" t="s">
        <v>1941</v>
      </c>
      <c r="B659" s="427" t="s">
        <v>2651</v>
      </c>
      <c r="C659" s="433" t="s">
        <v>3382</v>
      </c>
      <c r="D659" s="433" t="s">
        <v>3018</v>
      </c>
      <c r="E659" s="433" t="s">
        <v>2654</v>
      </c>
      <c r="F659" s="433" t="s">
        <v>2654</v>
      </c>
      <c r="G659" s="433" t="s">
        <v>2654</v>
      </c>
      <c r="H659" s="433" t="s">
        <v>2654</v>
      </c>
      <c r="I659" s="433" t="s">
        <v>2654</v>
      </c>
      <c r="J659" s="433" t="s">
        <v>2654</v>
      </c>
      <c r="K659" s="433" t="s">
        <v>2654</v>
      </c>
      <c r="L659" s="433" t="s">
        <v>2654</v>
      </c>
      <c r="M659" s="433" t="s">
        <v>2654</v>
      </c>
      <c r="N659" s="433" t="s">
        <v>2654</v>
      </c>
      <c r="O659" s="433" t="s">
        <v>2654</v>
      </c>
      <c r="P659" s="433" t="s">
        <v>2651</v>
      </c>
      <c r="Q659" s="431"/>
      <c r="R659" s="431"/>
      <c r="S659" s="426" t="s">
        <v>2665</v>
      </c>
      <c r="T659" s="426" t="s">
        <v>2646</v>
      </c>
      <c r="U659" s="426" t="s">
        <v>2646</v>
      </c>
      <c r="V659" s="426" t="s">
        <v>2646</v>
      </c>
      <c r="W659" s="426" t="s">
        <v>2646</v>
      </c>
      <c r="X659" s="426" t="s">
        <v>2646</v>
      </c>
      <c r="Y659" s="426" t="s">
        <v>2646</v>
      </c>
      <c r="Z659" s="426" t="s">
        <v>2646</v>
      </c>
      <c r="AA659" s="426" t="s">
        <v>2646</v>
      </c>
      <c r="AB659" s="426" t="s">
        <v>2646</v>
      </c>
      <c r="AC659" s="426" t="s">
        <v>2646</v>
      </c>
      <c r="AD659" s="426" t="s">
        <v>2646</v>
      </c>
      <c r="AE659" s="426" t="s">
        <v>2646</v>
      </c>
      <c r="AF659" s="426" t="s">
        <v>2646</v>
      </c>
      <c r="AG659" s="426" t="s">
        <v>2646</v>
      </c>
      <c r="AH659" s="426" t="s">
        <v>2646</v>
      </c>
      <c r="AI659" s="426" t="s">
        <v>2646</v>
      </c>
      <c r="AJ659" s="68" t="s">
        <v>2646</v>
      </c>
    </row>
    <row r="660" spans="1:36">
      <c r="A660" s="68" t="s">
        <v>1941</v>
      </c>
      <c r="B660" s="427" t="s">
        <v>48</v>
      </c>
      <c r="C660" s="433" t="s">
        <v>4365</v>
      </c>
      <c r="D660" s="433" t="s">
        <v>3853</v>
      </c>
      <c r="E660" s="433" t="s">
        <v>2654</v>
      </c>
      <c r="F660" s="433" t="s">
        <v>2654</v>
      </c>
      <c r="G660" s="433" t="s">
        <v>2654</v>
      </c>
      <c r="H660" s="433" t="s">
        <v>2654</v>
      </c>
      <c r="I660" s="433" t="s">
        <v>2654</v>
      </c>
      <c r="J660" s="433" t="s">
        <v>2654</v>
      </c>
      <c r="K660" s="433" t="s">
        <v>2654</v>
      </c>
      <c r="L660" s="433" t="s">
        <v>2654</v>
      </c>
      <c r="M660" s="433" t="s">
        <v>2654</v>
      </c>
      <c r="N660" s="433" t="s">
        <v>2654</v>
      </c>
      <c r="O660" s="433" t="s">
        <v>2654</v>
      </c>
      <c r="P660" s="433" t="s">
        <v>3666</v>
      </c>
      <c r="Q660" s="433" t="s">
        <v>2654</v>
      </c>
      <c r="R660" s="433" t="s">
        <v>2654</v>
      </c>
      <c r="S660" s="426"/>
      <c r="T660" s="426"/>
      <c r="U660" s="426"/>
      <c r="V660" s="426"/>
      <c r="W660" s="426"/>
      <c r="X660" s="426"/>
      <c r="Y660" s="426"/>
      <c r="Z660" s="426"/>
      <c r="AA660" s="426"/>
      <c r="AB660" s="426"/>
      <c r="AC660" s="426"/>
      <c r="AD660" s="426"/>
      <c r="AE660" s="426"/>
      <c r="AF660" s="426"/>
      <c r="AG660" s="426"/>
      <c r="AH660" s="426"/>
      <c r="AI660" s="426"/>
    </row>
    <row r="661" spans="1:36" hidden="1">
      <c r="A661" s="68" t="s">
        <v>1942</v>
      </c>
      <c r="B661" s="427" t="s">
        <v>2647</v>
      </c>
      <c r="C661" s="433" t="s">
        <v>3973</v>
      </c>
      <c r="D661" s="433" t="s">
        <v>3247</v>
      </c>
      <c r="E661" s="433" t="s">
        <v>2654</v>
      </c>
      <c r="F661" s="433" t="s">
        <v>2654</v>
      </c>
      <c r="G661" s="433" t="s">
        <v>2654</v>
      </c>
      <c r="H661" s="433" t="s">
        <v>2654</v>
      </c>
      <c r="I661" s="433" t="s">
        <v>2654</v>
      </c>
      <c r="J661" s="433" t="s">
        <v>2654</v>
      </c>
      <c r="K661" s="433" t="s">
        <v>2654</v>
      </c>
      <c r="L661" s="433" t="s">
        <v>2654</v>
      </c>
      <c r="M661" s="433" t="s">
        <v>2654</v>
      </c>
      <c r="N661" s="433" t="s">
        <v>2654</v>
      </c>
      <c r="O661" s="433" t="s">
        <v>2654</v>
      </c>
      <c r="P661" s="433" t="s">
        <v>2651</v>
      </c>
      <c r="Q661" s="431"/>
      <c r="R661" s="431"/>
      <c r="S661" s="426" t="s">
        <v>2673</v>
      </c>
      <c r="T661" s="426" t="s">
        <v>2646</v>
      </c>
      <c r="U661" s="426" t="s">
        <v>2646</v>
      </c>
      <c r="V661" s="426" t="s">
        <v>2646</v>
      </c>
      <c r="W661" s="426" t="s">
        <v>2646</v>
      </c>
      <c r="X661" s="426" t="s">
        <v>2646</v>
      </c>
      <c r="Y661" s="426" t="s">
        <v>2646</v>
      </c>
      <c r="Z661" s="426" t="s">
        <v>2646</v>
      </c>
      <c r="AA661" s="426" t="s">
        <v>2646</v>
      </c>
      <c r="AB661" s="426" t="s">
        <v>2646</v>
      </c>
      <c r="AC661" s="426" t="s">
        <v>2646</v>
      </c>
      <c r="AD661" s="426" t="s">
        <v>2646</v>
      </c>
      <c r="AE661" s="426" t="s">
        <v>2646</v>
      </c>
      <c r="AF661" s="426" t="s">
        <v>2646</v>
      </c>
      <c r="AG661" s="426" t="s">
        <v>2646</v>
      </c>
      <c r="AH661" s="426" t="s">
        <v>2646</v>
      </c>
      <c r="AI661" s="426" t="s">
        <v>2646</v>
      </c>
      <c r="AJ661" s="68" t="s">
        <v>2646</v>
      </c>
    </row>
    <row r="662" spans="1:36" hidden="1">
      <c r="A662" s="68" t="s">
        <v>1943</v>
      </c>
      <c r="B662" s="427" t="s">
        <v>2648</v>
      </c>
      <c r="C662" s="433" t="s">
        <v>4366</v>
      </c>
      <c r="D662" s="433" t="s">
        <v>3354</v>
      </c>
      <c r="E662" s="433" t="s">
        <v>2654</v>
      </c>
      <c r="F662" s="433" t="s">
        <v>2654</v>
      </c>
      <c r="G662" s="433" t="s">
        <v>2654</v>
      </c>
      <c r="H662" s="433" t="s">
        <v>2654</v>
      </c>
      <c r="I662" s="433" t="s">
        <v>2654</v>
      </c>
      <c r="J662" s="433" t="s">
        <v>2654</v>
      </c>
      <c r="K662" s="433" t="s">
        <v>2654</v>
      </c>
      <c r="L662" s="433" t="s">
        <v>2654</v>
      </c>
      <c r="M662" s="433" t="s">
        <v>2654</v>
      </c>
      <c r="N662" s="433" t="s">
        <v>2654</v>
      </c>
      <c r="O662" s="433" t="s">
        <v>2654</v>
      </c>
      <c r="P662" s="433" t="s">
        <v>2651</v>
      </c>
      <c r="Q662" s="431"/>
      <c r="R662" s="431"/>
      <c r="S662" s="426" t="s">
        <v>2655</v>
      </c>
      <c r="T662" s="426" t="s">
        <v>2646</v>
      </c>
      <c r="U662" s="426" t="s">
        <v>2646</v>
      </c>
      <c r="V662" s="426" t="s">
        <v>2646</v>
      </c>
      <c r="W662" s="426" t="s">
        <v>2646</v>
      </c>
      <c r="X662" s="426" t="s">
        <v>2646</v>
      </c>
      <c r="Y662" s="426" t="s">
        <v>2646</v>
      </c>
      <c r="Z662" s="426" t="s">
        <v>2646</v>
      </c>
      <c r="AA662" s="426" t="s">
        <v>2646</v>
      </c>
      <c r="AB662" s="426" t="s">
        <v>2646</v>
      </c>
      <c r="AC662" s="426" t="s">
        <v>2646</v>
      </c>
      <c r="AD662" s="426" t="s">
        <v>2646</v>
      </c>
      <c r="AE662" s="426" t="s">
        <v>2646</v>
      </c>
      <c r="AF662" s="426" t="s">
        <v>2646</v>
      </c>
      <c r="AG662" s="426" t="s">
        <v>2646</v>
      </c>
      <c r="AH662" s="426" t="s">
        <v>2646</v>
      </c>
      <c r="AI662" s="426" t="s">
        <v>2646</v>
      </c>
      <c r="AJ662" s="68" t="s">
        <v>2646</v>
      </c>
    </row>
    <row r="663" spans="1:36" hidden="1">
      <c r="A663" s="68" t="s">
        <v>1944</v>
      </c>
      <c r="B663" s="427" t="s">
        <v>2649</v>
      </c>
      <c r="C663" s="433" t="s">
        <v>4367</v>
      </c>
      <c r="D663" s="433" t="s">
        <v>3247</v>
      </c>
      <c r="E663" s="433" t="s">
        <v>2654</v>
      </c>
      <c r="F663" s="433" t="s">
        <v>2654</v>
      </c>
      <c r="G663" s="433" t="s">
        <v>2654</v>
      </c>
      <c r="H663" s="433" t="s">
        <v>2654</v>
      </c>
      <c r="I663" s="433" t="s">
        <v>2654</v>
      </c>
      <c r="J663" s="433" t="s">
        <v>2654</v>
      </c>
      <c r="K663" s="433" t="s">
        <v>2654</v>
      </c>
      <c r="L663" s="433" t="s">
        <v>2654</v>
      </c>
      <c r="M663" s="433" t="s">
        <v>2654</v>
      </c>
      <c r="N663" s="433" t="s">
        <v>2654</v>
      </c>
      <c r="O663" s="433" t="s">
        <v>2654</v>
      </c>
      <c r="P663" s="433" t="s">
        <v>2651</v>
      </c>
      <c r="Q663" s="431"/>
      <c r="R663" s="431"/>
      <c r="S663" s="426" t="s">
        <v>2665</v>
      </c>
      <c r="T663" s="426" t="s">
        <v>2646</v>
      </c>
      <c r="U663" s="426" t="s">
        <v>2646</v>
      </c>
      <c r="V663" s="426" t="s">
        <v>2646</v>
      </c>
      <c r="W663" s="426" t="s">
        <v>2646</v>
      </c>
      <c r="X663" s="426" t="s">
        <v>2646</v>
      </c>
      <c r="Y663" s="426" t="s">
        <v>2646</v>
      </c>
      <c r="Z663" s="426" t="s">
        <v>2646</v>
      </c>
      <c r="AA663" s="426" t="s">
        <v>2646</v>
      </c>
      <c r="AB663" s="426" t="s">
        <v>2646</v>
      </c>
      <c r="AC663" s="426" t="s">
        <v>2646</v>
      </c>
      <c r="AD663" s="426" t="s">
        <v>2646</v>
      </c>
      <c r="AE663" s="426" t="s">
        <v>2646</v>
      </c>
      <c r="AF663" s="426" t="s">
        <v>2646</v>
      </c>
      <c r="AG663" s="426" t="s">
        <v>2646</v>
      </c>
      <c r="AH663" s="426" t="s">
        <v>2646</v>
      </c>
      <c r="AI663" s="426" t="s">
        <v>2646</v>
      </c>
      <c r="AJ663" s="68" t="s">
        <v>2646</v>
      </c>
    </row>
    <row r="664" spans="1:36" hidden="1">
      <c r="A664" s="68" t="s">
        <v>1945</v>
      </c>
      <c r="B664" s="427" t="s">
        <v>2650</v>
      </c>
      <c r="C664" s="433" t="s">
        <v>4180</v>
      </c>
      <c r="D664" s="433" t="s">
        <v>3262</v>
      </c>
      <c r="E664" s="433" t="s">
        <v>2654</v>
      </c>
      <c r="F664" s="433" t="s">
        <v>2654</v>
      </c>
      <c r="G664" s="433" t="s">
        <v>2654</v>
      </c>
      <c r="H664" s="433" t="s">
        <v>2654</v>
      </c>
      <c r="I664" s="433" t="s">
        <v>2654</v>
      </c>
      <c r="J664" s="433" t="s">
        <v>2654</v>
      </c>
      <c r="K664" s="433" t="s">
        <v>2654</v>
      </c>
      <c r="L664" s="433" t="s">
        <v>2654</v>
      </c>
      <c r="M664" s="433" t="s">
        <v>2654</v>
      </c>
      <c r="N664" s="433" t="s">
        <v>2654</v>
      </c>
      <c r="O664" s="433" t="s">
        <v>2654</v>
      </c>
      <c r="P664" s="433" t="s">
        <v>2647</v>
      </c>
      <c r="Q664" s="431"/>
      <c r="R664" s="431"/>
      <c r="S664" s="426" t="s">
        <v>2660</v>
      </c>
      <c r="T664" s="426" t="s">
        <v>2646</v>
      </c>
      <c r="U664" s="426" t="s">
        <v>2646</v>
      </c>
      <c r="V664" s="426" t="s">
        <v>2646</v>
      </c>
      <c r="W664" s="426" t="s">
        <v>2646</v>
      </c>
      <c r="X664" s="426" t="s">
        <v>2646</v>
      </c>
      <c r="Y664" s="426" t="s">
        <v>2646</v>
      </c>
      <c r="Z664" s="426" t="s">
        <v>2646</v>
      </c>
      <c r="AA664" s="426" t="s">
        <v>2646</v>
      </c>
      <c r="AB664" s="426" t="s">
        <v>2646</v>
      </c>
      <c r="AC664" s="426" t="s">
        <v>2646</v>
      </c>
      <c r="AD664" s="426" t="s">
        <v>2646</v>
      </c>
      <c r="AE664" s="426" t="s">
        <v>2646</v>
      </c>
      <c r="AF664" s="426" t="s">
        <v>2646</v>
      </c>
      <c r="AG664" s="426" t="s">
        <v>2646</v>
      </c>
      <c r="AH664" s="426" t="s">
        <v>2646</v>
      </c>
      <c r="AI664" s="426" t="s">
        <v>2646</v>
      </c>
      <c r="AJ664" s="68" t="s">
        <v>2646</v>
      </c>
    </row>
    <row r="665" spans="1:36" hidden="1">
      <c r="A665" s="68" t="s">
        <v>1946</v>
      </c>
      <c r="B665" s="427" t="s">
        <v>2651</v>
      </c>
      <c r="C665" s="433" t="s">
        <v>3975</v>
      </c>
      <c r="D665" s="433" t="s">
        <v>3049</v>
      </c>
      <c r="E665" s="433" t="s">
        <v>2654</v>
      </c>
      <c r="F665" s="433" t="s">
        <v>2654</v>
      </c>
      <c r="G665" s="433" t="s">
        <v>2654</v>
      </c>
      <c r="H665" s="433" t="s">
        <v>2654</v>
      </c>
      <c r="I665" s="433" t="s">
        <v>2654</v>
      </c>
      <c r="J665" s="433" t="s">
        <v>2654</v>
      </c>
      <c r="K665" s="433" t="s">
        <v>2654</v>
      </c>
      <c r="L665" s="433" t="s">
        <v>2654</v>
      </c>
      <c r="M665" s="433" t="s">
        <v>2654</v>
      </c>
      <c r="N665" s="433" t="s">
        <v>2654</v>
      </c>
      <c r="O665" s="433" t="s">
        <v>2654</v>
      </c>
      <c r="P665" s="433" t="s">
        <v>4083</v>
      </c>
      <c r="Q665" s="431"/>
      <c r="R665" s="431"/>
      <c r="S665" s="426" t="s">
        <v>2669</v>
      </c>
      <c r="T665" s="426" t="s">
        <v>2646</v>
      </c>
      <c r="U665" s="426" t="s">
        <v>2646</v>
      </c>
      <c r="V665" s="426" t="s">
        <v>2646</v>
      </c>
      <c r="W665" s="426" t="s">
        <v>2646</v>
      </c>
      <c r="X665" s="426" t="s">
        <v>2646</v>
      </c>
      <c r="Y665" s="426" t="s">
        <v>2646</v>
      </c>
      <c r="Z665" s="426" t="s">
        <v>2646</v>
      </c>
      <c r="AA665" s="426" t="s">
        <v>2646</v>
      </c>
      <c r="AB665" s="426" t="s">
        <v>2646</v>
      </c>
      <c r="AC665" s="426" t="s">
        <v>2646</v>
      </c>
      <c r="AD665" s="426" t="s">
        <v>2646</v>
      </c>
      <c r="AE665" s="426" t="s">
        <v>2646</v>
      </c>
      <c r="AF665" s="426" t="s">
        <v>2646</v>
      </c>
      <c r="AG665" s="426" t="s">
        <v>2646</v>
      </c>
      <c r="AH665" s="426" t="s">
        <v>2646</v>
      </c>
      <c r="AI665" s="426" t="s">
        <v>2646</v>
      </c>
      <c r="AJ665" s="68" t="s">
        <v>2646</v>
      </c>
    </row>
    <row r="666" spans="1:36">
      <c r="A666" s="68" t="s">
        <v>1946</v>
      </c>
      <c r="B666" s="427" t="s">
        <v>48</v>
      </c>
      <c r="C666" s="433" t="s">
        <v>4368</v>
      </c>
      <c r="D666" s="433" t="s">
        <v>3976</v>
      </c>
      <c r="E666" s="433" t="s">
        <v>2654</v>
      </c>
      <c r="F666" s="433" t="s">
        <v>2654</v>
      </c>
      <c r="G666" s="433" t="s">
        <v>2654</v>
      </c>
      <c r="H666" s="433" t="s">
        <v>2654</v>
      </c>
      <c r="I666" s="433" t="s">
        <v>2654</v>
      </c>
      <c r="J666" s="433" t="s">
        <v>2654</v>
      </c>
      <c r="K666" s="433" t="s">
        <v>2654</v>
      </c>
      <c r="L666" s="433" t="s">
        <v>2654</v>
      </c>
      <c r="M666" s="433" t="s">
        <v>2654</v>
      </c>
      <c r="N666" s="433" t="s">
        <v>2654</v>
      </c>
      <c r="O666" s="433" t="s">
        <v>2654</v>
      </c>
      <c r="P666" s="433" t="s">
        <v>2865</v>
      </c>
      <c r="Q666" s="433" t="s">
        <v>2654</v>
      </c>
      <c r="R666" s="433" t="s">
        <v>2654</v>
      </c>
      <c r="S666" s="426"/>
      <c r="T666" s="426"/>
      <c r="U666" s="426"/>
      <c r="V666" s="426"/>
      <c r="W666" s="426"/>
      <c r="X666" s="426"/>
      <c r="Y666" s="426"/>
      <c r="Z666" s="426"/>
      <c r="AA666" s="426"/>
      <c r="AB666" s="426"/>
      <c r="AC666" s="426"/>
      <c r="AD666" s="426"/>
      <c r="AE666" s="426"/>
      <c r="AF666" s="426"/>
      <c r="AG666" s="426"/>
      <c r="AH666" s="426"/>
      <c r="AI666" s="426"/>
    </row>
    <row r="667" spans="1:36" hidden="1">
      <c r="A667" s="68" t="s">
        <v>1947</v>
      </c>
      <c r="B667" s="427" t="s">
        <v>2647</v>
      </c>
      <c r="C667" s="433" t="s">
        <v>3695</v>
      </c>
      <c r="D667" s="433" t="s">
        <v>3500</v>
      </c>
      <c r="E667" s="433" t="s">
        <v>2680</v>
      </c>
      <c r="F667" s="433" t="s">
        <v>2654</v>
      </c>
      <c r="G667" s="433" t="s">
        <v>2654</v>
      </c>
      <c r="H667" s="433" t="s">
        <v>2654</v>
      </c>
      <c r="I667" s="433" t="s">
        <v>2654</v>
      </c>
      <c r="J667" s="433" t="s">
        <v>2654</v>
      </c>
      <c r="K667" s="433" t="s">
        <v>2654</v>
      </c>
      <c r="L667" s="433" t="s">
        <v>2654</v>
      </c>
      <c r="M667" s="433" t="s">
        <v>2654</v>
      </c>
      <c r="N667" s="433" t="s">
        <v>2654</v>
      </c>
      <c r="O667" s="433" t="s">
        <v>2654</v>
      </c>
      <c r="P667" s="433" t="s">
        <v>2651</v>
      </c>
      <c r="Q667" s="431"/>
      <c r="R667" s="431"/>
      <c r="S667" s="426" t="s">
        <v>2664</v>
      </c>
      <c r="T667" s="426" t="s">
        <v>2646</v>
      </c>
      <c r="U667" s="426" t="s">
        <v>2646</v>
      </c>
      <c r="V667" s="426" t="s">
        <v>2646</v>
      </c>
      <c r="W667" s="426" t="s">
        <v>2646</v>
      </c>
      <c r="X667" s="426" t="s">
        <v>2646</v>
      </c>
      <c r="Y667" s="426" t="s">
        <v>2646</v>
      </c>
      <c r="Z667" s="426" t="s">
        <v>2646</v>
      </c>
      <c r="AA667" s="426" t="s">
        <v>2646</v>
      </c>
      <c r="AB667" s="426" t="s">
        <v>2646</v>
      </c>
      <c r="AC667" s="426" t="s">
        <v>2646</v>
      </c>
      <c r="AD667" s="426" t="s">
        <v>2646</v>
      </c>
      <c r="AE667" s="426" t="s">
        <v>2646</v>
      </c>
      <c r="AF667" s="426" t="s">
        <v>2646</v>
      </c>
      <c r="AG667" s="426" t="s">
        <v>2646</v>
      </c>
      <c r="AH667" s="426" t="s">
        <v>2646</v>
      </c>
      <c r="AI667" s="426" t="s">
        <v>2646</v>
      </c>
      <c r="AJ667" s="68" t="s">
        <v>2646</v>
      </c>
    </row>
    <row r="668" spans="1:36" hidden="1">
      <c r="A668" s="68" t="s">
        <v>1948</v>
      </c>
      <c r="B668" s="427" t="s">
        <v>2648</v>
      </c>
      <c r="C668" s="433" t="s">
        <v>3475</v>
      </c>
      <c r="D668" s="433" t="s">
        <v>3500</v>
      </c>
      <c r="E668" s="433" t="s">
        <v>2654</v>
      </c>
      <c r="F668" s="433" t="s">
        <v>2654</v>
      </c>
      <c r="G668" s="433" t="s">
        <v>2654</v>
      </c>
      <c r="H668" s="433" t="s">
        <v>2654</v>
      </c>
      <c r="I668" s="433" t="s">
        <v>2654</v>
      </c>
      <c r="J668" s="433" t="s">
        <v>2654</v>
      </c>
      <c r="K668" s="433" t="s">
        <v>2654</v>
      </c>
      <c r="L668" s="433" t="s">
        <v>2654</v>
      </c>
      <c r="M668" s="433" t="s">
        <v>2654</v>
      </c>
      <c r="N668" s="433" t="s">
        <v>2654</v>
      </c>
      <c r="O668" s="433" t="s">
        <v>2654</v>
      </c>
      <c r="P668" s="433" t="s">
        <v>2648</v>
      </c>
      <c r="Q668" s="431"/>
      <c r="R668" s="431"/>
      <c r="S668" s="426" t="s">
        <v>3194</v>
      </c>
      <c r="T668" s="426" t="s">
        <v>2646</v>
      </c>
      <c r="U668" s="426" t="s">
        <v>2646</v>
      </c>
      <c r="V668" s="426" t="s">
        <v>2646</v>
      </c>
      <c r="W668" s="426" t="s">
        <v>2646</v>
      </c>
      <c r="X668" s="426" t="s">
        <v>2646</v>
      </c>
      <c r="Y668" s="426" t="s">
        <v>2646</v>
      </c>
      <c r="Z668" s="426" t="s">
        <v>2646</v>
      </c>
      <c r="AA668" s="426" t="s">
        <v>2646</v>
      </c>
      <c r="AB668" s="426" t="s">
        <v>2646</v>
      </c>
      <c r="AC668" s="426" t="s">
        <v>2646</v>
      </c>
      <c r="AD668" s="426" t="s">
        <v>2646</v>
      </c>
      <c r="AE668" s="426" t="s">
        <v>2646</v>
      </c>
      <c r="AF668" s="426" t="s">
        <v>2646</v>
      </c>
      <c r="AG668" s="426" t="s">
        <v>2646</v>
      </c>
      <c r="AH668" s="426" t="s">
        <v>2646</v>
      </c>
      <c r="AI668" s="426" t="s">
        <v>2646</v>
      </c>
      <c r="AJ668" s="68" t="s">
        <v>2646</v>
      </c>
    </row>
    <row r="669" spans="1:36" hidden="1">
      <c r="A669" s="68" t="s">
        <v>1949</v>
      </c>
      <c r="B669" s="427" t="s">
        <v>2649</v>
      </c>
      <c r="C669" s="433" t="s">
        <v>3703</v>
      </c>
      <c r="D669" s="433" t="s">
        <v>3500</v>
      </c>
      <c r="E669" s="433" t="s">
        <v>2654</v>
      </c>
      <c r="F669" s="433" t="s">
        <v>2654</v>
      </c>
      <c r="G669" s="433" t="s">
        <v>2654</v>
      </c>
      <c r="H669" s="433" t="s">
        <v>2654</v>
      </c>
      <c r="I669" s="433" t="s">
        <v>2654</v>
      </c>
      <c r="J669" s="433" t="s">
        <v>2654</v>
      </c>
      <c r="K669" s="433" t="s">
        <v>2654</v>
      </c>
      <c r="L669" s="433" t="s">
        <v>2654</v>
      </c>
      <c r="M669" s="433" t="s">
        <v>2654</v>
      </c>
      <c r="N669" s="433" t="s">
        <v>2654</v>
      </c>
      <c r="O669" s="433" t="s">
        <v>2654</v>
      </c>
      <c r="P669" s="433" t="s">
        <v>2649</v>
      </c>
      <c r="Q669" s="431"/>
      <c r="R669" s="431"/>
      <c r="S669" s="426" t="s">
        <v>2660</v>
      </c>
      <c r="T669" s="426" t="s">
        <v>2646</v>
      </c>
      <c r="U669" s="426" t="s">
        <v>2646</v>
      </c>
      <c r="V669" s="426" t="s">
        <v>2646</v>
      </c>
      <c r="W669" s="426" t="s">
        <v>2646</v>
      </c>
      <c r="X669" s="426" t="s">
        <v>2646</v>
      </c>
      <c r="Y669" s="426" t="s">
        <v>2646</v>
      </c>
      <c r="Z669" s="426" t="s">
        <v>2646</v>
      </c>
      <c r="AA669" s="426" t="s">
        <v>2646</v>
      </c>
      <c r="AB669" s="426" t="s">
        <v>2646</v>
      </c>
      <c r="AC669" s="426" t="s">
        <v>2646</v>
      </c>
      <c r="AD669" s="426" t="s">
        <v>2646</v>
      </c>
      <c r="AE669" s="426" t="s">
        <v>2646</v>
      </c>
      <c r="AF669" s="426" t="s">
        <v>2646</v>
      </c>
      <c r="AG669" s="426" t="s">
        <v>2646</v>
      </c>
      <c r="AH669" s="426" t="s">
        <v>2646</v>
      </c>
      <c r="AI669" s="426" t="s">
        <v>2646</v>
      </c>
      <c r="AJ669" s="68" t="s">
        <v>2646</v>
      </c>
    </row>
    <row r="670" spans="1:36" hidden="1">
      <c r="A670" s="68" t="s">
        <v>1950</v>
      </c>
      <c r="B670" s="427" t="s">
        <v>2650</v>
      </c>
      <c r="C670" s="433" t="s">
        <v>3514</v>
      </c>
      <c r="D670" s="433" t="s">
        <v>3729</v>
      </c>
      <c r="E670" s="433" t="s">
        <v>2654</v>
      </c>
      <c r="F670" s="433" t="s">
        <v>2654</v>
      </c>
      <c r="G670" s="433" t="s">
        <v>2654</v>
      </c>
      <c r="H670" s="433" t="s">
        <v>2654</v>
      </c>
      <c r="I670" s="433" t="s">
        <v>2654</v>
      </c>
      <c r="J670" s="433" t="s">
        <v>2654</v>
      </c>
      <c r="K670" s="433" t="s">
        <v>2654</v>
      </c>
      <c r="L670" s="433" t="s">
        <v>2654</v>
      </c>
      <c r="M670" s="433" t="s">
        <v>2654</v>
      </c>
      <c r="N670" s="433" t="s">
        <v>2654</v>
      </c>
      <c r="O670" s="433" t="s">
        <v>2654</v>
      </c>
      <c r="P670" s="433" t="s">
        <v>2648</v>
      </c>
      <c r="Q670" s="431"/>
      <c r="R670" s="431"/>
      <c r="S670" s="426" t="s">
        <v>2660</v>
      </c>
      <c r="T670" s="426" t="s">
        <v>2646</v>
      </c>
      <c r="U670" s="426" t="s">
        <v>2646</v>
      </c>
      <c r="V670" s="426" t="s">
        <v>2646</v>
      </c>
      <c r="W670" s="426" t="s">
        <v>2646</v>
      </c>
      <c r="X670" s="426" t="s">
        <v>2646</v>
      </c>
      <c r="Y670" s="426" t="s">
        <v>2646</v>
      </c>
      <c r="Z670" s="426" t="s">
        <v>2646</v>
      </c>
      <c r="AA670" s="426" t="s">
        <v>2646</v>
      </c>
      <c r="AB670" s="426" t="s">
        <v>2646</v>
      </c>
      <c r="AC670" s="426" t="s">
        <v>2646</v>
      </c>
      <c r="AD670" s="426" t="s">
        <v>2646</v>
      </c>
      <c r="AE670" s="426" t="s">
        <v>2646</v>
      </c>
      <c r="AF670" s="426" t="s">
        <v>2646</v>
      </c>
      <c r="AG670" s="426" t="s">
        <v>2646</v>
      </c>
      <c r="AH670" s="426" t="s">
        <v>2646</v>
      </c>
      <c r="AI670" s="426" t="s">
        <v>2646</v>
      </c>
      <c r="AJ670" s="68" t="s">
        <v>2646</v>
      </c>
    </row>
    <row r="671" spans="1:36" hidden="1">
      <c r="A671" s="68" t="s">
        <v>1951</v>
      </c>
      <c r="B671" s="427" t="s">
        <v>2651</v>
      </c>
      <c r="C671" s="433" t="s">
        <v>3509</v>
      </c>
      <c r="D671" s="433" t="s">
        <v>3729</v>
      </c>
      <c r="E671" s="433" t="s">
        <v>2654</v>
      </c>
      <c r="F671" s="433" t="s">
        <v>2654</v>
      </c>
      <c r="G671" s="433" t="s">
        <v>2654</v>
      </c>
      <c r="H671" s="433" t="s">
        <v>2654</v>
      </c>
      <c r="I671" s="433" t="s">
        <v>2654</v>
      </c>
      <c r="J671" s="433" t="s">
        <v>2654</v>
      </c>
      <c r="K671" s="433" t="s">
        <v>2654</v>
      </c>
      <c r="L671" s="433" t="s">
        <v>2654</v>
      </c>
      <c r="M671" s="433" t="s">
        <v>2654</v>
      </c>
      <c r="N671" s="433" t="s">
        <v>2654</v>
      </c>
      <c r="O671" s="433" t="s">
        <v>2654</v>
      </c>
      <c r="P671" s="433" t="s">
        <v>2647</v>
      </c>
      <c r="Q671" s="431"/>
      <c r="R671" s="431"/>
      <c r="S671" s="426" t="s">
        <v>2669</v>
      </c>
      <c r="T671" s="426" t="s">
        <v>2646</v>
      </c>
      <c r="U671" s="426" t="s">
        <v>2646</v>
      </c>
      <c r="V671" s="426" t="s">
        <v>2646</v>
      </c>
      <c r="W671" s="426" t="s">
        <v>2646</v>
      </c>
      <c r="X671" s="426" t="s">
        <v>2646</v>
      </c>
      <c r="Y671" s="426" t="s">
        <v>2646</v>
      </c>
      <c r="Z671" s="426" t="s">
        <v>2646</v>
      </c>
      <c r="AA671" s="426" t="s">
        <v>2646</v>
      </c>
      <c r="AB671" s="426" t="s">
        <v>2646</v>
      </c>
      <c r="AC671" s="426" t="s">
        <v>2646</v>
      </c>
      <c r="AD671" s="426" t="s">
        <v>2646</v>
      </c>
      <c r="AE671" s="426" t="s">
        <v>2646</v>
      </c>
      <c r="AF671" s="426" t="s">
        <v>2646</v>
      </c>
      <c r="AG671" s="426" t="s">
        <v>2646</v>
      </c>
      <c r="AH671" s="426" t="s">
        <v>2646</v>
      </c>
      <c r="AI671" s="426" t="s">
        <v>2646</v>
      </c>
      <c r="AJ671" s="68" t="s">
        <v>2646</v>
      </c>
    </row>
    <row r="672" spans="1:36">
      <c r="A672" s="68" t="s">
        <v>1951</v>
      </c>
      <c r="B672" s="427" t="s">
        <v>48</v>
      </c>
      <c r="C672" s="433" t="s">
        <v>4369</v>
      </c>
      <c r="D672" s="433" t="s">
        <v>3918</v>
      </c>
      <c r="E672" s="433" t="s">
        <v>2683</v>
      </c>
      <c r="F672" s="433" t="s">
        <v>2654</v>
      </c>
      <c r="G672" s="433" t="s">
        <v>2654</v>
      </c>
      <c r="H672" s="433" t="s">
        <v>2654</v>
      </c>
      <c r="I672" s="433" t="s">
        <v>2654</v>
      </c>
      <c r="J672" s="433" t="s">
        <v>2654</v>
      </c>
      <c r="K672" s="433" t="s">
        <v>2654</v>
      </c>
      <c r="L672" s="433" t="s">
        <v>2654</v>
      </c>
      <c r="M672" s="433" t="s">
        <v>2654</v>
      </c>
      <c r="N672" s="433" t="s">
        <v>2654</v>
      </c>
      <c r="O672" s="433" t="s">
        <v>2654</v>
      </c>
      <c r="P672" s="433" t="s">
        <v>2953</v>
      </c>
      <c r="Q672" s="433" t="s">
        <v>2654</v>
      </c>
      <c r="R672" s="433" t="s">
        <v>2654</v>
      </c>
      <c r="S672" s="426"/>
      <c r="T672" s="426"/>
      <c r="U672" s="426"/>
      <c r="V672" s="426"/>
      <c r="W672" s="426"/>
      <c r="X672" s="426"/>
      <c r="Y672" s="426"/>
      <c r="Z672" s="426"/>
      <c r="AA672" s="426"/>
      <c r="AB672" s="426"/>
      <c r="AC672" s="426"/>
      <c r="AD672" s="426"/>
      <c r="AE672" s="426"/>
      <c r="AF672" s="426"/>
      <c r="AG672" s="426"/>
      <c r="AH672" s="426"/>
      <c r="AI672" s="426"/>
    </row>
    <row r="673" spans="1:36" hidden="1">
      <c r="A673" s="68" t="s">
        <v>1952</v>
      </c>
      <c r="B673" s="427" t="s">
        <v>2647</v>
      </c>
      <c r="C673" s="433" t="s">
        <v>3495</v>
      </c>
      <c r="D673" s="433" t="s">
        <v>3561</v>
      </c>
      <c r="E673" s="433" t="s">
        <v>2654</v>
      </c>
      <c r="F673" s="433" t="s">
        <v>2654</v>
      </c>
      <c r="G673" s="433" t="s">
        <v>2654</v>
      </c>
      <c r="H673" s="433" t="s">
        <v>2654</v>
      </c>
      <c r="I673" s="433" t="s">
        <v>2654</v>
      </c>
      <c r="J673" s="433" t="s">
        <v>2654</v>
      </c>
      <c r="K673" s="433" t="s">
        <v>2654</v>
      </c>
      <c r="L673" s="433" t="s">
        <v>2654</v>
      </c>
      <c r="M673" s="433" t="s">
        <v>2654</v>
      </c>
      <c r="N673" s="433" t="s">
        <v>2654</v>
      </c>
      <c r="O673" s="433" t="s">
        <v>2654</v>
      </c>
      <c r="P673" s="433" t="s">
        <v>2651</v>
      </c>
      <c r="Q673" s="431"/>
      <c r="R673" s="431"/>
      <c r="S673" s="426" t="s">
        <v>3109</v>
      </c>
      <c r="T673" s="426" t="s">
        <v>2646</v>
      </c>
      <c r="U673" s="426" t="s">
        <v>2646</v>
      </c>
      <c r="V673" s="426" t="s">
        <v>2646</v>
      </c>
      <c r="W673" s="426" t="s">
        <v>2646</v>
      </c>
      <c r="X673" s="426" t="s">
        <v>2646</v>
      </c>
      <c r="Y673" s="426" t="s">
        <v>2646</v>
      </c>
      <c r="Z673" s="426" t="s">
        <v>2646</v>
      </c>
      <c r="AA673" s="426" t="s">
        <v>2646</v>
      </c>
      <c r="AB673" s="426" t="s">
        <v>2646</v>
      </c>
      <c r="AC673" s="426" t="s">
        <v>2646</v>
      </c>
      <c r="AD673" s="426" t="s">
        <v>2646</v>
      </c>
      <c r="AE673" s="426" t="s">
        <v>2646</v>
      </c>
      <c r="AF673" s="426" t="s">
        <v>2646</v>
      </c>
      <c r="AG673" s="426" t="s">
        <v>2646</v>
      </c>
      <c r="AH673" s="426" t="s">
        <v>2646</v>
      </c>
      <c r="AI673" s="426" t="s">
        <v>2646</v>
      </c>
      <c r="AJ673" s="68" t="s">
        <v>2646</v>
      </c>
    </row>
    <row r="674" spans="1:36" hidden="1">
      <c r="A674" s="68" t="s">
        <v>1953</v>
      </c>
      <c r="B674" s="427" t="s">
        <v>2648</v>
      </c>
      <c r="C674" s="433" t="s">
        <v>3518</v>
      </c>
      <c r="D674" s="433" t="s">
        <v>3583</v>
      </c>
      <c r="E674" s="433" t="s">
        <v>2654</v>
      </c>
      <c r="F674" s="433" t="s">
        <v>2654</v>
      </c>
      <c r="G674" s="433" t="s">
        <v>2654</v>
      </c>
      <c r="H674" s="433" t="s">
        <v>2654</v>
      </c>
      <c r="I674" s="433" t="s">
        <v>2654</v>
      </c>
      <c r="J674" s="433" t="s">
        <v>2654</v>
      </c>
      <c r="K674" s="433" t="s">
        <v>2654</v>
      </c>
      <c r="L674" s="433" t="s">
        <v>2654</v>
      </c>
      <c r="M674" s="433" t="s">
        <v>2654</v>
      </c>
      <c r="N674" s="433" t="s">
        <v>2654</v>
      </c>
      <c r="O674" s="433" t="s">
        <v>2654</v>
      </c>
      <c r="P674" s="433" t="s">
        <v>2648</v>
      </c>
      <c r="Q674" s="431"/>
      <c r="R674" s="431"/>
      <c r="S674" s="426" t="s">
        <v>3194</v>
      </c>
      <c r="T674" s="426" t="s">
        <v>2646</v>
      </c>
      <c r="U674" s="426" t="s">
        <v>2646</v>
      </c>
      <c r="V674" s="426" t="s">
        <v>2646</v>
      </c>
      <c r="W674" s="426" t="s">
        <v>2646</v>
      </c>
      <c r="X674" s="426" t="s">
        <v>2646</v>
      </c>
      <c r="Y674" s="426" t="s">
        <v>2646</v>
      </c>
      <c r="Z674" s="426" t="s">
        <v>2646</v>
      </c>
      <c r="AA674" s="426" t="s">
        <v>2646</v>
      </c>
      <c r="AB674" s="426" t="s">
        <v>2646</v>
      </c>
      <c r="AC674" s="426" t="s">
        <v>2646</v>
      </c>
      <c r="AD674" s="426" t="s">
        <v>2646</v>
      </c>
      <c r="AE674" s="426" t="s">
        <v>2646</v>
      </c>
      <c r="AF674" s="426" t="s">
        <v>2646</v>
      </c>
      <c r="AG674" s="426" t="s">
        <v>2646</v>
      </c>
      <c r="AH674" s="426" t="s">
        <v>2646</v>
      </c>
      <c r="AI674" s="426" t="s">
        <v>2646</v>
      </c>
      <c r="AJ674" s="68" t="s">
        <v>2646</v>
      </c>
    </row>
    <row r="675" spans="1:36" hidden="1">
      <c r="A675" s="68" t="s">
        <v>1954</v>
      </c>
      <c r="B675" s="427" t="s">
        <v>2649</v>
      </c>
      <c r="C675" s="433" t="s">
        <v>3838</v>
      </c>
      <c r="D675" s="433" t="s">
        <v>3561</v>
      </c>
      <c r="E675" s="433" t="s">
        <v>2654</v>
      </c>
      <c r="F675" s="433" t="s">
        <v>2654</v>
      </c>
      <c r="G675" s="433" t="s">
        <v>2654</v>
      </c>
      <c r="H675" s="433" t="s">
        <v>2654</v>
      </c>
      <c r="I675" s="433" t="s">
        <v>2654</v>
      </c>
      <c r="J675" s="433" t="s">
        <v>2654</v>
      </c>
      <c r="K675" s="433" t="s">
        <v>2654</v>
      </c>
      <c r="L675" s="433" t="s">
        <v>2654</v>
      </c>
      <c r="M675" s="433" t="s">
        <v>2654</v>
      </c>
      <c r="N675" s="433" t="s">
        <v>2654</v>
      </c>
      <c r="O675" s="433" t="s">
        <v>2654</v>
      </c>
      <c r="P675" s="433" t="s">
        <v>2650</v>
      </c>
      <c r="Q675" s="431"/>
      <c r="R675" s="431"/>
      <c r="S675" s="426" t="s">
        <v>3194</v>
      </c>
      <c r="T675" s="426" t="s">
        <v>2646</v>
      </c>
      <c r="U675" s="426" t="s">
        <v>2646</v>
      </c>
      <c r="V675" s="426" t="s">
        <v>2646</v>
      </c>
      <c r="W675" s="426" t="s">
        <v>2646</v>
      </c>
      <c r="X675" s="426" t="s">
        <v>2646</v>
      </c>
      <c r="Y675" s="426" t="s">
        <v>2646</v>
      </c>
      <c r="Z675" s="426" t="s">
        <v>2646</v>
      </c>
      <c r="AA675" s="426" t="s">
        <v>2646</v>
      </c>
      <c r="AB675" s="426" t="s">
        <v>2646</v>
      </c>
      <c r="AC675" s="426" t="s">
        <v>2646</v>
      </c>
      <c r="AD675" s="426" t="s">
        <v>2646</v>
      </c>
      <c r="AE675" s="426" t="s">
        <v>2646</v>
      </c>
      <c r="AF675" s="426" t="s">
        <v>2646</v>
      </c>
      <c r="AG675" s="426" t="s">
        <v>2646</v>
      </c>
      <c r="AH675" s="426" t="s">
        <v>2646</v>
      </c>
      <c r="AI675" s="426" t="s">
        <v>2646</v>
      </c>
      <c r="AJ675" s="68" t="s">
        <v>2646</v>
      </c>
    </row>
    <row r="676" spans="1:36" hidden="1">
      <c r="A676" s="68" t="s">
        <v>1955</v>
      </c>
      <c r="B676" s="427" t="s">
        <v>2650</v>
      </c>
      <c r="C676" s="433" t="s">
        <v>3289</v>
      </c>
      <c r="D676" s="433" t="s">
        <v>3561</v>
      </c>
      <c r="E676" s="433" t="s">
        <v>2654</v>
      </c>
      <c r="F676" s="433" t="s">
        <v>2654</v>
      </c>
      <c r="G676" s="433" t="s">
        <v>2654</v>
      </c>
      <c r="H676" s="433" t="s">
        <v>2654</v>
      </c>
      <c r="I676" s="433" t="s">
        <v>2654</v>
      </c>
      <c r="J676" s="433" t="s">
        <v>2654</v>
      </c>
      <c r="K676" s="433" t="s">
        <v>2654</v>
      </c>
      <c r="L676" s="433" t="s">
        <v>2654</v>
      </c>
      <c r="M676" s="433" t="s">
        <v>2654</v>
      </c>
      <c r="N676" s="433" t="s">
        <v>2654</v>
      </c>
      <c r="O676" s="433" t="s">
        <v>2654</v>
      </c>
      <c r="P676" s="433" t="s">
        <v>2647</v>
      </c>
      <c r="Q676" s="431"/>
      <c r="R676" s="431"/>
      <c r="S676" s="426" t="s">
        <v>2669</v>
      </c>
      <c r="T676" s="426" t="s">
        <v>2646</v>
      </c>
      <c r="U676" s="426" t="s">
        <v>2646</v>
      </c>
      <c r="V676" s="426" t="s">
        <v>2646</v>
      </c>
      <c r="W676" s="426" t="s">
        <v>2646</v>
      </c>
      <c r="X676" s="426" t="s">
        <v>2646</v>
      </c>
      <c r="Y676" s="426" t="s">
        <v>2646</v>
      </c>
      <c r="Z676" s="426" t="s">
        <v>2646</v>
      </c>
      <c r="AA676" s="426" t="s">
        <v>2646</v>
      </c>
      <c r="AB676" s="426" t="s">
        <v>2646</v>
      </c>
      <c r="AC676" s="426" t="s">
        <v>2646</v>
      </c>
      <c r="AD676" s="426" t="s">
        <v>2646</v>
      </c>
      <c r="AE676" s="426" t="s">
        <v>2646</v>
      </c>
      <c r="AF676" s="426" t="s">
        <v>2646</v>
      </c>
      <c r="AG676" s="426" t="s">
        <v>2646</v>
      </c>
      <c r="AH676" s="426" t="s">
        <v>2646</v>
      </c>
      <c r="AI676" s="426" t="s">
        <v>2646</v>
      </c>
      <c r="AJ676" s="68" t="s">
        <v>2646</v>
      </c>
    </row>
    <row r="677" spans="1:36" hidden="1">
      <c r="A677" s="68" t="s">
        <v>1956</v>
      </c>
      <c r="B677" s="427" t="s">
        <v>2651</v>
      </c>
      <c r="C677" s="433" t="s">
        <v>3704</v>
      </c>
      <c r="D677" s="433" t="s">
        <v>3521</v>
      </c>
      <c r="E677" s="433" t="s">
        <v>2654</v>
      </c>
      <c r="F677" s="433" t="s">
        <v>2654</v>
      </c>
      <c r="G677" s="433" t="s">
        <v>2654</v>
      </c>
      <c r="H677" s="433" t="s">
        <v>2654</v>
      </c>
      <c r="I677" s="433" t="s">
        <v>2654</v>
      </c>
      <c r="J677" s="433" t="s">
        <v>2654</v>
      </c>
      <c r="K677" s="433" t="s">
        <v>2654</v>
      </c>
      <c r="L677" s="433" t="s">
        <v>2654</v>
      </c>
      <c r="M677" s="433" t="s">
        <v>2654</v>
      </c>
      <c r="N677" s="433" t="s">
        <v>2654</v>
      </c>
      <c r="O677" s="433" t="s">
        <v>2654</v>
      </c>
      <c r="P677" s="433" t="s">
        <v>2651</v>
      </c>
      <c r="Q677" s="431"/>
      <c r="R677" s="431"/>
      <c r="S677" s="426" t="s">
        <v>3194</v>
      </c>
      <c r="T677" s="426" t="s">
        <v>2646</v>
      </c>
      <c r="U677" s="426" t="s">
        <v>2646</v>
      </c>
      <c r="V677" s="426" t="s">
        <v>2646</v>
      </c>
      <c r="W677" s="426" t="s">
        <v>2646</v>
      </c>
      <c r="X677" s="426" t="s">
        <v>2646</v>
      </c>
      <c r="Y677" s="426" t="s">
        <v>2646</v>
      </c>
      <c r="Z677" s="426" t="s">
        <v>2646</v>
      </c>
      <c r="AA677" s="426" t="s">
        <v>2646</v>
      </c>
      <c r="AB677" s="426" t="s">
        <v>2646</v>
      </c>
      <c r="AC677" s="426" t="s">
        <v>2646</v>
      </c>
      <c r="AD677" s="426" t="s">
        <v>2646</v>
      </c>
      <c r="AE677" s="426" t="s">
        <v>2646</v>
      </c>
      <c r="AF677" s="426" t="s">
        <v>2646</v>
      </c>
      <c r="AG677" s="426" t="s">
        <v>2646</v>
      </c>
      <c r="AH677" s="426" t="s">
        <v>2646</v>
      </c>
      <c r="AI677" s="426" t="s">
        <v>2646</v>
      </c>
      <c r="AJ677" s="68" t="s">
        <v>2646</v>
      </c>
    </row>
    <row r="678" spans="1:36">
      <c r="A678" s="68" t="s">
        <v>1956</v>
      </c>
      <c r="B678" s="427" t="s">
        <v>48</v>
      </c>
      <c r="C678" s="433" t="s">
        <v>4370</v>
      </c>
      <c r="D678" s="433" t="s">
        <v>3643</v>
      </c>
      <c r="E678" s="433" t="s">
        <v>2654</v>
      </c>
      <c r="F678" s="433" t="s">
        <v>2654</v>
      </c>
      <c r="G678" s="433" t="s">
        <v>2654</v>
      </c>
      <c r="H678" s="433" t="s">
        <v>2654</v>
      </c>
      <c r="I678" s="433" t="s">
        <v>2654</v>
      </c>
      <c r="J678" s="433" t="s">
        <v>2654</v>
      </c>
      <c r="K678" s="433" t="s">
        <v>2654</v>
      </c>
      <c r="L678" s="433" t="s">
        <v>2654</v>
      </c>
      <c r="M678" s="433" t="s">
        <v>2654</v>
      </c>
      <c r="N678" s="433" t="s">
        <v>2654</v>
      </c>
      <c r="O678" s="433" t="s">
        <v>2654</v>
      </c>
      <c r="P678" s="433" t="s">
        <v>3145</v>
      </c>
      <c r="Q678" s="433" t="s">
        <v>2654</v>
      </c>
      <c r="R678" s="433" t="s">
        <v>2654</v>
      </c>
      <c r="S678" s="426"/>
      <c r="T678" s="426"/>
      <c r="U678" s="426"/>
      <c r="V678" s="426"/>
      <c r="W678" s="426"/>
      <c r="X678" s="426"/>
      <c r="Y678" s="426"/>
      <c r="Z678" s="426"/>
      <c r="AA678" s="426"/>
      <c r="AB678" s="426"/>
      <c r="AC678" s="426"/>
      <c r="AD678" s="426"/>
      <c r="AE678" s="426"/>
      <c r="AF678" s="426"/>
      <c r="AG678" s="426"/>
      <c r="AH678" s="426"/>
      <c r="AI678" s="426"/>
    </row>
    <row r="679" spans="1:36" hidden="1">
      <c r="A679" s="68" t="s">
        <v>1957</v>
      </c>
      <c r="B679" s="427" t="s">
        <v>2647</v>
      </c>
      <c r="C679" s="433" t="s">
        <v>3698</v>
      </c>
      <c r="D679" s="433" t="s">
        <v>3222</v>
      </c>
      <c r="E679" s="433" t="s">
        <v>2654</v>
      </c>
      <c r="F679" s="433" t="s">
        <v>2654</v>
      </c>
      <c r="G679" s="433" t="s">
        <v>2654</v>
      </c>
      <c r="H679" s="433" t="s">
        <v>2654</v>
      </c>
      <c r="I679" s="433" t="s">
        <v>2654</v>
      </c>
      <c r="J679" s="433" t="s">
        <v>2654</v>
      </c>
      <c r="K679" s="433" t="s">
        <v>2654</v>
      </c>
      <c r="L679" s="433" t="s">
        <v>2654</v>
      </c>
      <c r="M679" s="433" t="s">
        <v>2654</v>
      </c>
      <c r="N679" s="433" t="s">
        <v>2654</v>
      </c>
      <c r="O679" s="433" t="s">
        <v>2654</v>
      </c>
      <c r="P679" s="433" t="s">
        <v>2650</v>
      </c>
      <c r="Q679" s="431"/>
      <c r="R679" s="431"/>
      <c r="S679" s="426" t="s">
        <v>3503</v>
      </c>
      <c r="T679" s="426" t="s">
        <v>3225</v>
      </c>
      <c r="U679" s="426" t="s">
        <v>3225</v>
      </c>
      <c r="V679" s="426" t="s">
        <v>3225</v>
      </c>
      <c r="W679" s="426" t="s">
        <v>2646</v>
      </c>
      <c r="X679" s="426" t="s">
        <v>2646</v>
      </c>
      <c r="Y679" s="426" t="s">
        <v>2646</v>
      </c>
      <c r="Z679" s="426" t="s">
        <v>2646</v>
      </c>
      <c r="AA679" s="426" t="s">
        <v>2646</v>
      </c>
      <c r="AB679" s="426" t="s">
        <v>2646</v>
      </c>
      <c r="AC679" s="426" t="s">
        <v>2646</v>
      </c>
      <c r="AD679" s="426" t="s">
        <v>2646</v>
      </c>
      <c r="AE679" s="426" t="s">
        <v>2646</v>
      </c>
      <c r="AF679" s="426" t="s">
        <v>2646</v>
      </c>
      <c r="AG679" s="426" t="s">
        <v>2646</v>
      </c>
      <c r="AH679" s="426" t="s">
        <v>2646</v>
      </c>
      <c r="AI679" s="426" t="s">
        <v>2646</v>
      </c>
      <c r="AJ679" s="68" t="s">
        <v>2646</v>
      </c>
    </row>
    <row r="680" spans="1:36" hidden="1">
      <c r="A680" s="68" t="s">
        <v>1958</v>
      </c>
      <c r="B680" s="427" t="s">
        <v>2648</v>
      </c>
      <c r="C680" s="433" t="s">
        <v>3698</v>
      </c>
      <c r="D680" s="433" t="s">
        <v>3734</v>
      </c>
      <c r="E680" s="433" t="s">
        <v>2654</v>
      </c>
      <c r="F680" s="433" t="s">
        <v>2654</v>
      </c>
      <c r="G680" s="433" t="s">
        <v>2654</v>
      </c>
      <c r="H680" s="433" t="s">
        <v>2654</v>
      </c>
      <c r="I680" s="433" t="s">
        <v>2654</v>
      </c>
      <c r="J680" s="433" t="s">
        <v>2654</v>
      </c>
      <c r="K680" s="433" t="s">
        <v>2654</v>
      </c>
      <c r="L680" s="433" t="s">
        <v>2654</v>
      </c>
      <c r="M680" s="433" t="s">
        <v>2654</v>
      </c>
      <c r="N680" s="433" t="s">
        <v>2654</v>
      </c>
      <c r="O680" s="433" t="s">
        <v>2654</v>
      </c>
      <c r="P680" s="433" t="s">
        <v>2649</v>
      </c>
      <c r="Q680" s="431"/>
      <c r="R680" s="431"/>
      <c r="S680" s="426" t="s">
        <v>3137</v>
      </c>
      <c r="T680" s="426" t="s">
        <v>2646</v>
      </c>
      <c r="U680" s="426" t="s">
        <v>2646</v>
      </c>
      <c r="V680" s="426" t="s">
        <v>2646</v>
      </c>
      <c r="W680" s="426" t="s">
        <v>2646</v>
      </c>
      <c r="X680" s="426" t="s">
        <v>2646</v>
      </c>
      <c r="Y680" s="426" t="s">
        <v>2646</v>
      </c>
      <c r="Z680" s="426" t="s">
        <v>2646</v>
      </c>
      <c r="AA680" s="426" t="s">
        <v>2646</v>
      </c>
      <c r="AB680" s="426" t="s">
        <v>2646</v>
      </c>
      <c r="AC680" s="426" t="s">
        <v>2646</v>
      </c>
      <c r="AD680" s="426" t="s">
        <v>2646</v>
      </c>
      <c r="AE680" s="426" t="s">
        <v>2646</v>
      </c>
      <c r="AF680" s="426" t="s">
        <v>2646</v>
      </c>
      <c r="AG680" s="426" t="s">
        <v>2646</v>
      </c>
      <c r="AH680" s="426" t="s">
        <v>2646</v>
      </c>
      <c r="AI680" s="426" t="s">
        <v>2646</v>
      </c>
      <c r="AJ680" s="68" t="s">
        <v>2646</v>
      </c>
    </row>
    <row r="681" spans="1:36" hidden="1">
      <c r="A681" s="68" t="s">
        <v>1959</v>
      </c>
      <c r="B681" s="427" t="s">
        <v>2649</v>
      </c>
      <c r="C681" s="433" t="s">
        <v>3790</v>
      </c>
      <c r="D681" s="433" t="s">
        <v>3789</v>
      </c>
      <c r="E681" s="433" t="s">
        <v>2654</v>
      </c>
      <c r="F681" s="433" t="s">
        <v>2654</v>
      </c>
      <c r="G681" s="433" t="s">
        <v>2654</v>
      </c>
      <c r="H681" s="433" t="s">
        <v>2654</v>
      </c>
      <c r="I681" s="433" t="s">
        <v>2654</v>
      </c>
      <c r="J681" s="433" t="s">
        <v>2654</v>
      </c>
      <c r="K681" s="433" t="s">
        <v>2654</v>
      </c>
      <c r="L681" s="433" t="s">
        <v>2654</v>
      </c>
      <c r="M681" s="433" t="s">
        <v>2654</v>
      </c>
      <c r="N681" s="433" t="s">
        <v>2654</v>
      </c>
      <c r="O681" s="433" t="s">
        <v>2654</v>
      </c>
      <c r="P681" s="433" t="s">
        <v>2651</v>
      </c>
      <c r="Q681" s="431"/>
      <c r="R681" s="431"/>
      <c r="S681" s="426" t="s">
        <v>3132</v>
      </c>
      <c r="T681" s="426" t="s">
        <v>2646</v>
      </c>
      <c r="U681" s="426" t="s">
        <v>2646</v>
      </c>
      <c r="V681" s="426" t="s">
        <v>2646</v>
      </c>
      <c r="W681" s="426" t="s">
        <v>2646</v>
      </c>
      <c r="X681" s="426" t="s">
        <v>2646</v>
      </c>
      <c r="Y681" s="426" t="s">
        <v>2646</v>
      </c>
      <c r="Z681" s="426" t="s">
        <v>2646</v>
      </c>
      <c r="AA681" s="426" t="s">
        <v>2646</v>
      </c>
      <c r="AB681" s="426" t="s">
        <v>2646</v>
      </c>
      <c r="AC681" s="426" t="s">
        <v>2646</v>
      </c>
      <c r="AD681" s="426" t="s">
        <v>2646</v>
      </c>
      <c r="AE681" s="426" t="s">
        <v>2646</v>
      </c>
      <c r="AF681" s="426" t="s">
        <v>2646</v>
      </c>
      <c r="AG681" s="426" t="s">
        <v>2646</v>
      </c>
      <c r="AH681" s="426" t="s">
        <v>2646</v>
      </c>
      <c r="AI681" s="426" t="s">
        <v>2646</v>
      </c>
      <c r="AJ681" s="68" t="s">
        <v>2646</v>
      </c>
    </row>
    <row r="682" spans="1:36" hidden="1">
      <c r="A682" s="68" t="s">
        <v>1960</v>
      </c>
      <c r="B682" s="427" t="s">
        <v>2650</v>
      </c>
      <c r="C682" s="433" t="s">
        <v>3762</v>
      </c>
      <c r="D682" s="433" t="s">
        <v>3089</v>
      </c>
      <c r="E682" s="433" t="s">
        <v>2654</v>
      </c>
      <c r="F682" s="433" t="s">
        <v>2654</v>
      </c>
      <c r="G682" s="433" t="s">
        <v>2654</v>
      </c>
      <c r="H682" s="433" t="s">
        <v>2654</v>
      </c>
      <c r="I682" s="433" t="s">
        <v>2654</v>
      </c>
      <c r="J682" s="433" t="s">
        <v>2654</v>
      </c>
      <c r="K682" s="433" t="s">
        <v>2654</v>
      </c>
      <c r="L682" s="433" t="s">
        <v>2654</v>
      </c>
      <c r="M682" s="433" t="s">
        <v>2654</v>
      </c>
      <c r="N682" s="433" t="s">
        <v>2654</v>
      </c>
      <c r="O682" s="433" t="s">
        <v>2654</v>
      </c>
      <c r="P682" s="433" t="s">
        <v>2649</v>
      </c>
      <c r="Q682" s="431"/>
      <c r="R682" s="431"/>
      <c r="S682" s="426" t="s">
        <v>3132</v>
      </c>
      <c r="T682" s="426" t="s">
        <v>2646</v>
      </c>
      <c r="U682" s="426" t="s">
        <v>2646</v>
      </c>
      <c r="V682" s="426" t="s">
        <v>2646</v>
      </c>
      <c r="W682" s="426" t="s">
        <v>2646</v>
      </c>
      <c r="X682" s="426" t="s">
        <v>2646</v>
      </c>
      <c r="Y682" s="426" t="s">
        <v>2646</v>
      </c>
      <c r="Z682" s="426" t="s">
        <v>2646</v>
      </c>
      <c r="AA682" s="426" t="s">
        <v>2646</v>
      </c>
      <c r="AB682" s="426" t="s">
        <v>2646</v>
      </c>
      <c r="AC682" s="426" t="s">
        <v>2646</v>
      </c>
      <c r="AD682" s="426" t="s">
        <v>2646</v>
      </c>
      <c r="AE682" s="426" t="s">
        <v>2646</v>
      </c>
      <c r="AF682" s="426" t="s">
        <v>2646</v>
      </c>
      <c r="AG682" s="426" t="s">
        <v>2646</v>
      </c>
      <c r="AH682" s="426" t="s">
        <v>2646</v>
      </c>
      <c r="AI682" s="426" t="s">
        <v>2646</v>
      </c>
      <c r="AJ682" s="68" t="s">
        <v>2646</v>
      </c>
    </row>
    <row r="683" spans="1:36" hidden="1">
      <c r="A683" s="68" t="s">
        <v>1961</v>
      </c>
      <c r="B683" s="427" t="s">
        <v>2651</v>
      </c>
      <c r="C683" s="433" t="s">
        <v>3699</v>
      </c>
      <c r="D683" s="433" t="s">
        <v>3789</v>
      </c>
      <c r="E683" s="433" t="s">
        <v>2654</v>
      </c>
      <c r="F683" s="433" t="s">
        <v>2654</v>
      </c>
      <c r="G683" s="433" t="s">
        <v>2654</v>
      </c>
      <c r="H683" s="433" t="s">
        <v>2654</v>
      </c>
      <c r="I683" s="433" t="s">
        <v>2654</v>
      </c>
      <c r="J683" s="433" t="s">
        <v>2654</v>
      </c>
      <c r="K683" s="433" t="s">
        <v>2654</v>
      </c>
      <c r="L683" s="433" t="s">
        <v>2654</v>
      </c>
      <c r="M683" s="433" t="s">
        <v>2654</v>
      </c>
      <c r="N683" s="433" t="s">
        <v>2654</v>
      </c>
      <c r="O683" s="433" t="s">
        <v>2654</v>
      </c>
      <c r="P683" s="433" t="s">
        <v>2650</v>
      </c>
      <c r="Q683" s="431"/>
      <c r="R683" s="431"/>
      <c r="S683" s="426" t="s">
        <v>3132</v>
      </c>
      <c r="T683" s="426" t="s">
        <v>2646</v>
      </c>
      <c r="U683" s="426" t="s">
        <v>2646</v>
      </c>
      <c r="V683" s="426" t="s">
        <v>2646</v>
      </c>
      <c r="W683" s="426" t="s">
        <v>2646</v>
      </c>
      <c r="X683" s="426" t="s">
        <v>2646</v>
      </c>
      <c r="Y683" s="426" t="s">
        <v>2646</v>
      </c>
      <c r="Z683" s="426" t="s">
        <v>2646</v>
      </c>
      <c r="AA683" s="426" t="s">
        <v>2646</v>
      </c>
      <c r="AB683" s="426" t="s">
        <v>2646</v>
      </c>
      <c r="AC683" s="426" t="s">
        <v>2646</v>
      </c>
      <c r="AD683" s="426" t="s">
        <v>2646</v>
      </c>
      <c r="AE683" s="426" t="s">
        <v>2646</v>
      </c>
      <c r="AF683" s="426" t="s">
        <v>2646</v>
      </c>
      <c r="AG683" s="426" t="s">
        <v>2646</v>
      </c>
      <c r="AH683" s="426" t="s">
        <v>2646</v>
      </c>
      <c r="AI683" s="426" t="s">
        <v>2646</v>
      </c>
      <c r="AJ683" s="68" t="s">
        <v>2646</v>
      </c>
    </row>
    <row r="684" spans="1:36">
      <c r="A684" s="68" t="s">
        <v>1961</v>
      </c>
      <c r="B684" s="427" t="s">
        <v>48</v>
      </c>
      <c r="C684" s="433" t="s">
        <v>4371</v>
      </c>
      <c r="D684" s="433" t="s">
        <v>3970</v>
      </c>
      <c r="E684" s="433" t="s">
        <v>2654</v>
      </c>
      <c r="F684" s="433" t="s">
        <v>2654</v>
      </c>
      <c r="G684" s="433" t="s">
        <v>2654</v>
      </c>
      <c r="H684" s="433" t="s">
        <v>2654</v>
      </c>
      <c r="I684" s="433" t="s">
        <v>2654</v>
      </c>
      <c r="J684" s="433" t="s">
        <v>2654</v>
      </c>
      <c r="K684" s="433" t="s">
        <v>2654</v>
      </c>
      <c r="L684" s="433" t="s">
        <v>2654</v>
      </c>
      <c r="M684" s="433" t="s">
        <v>2654</v>
      </c>
      <c r="N684" s="433" t="s">
        <v>2654</v>
      </c>
      <c r="O684" s="433" t="s">
        <v>2654</v>
      </c>
      <c r="P684" s="433" t="s">
        <v>3214</v>
      </c>
      <c r="Q684" s="433" t="s">
        <v>2654</v>
      </c>
      <c r="R684" s="433" t="s">
        <v>2654</v>
      </c>
      <c r="S684" s="426"/>
      <c r="T684" s="426"/>
      <c r="U684" s="426"/>
      <c r="V684" s="426"/>
      <c r="W684" s="426"/>
      <c r="X684" s="426"/>
      <c r="Y684" s="426"/>
      <c r="Z684" s="426"/>
      <c r="AA684" s="426"/>
      <c r="AB684" s="426"/>
      <c r="AC684" s="426"/>
      <c r="AD684" s="426"/>
      <c r="AE684" s="426"/>
      <c r="AF684" s="426"/>
      <c r="AG684" s="426"/>
      <c r="AH684" s="426"/>
      <c r="AI684" s="426"/>
    </row>
    <row r="685" spans="1:36" hidden="1">
      <c r="A685" s="68" t="s">
        <v>1962</v>
      </c>
      <c r="B685" s="427" t="s">
        <v>2647</v>
      </c>
      <c r="C685" s="433" t="s">
        <v>3416</v>
      </c>
      <c r="D685" s="433" t="s">
        <v>2676</v>
      </c>
      <c r="E685" s="433" t="s">
        <v>2654</v>
      </c>
      <c r="F685" s="433" t="s">
        <v>2654</v>
      </c>
      <c r="G685" s="433" t="s">
        <v>2654</v>
      </c>
      <c r="H685" s="433" t="s">
        <v>2654</v>
      </c>
      <c r="I685" s="433" t="s">
        <v>2654</v>
      </c>
      <c r="J685" s="433" t="s">
        <v>2654</v>
      </c>
      <c r="K685" s="433" t="s">
        <v>2654</v>
      </c>
      <c r="L685" s="433" t="s">
        <v>2654</v>
      </c>
      <c r="M685" s="433" t="s">
        <v>2654</v>
      </c>
      <c r="N685" s="433" t="s">
        <v>2654</v>
      </c>
      <c r="O685" s="433" t="s">
        <v>2654</v>
      </c>
      <c r="P685" s="433" t="s">
        <v>2649</v>
      </c>
      <c r="Q685" s="431"/>
      <c r="R685" s="431"/>
      <c r="S685" s="426" t="s">
        <v>2669</v>
      </c>
      <c r="T685" s="426" t="s">
        <v>2646</v>
      </c>
      <c r="U685" s="426" t="s">
        <v>2646</v>
      </c>
      <c r="V685" s="426" t="s">
        <v>2646</v>
      </c>
      <c r="W685" s="426" t="s">
        <v>2646</v>
      </c>
      <c r="X685" s="426" t="s">
        <v>2646</v>
      </c>
      <c r="Y685" s="426" t="s">
        <v>2646</v>
      </c>
      <c r="Z685" s="426" t="s">
        <v>2646</v>
      </c>
      <c r="AA685" s="426" t="s">
        <v>2646</v>
      </c>
      <c r="AB685" s="426" t="s">
        <v>2646</v>
      </c>
      <c r="AC685" s="426" t="s">
        <v>2646</v>
      </c>
      <c r="AD685" s="426" t="s">
        <v>2646</v>
      </c>
      <c r="AE685" s="426" t="s">
        <v>2646</v>
      </c>
      <c r="AF685" s="426" t="s">
        <v>2646</v>
      </c>
      <c r="AG685" s="426" t="s">
        <v>2646</v>
      </c>
      <c r="AH685" s="426" t="s">
        <v>2646</v>
      </c>
      <c r="AI685" s="426" t="s">
        <v>2646</v>
      </c>
      <c r="AJ685" s="68" t="s">
        <v>2646</v>
      </c>
    </row>
    <row r="686" spans="1:36" hidden="1">
      <c r="A686" s="68" t="s">
        <v>1963</v>
      </c>
      <c r="B686" s="427" t="s">
        <v>2648</v>
      </c>
      <c r="C686" s="433" t="s">
        <v>3823</v>
      </c>
      <c r="D686" s="433" t="s">
        <v>2777</v>
      </c>
      <c r="E686" s="433" t="s">
        <v>2654</v>
      </c>
      <c r="F686" s="433" t="s">
        <v>2654</v>
      </c>
      <c r="G686" s="433" t="s">
        <v>2654</v>
      </c>
      <c r="H686" s="433" t="s">
        <v>2654</v>
      </c>
      <c r="I686" s="433" t="s">
        <v>2654</v>
      </c>
      <c r="J686" s="433" t="s">
        <v>2654</v>
      </c>
      <c r="K686" s="433" t="s">
        <v>2654</v>
      </c>
      <c r="L686" s="433" t="s">
        <v>2654</v>
      </c>
      <c r="M686" s="433" t="s">
        <v>2654</v>
      </c>
      <c r="N686" s="433" t="s">
        <v>2654</v>
      </c>
      <c r="O686" s="433" t="s">
        <v>2654</v>
      </c>
      <c r="P686" s="433" t="s">
        <v>2651</v>
      </c>
      <c r="Q686" s="431"/>
      <c r="R686" s="431"/>
      <c r="S686" s="426" t="s">
        <v>2901</v>
      </c>
      <c r="T686" s="426" t="s">
        <v>2646</v>
      </c>
      <c r="U686" s="426" t="s">
        <v>2646</v>
      </c>
      <c r="V686" s="426" t="s">
        <v>2646</v>
      </c>
      <c r="W686" s="426" t="s">
        <v>2646</v>
      </c>
      <c r="X686" s="426" t="s">
        <v>2646</v>
      </c>
      <c r="Y686" s="426" t="s">
        <v>2646</v>
      </c>
      <c r="Z686" s="426" t="s">
        <v>2646</v>
      </c>
      <c r="AA686" s="426" t="s">
        <v>2646</v>
      </c>
      <c r="AB686" s="426" t="s">
        <v>2646</v>
      </c>
      <c r="AC686" s="426" t="s">
        <v>2646</v>
      </c>
      <c r="AD686" s="426" t="s">
        <v>2646</v>
      </c>
      <c r="AE686" s="426" t="s">
        <v>2646</v>
      </c>
      <c r="AF686" s="426" t="s">
        <v>2646</v>
      </c>
      <c r="AG686" s="426" t="s">
        <v>2646</v>
      </c>
      <c r="AH686" s="426" t="s">
        <v>2646</v>
      </c>
      <c r="AI686" s="426" t="s">
        <v>2646</v>
      </c>
      <c r="AJ686" s="68" t="s">
        <v>2646</v>
      </c>
    </row>
    <row r="687" spans="1:36" hidden="1">
      <c r="A687" s="68" t="s">
        <v>1964</v>
      </c>
      <c r="B687" s="427" t="s">
        <v>2649</v>
      </c>
      <c r="C687" s="433" t="s">
        <v>3726</v>
      </c>
      <c r="D687" s="433" t="s">
        <v>2676</v>
      </c>
      <c r="E687" s="433" t="s">
        <v>2654</v>
      </c>
      <c r="F687" s="433" t="s">
        <v>2654</v>
      </c>
      <c r="G687" s="433" t="s">
        <v>2654</v>
      </c>
      <c r="H687" s="433" t="s">
        <v>2654</v>
      </c>
      <c r="I687" s="433" t="s">
        <v>2654</v>
      </c>
      <c r="J687" s="433" t="s">
        <v>2654</v>
      </c>
      <c r="K687" s="433" t="s">
        <v>2654</v>
      </c>
      <c r="L687" s="433" t="s">
        <v>2654</v>
      </c>
      <c r="M687" s="433" t="s">
        <v>2654</v>
      </c>
      <c r="N687" s="433" t="s">
        <v>2654</v>
      </c>
      <c r="O687" s="433" t="s">
        <v>2654</v>
      </c>
      <c r="P687" s="433" t="s">
        <v>2649</v>
      </c>
      <c r="Q687" s="431"/>
      <c r="R687" s="431"/>
      <c r="S687" s="426" t="s">
        <v>2657</v>
      </c>
      <c r="T687" s="426" t="s">
        <v>2646</v>
      </c>
      <c r="U687" s="426" t="s">
        <v>2646</v>
      </c>
      <c r="V687" s="426" t="s">
        <v>2646</v>
      </c>
      <c r="W687" s="426" t="s">
        <v>2646</v>
      </c>
      <c r="X687" s="426" t="s">
        <v>2646</v>
      </c>
      <c r="Y687" s="426" t="s">
        <v>2646</v>
      </c>
      <c r="Z687" s="426" t="s">
        <v>2646</v>
      </c>
      <c r="AA687" s="426" t="s">
        <v>2646</v>
      </c>
      <c r="AB687" s="426" t="s">
        <v>2646</v>
      </c>
      <c r="AC687" s="426" t="s">
        <v>2646</v>
      </c>
      <c r="AD687" s="426" t="s">
        <v>2646</v>
      </c>
      <c r="AE687" s="426" t="s">
        <v>2646</v>
      </c>
      <c r="AF687" s="426" t="s">
        <v>2646</v>
      </c>
      <c r="AG687" s="426" t="s">
        <v>2646</v>
      </c>
      <c r="AH687" s="426" t="s">
        <v>2646</v>
      </c>
      <c r="AI687" s="426" t="s">
        <v>2646</v>
      </c>
      <c r="AJ687" s="68" t="s">
        <v>2646</v>
      </c>
    </row>
    <row r="688" spans="1:36" hidden="1">
      <c r="A688" s="68" t="s">
        <v>1965</v>
      </c>
      <c r="B688" s="427" t="s">
        <v>2650</v>
      </c>
      <c r="C688" s="433" t="s">
        <v>3317</v>
      </c>
      <c r="D688" s="433" t="s">
        <v>2777</v>
      </c>
      <c r="E688" s="433" t="s">
        <v>2654</v>
      </c>
      <c r="F688" s="433" t="s">
        <v>2654</v>
      </c>
      <c r="G688" s="433" t="s">
        <v>2654</v>
      </c>
      <c r="H688" s="433" t="s">
        <v>2654</v>
      </c>
      <c r="I688" s="433" t="s">
        <v>2654</v>
      </c>
      <c r="J688" s="433" t="s">
        <v>2654</v>
      </c>
      <c r="K688" s="433" t="s">
        <v>2654</v>
      </c>
      <c r="L688" s="433" t="s">
        <v>2654</v>
      </c>
      <c r="M688" s="433" t="s">
        <v>2654</v>
      </c>
      <c r="N688" s="433" t="s">
        <v>2654</v>
      </c>
      <c r="O688" s="433" t="s">
        <v>2654</v>
      </c>
      <c r="P688" s="433" t="s">
        <v>2651</v>
      </c>
      <c r="Q688" s="431"/>
      <c r="R688" s="431"/>
      <c r="S688" s="426" t="s">
        <v>316</v>
      </c>
      <c r="T688" s="426" t="s">
        <v>2646</v>
      </c>
      <c r="U688" s="426" t="s">
        <v>2646</v>
      </c>
      <c r="V688" s="426" t="s">
        <v>2646</v>
      </c>
      <c r="W688" s="426" t="s">
        <v>2646</v>
      </c>
      <c r="X688" s="426" t="s">
        <v>2646</v>
      </c>
      <c r="Y688" s="426" t="s">
        <v>2646</v>
      </c>
      <c r="Z688" s="426" t="s">
        <v>2646</v>
      </c>
      <c r="AA688" s="426" t="s">
        <v>2646</v>
      </c>
      <c r="AB688" s="426" t="s">
        <v>2646</v>
      </c>
      <c r="AC688" s="426" t="s">
        <v>2646</v>
      </c>
      <c r="AD688" s="426" t="s">
        <v>2646</v>
      </c>
      <c r="AE688" s="426" t="s">
        <v>2646</v>
      </c>
      <c r="AF688" s="426" t="s">
        <v>2646</v>
      </c>
      <c r="AG688" s="426" t="s">
        <v>2646</v>
      </c>
      <c r="AH688" s="426" t="s">
        <v>2646</v>
      </c>
      <c r="AI688" s="426" t="s">
        <v>2646</v>
      </c>
      <c r="AJ688" s="68" t="s">
        <v>2646</v>
      </c>
    </row>
    <row r="689" spans="1:36" hidden="1">
      <c r="A689" s="68" t="s">
        <v>1966</v>
      </c>
      <c r="B689" s="427" t="s">
        <v>2651</v>
      </c>
      <c r="C689" s="433" t="s">
        <v>3767</v>
      </c>
      <c r="D689" s="433" t="s">
        <v>2777</v>
      </c>
      <c r="E689" s="433" t="s">
        <v>2654</v>
      </c>
      <c r="F689" s="433" t="s">
        <v>2654</v>
      </c>
      <c r="G689" s="433" t="s">
        <v>2654</v>
      </c>
      <c r="H689" s="433" t="s">
        <v>2654</v>
      </c>
      <c r="I689" s="433" t="s">
        <v>2654</v>
      </c>
      <c r="J689" s="433" t="s">
        <v>2654</v>
      </c>
      <c r="K689" s="433" t="s">
        <v>2654</v>
      </c>
      <c r="L689" s="433" t="s">
        <v>2654</v>
      </c>
      <c r="M689" s="433" t="s">
        <v>2654</v>
      </c>
      <c r="N689" s="433" t="s">
        <v>2654</v>
      </c>
      <c r="O689" s="433" t="s">
        <v>2654</v>
      </c>
      <c r="P689" s="433" t="s">
        <v>2651</v>
      </c>
      <c r="Q689" s="431"/>
      <c r="R689" s="431"/>
      <c r="S689" s="426" t="s">
        <v>2786</v>
      </c>
      <c r="T689" s="426" t="s">
        <v>2646</v>
      </c>
      <c r="U689" s="426" t="s">
        <v>2646</v>
      </c>
      <c r="V689" s="426" t="s">
        <v>2646</v>
      </c>
      <c r="W689" s="426" t="s">
        <v>2646</v>
      </c>
      <c r="X689" s="426" t="s">
        <v>2646</v>
      </c>
      <c r="Y689" s="426" t="s">
        <v>2646</v>
      </c>
      <c r="Z689" s="426" t="s">
        <v>2646</v>
      </c>
      <c r="AA689" s="426" t="s">
        <v>2646</v>
      </c>
      <c r="AB689" s="426" t="s">
        <v>2646</v>
      </c>
      <c r="AC689" s="426" t="s">
        <v>2646</v>
      </c>
      <c r="AD689" s="426" t="s">
        <v>2646</v>
      </c>
      <c r="AE689" s="426" t="s">
        <v>2646</v>
      </c>
      <c r="AF689" s="426" t="s">
        <v>2646</v>
      </c>
      <c r="AG689" s="426" t="s">
        <v>2646</v>
      </c>
      <c r="AH689" s="426" t="s">
        <v>2646</v>
      </c>
      <c r="AI689" s="426" t="s">
        <v>2646</v>
      </c>
      <c r="AJ689" s="68" t="s">
        <v>2646</v>
      </c>
    </row>
    <row r="690" spans="1:36">
      <c r="A690" s="68" t="s">
        <v>1966</v>
      </c>
      <c r="B690" s="427" t="s">
        <v>48</v>
      </c>
      <c r="C690" s="433" t="s">
        <v>3319</v>
      </c>
      <c r="D690" s="433" t="s">
        <v>3604</v>
      </c>
      <c r="E690" s="433" t="s">
        <v>2654</v>
      </c>
      <c r="F690" s="433" t="s">
        <v>2654</v>
      </c>
      <c r="G690" s="433" t="s">
        <v>2654</v>
      </c>
      <c r="H690" s="433" t="s">
        <v>2654</v>
      </c>
      <c r="I690" s="433" t="s">
        <v>2654</v>
      </c>
      <c r="J690" s="433" t="s">
        <v>2654</v>
      </c>
      <c r="K690" s="433" t="s">
        <v>2654</v>
      </c>
      <c r="L690" s="433" t="s">
        <v>2654</v>
      </c>
      <c r="M690" s="433" t="s">
        <v>2654</v>
      </c>
      <c r="N690" s="433" t="s">
        <v>2654</v>
      </c>
      <c r="O690" s="433" t="s">
        <v>2654</v>
      </c>
      <c r="P690" s="433" t="s">
        <v>3004</v>
      </c>
      <c r="Q690" s="433" t="s">
        <v>2654</v>
      </c>
      <c r="R690" s="433" t="s">
        <v>2654</v>
      </c>
      <c r="S690" s="426"/>
      <c r="T690" s="426"/>
      <c r="U690" s="426"/>
      <c r="V690" s="426"/>
      <c r="W690" s="426"/>
      <c r="X690" s="426"/>
      <c r="Y690" s="426"/>
      <c r="Z690" s="426"/>
      <c r="AA690" s="426"/>
      <c r="AB690" s="426"/>
      <c r="AC690" s="426"/>
      <c r="AD690" s="426"/>
      <c r="AE690" s="426"/>
      <c r="AF690" s="426"/>
      <c r="AG690" s="426"/>
      <c r="AH690" s="426"/>
      <c r="AI690" s="426"/>
    </row>
    <row r="691" spans="1:36" hidden="1">
      <c r="A691" s="68" t="s">
        <v>1967</v>
      </c>
      <c r="B691" s="427" t="s">
        <v>2647</v>
      </c>
      <c r="C691" s="433" t="s">
        <v>3408</v>
      </c>
      <c r="D691" s="433" t="s">
        <v>3018</v>
      </c>
      <c r="E691" s="433" t="s">
        <v>2654</v>
      </c>
      <c r="F691" s="433" t="s">
        <v>2654</v>
      </c>
      <c r="G691" s="433" t="s">
        <v>2654</v>
      </c>
      <c r="H691" s="433" t="s">
        <v>2654</v>
      </c>
      <c r="I691" s="433" t="s">
        <v>2654</v>
      </c>
      <c r="J691" s="433" t="s">
        <v>2654</v>
      </c>
      <c r="K691" s="433" t="s">
        <v>2654</v>
      </c>
      <c r="L691" s="433" t="s">
        <v>2654</v>
      </c>
      <c r="M691" s="433" t="s">
        <v>2654</v>
      </c>
      <c r="N691" s="433" t="s">
        <v>2654</v>
      </c>
      <c r="O691" s="433" t="s">
        <v>2654</v>
      </c>
      <c r="P691" s="433" t="s">
        <v>2649</v>
      </c>
      <c r="Q691" s="431"/>
      <c r="R691" s="431"/>
      <c r="S691" s="426" t="s">
        <v>2885</v>
      </c>
      <c r="T691" s="426" t="s">
        <v>2646</v>
      </c>
      <c r="U691" s="426" t="s">
        <v>2646</v>
      </c>
      <c r="V691" s="426" t="s">
        <v>2646</v>
      </c>
      <c r="W691" s="426" t="s">
        <v>2646</v>
      </c>
      <c r="X691" s="426" t="s">
        <v>2646</v>
      </c>
      <c r="Y691" s="426" t="s">
        <v>2646</v>
      </c>
      <c r="Z691" s="426" t="s">
        <v>2646</v>
      </c>
      <c r="AA691" s="426" t="s">
        <v>2646</v>
      </c>
      <c r="AB691" s="426" t="s">
        <v>2646</v>
      </c>
      <c r="AC691" s="426" t="s">
        <v>2646</v>
      </c>
      <c r="AD691" s="426" t="s">
        <v>2646</v>
      </c>
      <c r="AE691" s="426" t="s">
        <v>2646</v>
      </c>
      <c r="AF691" s="426" t="s">
        <v>2646</v>
      </c>
      <c r="AG691" s="426" t="s">
        <v>2646</v>
      </c>
      <c r="AH691" s="426" t="s">
        <v>2646</v>
      </c>
      <c r="AI691" s="426" t="s">
        <v>2646</v>
      </c>
      <c r="AJ691" s="68" t="s">
        <v>2646</v>
      </c>
    </row>
    <row r="692" spans="1:36" hidden="1">
      <c r="A692" s="68" t="s">
        <v>1968</v>
      </c>
      <c r="B692" s="427" t="s">
        <v>2648</v>
      </c>
      <c r="C692" s="433" t="s">
        <v>2794</v>
      </c>
      <c r="D692" s="433" t="s">
        <v>2833</v>
      </c>
      <c r="E692" s="433" t="s">
        <v>2654</v>
      </c>
      <c r="F692" s="433" t="s">
        <v>2654</v>
      </c>
      <c r="G692" s="433" t="s">
        <v>2654</v>
      </c>
      <c r="H692" s="433" t="s">
        <v>2654</v>
      </c>
      <c r="I692" s="433" t="s">
        <v>2654</v>
      </c>
      <c r="J692" s="433" t="s">
        <v>2654</v>
      </c>
      <c r="K692" s="433" t="s">
        <v>2654</v>
      </c>
      <c r="L692" s="433" t="s">
        <v>2654</v>
      </c>
      <c r="M692" s="433" t="s">
        <v>2654</v>
      </c>
      <c r="N692" s="433" t="s">
        <v>2654</v>
      </c>
      <c r="O692" s="433" t="s">
        <v>2654</v>
      </c>
      <c r="P692" s="433" t="s">
        <v>2648</v>
      </c>
      <c r="Q692" s="431"/>
      <c r="R692" s="431"/>
      <c r="S692" s="426" t="s">
        <v>2655</v>
      </c>
      <c r="T692" s="426" t="s">
        <v>2646</v>
      </c>
      <c r="U692" s="426" t="s">
        <v>2646</v>
      </c>
      <c r="V692" s="426" t="s">
        <v>2646</v>
      </c>
      <c r="W692" s="426" t="s">
        <v>2646</v>
      </c>
      <c r="X692" s="426" t="s">
        <v>2646</v>
      </c>
      <c r="Y692" s="426" t="s">
        <v>2646</v>
      </c>
      <c r="Z692" s="426" t="s">
        <v>2646</v>
      </c>
      <c r="AA692" s="426" t="s">
        <v>2646</v>
      </c>
      <c r="AB692" s="426" t="s">
        <v>2646</v>
      </c>
      <c r="AC692" s="426" t="s">
        <v>2646</v>
      </c>
      <c r="AD692" s="426" t="s">
        <v>2646</v>
      </c>
      <c r="AE692" s="426" t="s">
        <v>2646</v>
      </c>
      <c r="AF692" s="426" t="s">
        <v>2646</v>
      </c>
      <c r="AG692" s="426" t="s">
        <v>2646</v>
      </c>
      <c r="AH692" s="426" t="s">
        <v>2646</v>
      </c>
      <c r="AI692" s="426" t="s">
        <v>2646</v>
      </c>
      <c r="AJ692" s="68" t="s">
        <v>2646</v>
      </c>
    </row>
    <row r="693" spans="1:36" hidden="1">
      <c r="A693" s="68" t="s">
        <v>1969</v>
      </c>
      <c r="B693" s="427" t="s">
        <v>2649</v>
      </c>
      <c r="C693" s="433" t="s">
        <v>3157</v>
      </c>
      <c r="D693" s="433" t="s">
        <v>3018</v>
      </c>
      <c r="E693" s="433" t="s">
        <v>2654</v>
      </c>
      <c r="F693" s="433" t="s">
        <v>2654</v>
      </c>
      <c r="G693" s="433" t="s">
        <v>2654</v>
      </c>
      <c r="H693" s="433" t="s">
        <v>2654</v>
      </c>
      <c r="I693" s="433" t="s">
        <v>2654</v>
      </c>
      <c r="J693" s="433" t="s">
        <v>2654</v>
      </c>
      <c r="K693" s="433" t="s">
        <v>2654</v>
      </c>
      <c r="L693" s="433" t="s">
        <v>2654</v>
      </c>
      <c r="M693" s="433" t="s">
        <v>2654</v>
      </c>
      <c r="N693" s="433" t="s">
        <v>2654</v>
      </c>
      <c r="O693" s="433" t="s">
        <v>2654</v>
      </c>
      <c r="P693" s="433" t="s">
        <v>2646</v>
      </c>
      <c r="Q693" s="431"/>
      <c r="R693" s="431"/>
      <c r="S693" s="426" t="s">
        <v>3268</v>
      </c>
      <c r="T693" s="426" t="s">
        <v>2646</v>
      </c>
      <c r="U693" s="426" t="s">
        <v>2646</v>
      </c>
      <c r="V693" s="426" t="s">
        <v>2646</v>
      </c>
      <c r="W693" s="426" t="s">
        <v>2646</v>
      </c>
      <c r="X693" s="426" t="s">
        <v>2646</v>
      </c>
      <c r="Y693" s="426" t="s">
        <v>2646</v>
      </c>
      <c r="Z693" s="426" t="s">
        <v>2646</v>
      </c>
      <c r="AA693" s="426" t="s">
        <v>2646</v>
      </c>
      <c r="AB693" s="426" t="s">
        <v>2646</v>
      </c>
      <c r="AC693" s="426" t="s">
        <v>2646</v>
      </c>
      <c r="AD693" s="426" t="s">
        <v>2646</v>
      </c>
      <c r="AE693" s="426" t="s">
        <v>2646</v>
      </c>
      <c r="AF693" s="426" t="s">
        <v>2646</v>
      </c>
      <c r="AG693" s="426" t="s">
        <v>2646</v>
      </c>
      <c r="AH693" s="426" t="s">
        <v>2646</v>
      </c>
      <c r="AI693" s="426" t="s">
        <v>2646</v>
      </c>
      <c r="AJ693" s="68" t="s">
        <v>2646</v>
      </c>
    </row>
    <row r="694" spans="1:36" hidden="1">
      <c r="A694" s="68" t="s">
        <v>1970</v>
      </c>
      <c r="B694" s="427" t="s">
        <v>2650</v>
      </c>
      <c r="C694" s="433" t="s">
        <v>3646</v>
      </c>
      <c r="D694" s="433" t="s">
        <v>2720</v>
      </c>
      <c r="E694" s="433" t="s">
        <v>2654</v>
      </c>
      <c r="F694" s="433" t="s">
        <v>2654</v>
      </c>
      <c r="G694" s="433" t="s">
        <v>2654</v>
      </c>
      <c r="H694" s="433" t="s">
        <v>2654</v>
      </c>
      <c r="I694" s="433" t="s">
        <v>2654</v>
      </c>
      <c r="J694" s="433" t="s">
        <v>2654</v>
      </c>
      <c r="K694" s="433" t="s">
        <v>2654</v>
      </c>
      <c r="L694" s="433" t="s">
        <v>2654</v>
      </c>
      <c r="M694" s="433" t="s">
        <v>2654</v>
      </c>
      <c r="N694" s="433" t="s">
        <v>2654</v>
      </c>
      <c r="O694" s="433" t="s">
        <v>2654</v>
      </c>
      <c r="P694" s="433" t="s">
        <v>2651</v>
      </c>
      <c r="Q694" s="431"/>
      <c r="R694" s="431"/>
      <c r="S694" s="426" t="s">
        <v>3109</v>
      </c>
      <c r="T694" s="426" t="s">
        <v>2646</v>
      </c>
      <c r="U694" s="426" t="s">
        <v>2646</v>
      </c>
      <c r="V694" s="426" t="s">
        <v>2646</v>
      </c>
      <c r="W694" s="426" t="s">
        <v>2646</v>
      </c>
      <c r="X694" s="426" t="s">
        <v>2646</v>
      </c>
      <c r="Y694" s="426" t="s">
        <v>2646</v>
      </c>
      <c r="Z694" s="426" t="s">
        <v>2646</v>
      </c>
      <c r="AA694" s="426" t="s">
        <v>2646</v>
      </c>
      <c r="AB694" s="426" t="s">
        <v>2646</v>
      </c>
      <c r="AC694" s="426" t="s">
        <v>2646</v>
      </c>
      <c r="AD694" s="426" t="s">
        <v>2646</v>
      </c>
      <c r="AE694" s="426" t="s">
        <v>2646</v>
      </c>
      <c r="AF694" s="426" t="s">
        <v>2646</v>
      </c>
      <c r="AG694" s="426" t="s">
        <v>2646</v>
      </c>
      <c r="AH694" s="426" t="s">
        <v>2646</v>
      </c>
      <c r="AI694" s="426" t="s">
        <v>2646</v>
      </c>
      <c r="AJ694" s="68" t="s">
        <v>2646</v>
      </c>
    </row>
    <row r="695" spans="1:36" hidden="1">
      <c r="A695" s="68" t="s">
        <v>1971</v>
      </c>
      <c r="B695" s="427" t="s">
        <v>2651</v>
      </c>
      <c r="C695" s="433" t="s">
        <v>4157</v>
      </c>
      <c r="D695" s="433" t="s">
        <v>3018</v>
      </c>
      <c r="E695" s="433" t="s">
        <v>2654</v>
      </c>
      <c r="F695" s="433" t="s">
        <v>2654</v>
      </c>
      <c r="G695" s="433" t="s">
        <v>2654</v>
      </c>
      <c r="H695" s="433" t="s">
        <v>2654</v>
      </c>
      <c r="I695" s="433" t="s">
        <v>2654</v>
      </c>
      <c r="J695" s="433" t="s">
        <v>2654</v>
      </c>
      <c r="K695" s="433" t="s">
        <v>2654</v>
      </c>
      <c r="L695" s="433" t="s">
        <v>2654</v>
      </c>
      <c r="M695" s="433" t="s">
        <v>2654</v>
      </c>
      <c r="N695" s="433" t="s">
        <v>2654</v>
      </c>
      <c r="O695" s="433" t="s">
        <v>2654</v>
      </c>
      <c r="P695" s="433" t="s">
        <v>2649</v>
      </c>
      <c r="Q695" s="431"/>
      <c r="R695" s="431"/>
      <c r="S695" s="426" t="s">
        <v>3194</v>
      </c>
      <c r="T695" s="426" t="s">
        <v>2646</v>
      </c>
      <c r="U695" s="426" t="s">
        <v>2646</v>
      </c>
      <c r="V695" s="426" t="s">
        <v>2646</v>
      </c>
      <c r="W695" s="426" t="s">
        <v>2646</v>
      </c>
      <c r="X695" s="426" t="s">
        <v>2646</v>
      </c>
      <c r="Y695" s="426" t="s">
        <v>2646</v>
      </c>
      <c r="Z695" s="426" t="s">
        <v>2646</v>
      </c>
      <c r="AA695" s="426" t="s">
        <v>2646</v>
      </c>
      <c r="AB695" s="426" t="s">
        <v>2646</v>
      </c>
      <c r="AC695" s="426" t="s">
        <v>2646</v>
      </c>
      <c r="AD695" s="426" t="s">
        <v>2646</v>
      </c>
      <c r="AE695" s="426" t="s">
        <v>2646</v>
      </c>
      <c r="AF695" s="426" t="s">
        <v>2646</v>
      </c>
      <c r="AG695" s="426" t="s">
        <v>2646</v>
      </c>
      <c r="AH695" s="426" t="s">
        <v>2646</v>
      </c>
      <c r="AI695" s="426" t="s">
        <v>2646</v>
      </c>
      <c r="AJ695" s="68" t="s">
        <v>2646</v>
      </c>
    </row>
    <row r="696" spans="1:36">
      <c r="A696" s="68" t="s">
        <v>1971</v>
      </c>
      <c r="B696" s="427" t="s">
        <v>48</v>
      </c>
      <c r="C696" s="433" t="s">
        <v>4052</v>
      </c>
      <c r="D696" s="433" t="s">
        <v>3536</v>
      </c>
      <c r="E696" s="433" t="s">
        <v>2654</v>
      </c>
      <c r="F696" s="433" t="s">
        <v>2654</v>
      </c>
      <c r="G696" s="433" t="s">
        <v>2654</v>
      </c>
      <c r="H696" s="433" t="s">
        <v>2654</v>
      </c>
      <c r="I696" s="433" t="s">
        <v>2654</v>
      </c>
      <c r="J696" s="433" t="s">
        <v>2654</v>
      </c>
      <c r="K696" s="433" t="s">
        <v>2654</v>
      </c>
      <c r="L696" s="433" t="s">
        <v>2654</v>
      </c>
      <c r="M696" s="433" t="s">
        <v>2654</v>
      </c>
      <c r="N696" s="433" t="s">
        <v>2654</v>
      </c>
      <c r="O696" s="433" t="s">
        <v>2654</v>
      </c>
      <c r="P696" s="433" t="s">
        <v>2953</v>
      </c>
      <c r="Q696" s="433" t="s">
        <v>2654</v>
      </c>
      <c r="R696" s="433" t="s">
        <v>2654</v>
      </c>
      <c r="S696" s="426"/>
      <c r="T696" s="426"/>
      <c r="U696" s="426"/>
      <c r="V696" s="426"/>
      <c r="W696" s="426"/>
      <c r="X696" s="426"/>
      <c r="Y696" s="426"/>
      <c r="Z696" s="426"/>
      <c r="AA696" s="426"/>
      <c r="AB696" s="426"/>
      <c r="AC696" s="426"/>
      <c r="AD696" s="426"/>
      <c r="AE696" s="426"/>
      <c r="AF696" s="426"/>
      <c r="AG696" s="426"/>
      <c r="AH696" s="426"/>
      <c r="AI696" s="426"/>
    </row>
    <row r="697" spans="1:36" hidden="1">
      <c r="A697" s="68" t="s">
        <v>1972</v>
      </c>
      <c r="B697" s="427" t="s">
        <v>2647</v>
      </c>
      <c r="C697" s="433" t="s">
        <v>4372</v>
      </c>
      <c r="D697" s="433" t="s">
        <v>3262</v>
      </c>
      <c r="E697" s="433" t="s">
        <v>2654</v>
      </c>
      <c r="F697" s="433" t="s">
        <v>2654</v>
      </c>
      <c r="G697" s="433" t="s">
        <v>2654</v>
      </c>
      <c r="H697" s="433" t="s">
        <v>2654</v>
      </c>
      <c r="I697" s="433" t="s">
        <v>2654</v>
      </c>
      <c r="J697" s="433" t="s">
        <v>2654</v>
      </c>
      <c r="K697" s="433" t="s">
        <v>2654</v>
      </c>
      <c r="L697" s="433" t="s">
        <v>2654</v>
      </c>
      <c r="M697" s="433" t="s">
        <v>2654</v>
      </c>
      <c r="N697" s="433" t="s">
        <v>2654</v>
      </c>
      <c r="O697" s="433" t="s">
        <v>2654</v>
      </c>
      <c r="P697" s="433" t="s">
        <v>2648</v>
      </c>
      <c r="Q697" s="431"/>
      <c r="R697" s="431"/>
      <c r="S697" s="426" t="s">
        <v>2669</v>
      </c>
      <c r="T697" s="426" t="s">
        <v>2646</v>
      </c>
      <c r="U697" s="426" t="s">
        <v>2646</v>
      </c>
      <c r="V697" s="426" t="s">
        <v>2646</v>
      </c>
      <c r="W697" s="426" t="s">
        <v>2646</v>
      </c>
      <c r="X697" s="426" t="s">
        <v>2646</v>
      </c>
      <c r="Y697" s="426" t="s">
        <v>2646</v>
      </c>
      <c r="Z697" s="426" t="s">
        <v>2646</v>
      </c>
      <c r="AA697" s="426" t="s">
        <v>2646</v>
      </c>
      <c r="AB697" s="426" t="s">
        <v>2646</v>
      </c>
      <c r="AC697" s="426" t="s">
        <v>2646</v>
      </c>
      <c r="AD697" s="426" t="s">
        <v>2646</v>
      </c>
      <c r="AE697" s="426" t="s">
        <v>2646</v>
      </c>
      <c r="AF697" s="426" t="s">
        <v>2646</v>
      </c>
      <c r="AG697" s="426" t="s">
        <v>2646</v>
      </c>
      <c r="AH697" s="426" t="s">
        <v>2646</v>
      </c>
      <c r="AI697" s="426" t="s">
        <v>2646</v>
      </c>
      <c r="AJ697" s="68" t="s">
        <v>2646</v>
      </c>
    </row>
    <row r="698" spans="1:36" hidden="1">
      <c r="A698" s="68" t="s">
        <v>1973</v>
      </c>
      <c r="B698" s="427" t="s">
        <v>2648</v>
      </c>
      <c r="C698" s="433" t="s">
        <v>4373</v>
      </c>
      <c r="D698" s="433" t="s">
        <v>3728</v>
      </c>
      <c r="E698" s="433" t="s">
        <v>2654</v>
      </c>
      <c r="F698" s="433" t="s">
        <v>2654</v>
      </c>
      <c r="G698" s="433" t="s">
        <v>2654</v>
      </c>
      <c r="H698" s="433" t="s">
        <v>2654</v>
      </c>
      <c r="I698" s="433" t="s">
        <v>2654</v>
      </c>
      <c r="J698" s="433" t="s">
        <v>2654</v>
      </c>
      <c r="K698" s="433" t="s">
        <v>2654</v>
      </c>
      <c r="L698" s="433" t="s">
        <v>2654</v>
      </c>
      <c r="M698" s="433" t="s">
        <v>2654</v>
      </c>
      <c r="N698" s="433" t="s">
        <v>2654</v>
      </c>
      <c r="O698" s="433" t="s">
        <v>2654</v>
      </c>
      <c r="P698" s="433" t="s">
        <v>2650</v>
      </c>
      <c r="Q698" s="431"/>
      <c r="R698" s="431"/>
      <c r="S698" s="426" t="s">
        <v>2778</v>
      </c>
      <c r="T698" s="426" t="s">
        <v>2646</v>
      </c>
      <c r="U698" s="426" t="s">
        <v>2646</v>
      </c>
      <c r="V698" s="426" t="s">
        <v>2646</v>
      </c>
      <c r="W698" s="426" t="s">
        <v>2646</v>
      </c>
      <c r="X698" s="426" t="s">
        <v>2646</v>
      </c>
      <c r="Y698" s="426" t="s">
        <v>2646</v>
      </c>
      <c r="Z698" s="426" t="s">
        <v>2646</v>
      </c>
      <c r="AA698" s="426" t="s">
        <v>2646</v>
      </c>
      <c r="AB698" s="426" t="s">
        <v>2646</v>
      </c>
      <c r="AC698" s="426" t="s">
        <v>2646</v>
      </c>
      <c r="AD698" s="426" t="s">
        <v>2646</v>
      </c>
      <c r="AE698" s="426" t="s">
        <v>2646</v>
      </c>
      <c r="AF698" s="426" t="s">
        <v>2646</v>
      </c>
      <c r="AG698" s="426" t="s">
        <v>2646</v>
      </c>
      <c r="AH698" s="426" t="s">
        <v>2646</v>
      </c>
      <c r="AI698" s="426" t="s">
        <v>2646</v>
      </c>
      <c r="AJ698" s="68" t="s">
        <v>2646</v>
      </c>
    </row>
    <row r="699" spans="1:36" hidden="1">
      <c r="A699" s="68" t="s">
        <v>1974</v>
      </c>
      <c r="B699" s="427" t="s">
        <v>2649</v>
      </c>
      <c r="C699" s="433" t="s">
        <v>4374</v>
      </c>
      <c r="D699" s="433" t="s">
        <v>3262</v>
      </c>
      <c r="E699" s="433" t="s">
        <v>2654</v>
      </c>
      <c r="F699" s="433" t="s">
        <v>2654</v>
      </c>
      <c r="G699" s="433" t="s">
        <v>2654</v>
      </c>
      <c r="H699" s="433" t="s">
        <v>2654</v>
      </c>
      <c r="I699" s="433" t="s">
        <v>2654</v>
      </c>
      <c r="J699" s="433" t="s">
        <v>2654</v>
      </c>
      <c r="K699" s="433" t="s">
        <v>2654</v>
      </c>
      <c r="L699" s="433" t="s">
        <v>2654</v>
      </c>
      <c r="M699" s="433" t="s">
        <v>2654</v>
      </c>
      <c r="N699" s="433" t="s">
        <v>2654</v>
      </c>
      <c r="O699" s="433" t="s">
        <v>2654</v>
      </c>
      <c r="P699" s="433" t="s">
        <v>2651</v>
      </c>
      <c r="Q699" s="431"/>
      <c r="R699" s="431"/>
      <c r="S699" s="426" t="s">
        <v>2844</v>
      </c>
      <c r="T699" s="426" t="s">
        <v>2646</v>
      </c>
      <c r="U699" s="426" t="s">
        <v>2646</v>
      </c>
      <c r="V699" s="426" t="s">
        <v>2646</v>
      </c>
      <c r="W699" s="426" t="s">
        <v>2646</v>
      </c>
      <c r="X699" s="426" t="s">
        <v>2646</v>
      </c>
      <c r="Y699" s="426" t="s">
        <v>2646</v>
      </c>
      <c r="Z699" s="426" t="s">
        <v>2646</v>
      </c>
      <c r="AA699" s="426" t="s">
        <v>2646</v>
      </c>
      <c r="AB699" s="426" t="s">
        <v>2646</v>
      </c>
      <c r="AC699" s="426" t="s">
        <v>2646</v>
      </c>
      <c r="AD699" s="426" t="s">
        <v>2646</v>
      </c>
      <c r="AE699" s="426" t="s">
        <v>2646</v>
      </c>
      <c r="AF699" s="426" t="s">
        <v>2646</v>
      </c>
      <c r="AG699" s="426" t="s">
        <v>2646</v>
      </c>
      <c r="AH699" s="426" t="s">
        <v>2646</v>
      </c>
      <c r="AI699" s="426" t="s">
        <v>2646</v>
      </c>
      <c r="AJ699" s="68" t="s">
        <v>2646</v>
      </c>
    </row>
    <row r="700" spans="1:36" hidden="1">
      <c r="A700" s="68" t="s">
        <v>1975</v>
      </c>
      <c r="B700" s="427" t="s">
        <v>2650</v>
      </c>
      <c r="C700" s="433" t="s">
        <v>4180</v>
      </c>
      <c r="D700" s="433" t="s">
        <v>3247</v>
      </c>
      <c r="E700" s="433" t="s">
        <v>2654</v>
      </c>
      <c r="F700" s="433" t="s">
        <v>2654</v>
      </c>
      <c r="G700" s="433" t="s">
        <v>2654</v>
      </c>
      <c r="H700" s="433" t="s">
        <v>2654</v>
      </c>
      <c r="I700" s="433" t="s">
        <v>2654</v>
      </c>
      <c r="J700" s="433" t="s">
        <v>2654</v>
      </c>
      <c r="K700" s="433" t="s">
        <v>2654</v>
      </c>
      <c r="L700" s="433" t="s">
        <v>2654</v>
      </c>
      <c r="M700" s="433" t="s">
        <v>2654</v>
      </c>
      <c r="N700" s="433" t="s">
        <v>2654</v>
      </c>
      <c r="O700" s="433" t="s">
        <v>2654</v>
      </c>
      <c r="P700" s="433" t="s">
        <v>2648</v>
      </c>
      <c r="Q700" s="431"/>
      <c r="R700" s="431"/>
      <c r="S700" s="426" t="s">
        <v>2655</v>
      </c>
      <c r="T700" s="426" t="s">
        <v>2646</v>
      </c>
      <c r="U700" s="426" t="s">
        <v>2646</v>
      </c>
      <c r="V700" s="426" t="s">
        <v>2646</v>
      </c>
      <c r="W700" s="426" t="s">
        <v>2646</v>
      </c>
      <c r="X700" s="426" t="s">
        <v>2646</v>
      </c>
      <c r="Y700" s="426" t="s">
        <v>2646</v>
      </c>
      <c r="Z700" s="426" t="s">
        <v>2646</v>
      </c>
      <c r="AA700" s="426" t="s">
        <v>2646</v>
      </c>
      <c r="AB700" s="426" t="s">
        <v>2646</v>
      </c>
      <c r="AC700" s="426" t="s">
        <v>2646</v>
      </c>
      <c r="AD700" s="426" t="s">
        <v>2646</v>
      </c>
      <c r="AE700" s="426" t="s">
        <v>2646</v>
      </c>
      <c r="AF700" s="426" t="s">
        <v>2646</v>
      </c>
      <c r="AG700" s="426" t="s">
        <v>2646</v>
      </c>
      <c r="AH700" s="426" t="s">
        <v>2646</v>
      </c>
      <c r="AI700" s="426" t="s">
        <v>2646</v>
      </c>
      <c r="AJ700" s="68" t="s">
        <v>2646</v>
      </c>
    </row>
    <row r="701" spans="1:36" hidden="1">
      <c r="A701" s="68" t="s">
        <v>1976</v>
      </c>
      <c r="B701" s="427" t="s">
        <v>2651</v>
      </c>
      <c r="C701" s="433" t="s">
        <v>4160</v>
      </c>
      <c r="D701" s="433" t="s">
        <v>3539</v>
      </c>
      <c r="E701" s="433" t="s">
        <v>2654</v>
      </c>
      <c r="F701" s="433" t="s">
        <v>2654</v>
      </c>
      <c r="G701" s="433" t="s">
        <v>2654</v>
      </c>
      <c r="H701" s="433" t="s">
        <v>2654</v>
      </c>
      <c r="I701" s="433" t="s">
        <v>2654</v>
      </c>
      <c r="J701" s="433" t="s">
        <v>2654</v>
      </c>
      <c r="K701" s="433" t="s">
        <v>2654</v>
      </c>
      <c r="L701" s="433" t="s">
        <v>2654</v>
      </c>
      <c r="M701" s="433" t="s">
        <v>2654</v>
      </c>
      <c r="N701" s="433" t="s">
        <v>2654</v>
      </c>
      <c r="O701" s="433" t="s">
        <v>2654</v>
      </c>
      <c r="P701" s="433" t="s">
        <v>2647</v>
      </c>
      <c r="Q701" s="431"/>
      <c r="R701" s="431"/>
      <c r="S701" s="426" t="s">
        <v>2660</v>
      </c>
      <c r="T701" s="426" t="s">
        <v>2646</v>
      </c>
      <c r="U701" s="426" t="s">
        <v>2646</v>
      </c>
      <c r="V701" s="426" t="s">
        <v>2646</v>
      </c>
      <c r="W701" s="426" t="s">
        <v>2646</v>
      </c>
      <c r="X701" s="426" t="s">
        <v>2646</v>
      </c>
      <c r="Y701" s="426" t="s">
        <v>2646</v>
      </c>
      <c r="Z701" s="426" t="s">
        <v>2646</v>
      </c>
      <c r="AA701" s="426" t="s">
        <v>2646</v>
      </c>
      <c r="AB701" s="426" t="s">
        <v>2646</v>
      </c>
      <c r="AC701" s="426" t="s">
        <v>2646</v>
      </c>
      <c r="AD701" s="426" t="s">
        <v>2646</v>
      </c>
      <c r="AE701" s="426" t="s">
        <v>2646</v>
      </c>
      <c r="AF701" s="426" t="s">
        <v>2646</v>
      </c>
      <c r="AG701" s="426" t="s">
        <v>2646</v>
      </c>
      <c r="AH701" s="426" t="s">
        <v>2646</v>
      </c>
      <c r="AI701" s="426" t="s">
        <v>2646</v>
      </c>
      <c r="AJ701" s="68" t="s">
        <v>2646</v>
      </c>
    </row>
    <row r="702" spans="1:36">
      <c r="A702" s="68" t="s">
        <v>1976</v>
      </c>
      <c r="B702" s="427" t="s">
        <v>48</v>
      </c>
      <c r="C702" s="433" t="s">
        <v>4375</v>
      </c>
      <c r="D702" s="433" t="s">
        <v>3914</v>
      </c>
      <c r="E702" s="433" t="s">
        <v>2654</v>
      </c>
      <c r="F702" s="433" t="s">
        <v>2654</v>
      </c>
      <c r="G702" s="433" t="s">
        <v>2654</v>
      </c>
      <c r="H702" s="433" t="s">
        <v>2654</v>
      </c>
      <c r="I702" s="433" t="s">
        <v>2654</v>
      </c>
      <c r="J702" s="433" t="s">
        <v>2654</v>
      </c>
      <c r="K702" s="433" t="s">
        <v>2654</v>
      </c>
      <c r="L702" s="433" t="s">
        <v>2654</v>
      </c>
      <c r="M702" s="433" t="s">
        <v>2654</v>
      </c>
      <c r="N702" s="433" t="s">
        <v>2654</v>
      </c>
      <c r="O702" s="433" t="s">
        <v>2654</v>
      </c>
      <c r="P702" s="433" t="s">
        <v>2781</v>
      </c>
      <c r="Q702" s="433" t="s">
        <v>2654</v>
      </c>
      <c r="R702" s="433" t="s">
        <v>2654</v>
      </c>
      <c r="S702" s="426"/>
      <c r="T702" s="426"/>
      <c r="U702" s="426"/>
      <c r="V702" s="426"/>
      <c r="W702" s="426"/>
      <c r="X702" s="426"/>
      <c r="Y702" s="426"/>
      <c r="Z702" s="426"/>
      <c r="AA702" s="426"/>
      <c r="AB702" s="426"/>
      <c r="AC702" s="426"/>
      <c r="AD702" s="426"/>
      <c r="AE702" s="426"/>
      <c r="AF702" s="426"/>
      <c r="AG702" s="426"/>
      <c r="AH702" s="426"/>
      <c r="AI702" s="426"/>
    </row>
    <row r="703" spans="1:36" hidden="1">
      <c r="A703" s="68" t="s">
        <v>1977</v>
      </c>
      <c r="B703" s="427" t="s">
        <v>2647</v>
      </c>
      <c r="C703" s="433" t="s">
        <v>3363</v>
      </c>
      <c r="D703" s="433" t="s">
        <v>3500</v>
      </c>
      <c r="E703" s="433" t="s">
        <v>2654</v>
      </c>
      <c r="F703" s="433" t="s">
        <v>2654</v>
      </c>
      <c r="G703" s="433" t="s">
        <v>2654</v>
      </c>
      <c r="H703" s="433" t="s">
        <v>2654</v>
      </c>
      <c r="I703" s="433" t="s">
        <v>2654</v>
      </c>
      <c r="J703" s="433" t="s">
        <v>2654</v>
      </c>
      <c r="K703" s="433" t="s">
        <v>2654</v>
      </c>
      <c r="L703" s="433" t="s">
        <v>2654</v>
      </c>
      <c r="M703" s="433" t="s">
        <v>2654</v>
      </c>
      <c r="N703" s="433" t="s">
        <v>2654</v>
      </c>
      <c r="O703" s="433" t="s">
        <v>2654</v>
      </c>
      <c r="P703" s="433" t="s">
        <v>2649</v>
      </c>
      <c r="Q703" s="431"/>
      <c r="R703" s="431"/>
      <c r="S703" s="426" t="s">
        <v>2658</v>
      </c>
      <c r="T703" s="426" t="s">
        <v>2646</v>
      </c>
      <c r="U703" s="426" t="s">
        <v>2646</v>
      </c>
      <c r="V703" s="426" t="s">
        <v>2646</v>
      </c>
      <c r="W703" s="426" t="s">
        <v>2646</v>
      </c>
      <c r="X703" s="426" t="s">
        <v>2646</v>
      </c>
      <c r="Y703" s="426" t="s">
        <v>2646</v>
      </c>
      <c r="Z703" s="426" t="s">
        <v>2646</v>
      </c>
      <c r="AA703" s="426" t="s">
        <v>2646</v>
      </c>
      <c r="AB703" s="426" t="s">
        <v>2646</v>
      </c>
      <c r="AC703" s="426" t="s">
        <v>2646</v>
      </c>
      <c r="AD703" s="426" t="s">
        <v>2646</v>
      </c>
      <c r="AE703" s="426" t="s">
        <v>2646</v>
      </c>
      <c r="AF703" s="426" t="s">
        <v>2646</v>
      </c>
      <c r="AG703" s="426" t="s">
        <v>2646</v>
      </c>
      <c r="AH703" s="426" t="s">
        <v>2646</v>
      </c>
      <c r="AI703" s="426" t="s">
        <v>2646</v>
      </c>
      <c r="AJ703" s="68" t="s">
        <v>2646</v>
      </c>
    </row>
    <row r="704" spans="1:36" hidden="1">
      <c r="A704" s="68" t="s">
        <v>1978</v>
      </c>
      <c r="B704" s="427" t="s">
        <v>2648</v>
      </c>
      <c r="C704" s="433" t="s">
        <v>3703</v>
      </c>
      <c r="D704" s="433" t="s">
        <v>3409</v>
      </c>
      <c r="E704" s="433" t="s">
        <v>2654</v>
      </c>
      <c r="F704" s="433" t="s">
        <v>2654</v>
      </c>
      <c r="G704" s="433" t="s">
        <v>2654</v>
      </c>
      <c r="H704" s="433" t="s">
        <v>2654</v>
      </c>
      <c r="I704" s="433" t="s">
        <v>2654</v>
      </c>
      <c r="J704" s="433" t="s">
        <v>2654</v>
      </c>
      <c r="K704" s="433" t="s">
        <v>2654</v>
      </c>
      <c r="L704" s="433" t="s">
        <v>2654</v>
      </c>
      <c r="M704" s="433" t="s">
        <v>2654</v>
      </c>
      <c r="N704" s="433" t="s">
        <v>2654</v>
      </c>
      <c r="O704" s="433" t="s">
        <v>2654</v>
      </c>
      <c r="P704" s="433" t="s">
        <v>4083</v>
      </c>
      <c r="Q704" s="431"/>
      <c r="R704" s="431"/>
      <c r="S704" s="426" t="s">
        <v>3219</v>
      </c>
      <c r="T704" s="426" t="s">
        <v>2646</v>
      </c>
      <c r="U704" s="426" t="s">
        <v>2646</v>
      </c>
      <c r="V704" s="426" t="s">
        <v>2646</v>
      </c>
      <c r="W704" s="426" t="s">
        <v>2646</v>
      </c>
      <c r="X704" s="426" t="s">
        <v>2646</v>
      </c>
      <c r="Y704" s="426" t="s">
        <v>2646</v>
      </c>
      <c r="Z704" s="426" t="s">
        <v>2646</v>
      </c>
      <c r="AA704" s="426" t="s">
        <v>2646</v>
      </c>
      <c r="AB704" s="426" t="s">
        <v>2646</v>
      </c>
      <c r="AC704" s="426" t="s">
        <v>2646</v>
      </c>
      <c r="AD704" s="426" t="s">
        <v>2646</v>
      </c>
      <c r="AE704" s="426" t="s">
        <v>2646</v>
      </c>
      <c r="AF704" s="426" t="s">
        <v>2646</v>
      </c>
      <c r="AG704" s="426" t="s">
        <v>2646</v>
      </c>
      <c r="AH704" s="426" t="s">
        <v>2646</v>
      </c>
      <c r="AI704" s="426" t="s">
        <v>2646</v>
      </c>
      <c r="AJ704" s="68" t="s">
        <v>2646</v>
      </c>
    </row>
    <row r="705" spans="1:36" hidden="1">
      <c r="A705" s="68" t="s">
        <v>1979</v>
      </c>
      <c r="B705" s="427" t="s">
        <v>2649</v>
      </c>
      <c r="C705" s="433" t="s">
        <v>3532</v>
      </c>
      <c r="D705" s="433" t="s">
        <v>3729</v>
      </c>
      <c r="E705" s="433" t="s">
        <v>2654</v>
      </c>
      <c r="F705" s="433" t="s">
        <v>2654</v>
      </c>
      <c r="G705" s="433" t="s">
        <v>2654</v>
      </c>
      <c r="H705" s="433" t="s">
        <v>2654</v>
      </c>
      <c r="I705" s="433" t="s">
        <v>2654</v>
      </c>
      <c r="J705" s="433" t="s">
        <v>2654</v>
      </c>
      <c r="K705" s="433" t="s">
        <v>2654</v>
      </c>
      <c r="L705" s="433" t="s">
        <v>2654</v>
      </c>
      <c r="M705" s="433" t="s">
        <v>2654</v>
      </c>
      <c r="N705" s="433" t="s">
        <v>2654</v>
      </c>
      <c r="O705" s="433" t="s">
        <v>2654</v>
      </c>
      <c r="P705" s="433" t="s">
        <v>2650</v>
      </c>
      <c r="Q705" s="431"/>
      <c r="R705" s="431"/>
      <c r="S705" s="426" t="s">
        <v>2673</v>
      </c>
      <c r="T705" s="426" t="s">
        <v>2646</v>
      </c>
      <c r="U705" s="426" t="s">
        <v>2646</v>
      </c>
      <c r="V705" s="426" t="s">
        <v>2646</v>
      </c>
      <c r="W705" s="426" t="s">
        <v>2646</v>
      </c>
      <c r="X705" s="426" t="s">
        <v>2646</v>
      </c>
      <c r="Y705" s="426" t="s">
        <v>2646</v>
      </c>
      <c r="Z705" s="426" t="s">
        <v>2646</v>
      </c>
      <c r="AA705" s="426" t="s">
        <v>2646</v>
      </c>
      <c r="AB705" s="426" t="s">
        <v>2646</v>
      </c>
      <c r="AC705" s="426" t="s">
        <v>2646</v>
      </c>
      <c r="AD705" s="426" t="s">
        <v>2646</v>
      </c>
      <c r="AE705" s="426" t="s">
        <v>2646</v>
      </c>
      <c r="AF705" s="426" t="s">
        <v>2646</v>
      </c>
      <c r="AG705" s="426" t="s">
        <v>2646</v>
      </c>
      <c r="AH705" s="426" t="s">
        <v>2646</v>
      </c>
      <c r="AI705" s="426" t="s">
        <v>2646</v>
      </c>
      <c r="AJ705" s="68" t="s">
        <v>2646</v>
      </c>
    </row>
    <row r="706" spans="1:36" hidden="1">
      <c r="A706" s="68" t="s">
        <v>1980</v>
      </c>
      <c r="B706" s="427" t="s">
        <v>2650</v>
      </c>
      <c r="C706" s="433" t="s">
        <v>3475</v>
      </c>
      <c r="D706" s="433" t="s">
        <v>3500</v>
      </c>
      <c r="E706" s="433" t="s">
        <v>2654</v>
      </c>
      <c r="F706" s="433" t="s">
        <v>2654</v>
      </c>
      <c r="G706" s="433" t="s">
        <v>2654</v>
      </c>
      <c r="H706" s="433" t="s">
        <v>2654</v>
      </c>
      <c r="I706" s="433" t="s">
        <v>2654</v>
      </c>
      <c r="J706" s="433" t="s">
        <v>2654</v>
      </c>
      <c r="K706" s="433" t="s">
        <v>2654</v>
      </c>
      <c r="L706" s="433" t="s">
        <v>2654</v>
      </c>
      <c r="M706" s="433" t="s">
        <v>2654</v>
      </c>
      <c r="N706" s="433" t="s">
        <v>2654</v>
      </c>
      <c r="O706" s="433" t="s">
        <v>2654</v>
      </c>
      <c r="P706" s="433" t="s">
        <v>2650</v>
      </c>
      <c r="Q706" s="431"/>
      <c r="R706" s="431"/>
      <c r="S706" s="426" t="s">
        <v>2665</v>
      </c>
      <c r="T706" s="426" t="s">
        <v>2646</v>
      </c>
      <c r="U706" s="426" t="s">
        <v>2646</v>
      </c>
      <c r="V706" s="426" t="s">
        <v>2646</v>
      </c>
      <c r="W706" s="426" t="s">
        <v>2646</v>
      </c>
      <c r="X706" s="426" t="s">
        <v>2646</v>
      </c>
      <c r="Y706" s="426" t="s">
        <v>2646</v>
      </c>
      <c r="Z706" s="426" t="s">
        <v>2646</v>
      </c>
      <c r="AA706" s="426" t="s">
        <v>2646</v>
      </c>
      <c r="AB706" s="426" t="s">
        <v>2646</v>
      </c>
      <c r="AC706" s="426" t="s">
        <v>2646</v>
      </c>
      <c r="AD706" s="426" t="s">
        <v>2646</v>
      </c>
      <c r="AE706" s="426" t="s">
        <v>2646</v>
      </c>
      <c r="AF706" s="426" t="s">
        <v>2646</v>
      </c>
      <c r="AG706" s="426" t="s">
        <v>2646</v>
      </c>
      <c r="AH706" s="426" t="s">
        <v>2646</v>
      </c>
      <c r="AI706" s="426" t="s">
        <v>2646</v>
      </c>
      <c r="AJ706" s="68" t="s">
        <v>2646</v>
      </c>
    </row>
    <row r="707" spans="1:36" hidden="1">
      <c r="A707" s="68" t="s">
        <v>1981</v>
      </c>
      <c r="B707" s="427" t="s">
        <v>2651</v>
      </c>
      <c r="C707" s="433" t="s">
        <v>3719</v>
      </c>
      <c r="D707" s="433" t="s">
        <v>3519</v>
      </c>
      <c r="E707" s="433" t="s">
        <v>2678</v>
      </c>
      <c r="F707" s="433" t="s">
        <v>2654</v>
      </c>
      <c r="G707" s="433" t="s">
        <v>2654</v>
      </c>
      <c r="H707" s="433" t="s">
        <v>2654</v>
      </c>
      <c r="I707" s="433" t="s">
        <v>2654</v>
      </c>
      <c r="J707" s="433" t="s">
        <v>2654</v>
      </c>
      <c r="K707" s="433" t="s">
        <v>2654</v>
      </c>
      <c r="L707" s="433" t="s">
        <v>2654</v>
      </c>
      <c r="M707" s="433" t="s">
        <v>2654</v>
      </c>
      <c r="N707" s="433" t="s">
        <v>2654</v>
      </c>
      <c r="O707" s="433" t="s">
        <v>2654</v>
      </c>
      <c r="P707" s="433" t="s">
        <v>2651</v>
      </c>
      <c r="Q707" s="431"/>
      <c r="R707" s="431"/>
      <c r="S707" s="426" t="s">
        <v>2665</v>
      </c>
      <c r="T707" s="426" t="s">
        <v>2646</v>
      </c>
      <c r="U707" s="426" t="s">
        <v>2646</v>
      </c>
      <c r="V707" s="426" t="s">
        <v>2646</v>
      </c>
      <c r="W707" s="426" t="s">
        <v>2646</v>
      </c>
      <c r="X707" s="426" t="s">
        <v>2646</v>
      </c>
      <c r="Y707" s="426" t="s">
        <v>2646</v>
      </c>
      <c r="Z707" s="426" t="s">
        <v>2646</v>
      </c>
      <c r="AA707" s="426" t="s">
        <v>2646</v>
      </c>
      <c r="AB707" s="426" t="s">
        <v>2646</v>
      </c>
      <c r="AC707" s="426" t="s">
        <v>2646</v>
      </c>
      <c r="AD707" s="426" t="s">
        <v>2646</v>
      </c>
      <c r="AE707" s="426" t="s">
        <v>2646</v>
      </c>
      <c r="AF707" s="426" t="s">
        <v>2646</v>
      </c>
      <c r="AG707" s="426" t="s">
        <v>2646</v>
      </c>
      <c r="AH707" s="426" t="s">
        <v>2646</v>
      </c>
      <c r="AI707" s="426" t="s">
        <v>2646</v>
      </c>
      <c r="AJ707" s="68" t="s">
        <v>2646</v>
      </c>
    </row>
    <row r="708" spans="1:36">
      <c r="A708" s="68" t="s">
        <v>1981</v>
      </c>
      <c r="B708" s="427" t="s">
        <v>48</v>
      </c>
      <c r="C708" s="433" t="s">
        <v>3688</v>
      </c>
      <c r="D708" s="433" t="s">
        <v>3918</v>
      </c>
      <c r="E708" s="433" t="s">
        <v>2668</v>
      </c>
      <c r="F708" s="433" t="s">
        <v>2654</v>
      </c>
      <c r="G708" s="433" t="s">
        <v>2654</v>
      </c>
      <c r="H708" s="433" t="s">
        <v>2654</v>
      </c>
      <c r="I708" s="433" t="s">
        <v>2654</v>
      </c>
      <c r="J708" s="433" t="s">
        <v>2654</v>
      </c>
      <c r="K708" s="433" t="s">
        <v>2654</v>
      </c>
      <c r="L708" s="433" t="s">
        <v>2654</v>
      </c>
      <c r="M708" s="433" t="s">
        <v>2654</v>
      </c>
      <c r="N708" s="433" t="s">
        <v>2654</v>
      </c>
      <c r="O708" s="433" t="s">
        <v>2654</v>
      </c>
      <c r="P708" s="433" t="s">
        <v>2865</v>
      </c>
      <c r="Q708" s="433" t="s">
        <v>2654</v>
      </c>
      <c r="R708" s="433" t="s">
        <v>2654</v>
      </c>
      <c r="S708" s="426"/>
      <c r="T708" s="426"/>
      <c r="U708" s="426"/>
      <c r="V708" s="426"/>
      <c r="W708" s="426"/>
      <c r="X708" s="426"/>
      <c r="Y708" s="426"/>
      <c r="Z708" s="426"/>
      <c r="AA708" s="426"/>
      <c r="AB708" s="426"/>
      <c r="AC708" s="426"/>
      <c r="AD708" s="426"/>
      <c r="AE708" s="426"/>
      <c r="AF708" s="426"/>
      <c r="AG708" s="426"/>
      <c r="AH708" s="426"/>
      <c r="AI708" s="426"/>
    </row>
    <row r="709" spans="1:36" hidden="1">
      <c r="A709" s="68" t="s">
        <v>1982</v>
      </c>
      <c r="B709" s="427" t="s">
        <v>2647</v>
      </c>
      <c r="C709" s="433" t="s">
        <v>2914</v>
      </c>
      <c r="D709" s="433" t="s">
        <v>3583</v>
      </c>
      <c r="E709" s="433" t="s">
        <v>2654</v>
      </c>
      <c r="F709" s="433" t="s">
        <v>2654</v>
      </c>
      <c r="G709" s="433" t="s">
        <v>2654</v>
      </c>
      <c r="H709" s="433" t="s">
        <v>2654</v>
      </c>
      <c r="I709" s="433" t="s">
        <v>2654</v>
      </c>
      <c r="J709" s="433" t="s">
        <v>2654</v>
      </c>
      <c r="K709" s="433" t="s">
        <v>2654</v>
      </c>
      <c r="L709" s="433" t="s">
        <v>2654</v>
      </c>
      <c r="M709" s="433" t="s">
        <v>2654</v>
      </c>
      <c r="N709" s="433" t="s">
        <v>2654</v>
      </c>
      <c r="O709" s="433" t="s">
        <v>2654</v>
      </c>
      <c r="P709" s="433" t="s">
        <v>2650</v>
      </c>
      <c r="Q709" s="431"/>
      <c r="R709" s="431"/>
      <c r="S709" s="426" t="s">
        <v>3186</v>
      </c>
      <c r="T709" s="426" t="s">
        <v>2646</v>
      </c>
      <c r="U709" s="426" t="s">
        <v>2646</v>
      </c>
      <c r="V709" s="426" t="s">
        <v>2646</v>
      </c>
      <c r="W709" s="426" t="s">
        <v>2646</v>
      </c>
      <c r="X709" s="426" t="s">
        <v>2646</v>
      </c>
      <c r="Y709" s="426" t="s">
        <v>2646</v>
      </c>
      <c r="Z709" s="426" t="s">
        <v>2646</v>
      </c>
      <c r="AA709" s="426" t="s">
        <v>2646</v>
      </c>
      <c r="AB709" s="426" t="s">
        <v>2646</v>
      </c>
      <c r="AC709" s="426" t="s">
        <v>2646</v>
      </c>
      <c r="AD709" s="426" t="s">
        <v>2646</v>
      </c>
      <c r="AE709" s="426" t="s">
        <v>2646</v>
      </c>
      <c r="AF709" s="426" t="s">
        <v>2646</v>
      </c>
      <c r="AG709" s="426" t="s">
        <v>2646</v>
      </c>
      <c r="AH709" s="426" t="s">
        <v>2646</v>
      </c>
      <c r="AI709" s="426" t="s">
        <v>2646</v>
      </c>
      <c r="AJ709" s="68" t="s">
        <v>2646</v>
      </c>
    </row>
    <row r="710" spans="1:36" hidden="1">
      <c r="A710" s="68" t="s">
        <v>1983</v>
      </c>
      <c r="B710" s="427" t="s">
        <v>2648</v>
      </c>
      <c r="C710" s="433" t="s">
        <v>3736</v>
      </c>
      <c r="D710" s="433" t="s">
        <v>3788</v>
      </c>
      <c r="E710" s="433" t="s">
        <v>2654</v>
      </c>
      <c r="F710" s="433" t="s">
        <v>2654</v>
      </c>
      <c r="G710" s="433" t="s">
        <v>2654</v>
      </c>
      <c r="H710" s="433" t="s">
        <v>2654</v>
      </c>
      <c r="I710" s="433" t="s">
        <v>2654</v>
      </c>
      <c r="J710" s="433" t="s">
        <v>2654</v>
      </c>
      <c r="K710" s="433" t="s">
        <v>2654</v>
      </c>
      <c r="L710" s="433" t="s">
        <v>2654</v>
      </c>
      <c r="M710" s="433" t="s">
        <v>2654</v>
      </c>
      <c r="N710" s="433" t="s">
        <v>2654</v>
      </c>
      <c r="O710" s="433" t="s">
        <v>2654</v>
      </c>
      <c r="P710" s="433" t="s">
        <v>2650</v>
      </c>
      <c r="Q710" s="431"/>
      <c r="R710" s="431"/>
      <c r="S710" s="426" t="s">
        <v>3109</v>
      </c>
      <c r="T710" s="426" t="s">
        <v>2646</v>
      </c>
      <c r="U710" s="426" t="s">
        <v>2646</v>
      </c>
      <c r="V710" s="426" t="s">
        <v>2646</v>
      </c>
      <c r="W710" s="426" t="s">
        <v>2646</v>
      </c>
      <c r="X710" s="426" t="s">
        <v>2646</v>
      </c>
      <c r="Y710" s="426" t="s">
        <v>2646</v>
      </c>
      <c r="Z710" s="426" t="s">
        <v>2646</v>
      </c>
      <c r="AA710" s="426" t="s">
        <v>2646</v>
      </c>
      <c r="AB710" s="426" t="s">
        <v>2646</v>
      </c>
      <c r="AC710" s="426" t="s">
        <v>2646</v>
      </c>
      <c r="AD710" s="426" t="s">
        <v>2646</v>
      </c>
      <c r="AE710" s="426" t="s">
        <v>2646</v>
      </c>
      <c r="AF710" s="426" t="s">
        <v>2646</v>
      </c>
      <c r="AG710" s="426" t="s">
        <v>2646</v>
      </c>
      <c r="AH710" s="426" t="s">
        <v>2646</v>
      </c>
      <c r="AI710" s="426" t="s">
        <v>2646</v>
      </c>
      <c r="AJ710" s="68" t="s">
        <v>2646</v>
      </c>
    </row>
    <row r="711" spans="1:36" hidden="1">
      <c r="A711" s="68" t="s">
        <v>1984</v>
      </c>
      <c r="B711" s="427" t="s">
        <v>2649</v>
      </c>
      <c r="C711" s="433" t="s">
        <v>3256</v>
      </c>
      <c r="D711" s="433" t="s">
        <v>3788</v>
      </c>
      <c r="E711" s="433" t="s">
        <v>2654</v>
      </c>
      <c r="F711" s="433" t="s">
        <v>2654</v>
      </c>
      <c r="G711" s="433" t="s">
        <v>2654</v>
      </c>
      <c r="H711" s="433" t="s">
        <v>2654</v>
      </c>
      <c r="I711" s="433" t="s">
        <v>2654</v>
      </c>
      <c r="J711" s="433" t="s">
        <v>2654</v>
      </c>
      <c r="K711" s="433" t="s">
        <v>2654</v>
      </c>
      <c r="L711" s="433" t="s">
        <v>2654</v>
      </c>
      <c r="M711" s="433" t="s">
        <v>2654</v>
      </c>
      <c r="N711" s="433" t="s">
        <v>2654</v>
      </c>
      <c r="O711" s="433" t="s">
        <v>2654</v>
      </c>
      <c r="P711" s="433" t="s">
        <v>2650</v>
      </c>
      <c r="Q711" s="431"/>
      <c r="R711" s="431"/>
      <c r="S711" s="426" t="s">
        <v>2660</v>
      </c>
      <c r="T711" s="426" t="s">
        <v>2646</v>
      </c>
      <c r="U711" s="426" t="s">
        <v>2646</v>
      </c>
      <c r="V711" s="426" t="s">
        <v>2646</v>
      </c>
      <c r="W711" s="426" t="s">
        <v>2646</v>
      </c>
      <c r="X711" s="426" t="s">
        <v>2646</v>
      </c>
      <c r="Y711" s="426" t="s">
        <v>2646</v>
      </c>
      <c r="Z711" s="426" t="s">
        <v>2646</v>
      </c>
      <c r="AA711" s="426" t="s">
        <v>2646</v>
      </c>
      <c r="AB711" s="426" t="s">
        <v>2646</v>
      </c>
      <c r="AC711" s="426" t="s">
        <v>2646</v>
      </c>
      <c r="AD711" s="426" t="s">
        <v>2646</v>
      </c>
      <c r="AE711" s="426" t="s">
        <v>2646</v>
      </c>
      <c r="AF711" s="426" t="s">
        <v>2646</v>
      </c>
      <c r="AG711" s="426" t="s">
        <v>2646</v>
      </c>
      <c r="AH711" s="426" t="s">
        <v>2646</v>
      </c>
      <c r="AI711" s="426" t="s">
        <v>2646</v>
      </c>
      <c r="AJ711" s="68" t="s">
        <v>2646</v>
      </c>
    </row>
    <row r="712" spans="1:36" hidden="1">
      <c r="A712" s="68" t="s">
        <v>1985</v>
      </c>
      <c r="B712" s="427" t="s">
        <v>2650</v>
      </c>
      <c r="C712" s="433" t="s">
        <v>3626</v>
      </c>
      <c r="D712" s="433" t="s">
        <v>3561</v>
      </c>
      <c r="E712" s="433" t="s">
        <v>2654</v>
      </c>
      <c r="F712" s="433" t="s">
        <v>2654</v>
      </c>
      <c r="G712" s="433" t="s">
        <v>2654</v>
      </c>
      <c r="H712" s="433" t="s">
        <v>2654</v>
      </c>
      <c r="I712" s="433" t="s">
        <v>2654</v>
      </c>
      <c r="J712" s="433" t="s">
        <v>2654</v>
      </c>
      <c r="K712" s="433" t="s">
        <v>2654</v>
      </c>
      <c r="L712" s="433" t="s">
        <v>2654</v>
      </c>
      <c r="M712" s="433" t="s">
        <v>2654</v>
      </c>
      <c r="N712" s="433" t="s">
        <v>2654</v>
      </c>
      <c r="O712" s="433" t="s">
        <v>2654</v>
      </c>
      <c r="P712" s="433" t="s">
        <v>2650</v>
      </c>
      <c r="Q712" s="431"/>
      <c r="R712" s="431"/>
      <c r="S712" s="426" t="s">
        <v>2673</v>
      </c>
      <c r="T712" s="426" t="s">
        <v>2646</v>
      </c>
      <c r="U712" s="426" t="s">
        <v>2646</v>
      </c>
      <c r="V712" s="426" t="s">
        <v>2646</v>
      </c>
      <c r="W712" s="426" t="s">
        <v>2646</v>
      </c>
      <c r="X712" s="426" t="s">
        <v>2646</v>
      </c>
      <c r="Y712" s="426" t="s">
        <v>2646</v>
      </c>
      <c r="Z712" s="426" t="s">
        <v>2646</v>
      </c>
      <c r="AA712" s="426" t="s">
        <v>2646</v>
      </c>
      <c r="AB712" s="426" t="s">
        <v>2646</v>
      </c>
      <c r="AC712" s="426" t="s">
        <v>2646</v>
      </c>
      <c r="AD712" s="426" t="s">
        <v>2646</v>
      </c>
      <c r="AE712" s="426" t="s">
        <v>2646</v>
      </c>
      <c r="AF712" s="426" t="s">
        <v>2646</v>
      </c>
      <c r="AG712" s="426" t="s">
        <v>2646</v>
      </c>
      <c r="AH712" s="426" t="s">
        <v>2646</v>
      </c>
      <c r="AI712" s="426" t="s">
        <v>2646</v>
      </c>
      <c r="AJ712" s="68" t="s">
        <v>2646</v>
      </c>
    </row>
    <row r="713" spans="1:36" hidden="1">
      <c r="A713" s="68" t="s">
        <v>1986</v>
      </c>
      <c r="B713" s="427" t="s">
        <v>2651</v>
      </c>
      <c r="C713" s="433" t="s">
        <v>3733</v>
      </c>
      <c r="D713" s="433" t="s">
        <v>3788</v>
      </c>
      <c r="E713" s="433" t="s">
        <v>2654</v>
      </c>
      <c r="F713" s="433" t="s">
        <v>2654</v>
      </c>
      <c r="G713" s="433" t="s">
        <v>2654</v>
      </c>
      <c r="H713" s="433" t="s">
        <v>2654</v>
      </c>
      <c r="I713" s="433" t="s">
        <v>2654</v>
      </c>
      <c r="J713" s="433" t="s">
        <v>2654</v>
      </c>
      <c r="K713" s="433" t="s">
        <v>2654</v>
      </c>
      <c r="L713" s="433" t="s">
        <v>2654</v>
      </c>
      <c r="M713" s="433" t="s">
        <v>2654</v>
      </c>
      <c r="N713" s="433" t="s">
        <v>2654</v>
      </c>
      <c r="O713" s="433" t="s">
        <v>2654</v>
      </c>
      <c r="P713" s="433" t="s">
        <v>2650</v>
      </c>
      <c r="Q713" s="431"/>
      <c r="R713" s="431"/>
      <c r="S713" s="426" t="s">
        <v>2778</v>
      </c>
      <c r="T713" s="426" t="s">
        <v>2646</v>
      </c>
      <c r="U713" s="426" t="s">
        <v>2646</v>
      </c>
      <c r="V713" s="426" t="s">
        <v>2646</v>
      </c>
      <c r="W713" s="426" t="s">
        <v>2646</v>
      </c>
      <c r="X713" s="426" t="s">
        <v>2646</v>
      </c>
      <c r="Y713" s="426" t="s">
        <v>2646</v>
      </c>
      <c r="Z713" s="426" t="s">
        <v>2646</v>
      </c>
      <c r="AA713" s="426" t="s">
        <v>2646</v>
      </c>
      <c r="AB713" s="426" t="s">
        <v>2646</v>
      </c>
      <c r="AC713" s="426" t="s">
        <v>2646</v>
      </c>
      <c r="AD713" s="426" t="s">
        <v>2646</v>
      </c>
      <c r="AE713" s="426" t="s">
        <v>2646</v>
      </c>
      <c r="AF713" s="426" t="s">
        <v>2646</v>
      </c>
      <c r="AG713" s="426" t="s">
        <v>2646</v>
      </c>
      <c r="AH713" s="426" t="s">
        <v>2646</v>
      </c>
      <c r="AI713" s="426" t="s">
        <v>2646</v>
      </c>
      <c r="AJ713" s="68" t="s">
        <v>2646</v>
      </c>
    </row>
    <row r="714" spans="1:36">
      <c r="A714" s="68" t="s">
        <v>1986</v>
      </c>
      <c r="B714" s="427" t="s">
        <v>48</v>
      </c>
      <c r="C714" s="433" t="s">
        <v>3518</v>
      </c>
      <c r="D714" s="433" t="s">
        <v>3788</v>
      </c>
      <c r="E714" s="433" t="s">
        <v>2654</v>
      </c>
      <c r="F714" s="433" t="s">
        <v>2654</v>
      </c>
      <c r="G714" s="433" t="s">
        <v>2654</v>
      </c>
      <c r="H714" s="433" t="s">
        <v>2654</v>
      </c>
      <c r="I714" s="433" t="s">
        <v>2654</v>
      </c>
      <c r="J714" s="433" t="s">
        <v>2654</v>
      </c>
      <c r="K714" s="433" t="s">
        <v>2654</v>
      </c>
      <c r="L714" s="433" t="s">
        <v>2654</v>
      </c>
      <c r="M714" s="433" t="s">
        <v>2654</v>
      </c>
      <c r="N714" s="433" t="s">
        <v>2654</v>
      </c>
      <c r="O714" s="433" t="s">
        <v>2654</v>
      </c>
      <c r="P714" s="433" t="s">
        <v>2708</v>
      </c>
      <c r="Q714" s="433" t="s">
        <v>2654</v>
      </c>
      <c r="R714" s="433" t="s">
        <v>2654</v>
      </c>
      <c r="S714" s="426"/>
      <c r="T714" s="426"/>
      <c r="U714" s="426"/>
      <c r="V714" s="426"/>
      <c r="W714" s="426"/>
      <c r="X714" s="426"/>
      <c r="Y714" s="426"/>
      <c r="Z714" s="426"/>
      <c r="AA714" s="426"/>
      <c r="AB714" s="426"/>
      <c r="AC714" s="426"/>
      <c r="AD714" s="426"/>
      <c r="AE714" s="426"/>
      <c r="AF714" s="426"/>
      <c r="AG714" s="426"/>
      <c r="AH714" s="426"/>
      <c r="AI714" s="426"/>
    </row>
    <row r="715" spans="1:36" hidden="1">
      <c r="A715" s="68" t="s">
        <v>1987</v>
      </c>
      <c r="B715" s="427" t="s">
        <v>2647</v>
      </c>
      <c r="C715" s="433" t="s">
        <v>4376</v>
      </c>
      <c r="D715" s="433" t="s">
        <v>3789</v>
      </c>
      <c r="E715" s="433" t="s">
        <v>2678</v>
      </c>
      <c r="F715" s="433" t="s">
        <v>2654</v>
      </c>
      <c r="G715" s="433" t="s">
        <v>2654</v>
      </c>
      <c r="H715" s="433" t="s">
        <v>2654</v>
      </c>
      <c r="I715" s="433" t="s">
        <v>2654</v>
      </c>
      <c r="J715" s="433" t="s">
        <v>2654</v>
      </c>
      <c r="K715" s="433" t="s">
        <v>2654</v>
      </c>
      <c r="L715" s="433" t="s">
        <v>2654</v>
      </c>
      <c r="M715" s="433" t="s">
        <v>2654</v>
      </c>
      <c r="N715" s="433" t="s">
        <v>2654</v>
      </c>
      <c r="O715" s="433" t="s">
        <v>2654</v>
      </c>
      <c r="P715" s="433" t="s">
        <v>4057</v>
      </c>
      <c r="Q715" s="431"/>
      <c r="R715" s="431"/>
      <c r="S715" s="426" t="s">
        <v>3124</v>
      </c>
      <c r="T715" s="426" t="s">
        <v>2646</v>
      </c>
      <c r="U715" s="426" t="s">
        <v>2646</v>
      </c>
      <c r="V715" s="426" t="s">
        <v>2646</v>
      </c>
      <c r="W715" s="426" t="s">
        <v>2646</v>
      </c>
      <c r="X715" s="426" t="s">
        <v>2646</v>
      </c>
      <c r="Y715" s="426" t="s">
        <v>2646</v>
      </c>
      <c r="Z715" s="426" t="s">
        <v>2646</v>
      </c>
      <c r="AA715" s="426" t="s">
        <v>2646</v>
      </c>
      <c r="AB715" s="426" t="s">
        <v>2646</v>
      </c>
      <c r="AC715" s="426" t="s">
        <v>2646</v>
      </c>
      <c r="AD715" s="426" t="s">
        <v>2646</v>
      </c>
      <c r="AE715" s="426" t="s">
        <v>2646</v>
      </c>
      <c r="AF715" s="426" t="s">
        <v>2646</v>
      </c>
      <c r="AG715" s="426" t="s">
        <v>2646</v>
      </c>
      <c r="AH715" s="426" t="s">
        <v>2646</v>
      </c>
      <c r="AI715" s="426" t="s">
        <v>2646</v>
      </c>
      <c r="AJ715" s="68" t="s">
        <v>2646</v>
      </c>
    </row>
    <row r="716" spans="1:36" hidden="1">
      <c r="A716" s="68" t="s">
        <v>1988</v>
      </c>
      <c r="B716" s="427" t="s">
        <v>2648</v>
      </c>
      <c r="C716" s="433" t="s">
        <v>2666</v>
      </c>
      <c r="D716" s="433" t="s">
        <v>3789</v>
      </c>
      <c r="E716" s="433" t="s">
        <v>2678</v>
      </c>
      <c r="F716" s="433" t="s">
        <v>2654</v>
      </c>
      <c r="G716" s="433" t="s">
        <v>2654</v>
      </c>
      <c r="H716" s="433" t="s">
        <v>2654</v>
      </c>
      <c r="I716" s="433" t="s">
        <v>2654</v>
      </c>
      <c r="J716" s="433" t="s">
        <v>2654</v>
      </c>
      <c r="K716" s="433" t="s">
        <v>2654</v>
      </c>
      <c r="L716" s="433" t="s">
        <v>2654</v>
      </c>
      <c r="M716" s="433" t="s">
        <v>2654</v>
      </c>
      <c r="N716" s="433" t="s">
        <v>2654</v>
      </c>
      <c r="O716" s="433" t="s">
        <v>2654</v>
      </c>
      <c r="P716" s="433" t="s">
        <v>2649</v>
      </c>
      <c r="Q716" s="431"/>
      <c r="R716" s="431"/>
      <c r="S716" s="426" t="s">
        <v>3124</v>
      </c>
      <c r="T716" s="426" t="s">
        <v>2646</v>
      </c>
      <c r="U716" s="426" t="s">
        <v>2646</v>
      </c>
      <c r="V716" s="426" t="s">
        <v>2646</v>
      </c>
      <c r="W716" s="426" t="s">
        <v>2646</v>
      </c>
      <c r="X716" s="426" t="s">
        <v>2646</v>
      </c>
      <c r="Y716" s="426" t="s">
        <v>2646</v>
      </c>
      <c r="Z716" s="426" t="s">
        <v>2646</v>
      </c>
      <c r="AA716" s="426" t="s">
        <v>2646</v>
      </c>
      <c r="AB716" s="426" t="s">
        <v>2646</v>
      </c>
      <c r="AC716" s="426" t="s">
        <v>2646</v>
      </c>
      <c r="AD716" s="426" t="s">
        <v>2646</v>
      </c>
      <c r="AE716" s="426" t="s">
        <v>2646</v>
      </c>
      <c r="AF716" s="426" t="s">
        <v>2646</v>
      </c>
      <c r="AG716" s="426" t="s">
        <v>2646</v>
      </c>
      <c r="AH716" s="426" t="s">
        <v>2646</v>
      </c>
      <c r="AI716" s="426" t="s">
        <v>2646</v>
      </c>
      <c r="AJ716" s="68" t="s">
        <v>2646</v>
      </c>
    </row>
    <row r="717" spans="1:36" hidden="1">
      <c r="A717" s="68" t="s">
        <v>1989</v>
      </c>
      <c r="B717" s="427" t="s">
        <v>2649</v>
      </c>
      <c r="C717" s="433" t="s">
        <v>3694</v>
      </c>
      <c r="D717" s="433" t="s">
        <v>3089</v>
      </c>
      <c r="E717" s="433" t="s">
        <v>2654</v>
      </c>
      <c r="F717" s="433" t="s">
        <v>2654</v>
      </c>
      <c r="G717" s="433" t="s">
        <v>2654</v>
      </c>
      <c r="H717" s="433" t="s">
        <v>2654</v>
      </c>
      <c r="I717" s="433" t="s">
        <v>2654</v>
      </c>
      <c r="J717" s="433" t="s">
        <v>2654</v>
      </c>
      <c r="K717" s="433" t="s">
        <v>2654</v>
      </c>
      <c r="L717" s="433" t="s">
        <v>2654</v>
      </c>
      <c r="M717" s="433" t="s">
        <v>2654</v>
      </c>
      <c r="N717" s="433" t="s">
        <v>2654</v>
      </c>
      <c r="O717" s="433" t="s">
        <v>2654</v>
      </c>
      <c r="P717" s="433" t="s">
        <v>2650</v>
      </c>
      <c r="Q717" s="431"/>
      <c r="R717" s="431"/>
      <c r="S717" s="426" t="s">
        <v>3132</v>
      </c>
      <c r="T717" s="426" t="s">
        <v>2646</v>
      </c>
      <c r="U717" s="426" t="s">
        <v>2646</v>
      </c>
      <c r="V717" s="426" t="s">
        <v>2646</v>
      </c>
      <c r="W717" s="426" t="s">
        <v>2646</v>
      </c>
      <c r="X717" s="426" t="s">
        <v>2646</v>
      </c>
      <c r="Y717" s="426" t="s">
        <v>2646</v>
      </c>
      <c r="Z717" s="426" t="s">
        <v>2646</v>
      </c>
      <c r="AA717" s="426" t="s">
        <v>2646</v>
      </c>
      <c r="AB717" s="426" t="s">
        <v>2646</v>
      </c>
      <c r="AC717" s="426" t="s">
        <v>2646</v>
      </c>
      <c r="AD717" s="426" t="s">
        <v>2646</v>
      </c>
      <c r="AE717" s="426" t="s">
        <v>2646</v>
      </c>
      <c r="AF717" s="426" t="s">
        <v>2646</v>
      </c>
      <c r="AG717" s="426" t="s">
        <v>2646</v>
      </c>
      <c r="AH717" s="426" t="s">
        <v>2646</v>
      </c>
      <c r="AI717" s="426" t="s">
        <v>2646</v>
      </c>
      <c r="AJ717" s="68" t="s">
        <v>2646</v>
      </c>
    </row>
    <row r="718" spans="1:36" hidden="1">
      <c r="A718" s="68" t="s">
        <v>1990</v>
      </c>
      <c r="B718" s="427" t="s">
        <v>2650</v>
      </c>
      <c r="C718" s="433" t="s">
        <v>3724</v>
      </c>
      <c r="D718" s="433" t="s">
        <v>3789</v>
      </c>
      <c r="E718" s="433" t="s">
        <v>2654</v>
      </c>
      <c r="F718" s="433" t="s">
        <v>2654</v>
      </c>
      <c r="G718" s="433" t="s">
        <v>2654</v>
      </c>
      <c r="H718" s="433" t="s">
        <v>2654</v>
      </c>
      <c r="I718" s="433" t="s">
        <v>2654</v>
      </c>
      <c r="J718" s="433" t="s">
        <v>2654</v>
      </c>
      <c r="K718" s="433" t="s">
        <v>2654</v>
      </c>
      <c r="L718" s="433" t="s">
        <v>2654</v>
      </c>
      <c r="M718" s="433" t="s">
        <v>2654</v>
      </c>
      <c r="N718" s="433" t="s">
        <v>2654</v>
      </c>
      <c r="O718" s="433" t="s">
        <v>2654</v>
      </c>
      <c r="P718" s="433" t="s">
        <v>2650</v>
      </c>
      <c r="Q718" s="431"/>
      <c r="R718" s="431"/>
      <c r="S718" s="426" t="s">
        <v>3132</v>
      </c>
      <c r="T718" s="426" t="s">
        <v>2646</v>
      </c>
      <c r="U718" s="426" t="s">
        <v>2646</v>
      </c>
      <c r="V718" s="426" t="s">
        <v>2646</v>
      </c>
      <c r="W718" s="426" t="s">
        <v>2646</v>
      </c>
      <c r="X718" s="426" t="s">
        <v>2646</v>
      </c>
      <c r="Y718" s="426" t="s">
        <v>2646</v>
      </c>
      <c r="Z718" s="426" t="s">
        <v>2646</v>
      </c>
      <c r="AA718" s="426" t="s">
        <v>2646</v>
      </c>
      <c r="AB718" s="426" t="s">
        <v>2646</v>
      </c>
      <c r="AC718" s="426" t="s">
        <v>2646</v>
      </c>
      <c r="AD718" s="426" t="s">
        <v>2646</v>
      </c>
      <c r="AE718" s="426" t="s">
        <v>2646</v>
      </c>
      <c r="AF718" s="426" t="s">
        <v>2646</v>
      </c>
      <c r="AG718" s="426" t="s">
        <v>2646</v>
      </c>
      <c r="AH718" s="426" t="s">
        <v>2646</v>
      </c>
      <c r="AI718" s="426" t="s">
        <v>2646</v>
      </c>
      <c r="AJ718" s="68" t="s">
        <v>2646</v>
      </c>
    </row>
    <row r="719" spans="1:36" hidden="1">
      <c r="A719" s="68" t="s">
        <v>1991</v>
      </c>
      <c r="B719" s="427" t="s">
        <v>2651</v>
      </c>
      <c r="C719" s="433" t="s">
        <v>4376</v>
      </c>
      <c r="D719" s="433" t="s">
        <v>3089</v>
      </c>
      <c r="E719" s="433" t="s">
        <v>2678</v>
      </c>
      <c r="F719" s="433" t="s">
        <v>2654</v>
      </c>
      <c r="G719" s="433" t="s">
        <v>2654</v>
      </c>
      <c r="H719" s="433" t="s">
        <v>2654</v>
      </c>
      <c r="I719" s="433" t="s">
        <v>2654</v>
      </c>
      <c r="J719" s="433" t="s">
        <v>2654</v>
      </c>
      <c r="K719" s="433" t="s">
        <v>2654</v>
      </c>
      <c r="L719" s="433" t="s">
        <v>2654</v>
      </c>
      <c r="M719" s="433" t="s">
        <v>2654</v>
      </c>
      <c r="N719" s="433" t="s">
        <v>2654</v>
      </c>
      <c r="O719" s="433" t="s">
        <v>2654</v>
      </c>
      <c r="P719" s="433" t="s">
        <v>2647</v>
      </c>
      <c r="Q719" s="431"/>
      <c r="R719" s="431"/>
      <c r="S719" s="426" t="s">
        <v>3137</v>
      </c>
      <c r="T719" s="426" t="s">
        <v>2646</v>
      </c>
      <c r="U719" s="426" t="s">
        <v>2646</v>
      </c>
      <c r="V719" s="426" t="s">
        <v>2646</v>
      </c>
      <c r="W719" s="426" t="s">
        <v>2646</v>
      </c>
      <c r="X719" s="426" t="s">
        <v>2646</v>
      </c>
      <c r="Y719" s="426" t="s">
        <v>2646</v>
      </c>
      <c r="Z719" s="426" t="s">
        <v>2646</v>
      </c>
      <c r="AA719" s="426" t="s">
        <v>2646</v>
      </c>
      <c r="AB719" s="426" t="s">
        <v>2646</v>
      </c>
      <c r="AC719" s="426" t="s">
        <v>2646</v>
      </c>
      <c r="AD719" s="426" t="s">
        <v>2646</v>
      </c>
      <c r="AE719" s="426" t="s">
        <v>2646</v>
      </c>
      <c r="AF719" s="426" t="s">
        <v>2646</v>
      </c>
      <c r="AG719" s="426" t="s">
        <v>2646</v>
      </c>
      <c r="AH719" s="426" t="s">
        <v>2646</v>
      </c>
      <c r="AI719" s="426" t="s">
        <v>2646</v>
      </c>
      <c r="AJ719" s="68" t="s">
        <v>2646</v>
      </c>
    </row>
    <row r="720" spans="1:36">
      <c r="A720" s="68" t="s">
        <v>1991</v>
      </c>
      <c r="B720" s="427" t="s">
        <v>48</v>
      </c>
      <c r="C720" s="433" t="s">
        <v>4377</v>
      </c>
      <c r="D720" s="433" t="s">
        <v>4378</v>
      </c>
      <c r="E720" s="433" t="s">
        <v>2659</v>
      </c>
      <c r="F720" s="433" t="s">
        <v>2654</v>
      </c>
      <c r="G720" s="433" t="s">
        <v>2654</v>
      </c>
      <c r="H720" s="433" t="s">
        <v>2654</v>
      </c>
      <c r="I720" s="433" t="s">
        <v>2654</v>
      </c>
      <c r="J720" s="433" t="s">
        <v>2654</v>
      </c>
      <c r="K720" s="433" t="s">
        <v>2654</v>
      </c>
      <c r="L720" s="433" t="s">
        <v>2654</v>
      </c>
      <c r="M720" s="433" t="s">
        <v>2654</v>
      </c>
      <c r="N720" s="433" t="s">
        <v>2654</v>
      </c>
      <c r="O720" s="433" t="s">
        <v>2654</v>
      </c>
      <c r="P720" s="433" t="s">
        <v>3214</v>
      </c>
      <c r="Q720" s="433" t="s">
        <v>2654</v>
      </c>
      <c r="R720" s="433" t="s">
        <v>2654</v>
      </c>
      <c r="S720" s="426"/>
      <c r="T720" s="426"/>
      <c r="U720" s="426"/>
      <c r="V720" s="426"/>
      <c r="W720" s="426"/>
      <c r="X720" s="426"/>
      <c r="Y720" s="426"/>
      <c r="Z720" s="426"/>
      <c r="AA720" s="426"/>
      <c r="AB720" s="426"/>
      <c r="AC720" s="426"/>
      <c r="AD720" s="426"/>
      <c r="AE720" s="426"/>
      <c r="AF720" s="426"/>
      <c r="AG720" s="426"/>
      <c r="AH720" s="426"/>
      <c r="AI720" s="426"/>
    </row>
    <row r="721" spans="1:36" hidden="1">
      <c r="A721" s="68" t="s">
        <v>1992</v>
      </c>
      <c r="B721" s="427" t="s">
        <v>2647</v>
      </c>
      <c r="C721" s="433" t="s">
        <v>3919</v>
      </c>
      <c r="D721" s="433" t="s">
        <v>3710</v>
      </c>
      <c r="E721" s="433" t="s">
        <v>3822</v>
      </c>
      <c r="F721" s="433" t="s">
        <v>3764</v>
      </c>
      <c r="G721" s="433" t="s">
        <v>3471</v>
      </c>
      <c r="H721" s="433" t="s">
        <v>3946</v>
      </c>
      <c r="I721" s="433" t="s">
        <v>3738</v>
      </c>
      <c r="J721" s="433" t="s">
        <v>3745</v>
      </c>
      <c r="K721" s="433" t="s">
        <v>3800</v>
      </c>
      <c r="L721" s="433" t="s">
        <v>3247</v>
      </c>
      <c r="M721" s="433" t="s">
        <v>3805</v>
      </c>
      <c r="N721" s="433" t="s">
        <v>3159</v>
      </c>
      <c r="O721" s="433" t="s">
        <v>4379</v>
      </c>
      <c r="P721" s="433" t="s">
        <v>4380</v>
      </c>
      <c r="Q721" s="431"/>
      <c r="R721" s="431"/>
      <c r="S721" s="426" t="s">
        <v>2673</v>
      </c>
      <c r="T721" s="426" t="s">
        <v>2844</v>
      </c>
      <c r="U721" s="426" t="s">
        <v>2796</v>
      </c>
      <c r="V721" s="426" t="s">
        <v>2844</v>
      </c>
      <c r="W721" s="426" t="s">
        <v>2778</v>
      </c>
      <c r="X721" s="426" t="s">
        <v>2888</v>
      </c>
      <c r="Y721" s="426" t="s">
        <v>3477</v>
      </c>
      <c r="Z721" s="426" t="s">
        <v>2646</v>
      </c>
      <c r="AA721" s="426" t="s">
        <v>2646</v>
      </c>
      <c r="AB721" s="426" t="s">
        <v>2646</v>
      </c>
      <c r="AC721" s="426" t="s">
        <v>2646</v>
      </c>
      <c r="AD721" s="426" t="s">
        <v>2646</v>
      </c>
      <c r="AE721" s="426" t="s">
        <v>2646</v>
      </c>
      <c r="AF721" s="426" t="s">
        <v>2646</v>
      </c>
      <c r="AG721" s="426" t="s">
        <v>2646</v>
      </c>
      <c r="AH721" s="426" t="s">
        <v>2646</v>
      </c>
      <c r="AI721" s="426" t="s">
        <v>2646</v>
      </c>
      <c r="AJ721" s="68" t="s">
        <v>2646</v>
      </c>
    </row>
    <row r="722" spans="1:36" hidden="1">
      <c r="A722" s="68" t="s">
        <v>1993</v>
      </c>
      <c r="B722" s="427" t="s">
        <v>2648</v>
      </c>
      <c r="C722" s="433" t="s">
        <v>3904</v>
      </c>
      <c r="D722" s="433" t="s">
        <v>3851</v>
      </c>
      <c r="E722" s="433" t="s">
        <v>3980</v>
      </c>
      <c r="F722" s="433" t="s">
        <v>4381</v>
      </c>
      <c r="G722" s="433" t="s">
        <v>4382</v>
      </c>
      <c r="H722" s="433" t="s">
        <v>3982</v>
      </c>
      <c r="I722" s="433" t="s">
        <v>3821</v>
      </c>
      <c r="J722" s="433" t="s">
        <v>3818</v>
      </c>
      <c r="K722" s="433" t="s">
        <v>3819</v>
      </c>
      <c r="L722" s="433" t="s">
        <v>3767</v>
      </c>
      <c r="M722" s="433" t="s">
        <v>3797</v>
      </c>
      <c r="N722" s="433" t="s">
        <v>3923</v>
      </c>
      <c r="O722" s="433" t="s">
        <v>4383</v>
      </c>
      <c r="P722" s="433" t="s">
        <v>4315</v>
      </c>
      <c r="Q722" s="431"/>
      <c r="R722" s="431"/>
      <c r="S722" s="426" t="s">
        <v>2655</v>
      </c>
      <c r="T722" s="426" t="s">
        <v>2657</v>
      </c>
      <c r="U722" s="426" t="s">
        <v>2657</v>
      </c>
      <c r="V722" s="426" t="s">
        <v>2657</v>
      </c>
      <c r="W722" s="426" t="s">
        <v>2778</v>
      </c>
      <c r="X722" s="426" t="s">
        <v>2888</v>
      </c>
      <c r="Y722" s="426" t="s">
        <v>3477</v>
      </c>
      <c r="Z722" s="426" t="s">
        <v>2646</v>
      </c>
      <c r="AA722" s="426" t="s">
        <v>2646</v>
      </c>
      <c r="AB722" s="426" t="s">
        <v>2646</v>
      </c>
      <c r="AC722" s="426" t="s">
        <v>2646</v>
      </c>
      <c r="AD722" s="426" t="s">
        <v>2646</v>
      </c>
      <c r="AE722" s="426" t="s">
        <v>2646</v>
      </c>
      <c r="AF722" s="426" t="s">
        <v>2646</v>
      </c>
      <c r="AG722" s="426" t="s">
        <v>2646</v>
      </c>
      <c r="AH722" s="426" t="s">
        <v>2646</v>
      </c>
      <c r="AI722" s="426" t="s">
        <v>2646</v>
      </c>
      <c r="AJ722" s="68" t="s">
        <v>2646</v>
      </c>
    </row>
    <row r="723" spans="1:36" hidden="1">
      <c r="A723" s="68" t="s">
        <v>1994</v>
      </c>
      <c r="B723" s="427" t="s">
        <v>2649</v>
      </c>
      <c r="C723" s="433" t="s">
        <v>3904</v>
      </c>
      <c r="D723" s="433" t="s">
        <v>3710</v>
      </c>
      <c r="E723" s="433" t="s">
        <v>3511</v>
      </c>
      <c r="F723" s="433" t="s">
        <v>3980</v>
      </c>
      <c r="G723" s="433" t="s">
        <v>4384</v>
      </c>
      <c r="H723" s="433" t="s">
        <v>4385</v>
      </c>
      <c r="I723" s="433" t="s">
        <v>3500</v>
      </c>
      <c r="J723" s="433" t="s">
        <v>3473</v>
      </c>
      <c r="K723" s="433" t="s">
        <v>3898</v>
      </c>
      <c r="L723" s="433" t="s">
        <v>4016</v>
      </c>
      <c r="M723" s="433" t="s">
        <v>3727</v>
      </c>
      <c r="N723" s="433" t="s">
        <v>3770</v>
      </c>
      <c r="O723" s="433" t="s">
        <v>4386</v>
      </c>
      <c r="P723" s="433" t="s">
        <v>4387</v>
      </c>
      <c r="Q723" s="431"/>
      <c r="R723" s="431"/>
      <c r="S723" s="426" t="s">
        <v>2673</v>
      </c>
      <c r="T723" s="426" t="s">
        <v>2844</v>
      </c>
      <c r="U723" s="426" t="s">
        <v>2844</v>
      </c>
      <c r="V723" s="426" t="s">
        <v>2844</v>
      </c>
      <c r="W723" s="426" t="s">
        <v>3220</v>
      </c>
      <c r="X723" s="426" t="s">
        <v>2888</v>
      </c>
      <c r="Y723" s="426" t="s">
        <v>3504</v>
      </c>
      <c r="Z723" s="426" t="s">
        <v>2646</v>
      </c>
      <c r="AA723" s="426" t="s">
        <v>2646</v>
      </c>
      <c r="AB723" s="426" t="s">
        <v>2646</v>
      </c>
      <c r="AC723" s="426" t="s">
        <v>2646</v>
      </c>
      <c r="AD723" s="426" t="s">
        <v>2646</v>
      </c>
      <c r="AE723" s="426" t="s">
        <v>2646</v>
      </c>
      <c r="AF723" s="426" t="s">
        <v>2646</v>
      </c>
      <c r="AG723" s="426" t="s">
        <v>2646</v>
      </c>
      <c r="AH723" s="426" t="s">
        <v>2646</v>
      </c>
      <c r="AI723" s="426" t="s">
        <v>2646</v>
      </c>
      <c r="AJ723" s="68" t="s">
        <v>2646</v>
      </c>
    </row>
    <row r="724" spans="1:36" hidden="1">
      <c r="A724" s="68" t="s">
        <v>1995</v>
      </c>
      <c r="B724" s="427" t="s">
        <v>2650</v>
      </c>
      <c r="C724" s="433" t="s">
        <v>3749</v>
      </c>
      <c r="D724" s="433" t="s">
        <v>3093</v>
      </c>
      <c r="E724" s="433" t="s">
        <v>3096</v>
      </c>
      <c r="F724" s="433" t="s">
        <v>3731</v>
      </c>
      <c r="G724" s="433" t="s">
        <v>3447</v>
      </c>
      <c r="H724" s="433" t="s">
        <v>3221</v>
      </c>
      <c r="I724" s="433" t="s">
        <v>4016</v>
      </c>
      <c r="J724" s="433" t="s">
        <v>3129</v>
      </c>
      <c r="K724" s="433" t="s">
        <v>3737</v>
      </c>
      <c r="L724" s="433" t="s">
        <v>3317</v>
      </c>
      <c r="M724" s="433" t="s">
        <v>3806</v>
      </c>
      <c r="N724" s="433" t="s">
        <v>3725</v>
      </c>
      <c r="O724" s="433" t="s">
        <v>4388</v>
      </c>
      <c r="P724" s="433" t="s">
        <v>4107</v>
      </c>
      <c r="Q724" s="431"/>
      <c r="R724" s="431"/>
      <c r="S724" s="426" t="s">
        <v>2669</v>
      </c>
      <c r="T724" s="426" t="s">
        <v>2657</v>
      </c>
      <c r="U724" s="426" t="s">
        <v>2844</v>
      </c>
      <c r="V724" s="426" t="s">
        <v>2844</v>
      </c>
      <c r="W724" s="426" t="s">
        <v>2778</v>
      </c>
      <c r="X724" s="426" t="s">
        <v>2888</v>
      </c>
      <c r="Y724" s="426" t="s">
        <v>3477</v>
      </c>
      <c r="Z724" s="426" t="s">
        <v>2646</v>
      </c>
      <c r="AA724" s="426" t="s">
        <v>2646</v>
      </c>
      <c r="AB724" s="426" t="s">
        <v>2646</v>
      </c>
      <c r="AC724" s="426" t="s">
        <v>2646</v>
      </c>
      <c r="AD724" s="426" t="s">
        <v>2646</v>
      </c>
      <c r="AE724" s="426" t="s">
        <v>2646</v>
      </c>
      <c r="AF724" s="426" t="s">
        <v>2646</v>
      </c>
      <c r="AG724" s="426" t="s">
        <v>2646</v>
      </c>
      <c r="AH724" s="426" t="s">
        <v>2646</v>
      </c>
      <c r="AI724" s="426" t="s">
        <v>2646</v>
      </c>
      <c r="AJ724" s="68" t="s">
        <v>2646</v>
      </c>
    </row>
    <row r="725" spans="1:36" hidden="1">
      <c r="A725" s="68" t="s">
        <v>1996</v>
      </c>
      <c r="B725" s="427" t="s">
        <v>2651</v>
      </c>
      <c r="C725" s="433" t="s">
        <v>3919</v>
      </c>
      <c r="D725" s="433" t="s">
        <v>3364</v>
      </c>
      <c r="E725" s="433" t="s">
        <v>4385</v>
      </c>
      <c r="F725" s="433" t="s">
        <v>4382</v>
      </c>
      <c r="G725" s="433" t="s">
        <v>4389</v>
      </c>
      <c r="H725" s="433" t="s">
        <v>3170</v>
      </c>
      <c r="I725" s="433" t="s">
        <v>3817</v>
      </c>
      <c r="J725" s="433" t="s">
        <v>3770</v>
      </c>
      <c r="K725" s="433" t="s">
        <v>3799</v>
      </c>
      <c r="L725" s="433" t="s">
        <v>3824</v>
      </c>
      <c r="M725" s="433" t="s">
        <v>3319</v>
      </c>
      <c r="N725" s="433" t="s">
        <v>3923</v>
      </c>
      <c r="O725" s="433" t="s">
        <v>4390</v>
      </c>
      <c r="P725" s="433" t="s">
        <v>4391</v>
      </c>
      <c r="Q725" s="431"/>
      <c r="R725" s="431"/>
      <c r="S725" s="426" t="s">
        <v>2664</v>
      </c>
      <c r="T725" s="426" t="s">
        <v>2657</v>
      </c>
      <c r="U725" s="426" t="s">
        <v>2844</v>
      </c>
      <c r="V725" s="426" t="s">
        <v>2844</v>
      </c>
      <c r="W725" s="426" t="s">
        <v>3439</v>
      </c>
      <c r="X725" s="426" t="s">
        <v>3199</v>
      </c>
      <c r="Y725" s="426" t="s">
        <v>2646</v>
      </c>
      <c r="Z725" s="426" t="s">
        <v>2646</v>
      </c>
      <c r="AA725" s="426" t="s">
        <v>2646</v>
      </c>
      <c r="AB725" s="426" t="s">
        <v>2646</v>
      </c>
      <c r="AC725" s="426" t="s">
        <v>2646</v>
      </c>
      <c r="AD725" s="426" t="s">
        <v>2646</v>
      </c>
      <c r="AE725" s="426" t="s">
        <v>2646</v>
      </c>
      <c r="AF725" s="426" t="s">
        <v>2646</v>
      </c>
      <c r="AG725" s="426" t="s">
        <v>2646</v>
      </c>
      <c r="AH725" s="426" t="s">
        <v>2646</v>
      </c>
      <c r="AI725" s="426" t="s">
        <v>2646</v>
      </c>
      <c r="AJ725" s="68" t="s">
        <v>2646</v>
      </c>
    </row>
    <row r="726" spans="1:36">
      <c r="A726" s="68" t="s">
        <v>1996</v>
      </c>
      <c r="B726" s="427" t="s">
        <v>48</v>
      </c>
      <c r="C726" s="433" t="s">
        <v>4392</v>
      </c>
      <c r="D726" s="433" t="s">
        <v>3856</v>
      </c>
      <c r="E726" s="433" t="s">
        <v>4393</v>
      </c>
      <c r="F726" s="433" t="s">
        <v>4394</v>
      </c>
      <c r="G726" s="433" t="s">
        <v>4395</v>
      </c>
      <c r="H726" s="433" t="s">
        <v>3982</v>
      </c>
      <c r="I726" s="433" t="s">
        <v>3825</v>
      </c>
      <c r="J726" s="433" t="s">
        <v>3985</v>
      </c>
      <c r="K726" s="433" t="s">
        <v>4396</v>
      </c>
      <c r="L726" s="433" t="s">
        <v>4397</v>
      </c>
      <c r="M726" s="433" t="s">
        <v>4017</v>
      </c>
      <c r="N726" s="433" t="s">
        <v>4398</v>
      </c>
      <c r="O726" s="433" t="s">
        <v>4399</v>
      </c>
      <c r="P726" s="433" t="s">
        <v>4225</v>
      </c>
      <c r="Q726" s="433" t="s">
        <v>2654</v>
      </c>
      <c r="R726" s="433" t="s">
        <v>2654</v>
      </c>
      <c r="S726" s="426"/>
      <c r="T726" s="426"/>
      <c r="U726" s="426"/>
      <c r="V726" s="426"/>
      <c r="W726" s="426"/>
      <c r="X726" s="426"/>
      <c r="Y726" s="426"/>
      <c r="Z726" s="426"/>
      <c r="AA726" s="426"/>
      <c r="AB726" s="426"/>
      <c r="AC726" s="426"/>
      <c r="AD726" s="426"/>
      <c r="AE726" s="426"/>
      <c r="AF726" s="426"/>
      <c r="AG726" s="426"/>
      <c r="AH726" s="426"/>
      <c r="AI726" s="426"/>
    </row>
    <row r="727" spans="1:36" hidden="1">
      <c r="A727" s="68" t="s">
        <v>1997</v>
      </c>
      <c r="B727" s="427" t="s">
        <v>2647</v>
      </c>
      <c r="C727" s="433" t="s">
        <v>3663</v>
      </c>
      <c r="D727" s="433" t="s">
        <v>3364</v>
      </c>
      <c r="E727" s="433" t="s">
        <v>3522</v>
      </c>
      <c r="F727" s="433" t="s">
        <v>3821</v>
      </c>
      <c r="G727" s="433" t="s">
        <v>3738</v>
      </c>
      <c r="H727" s="433" t="s">
        <v>3745</v>
      </c>
      <c r="I727" s="433" t="s">
        <v>3805</v>
      </c>
      <c r="J727" s="433" t="s">
        <v>3421</v>
      </c>
      <c r="K727" s="433" t="s">
        <v>3302</v>
      </c>
      <c r="L727" s="433" t="s">
        <v>3162</v>
      </c>
      <c r="M727" s="433" t="s">
        <v>2775</v>
      </c>
      <c r="N727" s="433" t="s">
        <v>3178</v>
      </c>
      <c r="O727" s="433" t="s">
        <v>4400</v>
      </c>
      <c r="P727" s="433" t="s">
        <v>4401</v>
      </c>
      <c r="Q727" s="431"/>
      <c r="R727" s="431"/>
      <c r="S727" s="426" t="s">
        <v>2688</v>
      </c>
      <c r="T727" s="426" t="s">
        <v>2844</v>
      </c>
      <c r="U727" s="426" t="s">
        <v>2844</v>
      </c>
      <c r="V727" s="426" t="s">
        <v>2844</v>
      </c>
      <c r="W727" s="426" t="s">
        <v>3505</v>
      </c>
      <c r="X727" s="426" t="s">
        <v>3506</v>
      </c>
      <c r="Y727" s="426" t="s">
        <v>3507</v>
      </c>
      <c r="Z727" s="426" t="s">
        <v>2646</v>
      </c>
      <c r="AA727" s="426" t="s">
        <v>2646</v>
      </c>
      <c r="AB727" s="426" t="s">
        <v>2646</v>
      </c>
      <c r="AC727" s="426" t="s">
        <v>2646</v>
      </c>
      <c r="AD727" s="426" t="s">
        <v>2646</v>
      </c>
      <c r="AE727" s="426" t="s">
        <v>2646</v>
      </c>
      <c r="AF727" s="426" t="s">
        <v>2646</v>
      </c>
      <c r="AG727" s="426" t="s">
        <v>2646</v>
      </c>
      <c r="AH727" s="426" t="s">
        <v>2646</v>
      </c>
      <c r="AI727" s="426" t="s">
        <v>2646</v>
      </c>
      <c r="AJ727" s="68" t="s">
        <v>2646</v>
      </c>
    </row>
    <row r="728" spans="1:36" hidden="1">
      <c r="A728" s="68" t="s">
        <v>1998</v>
      </c>
      <c r="B728" s="427" t="s">
        <v>2648</v>
      </c>
      <c r="C728" s="433" t="s">
        <v>3650</v>
      </c>
      <c r="D728" s="433" t="s">
        <v>3676</v>
      </c>
      <c r="E728" s="433" t="s">
        <v>3817</v>
      </c>
      <c r="F728" s="433" t="s">
        <v>3804</v>
      </c>
      <c r="G728" s="433" t="s">
        <v>3826</v>
      </c>
      <c r="H728" s="433" t="s">
        <v>3317</v>
      </c>
      <c r="I728" s="433" t="s">
        <v>3739</v>
      </c>
      <c r="J728" s="433" t="s">
        <v>3461</v>
      </c>
      <c r="K728" s="433" t="s">
        <v>3425</v>
      </c>
      <c r="L728" s="433" t="s">
        <v>4402</v>
      </c>
      <c r="M728" s="433" t="s">
        <v>3807</v>
      </c>
      <c r="N728" s="433" t="s">
        <v>3088</v>
      </c>
      <c r="O728" s="433" t="s">
        <v>4403</v>
      </c>
      <c r="P728" s="433" t="s">
        <v>4231</v>
      </c>
      <c r="Q728" s="431"/>
      <c r="R728" s="431"/>
      <c r="S728" s="426" t="s">
        <v>2655</v>
      </c>
      <c r="T728" s="426" t="s">
        <v>2844</v>
      </c>
      <c r="U728" s="426" t="s">
        <v>2844</v>
      </c>
      <c r="V728" s="426" t="s">
        <v>2844</v>
      </c>
      <c r="W728" s="426" t="s">
        <v>3505</v>
      </c>
      <c r="X728" s="426" t="s">
        <v>3506</v>
      </c>
      <c r="Y728" s="426" t="s">
        <v>3507</v>
      </c>
      <c r="Z728" s="426" t="s">
        <v>2646</v>
      </c>
      <c r="AA728" s="426" t="s">
        <v>2646</v>
      </c>
      <c r="AB728" s="426" t="s">
        <v>2646</v>
      </c>
      <c r="AC728" s="426" t="s">
        <v>2646</v>
      </c>
      <c r="AD728" s="426" t="s">
        <v>2646</v>
      </c>
      <c r="AE728" s="426" t="s">
        <v>2646</v>
      </c>
      <c r="AF728" s="426" t="s">
        <v>2646</v>
      </c>
      <c r="AG728" s="426" t="s">
        <v>2646</v>
      </c>
      <c r="AH728" s="426" t="s">
        <v>2646</v>
      </c>
      <c r="AI728" s="426" t="s">
        <v>2646</v>
      </c>
      <c r="AJ728" s="68" t="s">
        <v>2646</v>
      </c>
    </row>
    <row r="729" spans="1:36" hidden="1">
      <c r="A729" s="68" t="s">
        <v>1999</v>
      </c>
      <c r="B729" s="427" t="s">
        <v>2649</v>
      </c>
      <c r="C729" s="433" t="s">
        <v>3786</v>
      </c>
      <c r="D729" s="433" t="s">
        <v>3851</v>
      </c>
      <c r="E729" s="433" t="s">
        <v>3522</v>
      </c>
      <c r="F729" s="433" t="s">
        <v>3821</v>
      </c>
      <c r="G729" s="433" t="s">
        <v>3850</v>
      </c>
      <c r="H729" s="433" t="s">
        <v>3085</v>
      </c>
      <c r="I729" s="433" t="s">
        <v>3792</v>
      </c>
      <c r="J729" s="433" t="s">
        <v>3796</v>
      </c>
      <c r="K729" s="433" t="s">
        <v>3797</v>
      </c>
      <c r="L729" s="433" t="s">
        <v>3739</v>
      </c>
      <c r="M729" s="433" t="s">
        <v>3795</v>
      </c>
      <c r="N729" s="433" t="s">
        <v>3424</v>
      </c>
      <c r="O729" s="433" t="s">
        <v>4404</v>
      </c>
      <c r="P729" s="433" t="s">
        <v>4405</v>
      </c>
      <c r="Q729" s="431"/>
      <c r="R729" s="431"/>
      <c r="S729" s="426" t="s">
        <v>2658</v>
      </c>
      <c r="T729" s="426" t="s">
        <v>2844</v>
      </c>
      <c r="U729" s="426" t="s">
        <v>2844</v>
      </c>
      <c r="V729" s="426" t="s">
        <v>2844</v>
      </c>
      <c r="W729" s="426" t="s">
        <v>3505</v>
      </c>
      <c r="X729" s="426" t="s">
        <v>3506</v>
      </c>
      <c r="Y729" s="426" t="s">
        <v>3507</v>
      </c>
      <c r="Z729" s="426" t="s">
        <v>2646</v>
      </c>
      <c r="AA729" s="426" t="s">
        <v>2646</v>
      </c>
      <c r="AB729" s="426" t="s">
        <v>2646</v>
      </c>
      <c r="AC729" s="426" t="s">
        <v>2646</v>
      </c>
      <c r="AD729" s="426" t="s">
        <v>2646</v>
      </c>
      <c r="AE729" s="426" t="s">
        <v>2646</v>
      </c>
      <c r="AF729" s="426" t="s">
        <v>2646</v>
      </c>
      <c r="AG729" s="426" t="s">
        <v>2646</v>
      </c>
      <c r="AH729" s="426" t="s">
        <v>2646</v>
      </c>
      <c r="AI729" s="426" t="s">
        <v>2646</v>
      </c>
      <c r="AJ729" s="68" t="s">
        <v>2646</v>
      </c>
    </row>
    <row r="730" spans="1:36" hidden="1">
      <c r="A730" s="68" t="s">
        <v>2000</v>
      </c>
      <c r="B730" s="427" t="s">
        <v>2650</v>
      </c>
      <c r="C730" s="433" t="s">
        <v>3663</v>
      </c>
      <c r="D730" s="433" t="s">
        <v>3364</v>
      </c>
      <c r="E730" s="433" t="s">
        <v>3539</v>
      </c>
      <c r="F730" s="433" t="s">
        <v>3798</v>
      </c>
      <c r="G730" s="433" t="s">
        <v>4402</v>
      </c>
      <c r="H730" s="433" t="s">
        <v>3028</v>
      </c>
      <c r="I730" s="433" t="s">
        <v>3513</v>
      </c>
      <c r="J730" s="433" t="s">
        <v>2879</v>
      </c>
      <c r="K730" s="433" t="s">
        <v>3017</v>
      </c>
      <c r="L730" s="433" t="s">
        <v>2705</v>
      </c>
      <c r="M730" s="433" t="s">
        <v>2833</v>
      </c>
      <c r="N730" s="433" t="s">
        <v>2962</v>
      </c>
      <c r="O730" s="433" t="s">
        <v>4406</v>
      </c>
      <c r="P730" s="433" t="s">
        <v>4230</v>
      </c>
      <c r="Q730" s="431"/>
      <c r="R730" s="431"/>
      <c r="S730" s="426" t="s">
        <v>2786</v>
      </c>
      <c r="T730" s="426" t="s">
        <v>2844</v>
      </c>
      <c r="U730" s="426" t="s">
        <v>2844</v>
      </c>
      <c r="V730" s="426" t="s">
        <v>2844</v>
      </c>
      <c r="W730" s="426" t="s">
        <v>3505</v>
      </c>
      <c r="X730" s="426" t="s">
        <v>3506</v>
      </c>
      <c r="Y730" s="426" t="s">
        <v>3507</v>
      </c>
      <c r="Z730" s="426" t="s">
        <v>2646</v>
      </c>
      <c r="AA730" s="426" t="s">
        <v>2646</v>
      </c>
      <c r="AB730" s="426" t="s">
        <v>2646</v>
      </c>
      <c r="AC730" s="426" t="s">
        <v>2646</v>
      </c>
      <c r="AD730" s="426" t="s">
        <v>2646</v>
      </c>
      <c r="AE730" s="426" t="s">
        <v>2646</v>
      </c>
      <c r="AF730" s="426" t="s">
        <v>2646</v>
      </c>
      <c r="AG730" s="426" t="s">
        <v>2646</v>
      </c>
      <c r="AH730" s="426" t="s">
        <v>2646</v>
      </c>
      <c r="AI730" s="426" t="s">
        <v>2646</v>
      </c>
      <c r="AJ730" s="68" t="s">
        <v>2646</v>
      </c>
    </row>
    <row r="731" spans="1:36" hidden="1">
      <c r="A731" s="68" t="s">
        <v>2001</v>
      </c>
      <c r="B731" s="427" t="s">
        <v>2651</v>
      </c>
      <c r="C731" s="433" t="s">
        <v>3650</v>
      </c>
      <c r="D731" s="433" t="s">
        <v>3710</v>
      </c>
      <c r="E731" s="433" t="s">
        <v>3731</v>
      </c>
      <c r="F731" s="433" t="s">
        <v>3170</v>
      </c>
      <c r="G731" s="433" t="s">
        <v>3085</v>
      </c>
      <c r="H731" s="433" t="s">
        <v>3770</v>
      </c>
      <c r="I731" s="433" t="s">
        <v>3738</v>
      </c>
      <c r="J731" s="433" t="s">
        <v>3806</v>
      </c>
      <c r="K731" s="433" t="s">
        <v>3765</v>
      </c>
      <c r="L731" s="433" t="s">
        <v>3262</v>
      </c>
      <c r="M731" s="433" t="s">
        <v>3805</v>
      </c>
      <c r="N731" s="433" t="s">
        <v>2721</v>
      </c>
      <c r="O731" s="433" t="s">
        <v>4014</v>
      </c>
      <c r="P731" s="433" t="s">
        <v>4107</v>
      </c>
      <c r="Q731" s="431"/>
      <c r="R731" s="431"/>
      <c r="S731" s="426" t="s">
        <v>2657</v>
      </c>
      <c r="T731" s="426" t="s">
        <v>2657</v>
      </c>
      <c r="U731" s="426" t="s">
        <v>2844</v>
      </c>
      <c r="V731" s="426" t="s">
        <v>2844</v>
      </c>
      <c r="W731" s="426" t="s">
        <v>3194</v>
      </c>
      <c r="X731" s="426" t="s">
        <v>2662</v>
      </c>
      <c r="Y731" s="426" t="s">
        <v>3508</v>
      </c>
      <c r="Z731" s="426" t="s">
        <v>2646</v>
      </c>
      <c r="AA731" s="426" t="s">
        <v>2646</v>
      </c>
      <c r="AB731" s="426" t="s">
        <v>2646</v>
      </c>
      <c r="AC731" s="426" t="s">
        <v>2646</v>
      </c>
      <c r="AD731" s="426" t="s">
        <v>2646</v>
      </c>
      <c r="AE731" s="426" t="s">
        <v>2646</v>
      </c>
      <c r="AF731" s="426" t="s">
        <v>2646</v>
      </c>
      <c r="AG731" s="426" t="s">
        <v>2646</v>
      </c>
      <c r="AH731" s="426" t="s">
        <v>2646</v>
      </c>
      <c r="AI731" s="426" t="s">
        <v>2646</v>
      </c>
      <c r="AJ731" s="68" t="s">
        <v>2646</v>
      </c>
    </row>
    <row r="732" spans="1:36">
      <c r="A732" s="68" t="s">
        <v>2001</v>
      </c>
      <c r="B732" s="427" t="s">
        <v>48</v>
      </c>
      <c r="C732" s="433" t="s">
        <v>3663</v>
      </c>
      <c r="D732" s="433" t="s">
        <v>4337</v>
      </c>
      <c r="E732" s="433" t="s">
        <v>3766</v>
      </c>
      <c r="F732" s="433" t="s">
        <v>3016</v>
      </c>
      <c r="G732" s="433" t="s">
        <v>3783</v>
      </c>
      <c r="H732" s="433" t="s">
        <v>4407</v>
      </c>
      <c r="I732" s="433" t="s">
        <v>4408</v>
      </c>
      <c r="J732" s="433" t="s">
        <v>4409</v>
      </c>
      <c r="K732" s="433" t="s">
        <v>4410</v>
      </c>
      <c r="L732" s="433" t="s">
        <v>4411</v>
      </c>
      <c r="M732" s="433" t="s">
        <v>4412</v>
      </c>
      <c r="N732" s="433" t="s">
        <v>4413</v>
      </c>
      <c r="O732" s="433" t="s">
        <v>4414</v>
      </c>
      <c r="P732" s="433" t="s">
        <v>2731</v>
      </c>
      <c r="Q732" s="433" t="s">
        <v>2654</v>
      </c>
      <c r="R732" s="433" t="s">
        <v>2654</v>
      </c>
      <c r="S732" s="426"/>
      <c r="T732" s="426"/>
      <c r="U732" s="426"/>
      <c r="V732" s="426"/>
      <c r="W732" s="426"/>
      <c r="X732" s="426"/>
      <c r="Y732" s="426"/>
      <c r="Z732" s="426"/>
      <c r="AA732" s="426"/>
      <c r="AB732" s="426"/>
      <c r="AC732" s="426"/>
      <c r="AD732" s="426"/>
      <c r="AE732" s="426"/>
      <c r="AF732" s="426"/>
      <c r="AG732" s="426"/>
      <c r="AH732" s="426"/>
      <c r="AI732" s="426"/>
    </row>
    <row r="733" spans="1:36" hidden="1">
      <c r="A733" s="68" t="s">
        <v>2002</v>
      </c>
      <c r="B733" s="427" t="s">
        <v>2647</v>
      </c>
      <c r="C733" s="433" t="s">
        <v>3193</v>
      </c>
      <c r="D733" s="433" t="s">
        <v>3710</v>
      </c>
      <c r="E733" s="433" t="s">
        <v>3009</v>
      </c>
      <c r="F733" s="433" t="s">
        <v>2775</v>
      </c>
      <c r="G733" s="433" t="s">
        <v>3752</v>
      </c>
      <c r="H733" s="433" t="s">
        <v>3043</v>
      </c>
      <c r="I733" s="433" t="s">
        <v>3037</v>
      </c>
      <c r="J733" s="433" t="s">
        <v>3018</v>
      </c>
      <c r="K733" s="433" t="s">
        <v>2894</v>
      </c>
      <c r="L733" s="433" t="s">
        <v>2782</v>
      </c>
      <c r="M733" s="433" t="s">
        <v>2772</v>
      </c>
      <c r="N733" s="433" t="s">
        <v>3029</v>
      </c>
      <c r="O733" s="433" t="s">
        <v>2771</v>
      </c>
      <c r="P733" s="433" t="s">
        <v>4415</v>
      </c>
      <c r="Q733" s="431"/>
      <c r="R733" s="431"/>
      <c r="S733" s="426" t="s">
        <v>2658</v>
      </c>
      <c r="T733" s="426" t="s">
        <v>2657</v>
      </c>
      <c r="U733" s="426" t="s">
        <v>2844</v>
      </c>
      <c r="V733" s="426" t="s">
        <v>2844</v>
      </c>
      <c r="W733" s="426" t="s">
        <v>3268</v>
      </c>
      <c r="X733" s="426" t="s">
        <v>3428</v>
      </c>
      <c r="Y733" s="426" t="s">
        <v>2728</v>
      </c>
      <c r="Z733" s="426" t="s">
        <v>3298</v>
      </c>
      <c r="AA733" s="426" t="s">
        <v>2646</v>
      </c>
      <c r="AB733" s="426" t="s">
        <v>2646</v>
      </c>
      <c r="AC733" s="426" t="s">
        <v>2646</v>
      </c>
      <c r="AD733" s="426" t="s">
        <v>2646</v>
      </c>
      <c r="AE733" s="426" t="s">
        <v>2646</v>
      </c>
      <c r="AF733" s="426" t="s">
        <v>2646</v>
      </c>
      <c r="AG733" s="426" t="s">
        <v>2646</v>
      </c>
      <c r="AH733" s="426" t="s">
        <v>2646</v>
      </c>
      <c r="AI733" s="426" t="s">
        <v>2646</v>
      </c>
      <c r="AJ733" s="68" t="s">
        <v>2646</v>
      </c>
    </row>
    <row r="734" spans="1:36" hidden="1">
      <c r="A734" s="68" t="s">
        <v>2003</v>
      </c>
      <c r="B734" s="427" t="s">
        <v>2648</v>
      </c>
      <c r="C734" s="433" t="s">
        <v>3673</v>
      </c>
      <c r="D734" s="433" t="s">
        <v>3364</v>
      </c>
      <c r="E734" s="433" t="s">
        <v>3806</v>
      </c>
      <c r="F734" s="433" t="s">
        <v>3262</v>
      </c>
      <c r="G734" s="433" t="s">
        <v>3763</v>
      </c>
      <c r="H734" s="433" t="s">
        <v>3405</v>
      </c>
      <c r="I734" s="433" t="s">
        <v>3010</v>
      </c>
      <c r="J734" s="433" t="s">
        <v>2868</v>
      </c>
      <c r="K734" s="433" t="s">
        <v>3321</v>
      </c>
      <c r="L734" s="433" t="s">
        <v>2962</v>
      </c>
      <c r="M734" s="433" t="s">
        <v>2782</v>
      </c>
      <c r="N734" s="433" t="s">
        <v>2685</v>
      </c>
      <c r="O734" s="433" t="s">
        <v>4026</v>
      </c>
      <c r="P734" s="433" t="s">
        <v>4416</v>
      </c>
      <c r="Q734" s="431"/>
      <c r="R734" s="431"/>
      <c r="S734" s="426" t="s">
        <v>2660</v>
      </c>
      <c r="T734" s="426" t="s">
        <v>2844</v>
      </c>
      <c r="U734" s="426" t="s">
        <v>2844</v>
      </c>
      <c r="V734" s="426" t="s">
        <v>2844</v>
      </c>
      <c r="W734" s="426" t="s">
        <v>3268</v>
      </c>
      <c r="X734" s="426" t="s">
        <v>3428</v>
      </c>
      <c r="Y734" s="426" t="s">
        <v>2728</v>
      </c>
      <c r="Z734" s="426" t="s">
        <v>3298</v>
      </c>
      <c r="AA734" s="426" t="s">
        <v>2646</v>
      </c>
      <c r="AB734" s="426" t="s">
        <v>2646</v>
      </c>
      <c r="AC734" s="426" t="s">
        <v>2646</v>
      </c>
      <c r="AD734" s="426" t="s">
        <v>2646</v>
      </c>
      <c r="AE734" s="426" t="s">
        <v>2646</v>
      </c>
      <c r="AF734" s="426" t="s">
        <v>2646</v>
      </c>
      <c r="AG734" s="426" t="s">
        <v>2646</v>
      </c>
      <c r="AH734" s="426" t="s">
        <v>2646</v>
      </c>
      <c r="AI734" s="426" t="s">
        <v>2646</v>
      </c>
      <c r="AJ734" s="68" t="s">
        <v>2646</v>
      </c>
    </row>
    <row r="735" spans="1:36" hidden="1">
      <c r="A735" s="68" t="s">
        <v>2004</v>
      </c>
      <c r="B735" s="427" t="s">
        <v>2649</v>
      </c>
      <c r="C735" s="433" t="s">
        <v>3615</v>
      </c>
      <c r="D735" s="433" t="s">
        <v>3851</v>
      </c>
      <c r="E735" s="433" t="s">
        <v>3162</v>
      </c>
      <c r="F735" s="433" t="s">
        <v>3088</v>
      </c>
      <c r="G735" s="433" t="s">
        <v>3043</v>
      </c>
      <c r="H735" s="433" t="s">
        <v>2858</v>
      </c>
      <c r="I735" s="433" t="s">
        <v>2883</v>
      </c>
      <c r="J735" s="433" t="s">
        <v>2962</v>
      </c>
      <c r="K735" s="433" t="s">
        <v>3163</v>
      </c>
      <c r="L735" s="433" t="s">
        <v>2765</v>
      </c>
      <c r="M735" s="433" t="s">
        <v>2730</v>
      </c>
      <c r="N735" s="433" t="s">
        <v>2916</v>
      </c>
      <c r="O735" s="433" t="s">
        <v>3545</v>
      </c>
      <c r="P735" s="433" t="s">
        <v>4230</v>
      </c>
      <c r="Q735" s="431"/>
      <c r="R735" s="431"/>
      <c r="S735" s="426" t="s">
        <v>2669</v>
      </c>
      <c r="T735" s="426" t="s">
        <v>2844</v>
      </c>
      <c r="U735" s="426" t="s">
        <v>2844</v>
      </c>
      <c r="V735" s="426" t="s">
        <v>2844</v>
      </c>
      <c r="W735" s="426" t="s">
        <v>3268</v>
      </c>
      <c r="X735" s="426" t="s">
        <v>3428</v>
      </c>
      <c r="Y735" s="426" t="s">
        <v>2728</v>
      </c>
      <c r="Z735" s="426" t="s">
        <v>3298</v>
      </c>
      <c r="AA735" s="426" t="s">
        <v>2646</v>
      </c>
      <c r="AB735" s="426" t="s">
        <v>2646</v>
      </c>
      <c r="AC735" s="426" t="s">
        <v>2646</v>
      </c>
      <c r="AD735" s="426" t="s">
        <v>2646</v>
      </c>
      <c r="AE735" s="426" t="s">
        <v>2646</v>
      </c>
      <c r="AF735" s="426" t="s">
        <v>2646</v>
      </c>
      <c r="AG735" s="426" t="s">
        <v>2646</v>
      </c>
      <c r="AH735" s="426" t="s">
        <v>2646</v>
      </c>
      <c r="AI735" s="426" t="s">
        <v>2646</v>
      </c>
      <c r="AJ735" s="68" t="s">
        <v>2646</v>
      </c>
    </row>
    <row r="736" spans="1:36" hidden="1">
      <c r="A736" s="68" t="s">
        <v>2005</v>
      </c>
      <c r="B736" s="427" t="s">
        <v>2650</v>
      </c>
      <c r="C736" s="433" t="s">
        <v>3862</v>
      </c>
      <c r="D736" s="433" t="s">
        <v>3686</v>
      </c>
      <c r="E736" s="433" t="s">
        <v>3305</v>
      </c>
      <c r="F736" s="433" t="s">
        <v>2771</v>
      </c>
      <c r="G736" s="433" t="s">
        <v>3094</v>
      </c>
      <c r="H736" s="433" t="s">
        <v>3321</v>
      </c>
      <c r="I736" s="433" t="s">
        <v>3018</v>
      </c>
      <c r="J736" s="433" t="s">
        <v>2729</v>
      </c>
      <c r="K736" s="433" t="s">
        <v>2943</v>
      </c>
      <c r="L736" s="433" t="s">
        <v>2745</v>
      </c>
      <c r="M736" s="433" t="s">
        <v>2772</v>
      </c>
      <c r="N736" s="433" t="s">
        <v>2848</v>
      </c>
      <c r="O736" s="433" t="s">
        <v>3950</v>
      </c>
      <c r="P736" s="433" t="s">
        <v>4315</v>
      </c>
      <c r="Q736" s="431"/>
      <c r="R736" s="431"/>
      <c r="S736" s="426" t="s">
        <v>2655</v>
      </c>
      <c r="T736" s="426" t="s">
        <v>2657</v>
      </c>
      <c r="U736" s="426" t="s">
        <v>2844</v>
      </c>
      <c r="V736" s="426" t="s">
        <v>2844</v>
      </c>
      <c r="W736" s="426" t="s">
        <v>3268</v>
      </c>
      <c r="X736" s="426" t="s">
        <v>3428</v>
      </c>
      <c r="Y736" s="426" t="s">
        <v>2728</v>
      </c>
      <c r="Z736" s="426" t="s">
        <v>3298</v>
      </c>
      <c r="AA736" s="426" t="s">
        <v>3510</v>
      </c>
      <c r="AB736" s="426" t="s">
        <v>2646</v>
      </c>
      <c r="AC736" s="426" t="s">
        <v>2646</v>
      </c>
      <c r="AD736" s="426" t="s">
        <v>2646</v>
      </c>
      <c r="AE736" s="426" t="s">
        <v>2646</v>
      </c>
      <c r="AF736" s="426" t="s">
        <v>2646</v>
      </c>
      <c r="AG736" s="426" t="s">
        <v>2646</v>
      </c>
      <c r="AH736" s="426" t="s">
        <v>2646</v>
      </c>
      <c r="AI736" s="426" t="s">
        <v>2646</v>
      </c>
      <c r="AJ736" s="68" t="s">
        <v>2646</v>
      </c>
    </row>
    <row r="737" spans="1:36" hidden="1">
      <c r="A737" s="68" t="s">
        <v>2006</v>
      </c>
      <c r="B737" s="427" t="s">
        <v>2651</v>
      </c>
      <c r="C737" s="433" t="s">
        <v>2653</v>
      </c>
      <c r="D737" s="433" t="s">
        <v>3364</v>
      </c>
      <c r="E737" s="433" t="s">
        <v>3798</v>
      </c>
      <c r="F737" s="433" t="s">
        <v>3305</v>
      </c>
      <c r="G737" s="433" t="s">
        <v>3185</v>
      </c>
      <c r="H737" s="433" t="s">
        <v>3010</v>
      </c>
      <c r="I737" s="433" t="s">
        <v>2863</v>
      </c>
      <c r="J737" s="433" t="s">
        <v>2858</v>
      </c>
      <c r="K737" s="433" t="s">
        <v>3233</v>
      </c>
      <c r="L737" s="433" t="s">
        <v>2729</v>
      </c>
      <c r="M737" s="433" t="s">
        <v>3248</v>
      </c>
      <c r="N737" s="433" t="s">
        <v>3072</v>
      </c>
      <c r="O737" s="433" t="s">
        <v>4417</v>
      </c>
      <c r="P737" s="433" t="s">
        <v>4418</v>
      </c>
      <c r="Q737" s="431"/>
      <c r="R737" s="431"/>
      <c r="S737" s="426" t="s">
        <v>2655</v>
      </c>
      <c r="T737" s="426" t="s">
        <v>2657</v>
      </c>
      <c r="U737" s="426" t="s">
        <v>2657</v>
      </c>
      <c r="V737" s="426" t="s">
        <v>2657</v>
      </c>
      <c r="W737" s="426" t="s">
        <v>3268</v>
      </c>
      <c r="X737" s="426" t="s">
        <v>3428</v>
      </c>
      <c r="Y737" s="426" t="s">
        <v>2728</v>
      </c>
      <c r="Z737" s="426" t="s">
        <v>3298</v>
      </c>
      <c r="AA737" s="426" t="s">
        <v>2646</v>
      </c>
      <c r="AB737" s="426" t="s">
        <v>2646</v>
      </c>
      <c r="AC737" s="426" t="s">
        <v>2646</v>
      </c>
      <c r="AD737" s="426" t="s">
        <v>2646</v>
      </c>
      <c r="AE737" s="426" t="s">
        <v>2646</v>
      </c>
      <c r="AF737" s="426" t="s">
        <v>2646</v>
      </c>
      <c r="AG737" s="426" t="s">
        <v>2646</v>
      </c>
      <c r="AH737" s="426" t="s">
        <v>2646</v>
      </c>
      <c r="AI737" s="426" t="s">
        <v>2646</v>
      </c>
      <c r="AJ737" s="68" t="s">
        <v>2646</v>
      </c>
    </row>
    <row r="738" spans="1:36">
      <c r="A738" s="68" t="s">
        <v>2006</v>
      </c>
      <c r="B738" s="427" t="s">
        <v>48</v>
      </c>
      <c r="C738" s="433" t="s">
        <v>3917</v>
      </c>
      <c r="D738" s="433" t="s">
        <v>3856</v>
      </c>
      <c r="E738" s="433" t="s">
        <v>3164</v>
      </c>
      <c r="F738" s="433" t="s">
        <v>4015</v>
      </c>
      <c r="G738" s="433" t="s">
        <v>3991</v>
      </c>
      <c r="H738" s="433" t="s">
        <v>4419</v>
      </c>
      <c r="I738" s="433" t="s">
        <v>2842</v>
      </c>
      <c r="J738" s="433" t="s">
        <v>4420</v>
      </c>
      <c r="K738" s="433" t="s">
        <v>4421</v>
      </c>
      <c r="L738" s="433" t="s">
        <v>3811</v>
      </c>
      <c r="M738" s="433" t="s">
        <v>2694</v>
      </c>
      <c r="N738" s="433" t="s">
        <v>4422</v>
      </c>
      <c r="O738" s="433" t="s">
        <v>3992</v>
      </c>
      <c r="P738" s="433" t="s">
        <v>4423</v>
      </c>
      <c r="Q738" s="433" t="s">
        <v>2654</v>
      </c>
      <c r="R738" s="433" t="s">
        <v>2654</v>
      </c>
      <c r="S738" s="426"/>
      <c r="T738" s="426"/>
      <c r="U738" s="426"/>
      <c r="V738" s="426"/>
      <c r="W738" s="426"/>
      <c r="X738" s="426"/>
      <c r="Y738" s="426"/>
      <c r="Z738" s="426"/>
      <c r="AA738" s="426"/>
      <c r="AB738" s="426"/>
      <c r="AC738" s="426"/>
      <c r="AD738" s="426"/>
      <c r="AE738" s="426"/>
      <c r="AF738" s="426"/>
      <c r="AG738" s="426"/>
      <c r="AH738" s="426"/>
      <c r="AI738" s="426"/>
    </row>
    <row r="739" spans="1:36" hidden="1">
      <c r="A739" s="68" t="s">
        <v>2007</v>
      </c>
      <c r="B739" s="427" t="s">
        <v>2647</v>
      </c>
      <c r="C739" s="433" t="s">
        <v>3653</v>
      </c>
      <c r="D739" s="433" t="s">
        <v>3872</v>
      </c>
      <c r="E739" s="433" t="s">
        <v>2730</v>
      </c>
      <c r="F739" s="433" t="s">
        <v>2869</v>
      </c>
      <c r="G739" s="433" t="s">
        <v>2722</v>
      </c>
      <c r="H739" s="433" t="s">
        <v>2699</v>
      </c>
      <c r="I739" s="433" t="s">
        <v>2686</v>
      </c>
      <c r="J739" s="433" t="s">
        <v>2875</v>
      </c>
      <c r="K739" s="433" t="s">
        <v>2903</v>
      </c>
      <c r="L739" s="433" t="s">
        <v>2731</v>
      </c>
      <c r="M739" s="433" t="s">
        <v>2676</v>
      </c>
      <c r="N739" s="433" t="s">
        <v>2777</v>
      </c>
      <c r="O739" s="433" t="s">
        <v>3999</v>
      </c>
      <c r="P739" s="433" t="s">
        <v>4387</v>
      </c>
      <c r="Q739" s="431"/>
      <c r="R739" s="431"/>
      <c r="S739" s="426" t="s">
        <v>2658</v>
      </c>
      <c r="T739" s="426" t="s">
        <v>2657</v>
      </c>
      <c r="U739" s="426" t="s">
        <v>2796</v>
      </c>
      <c r="V739" s="426" t="s">
        <v>2844</v>
      </c>
      <c r="W739" s="426" t="s">
        <v>3268</v>
      </c>
      <c r="X739" s="426" t="s">
        <v>3435</v>
      </c>
      <c r="Y739" s="426" t="s">
        <v>2692</v>
      </c>
      <c r="Z739" s="426" t="s">
        <v>3412</v>
      </c>
      <c r="AA739" s="426" t="s">
        <v>3298</v>
      </c>
      <c r="AB739" s="426" t="s">
        <v>2646</v>
      </c>
      <c r="AC739" s="426" t="s">
        <v>2646</v>
      </c>
      <c r="AD739" s="426" t="s">
        <v>2646</v>
      </c>
      <c r="AE739" s="426" t="s">
        <v>2646</v>
      </c>
      <c r="AF739" s="426" t="s">
        <v>2646</v>
      </c>
      <c r="AG739" s="426" t="s">
        <v>2646</v>
      </c>
      <c r="AH739" s="426" t="s">
        <v>2646</v>
      </c>
      <c r="AI739" s="426" t="s">
        <v>2646</v>
      </c>
      <c r="AJ739" s="68" t="s">
        <v>2646</v>
      </c>
    </row>
    <row r="740" spans="1:36" hidden="1">
      <c r="A740" s="68" t="s">
        <v>2008</v>
      </c>
      <c r="B740" s="427" t="s">
        <v>2648</v>
      </c>
      <c r="C740" s="433" t="s">
        <v>4155</v>
      </c>
      <c r="D740" s="433" t="s">
        <v>3851</v>
      </c>
      <c r="E740" s="433" t="s">
        <v>2959</v>
      </c>
      <c r="F740" s="433" t="s">
        <v>2730</v>
      </c>
      <c r="G740" s="433" t="s">
        <v>3208</v>
      </c>
      <c r="H740" s="433" t="s">
        <v>2737</v>
      </c>
      <c r="I740" s="433" t="s">
        <v>3051</v>
      </c>
      <c r="J740" s="433" t="s">
        <v>3123</v>
      </c>
      <c r="K740" s="433" t="s">
        <v>2908</v>
      </c>
      <c r="L740" s="433" t="s">
        <v>2978</v>
      </c>
      <c r="M740" s="433" t="s">
        <v>2695</v>
      </c>
      <c r="N740" s="433" t="s">
        <v>2917</v>
      </c>
      <c r="O740" s="433" t="s">
        <v>4424</v>
      </c>
      <c r="P740" s="433" t="s">
        <v>4139</v>
      </c>
      <c r="Q740" s="431"/>
      <c r="R740" s="431"/>
      <c r="S740" s="426" t="s">
        <v>2778</v>
      </c>
      <c r="T740" s="426" t="s">
        <v>2844</v>
      </c>
      <c r="U740" s="426" t="s">
        <v>2844</v>
      </c>
      <c r="V740" s="426" t="s">
        <v>2844</v>
      </c>
      <c r="W740" s="426" t="s">
        <v>3268</v>
      </c>
      <c r="X740" s="426" t="s">
        <v>3435</v>
      </c>
      <c r="Y740" s="426" t="s">
        <v>2692</v>
      </c>
      <c r="Z740" s="426" t="s">
        <v>3412</v>
      </c>
      <c r="AA740" s="426" t="s">
        <v>3298</v>
      </c>
      <c r="AB740" s="426" t="s">
        <v>2852</v>
      </c>
      <c r="AC740" s="426" t="s">
        <v>2646</v>
      </c>
      <c r="AD740" s="426" t="s">
        <v>2646</v>
      </c>
      <c r="AE740" s="426" t="s">
        <v>2646</v>
      </c>
      <c r="AF740" s="426" t="s">
        <v>2646</v>
      </c>
      <c r="AG740" s="426" t="s">
        <v>2646</v>
      </c>
      <c r="AH740" s="426" t="s">
        <v>2646</v>
      </c>
      <c r="AI740" s="426" t="s">
        <v>2646</v>
      </c>
      <c r="AJ740" s="68" t="s">
        <v>2646</v>
      </c>
    </row>
    <row r="741" spans="1:36" hidden="1">
      <c r="A741" s="68" t="s">
        <v>2009</v>
      </c>
      <c r="B741" s="427" t="s">
        <v>2649</v>
      </c>
      <c r="C741" s="433" t="s">
        <v>3502</v>
      </c>
      <c r="D741" s="433" t="s">
        <v>3710</v>
      </c>
      <c r="E741" s="433" t="s">
        <v>3249</v>
      </c>
      <c r="F741" s="433" t="s">
        <v>2843</v>
      </c>
      <c r="G741" s="433" t="s">
        <v>2801</v>
      </c>
      <c r="H741" s="433" t="s">
        <v>2699</v>
      </c>
      <c r="I741" s="433" t="s">
        <v>2809</v>
      </c>
      <c r="J741" s="433" t="s">
        <v>2903</v>
      </c>
      <c r="K741" s="433" t="s">
        <v>3047</v>
      </c>
      <c r="L741" s="433" t="s">
        <v>2707</v>
      </c>
      <c r="M741" s="433" t="s">
        <v>2676</v>
      </c>
      <c r="N741" s="433" t="s">
        <v>2849</v>
      </c>
      <c r="O741" s="433" t="s">
        <v>4425</v>
      </c>
      <c r="P741" s="433" t="s">
        <v>4426</v>
      </c>
      <c r="Q741" s="431"/>
      <c r="R741" s="431"/>
      <c r="S741" s="426" t="s">
        <v>2768</v>
      </c>
      <c r="T741" s="426" t="s">
        <v>2844</v>
      </c>
      <c r="U741" s="426" t="s">
        <v>3187</v>
      </c>
      <c r="V741" s="426" t="s">
        <v>2844</v>
      </c>
      <c r="W741" s="426" t="s">
        <v>3505</v>
      </c>
      <c r="X741" s="426" t="s">
        <v>3435</v>
      </c>
      <c r="Y741" s="426" t="s">
        <v>3515</v>
      </c>
      <c r="Z741" s="426" t="s">
        <v>3412</v>
      </c>
      <c r="AA741" s="426" t="s">
        <v>3298</v>
      </c>
      <c r="AB741" s="426" t="s">
        <v>2646</v>
      </c>
      <c r="AC741" s="426" t="s">
        <v>2646</v>
      </c>
      <c r="AD741" s="426" t="s">
        <v>2646</v>
      </c>
      <c r="AE741" s="426" t="s">
        <v>2646</v>
      </c>
      <c r="AF741" s="426" t="s">
        <v>2646</v>
      </c>
      <c r="AG741" s="426" t="s">
        <v>2646</v>
      </c>
      <c r="AH741" s="426" t="s">
        <v>2646</v>
      </c>
      <c r="AI741" s="426" t="s">
        <v>2646</v>
      </c>
      <c r="AJ741" s="68" t="s">
        <v>2646</v>
      </c>
    </row>
    <row r="742" spans="1:36" hidden="1">
      <c r="A742" s="68" t="s">
        <v>2010</v>
      </c>
      <c r="B742" s="427" t="s">
        <v>2650</v>
      </c>
      <c r="C742" s="433" t="s">
        <v>3217</v>
      </c>
      <c r="D742" s="433" t="s">
        <v>3851</v>
      </c>
      <c r="E742" s="433" t="s">
        <v>3160</v>
      </c>
      <c r="F742" s="433" t="s">
        <v>2765</v>
      </c>
      <c r="G742" s="433" t="s">
        <v>3044</v>
      </c>
      <c r="H742" s="433" t="s">
        <v>3258</v>
      </c>
      <c r="I742" s="433" t="s">
        <v>3237</v>
      </c>
      <c r="J742" s="433" t="s">
        <v>3045</v>
      </c>
      <c r="K742" s="433" t="s">
        <v>2916</v>
      </c>
      <c r="L742" s="433" t="s">
        <v>2966</v>
      </c>
      <c r="M742" s="433" t="s">
        <v>2722</v>
      </c>
      <c r="N742" s="433" t="s">
        <v>2908</v>
      </c>
      <c r="O742" s="433" t="s">
        <v>4427</v>
      </c>
      <c r="P742" s="433" t="s">
        <v>4415</v>
      </c>
      <c r="Q742" s="431"/>
      <c r="R742" s="431"/>
      <c r="S742" s="426" t="s">
        <v>2660</v>
      </c>
      <c r="T742" s="426" t="s">
        <v>2844</v>
      </c>
      <c r="U742" s="426" t="s">
        <v>2844</v>
      </c>
      <c r="V742" s="426" t="s">
        <v>2844</v>
      </c>
      <c r="W742" s="426" t="s">
        <v>3268</v>
      </c>
      <c r="X742" s="426" t="s">
        <v>3435</v>
      </c>
      <c r="Y742" s="426" t="s">
        <v>2692</v>
      </c>
      <c r="Z742" s="426" t="s">
        <v>3412</v>
      </c>
      <c r="AA742" s="426" t="s">
        <v>3298</v>
      </c>
      <c r="AB742" s="426" t="s">
        <v>2646</v>
      </c>
      <c r="AC742" s="426" t="s">
        <v>2646</v>
      </c>
      <c r="AD742" s="426" t="s">
        <v>2646</v>
      </c>
      <c r="AE742" s="426" t="s">
        <v>2646</v>
      </c>
      <c r="AF742" s="426" t="s">
        <v>2646</v>
      </c>
      <c r="AG742" s="426" t="s">
        <v>2646</v>
      </c>
      <c r="AH742" s="426" t="s">
        <v>2646</v>
      </c>
      <c r="AI742" s="426" t="s">
        <v>2646</v>
      </c>
      <c r="AJ742" s="68" t="s">
        <v>2646</v>
      </c>
    </row>
    <row r="743" spans="1:36" hidden="1">
      <c r="A743" s="68" t="s">
        <v>2011</v>
      </c>
      <c r="B743" s="427" t="s">
        <v>2651</v>
      </c>
      <c r="C743" s="433" t="s">
        <v>4359</v>
      </c>
      <c r="D743" s="433" t="s">
        <v>3710</v>
      </c>
      <c r="E743" s="433" t="s">
        <v>2745</v>
      </c>
      <c r="F743" s="433" t="s">
        <v>3249</v>
      </c>
      <c r="G743" s="433" t="s">
        <v>2927</v>
      </c>
      <c r="H743" s="433" t="s">
        <v>2954</v>
      </c>
      <c r="I743" s="433" t="s">
        <v>2766</v>
      </c>
      <c r="J743" s="433" t="s">
        <v>2761</v>
      </c>
      <c r="K743" s="433" t="s">
        <v>3047</v>
      </c>
      <c r="L743" s="433" t="s">
        <v>2907</v>
      </c>
      <c r="M743" s="433" t="s">
        <v>2777</v>
      </c>
      <c r="N743" s="433" t="s">
        <v>2754</v>
      </c>
      <c r="O743" s="433" t="s">
        <v>4428</v>
      </c>
      <c r="P743" s="433" t="s">
        <v>4429</v>
      </c>
      <c r="Q743" s="431"/>
      <c r="R743" s="431"/>
      <c r="S743" s="426" t="s">
        <v>2768</v>
      </c>
      <c r="T743" s="426" t="s">
        <v>2657</v>
      </c>
      <c r="U743" s="426" t="s">
        <v>2844</v>
      </c>
      <c r="V743" s="426" t="s">
        <v>2844</v>
      </c>
      <c r="W743" s="426" t="s">
        <v>3268</v>
      </c>
      <c r="X743" s="426" t="s">
        <v>3435</v>
      </c>
      <c r="Y743" s="426" t="s">
        <v>2692</v>
      </c>
      <c r="Z743" s="426" t="s">
        <v>3412</v>
      </c>
      <c r="AA743" s="426" t="s">
        <v>3298</v>
      </c>
      <c r="AB743" s="426" t="s">
        <v>2646</v>
      </c>
      <c r="AC743" s="426" t="s">
        <v>2646</v>
      </c>
      <c r="AD743" s="426" t="s">
        <v>2646</v>
      </c>
      <c r="AE743" s="426" t="s">
        <v>2646</v>
      </c>
      <c r="AF743" s="426" t="s">
        <v>2646</v>
      </c>
      <c r="AG743" s="426" t="s">
        <v>2646</v>
      </c>
      <c r="AH743" s="426" t="s">
        <v>2646</v>
      </c>
      <c r="AI743" s="426" t="s">
        <v>2646</v>
      </c>
      <c r="AJ743" s="68" t="s">
        <v>2646</v>
      </c>
    </row>
    <row r="744" spans="1:36">
      <c r="A744" s="68" t="s">
        <v>2011</v>
      </c>
      <c r="B744" s="427" t="s">
        <v>48</v>
      </c>
      <c r="C744" s="433" t="s">
        <v>4430</v>
      </c>
      <c r="D744" s="433" t="s">
        <v>3987</v>
      </c>
      <c r="E744" s="433" t="s">
        <v>4431</v>
      </c>
      <c r="F744" s="433" t="s">
        <v>4432</v>
      </c>
      <c r="G744" s="433" t="s">
        <v>4433</v>
      </c>
      <c r="H744" s="433" t="s">
        <v>3882</v>
      </c>
      <c r="I744" s="433" t="s">
        <v>3845</v>
      </c>
      <c r="J744" s="433" t="s">
        <v>4434</v>
      </c>
      <c r="K744" s="433" t="s">
        <v>2753</v>
      </c>
      <c r="L744" s="433" t="s">
        <v>4003</v>
      </c>
      <c r="M744" s="433" t="s">
        <v>4042</v>
      </c>
      <c r="N744" s="433" t="s">
        <v>3716</v>
      </c>
      <c r="O744" s="433" t="s">
        <v>4021</v>
      </c>
      <c r="P744" s="433" t="s">
        <v>3780</v>
      </c>
      <c r="Q744" s="433" t="s">
        <v>2654</v>
      </c>
      <c r="R744" s="433" t="s">
        <v>2654</v>
      </c>
      <c r="S744" s="426"/>
      <c r="T744" s="426"/>
      <c r="U744" s="426"/>
      <c r="V744" s="426"/>
      <c r="W744" s="426"/>
      <c r="X744" s="426"/>
      <c r="Y744" s="426"/>
      <c r="Z744" s="426"/>
      <c r="AA744" s="426"/>
      <c r="AB744" s="426"/>
      <c r="AC744" s="426"/>
      <c r="AD744" s="426"/>
      <c r="AE744" s="426"/>
      <c r="AF744" s="426"/>
      <c r="AG744" s="426"/>
      <c r="AH744" s="426"/>
      <c r="AI744" s="426"/>
    </row>
    <row r="745" spans="1:36" hidden="1">
      <c r="A745" s="68" t="s">
        <v>2012</v>
      </c>
      <c r="B745" s="427" t="s">
        <v>2647</v>
      </c>
      <c r="C745" s="433" t="s">
        <v>3470</v>
      </c>
      <c r="D745" s="433" t="s">
        <v>3364</v>
      </c>
      <c r="E745" s="433" t="s">
        <v>2723</v>
      </c>
      <c r="F745" s="433" t="s">
        <v>2674</v>
      </c>
      <c r="G745" s="433" t="s">
        <v>2899</v>
      </c>
      <c r="H745" s="433" t="s">
        <v>2807</v>
      </c>
      <c r="I745" s="433" t="s">
        <v>2732</v>
      </c>
      <c r="J745" s="433" t="s">
        <v>2732</v>
      </c>
      <c r="K745" s="433" t="s">
        <v>2708</v>
      </c>
      <c r="L745" s="433" t="s">
        <v>2656</v>
      </c>
      <c r="M745" s="433" t="s">
        <v>2656</v>
      </c>
      <c r="N745" s="433" t="s">
        <v>2680</v>
      </c>
      <c r="O745" s="433" t="s">
        <v>3526</v>
      </c>
      <c r="P745" s="433" t="s">
        <v>4107</v>
      </c>
      <c r="Q745" s="431"/>
      <c r="R745" s="431"/>
      <c r="S745" s="426" t="s">
        <v>2673</v>
      </c>
      <c r="T745" s="426" t="s">
        <v>2844</v>
      </c>
      <c r="U745" s="426" t="s">
        <v>2844</v>
      </c>
      <c r="V745" s="426" t="s">
        <v>2844</v>
      </c>
      <c r="W745" s="426" t="s">
        <v>3268</v>
      </c>
      <c r="X745" s="426" t="s">
        <v>3442</v>
      </c>
      <c r="Y745" s="426" t="s">
        <v>2727</v>
      </c>
      <c r="Z745" s="426" t="s">
        <v>3412</v>
      </c>
      <c r="AA745" s="426" t="s">
        <v>3298</v>
      </c>
      <c r="AB745" s="426" t="s">
        <v>3517</v>
      </c>
      <c r="AC745" s="426" t="s">
        <v>2950</v>
      </c>
      <c r="AD745" s="426" t="s">
        <v>2646</v>
      </c>
      <c r="AE745" s="426" t="s">
        <v>2646</v>
      </c>
      <c r="AF745" s="426" t="s">
        <v>2646</v>
      </c>
      <c r="AG745" s="426" t="s">
        <v>2646</v>
      </c>
      <c r="AH745" s="426" t="s">
        <v>2646</v>
      </c>
      <c r="AI745" s="426" t="s">
        <v>2646</v>
      </c>
      <c r="AJ745" s="68" t="s">
        <v>2646</v>
      </c>
    </row>
    <row r="746" spans="1:36" hidden="1">
      <c r="A746" s="68" t="s">
        <v>2013</v>
      </c>
      <c r="B746" s="427" t="s">
        <v>2648</v>
      </c>
      <c r="C746" s="433" t="s">
        <v>4050</v>
      </c>
      <c r="D746" s="433" t="s">
        <v>3851</v>
      </c>
      <c r="E746" s="433" t="s">
        <v>2754</v>
      </c>
      <c r="F746" s="433" t="s">
        <v>2738</v>
      </c>
      <c r="G746" s="433" t="s">
        <v>2773</v>
      </c>
      <c r="H746" s="433" t="s">
        <v>2899</v>
      </c>
      <c r="I746" s="433" t="s">
        <v>2807</v>
      </c>
      <c r="J746" s="433" t="s">
        <v>2746</v>
      </c>
      <c r="K746" s="433" t="s">
        <v>2791</v>
      </c>
      <c r="L746" s="433" t="s">
        <v>2732</v>
      </c>
      <c r="M746" s="433" t="s">
        <v>2732</v>
      </c>
      <c r="N746" s="433" t="s">
        <v>2732</v>
      </c>
      <c r="O746" s="433" t="s">
        <v>3952</v>
      </c>
      <c r="P746" s="433" t="s">
        <v>4315</v>
      </c>
      <c r="Q746" s="431"/>
      <c r="R746" s="431"/>
      <c r="S746" s="426" t="s">
        <v>2655</v>
      </c>
      <c r="T746" s="426" t="s">
        <v>2657</v>
      </c>
      <c r="U746" s="426" t="s">
        <v>2844</v>
      </c>
      <c r="V746" s="426" t="s">
        <v>2844</v>
      </c>
      <c r="W746" s="426" t="s">
        <v>3268</v>
      </c>
      <c r="X746" s="426" t="s">
        <v>3442</v>
      </c>
      <c r="Y746" s="426" t="s">
        <v>2727</v>
      </c>
      <c r="Z746" s="426" t="s">
        <v>3412</v>
      </c>
      <c r="AA746" s="426" t="s">
        <v>3412</v>
      </c>
      <c r="AB746" s="426" t="s">
        <v>3517</v>
      </c>
      <c r="AC746" s="426" t="s">
        <v>2950</v>
      </c>
      <c r="AD746" s="426" t="s">
        <v>2646</v>
      </c>
      <c r="AE746" s="426" t="s">
        <v>2646</v>
      </c>
      <c r="AF746" s="426" t="s">
        <v>2646</v>
      </c>
      <c r="AG746" s="426" t="s">
        <v>2646</v>
      </c>
      <c r="AH746" s="426" t="s">
        <v>2646</v>
      </c>
      <c r="AI746" s="426" t="s">
        <v>2646</v>
      </c>
      <c r="AJ746" s="68" t="s">
        <v>2646</v>
      </c>
    </row>
    <row r="747" spans="1:36" hidden="1">
      <c r="A747" s="68" t="s">
        <v>2014</v>
      </c>
      <c r="B747" s="427" t="s">
        <v>2649</v>
      </c>
      <c r="C747" s="433" t="s">
        <v>3509</v>
      </c>
      <c r="D747" s="433" t="s">
        <v>3364</v>
      </c>
      <c r="E747" s="433" t="s">
        <v>2921</v>
      </c>
      <c r="F747" s="433" t="s">
        <v>3007</v>
      </c>
      <c r="G747" s="433" t="s">
        <v>2687</v>
      </c>
      <c r="H747" s="433" t="s">
        <v>2667</v>
      </c>
      <c r="I747" s="433" t="s">
        <v>2677</v>
      </c>
      <c r="J747" s="433" t="s">
        <v>2791</v>
      </c>
      <c r="K747" s="433" t="s">
        <v>2680</v>
      </c>
      <c r="L747" s="433" t="s">
        <v>2678</v>
      </c>
      <c r="M747" s="433" t="s">
        <v>2678</v>
      </c>
      <c r="N747" s="433" t="s">
        <v>2678</v>
      </c>
      <c r="O747" s="433" t="s">
        <v>4435</v>
      </c>
      <c r="P747" s="433" t="s">
        <v>4147</v>
      </c>
      <c r="Q747" s="431"/>
      <c r="R747" s="431"/>
      <c r="S747" s="426" t="s">
        <v>2768</v>
      </c>
      <c r="T747" s="426" t="s">
        <v>2844</v>
      </c>
      <c r="U747" s="426" t="s">
        <v>2664</v>
      </c>
      <c r="V747" s="426" t="s">
        <v>2844</v>
      </c>
      <c r="W747" s="426" t="s">
        <v>3268</v>
      </c>
      <c r="X747" s="426" t="s">
        <v>3442</v>
      </c>
      <c r="Y747" s="426" t="s">
        <v>2727</v>
      </c>
      <c r="Z747" s="426" t="s">
        <v>3412</v>
      </c>
      <c r="AA747" s="426" t="s">
        <v>3412</v>
      </c>
      <c r="AB747" s="426" t="s">
        <v>3392</v>
      </c>
      <c r="AC747" s="426" t="s">
        <v>3285</v>
      </c>
      <c r="AD747" s="426" t="s">
        <v>2646</v>
      </c>
      <c r="AE747" s="426" t="s">
        <v>2646</v>
      </c>
      <c r="AF747" s="426" t="s">
        <v>2646</v>
      </c>
      <c r="AG747" s="426" t="s">
        <v>2646</v>
      </c>
      <c r="AH747" s="426" t="s">
        <v>2646</v>
      </c>
      <c r="AI747" s="426" t="s">
        <v>2646</v>
      </c>
      <c r="AJ747" s="68" t="s">
        <v>2646</v>
      </c>
    </row>
    <row r="748" spans="1:36" hidden="1">
      <c r="A748" s="68" t="s">
        <v>2015</v>
      </c>
      <c r="B748" s="427" t="s">
        <v>2650</v>
      </c>
      <c r="C748" s="433" t="s">
        <v>3638</v>
      </c>
      <c r="D748" s="433" t="s">
        <v>3710</v>
      </c>
      <c r="E748" s="433" t="s">
        <v>2849</v>
      </c>
      <c r="F748" s="433" t="s">
        <v>2667</v>
      </c>
      <c r="G748" s="433" t="s">
        <v>2899</v>
      </c>
      <c r="H748" s="433" t="s">
        <v>2896</v>
      </c>
      <c r="I748" s="433" t="s">
        <v>2677</v>
      </c>
      <c r="J748" s="433" t="s">
        <v>2724</v>
      </c>
      <c r="K748" s="433" t="s">
        <v>2724</v>
      </c>
      <c r="L748" s="433" t="s">
        <v>2724</v>
      </c>
      <c r="M748" s="433" t="s">
        <v>2656</v>
      </c>
      <c r="N748" s="433" t="s">
        <v>2656</v>
      </c>
      <c r="O748" s="433" t="s">
        <v>3958</v>
      </c>
      <c r="P748" s="433" t="s">
        <v>4401</v>
      </c>
      <c r="Q748" s="431"/>
      <c r="R748" s="431"/>
      <c r="S748" s="426" t="s">
        <v>3339</v>
      </c>
      <c r="T748" s="426" t="s">
        <v>2657</v>
      </c>
      <c r="U748" s="426" t="s">
        <v>2844</v>
      </c>
      <c r="V748" s="426" t="s">
        <v>2844</v>
      </c>
      <c r="W748" s="426" t="s">
        <v>3268</v>
      </c>
      <c r="X748" s="426" t="s">
        <v>3442</v>
      </c>
      <c r="Y748" s="426" t="s">
        <v>2727</v>
      </c>
      <c r="Z748" s="426" t="s">
        <v>3412</v>
      </c>
      <c r="AA748" s="426" t="s">
        <v>3412</v>
      </c>
      <c r="AB748" s="426" t="s">
        <v>3517</v>
      </c>
      <c r="AC748" s="426" t="s">
        <v>2938</v>
      </c>
      <c r="AD748" s="426" t="s">
        <v>2646</v>
      </c>
      <c r="AE748" s="426" t="s">
        <v>2646</v>
      </c>
      <c r="AF748" s="426" t="s">
        <v>2646</v>
      </c>
      <c r="AG748" s="426" t="s">
        <v>2646</v>
      </c>
      <c r="AH748" s="426" t="s">
        <v>2646</v>
      </c>
      <c r="AI748" s="426" t="s">
        <v>2646</v>
      </c>
      <c r="AJ748" s="68" t="s">
        <v>2646</v>
      </c>
    </row>
    <row r="749" spans="1:36" hidden="1">
      <c r="A749" s="68" t="s">
        <v>2016</v>
      </c>
      <c r="B749" s="427" t="s">
        <v>2651</v>
      </c>
      <c r="C749" s="433" t="s">
        <v>4436</v>
      </c>
      <c r="D749" s="433" t="s">
        <v>3851</v>
      </c>
      <c r="E749" s="433" t="s">
        <v>3119</v>
      </c>
      <c r="F749" s="433" t="s">
        <v>2875</v>
      </c>
      <c r="G749" s="433" t="s">
        <v>2903</v>
      </c>
      <c r="H749" s="433" t="s">
        <v>2917</v>
      </c>
      <c r="I749" s="433" t="s">
        <v>2917</v>
      </c>
      <c r="J749" s="433" t="s">
        <v>2907</v>
      </c>
      <c r="K749" s="433" t="s">
        <v>2707</v>
      </c>
      <c r="L749" s="433" t="s">
        <v>2707</v>
      </c>
      <c r="M749" s="433" t="s">
        <v>2835</v>
      </c>
      <c r="N749" s="433" t="s">
        <v>2835</v>
      </c>
      <c r="O749" s="433" t="s">
        <v>2911</v>
      </c>
      <c r="P749" s="433" t="s">
        <v>4437</v>
      </c>
      <c r="Q749" s="431"/>
      <c r="R749" s="431"/>
      <c r="S749" s="426" t="s">
        <v>2778</v>
      </c>
      <c r="T749" s="426" t="s">
        <v>2657</v>
      </c>
      <c r="U749" s="426" t="s">
        <v>2796</v>
      </c>
      <c r="V749" s="426" t="s">
        <v>2844</v>
      </c>
      <c r="W749" s="426" t="s">
        <v>3268</v>
      </c>
      <c r="X749" s="426" t="s">
        <v>3442</v>
      </c>
      <c r="Y749" s="426" t="s">
        <v>2727</v>
      </c>
      <c r="Z749" s="426" t="s">
        <v>3412</v>
      </c>
      <c r="AA749" s="426" t="s">
        <v>3412</v>
      </c>
      <c r="AB749" s="426" t="s">
        <v>3298</v>
      </c>
      <c r="AC749" s="426" t="s">
        <v>3311</v>
      </c>
      <c r="AD749" s="426" t="s">
        <v>2646</v>
      </c>
      <c r="AE749" s="426" t="s">
        <v>2646</v>
      </c>
      <c r="AF749" s="426" t="s">
        <v>2646</v>
      </c>
      <c r="AG749" s="426" t="s">
        <v>2646</v>
      </c>
      <c r="AH749" s="426" t="s">
        <v>2646</v>
      </c>
      <c r="AI749" s="426" t="s">
        <v>2646</v>
      </c>
      <c r="AJ749" s="68" t="s">
        <v>2646</v>
      </c>
    </row>
    <row r="750" spans="1:36">
      <c r="A750" s="68" t="s">
        <v>2016</v>
      </c>
      <c r="B750" s="427" t="s">
        <v>48</v>
      </c>
      <c r="C750" s="433" t="s">
        <v>4438</v>
      </c>
      <c r="D750" s="433" t="s">
        <v>3710</v>
      </c>
      <c r="E750" s="433" t="s">
        <v>4254</v>
      </c>
      <c r="F750" s="433" t="s">
        <v>3384</v>
      </c>
      <c r="G750" s="433" t="s">
        <v>4439</v>
      </c>
      <c r="H750" s="433" t="s">
        <v>4285</v>
      </c>
      <c r="I750" s="433" t="s">
        <v>2825</v>
      </c>
      <c r="J750" s="433" t="s">
        <v>3935</v>
      </c>
      <c r="K750" s="433" t="s">
        <v>2864</v>
      </c>
      <c r="L750" s="433" t="s">
        <v>2993</v>
      </c>
      <c r="M750" s="433" t="s">
        <v>2746</v>
      </c>
      <c r="N750" s="433" t="s">
        <v>4024</v>
      </c>
      <c r="O750" s="433" t="s">
        <v>3855</v>
      </c>
      <c r="P750" s="433" t="s">
        <v>4440</v>
      </c>
      <c r="Q750" s="433" t="s">
        <v>2654</v>
      </c>
      <c r="R750" s="433" t="s">
        <v>2654</v>
      </c>
      <c r="S750" s="426"/>
      <c r="T750" s="426"/>
      <c r="U750" s="426"/>
      <c r="V750" s="426"/>
      <c r="W750" s="426"/>
      <c r="X750" s="426"/>
      <c r="Y750" s="426"/>
      <c r="Z750" s="426"/>
      <c r="AA750" s="426"/>
      <c r="AB750" s="426"/>
      <c r="AC750" s="426"/>
      <c r="AD750" s="426"/>
      <c r="AE750" s="426"/>
      <c r="AF750" s="426"/>
      <c r="AG750" s="426"/>
      <c r="AH750" s="426"/>
      <c r="AI750" s="426"/>
    </row>
    <row r="751" spans="1:36" hidden="1">
      <c r="A751" s="68" t="s">
        <v>2017</v>
      </c>
      <c r="B751" s="427" t="s">
        <v>2647</v>
      </c>
      <c r="C751" s="433" t="s">
        <v>3785</v>
      </c>
      <c r="D751" s="433" t="s">
        <v>3686</v>
      </c>
      <c r="E751" s="433" t="s">
        <v>2654</v>
      </c>
      <c r="F751" s="433" t="s">
        <v>2654</v>
      </c>
      <c r="G751" s="433" t="s">
        <v>2654</v>
      </c>
      <c r="H751" s="433" t="s">
        <v>2654</v>
      </c>
      <c r="I751" s="433" t="s">
        <v>2654</v>
      </c>
      <c r="J751" s="433" t="s">
        <v>2654</v>
      </c>
      <c r="K751" s="433" t="s">
        <v>2654</v>
      </c>
      <c r="L751" s="433" t="s">
        <v>2654</v>
      </c>
      <c r="M751" s="433" t="s">
        <v>2654</v>
      </c>
      <c r="N751" s="433" t="s">
        <v>2654</v>
      </c>
      <c r="O751" s="433" t="s">
        <v>2654</v>
      </c>
      <c r="P751" s="433" t="s">
        <v>4426</v>
      </c>
      <c r="Q751" s="431"/>
      <c r="R751" s="431"/>
      <c r="S751" s="426" t="s">
        <v>2669</v>
      </c>
      <c r="T751" s="426" t="s">
        <v>2844</v>
      </c>
      <c r="U751" s="426" t="s">
        <v>2844</v>
      </c>
      <c r="V751" s="426" t="s">
        <v>2844</v>
      </c>
      <c r="W751" s="426" t="s">
        <v>2844</v>
      </c>
      <c r="X751" s="426" t="s">
        <v>2758</v>
      </c>
      <c r="Y751" s="426" t="s">
        <v>2873</v>
      </c>
      <c r="Z751" s="426" t="s">
        <v>3412</v>
      </c>
      <c r="AA751" s="426" t="s">
        <v>3412</v>
      </c>
      <c r="AB751" s="426" t="s">
        <v>3517</v>
      </c>
      <c r="AC751" s="426" t="s">
        <v>3430</v>
      </c>
      <c r="AD751" s="426" t="s">
        <v>3152</v>
      </c>
      <c r="AE751" s="426" t="s">
        <v>2646</v>
      </c>
      <c r="AF751" s="426" t="s">
        <v>2646</v>
      </c>
      <c r="AG751" s="426" t="s">
        <v>2646</v>
      </c>
      <c r="AH751" s="426" t="s">
        <v>2646</v>
      </c>
      <c r="AI751" s="426" t="s">
        <v>2646</v>
      </c>
      <c r="AJ751" s="68" t="s">
        <v>2646</v>
      </c>
    </row>
    <row r="752" spans="1:36" hidden="1">
      <c r="A752" s="68" t="s">
        <v>2018</v>
      </c>
      <c r="B752" s="427" t="s">
        <v>2648</v>
      </c>
      <c r="C752" s="433" t="s">
        <v>2675</v>
      </c>
      <c r="D752" s="433" t="s">
        <v>3467</v>
      </c>
      <c r="E752" s="433" t="s">
        <v>2654</v>
      </c>
      <c r="F752" s="433" t="s">
        <v>2654</v>
      </c>
      <c r="G752" s="433" t="s">
        <v>2654</v>
      </c>
      <c r="H752" s="433" t="s">
        <v>2654</v>
      </c>
      <c r="I752" s="433" t="s">
        <v>2654</v>
      </c>
      <c r="J752" s="433" t="s">
        <v>2654</v>
      </c>
      <c r="K752" s="433" t="s">
        <v>2654</v>
      </c>
      <c r="L752" s="433" t="s">
        <v>2654</v>
      </c>
      <c r="M752" s="433" t="s">
        <v>2654</v>
      </c>
      <c r="N752" s="433" t="s">
        <v>2654</v>
      </c>
      <c r="O752" s="433" t="s">
        <v>2654</v>
      </c>
      <c r="P752" s="433" t="s">
        <v>4085</v>
      </c>
      <c r="Q752" s="431"/>
      <c r="R752" s="431"/>
      <c r="S752" s="426" t="s">
        <v>2655</v>
      </c>
      <c r="T752" s="426" t="s">
        <v>2657</v>
      </c>
      <c r="U752" s="426" t="s">
        <v>2664</v>
      </c>
      <c r="V752" s="426" t="s">
        <v>2844</v>
      </c>
      <c r="W752" s="426" t="s">
        <v>2844</v>
      </c>
      <c r="X752" s="426" t="s">
        <v>2758</v>
      </c>
      <c r="Y752" s="426" t="s">
        <v>2873</v>
      </c>
      <c r="Z752" s="426" t="s">
        <v>3412</v>
      </c>
      <c r="AA752" s="426" t="s">
        <v>3412</v>
      </c>
      <c r="AB752" s="426" t="s">
        <v>3392</v>
      </c>
      <c r="AC752" s="426" t="s">
        <v>3413</v>
      </c>
      <c r="AD752" s="426" t="s">
        <v>3022</v>
      </c>
      <c r="AE752" s="426" t="s">
        <v>2646</v>
      </c>
      <c r="AF752" s="426" t="s">
        <v>2646</v>
      </c>
      <c r="AG752" s="426" t="s">
        <v>2646</v>
      </c>
      <c r="AH752" s="426" t="s">
        <v>2646</v>
      </c>
      <c r="AI752" s="426" t="s">
        <v>2646</v>
      </c>
      <c r="AJ752" s="68" t="s">
        <v>2646</v>
      </c>
    </row>
    <row r="753" spans="1:36" hidden="1">
      <c r="A753" s="68" t="s">
        <v>2019</v>
      </c>
      <c r="B753" s="427" t="s">
        <v>2649</v>
      </c>
      <c r="C753" s="433" t="s">
        <v>4112</v>
      </c>
      <c r="D753" s="433" t="s">
        <v>3364</v>
      </c>
      <c r="E753" s="433" t="s">
        <v>2680</v>
      </c>
      <c r="F753" s="433" t="s">
        <v>2654</v>
      </c>
      <c r="G753" s="433" t="s">
        <v>2654</v>
      </c>
      <c r="H753" s="433" t="s">
        <v>2654</v>
      </c>
      <c r="I753" s="433" t="s">
        <v>2654</v>
      </c>
      <c r="J753" s="433" t="s">
        <v>2654</v>
      </c>
      <c r="K753" s="433" t="s">
        <v>2654</v>
      </c>
      <c r="L753" s="433" t="s">
        <v>2654</v>
      </c>
      <c r="M753" s="433" t="s">
        <v>2654</v>
      </c>
      <c r="N753" s="433" t="s">
        <v>2654</v>
      </c>
      <c r="O753" s="433" t="s">
        <v>2654</v>
      </c>
      <c r="P753" s="433" t="s">
        <v>4441</v>
      </c>
      <c r="Q753" s="431"/>
      <c r="R753" s="431"/>
      <c r="S753" s="426" t="s">
        <v>2673</v>
      </c>
      <c r="T753" s="426" t="s">
        <v>2657</v>
      </c>
      <c r="U753" s="426" t="s">
        <v>2844</v>
      </c>
      <c r="V753" s="426" t="s">
        <v>2844</v>
      </c>
      <c r="W753" s="426" t="s">
        <v>3220</v>
      </c>
      <c r="X753" s="426" t="s">
        <v>2873</v>
      </c>
      <c r="Y753" s="426" t="s">
        <v>3523</v>
      </c>
      <c r="Z753" s="426" t="s">
        <v>3412</v>
      </c>
      <c r="AA753" s="426" t="s">
        <v>3412</v>
      </c>
      <c r="AB753" s="426" t="s">
        <v>3517</v>
      </c>
      <c r="AC753" s="426" t="s">
        <v>3524</v>
      </c>
      <c r="AD753" s="426" t="s">
        <v>2646</v>
      </c>
      <c r="AE753" s="426" t="s">
        <v>2646</v>
      </c>
      <c r="AF753" s="426" t="s">
        <v>2646</v>
      </c>
      <c r="AG753" s="426" t="s">
        <v>2646</v>
      </c>
      <c r="AH753" s="426" t="s">
        <v>2646</v>
      </c>
      <c r="AI753" s="426" t="s">
        <v>2646</v>
      </c>
      <c r="AJ753" s="68" t="s">
        <v>2646</v>
      </c>
    </row>
    <row r="754" spans="1:36" hidden="1">
      <c r="A754" s="68" t="s">
        <v>2020</v>
      </c>
      <c r="B754" s="427" t="s">
        <v>2650</v>
      </c>
      <c r="C754" s="433" t="s">
        <v>4112</v>
      </c>
      <c r="D754" s="433" t="s">
        <v>3710</v>
      </c>
      <c r="E754" s="433" t="s">
        <v>2654</v>
      </c>
      <c r="F754" s="433" t="s">
        <v>2654</v>
      </c>
      <c r="G754" s="433" t="s">
        <v>2654</v>
      </c>
      <c r="H754" s="433" t="s">
        <v>2654</v>
      </c>
      <c r="I754" s="433" t="s">
        <v>2654</v>
      </c>
      <c r="J754" s="433" t="s">
        <v>2654</v>
      </c>
      <c r="K754" s="433" t="s">
        <v>2654</v>
      </c>
      <c r="L754" s="433" t="s">
        <v>2654</v>
      </c>
      <c r="M754" s="433" t="s">
        <v>2654</v>
      </c>
      <c r="N754" s="433" t="s">
        <v>2654</v>
      </c>
      <c r="O754" s="433" t="s">
        <v>2654</v>
      </c>
      <c r="P754" s="433" t="s">
        <v>4119</v>
      </c>
      <c r="Q754" s="431"/>
      <c r="R754" s="431"/>
      <c r="S754" s="426" t="s">
        <v>2657</v>
      </c>
      <c r="T754" s="426" t="s">
        <v>2657</v>
      </c>
      <c r="U754" s="426" t="s">
        <v>2844</v>
      </c>
      <c r="V754" s="426" t="s">
        <v>2844</v>
      </c>
      <c r="W754" s="426" t="s">
        <v>2844</v>
      </c>
      <c r="X754" s="426" t="s">
        <v>2758</v>
      </c>
      <c r="Y754" s="426" t="s">
        <v>2873</v>
      </c>
      <c r="Z754" s="426" t="s">
        <v>3412</v>
      </c>
      <c r="AA754" s="426" t="s">
        <v>3412</v>
      </c>
      <c r="AB754" s="426" t="s">
        <v>3517</v>
      </c>
      <c r="AC754" s="426" t="s">
        <v>3291</v>
      </c>
      <c r="AD754" s="426" t="s">
        <v>2828</v>
      </c>
      <c r="AE754" s="426" t="s">
        <v>2646</v>
      </c>
      <c r="AF754" s="426" t="s">
        <v>2646</v>
      </c>
      <c r="AG754" s="426" t="s">
        <v>2646</v>
      </c>
      <c r="AH754" s="426" t="s">
        <v>2646</v>
      </c>
      <c r="AI754" s="426" t="s">
        <v>2646</v>
      </c>
      <c r="AJ754" s="68" t="s">
        <v>2646</v>
      </c>
    </row>
    <row r="755" spans="1:36" hidden="1">
      <c r="A755" s="68" t="s">
        <v>2021</v>
      </c>
      <c r="B755" s="427" t="s">
        <v>2651</v>
      </c>
      <c r="C755" s="433" t="s">
        <v>3495</v>
      </c>
      <c r="D755" s="433" t="s">
        <v>3364</v>
      </c>
      <c r="E755" s="433" t="s">
        <v>2654</v>
      </c>
      <c r="F755" s="433" t="s">
        <v>2654</v>
      </c>
      <c r="G755" s="433" t="s">
        <v>2654</v>
      </c>
      <c r="H755" s="433" t="s">
        <v>2654</v>
      </c>
      <c r="I755" s="433" t="s">
        <v>2654</v>
      </c>
      <c r="J755" s="433" t="s">
        <v>2654</v>
      </c>
      <c r="K755" s="433" t="s">
        <v>2654</v>
      </c>
      <c r="L755" s="433" t="s">
        <v>2654</v>
      </c>
      <c r="M755" s="433" t="s">
        <v>2654</v>
      </c>
      <c r="N755" s="433" t="s">
        <v>2654</v>
      </c>
      <c r="O755" s="433" t="s">
        <v>2654</v>
      </c>
      <c r="P755" s="433" t="s">
        <v>4107</v>
      </c>
      <c r="Q755" s="431"/>
      <c r="R755" s="431"/>
      <c r="S755" s="426" t="s">
        <v>2657</v>
      </c>
      <c r="T755" s="426" t="s">
        <v>2657</v>
      </c>
      <c r="U755" s="426" t="s">
        <v>2796</v>
      </c>
      <c r="V755" s="426" t="s">
        <v>2844</v>
      </c>
      <c r="W755" s="426" t="s">
        <v>2844</v>
      </c>
      <c r="X755" s="426" t="s">
        <v>2758</v>
      </c>
      <c r="Y755" s="426" t="s">
        <v>2873</v>
      </c>
      <c r="Z755" s="426" t="s">
        <v>3412</v>
      </c>
      <c r="AA755" s="426" t="s">
        <v>3298</v>
      </c>
      <c r="AB755" s="426" t="s">
        <v>3517</v>
      </c>
      <c r="AC755" s="426" t="s">
        <v>3207</v>
      </c>
      <c r="AD755" s="426" t="s">
        <v>2646</v>
      </c>
      <c r="AE755" s="426" t="s">
        <v>2646</v>
      </c>
      <c r="AF755" s="426" t="s">
        <v>2646</v>
      </c>
      <c r="AG755" s="426" t="s">
        <v>2646</v>
      </c>
      <c r="AH755" s="426" t="s">
        <v>2646</v>
      </c>
      <c r="AI755" s="426" t="s">
        <v>2646</v>
      </c>
      <c r="AJ755" s="68" t="s">
        <v>2646</v>
      </c>
    </row>
    <row r="756" spans="1:36">
      <c r="A756" s="68" t="s">
        <v>2021</v>
      </c>
      <c r="B756" s="427" t="s">
        <v>48</v>
      </c>
      <c r="C756" s="433" t="s">
        <v>4442</v>
      </c>
      <c r="D756" s="433" t="s">
        <v>3963</v>
      </c>
      <c r="E756" s="433" t="s">
        <v>2683</v>
      </c>
      <c r="F756" s="433" t="s">
        <v>2654</v>
      </c>
      <c r="G756" s="433" t="s">
        <v>2654</v>
      </c>
      <c r="H756" s="433" t="s">
        <v>2654</v>
      </c>
      <c r="I756" s="433" t="s">
        <v>2654</v>
      </c>
      <c r="J756" s="433" t="s">
        <v>2654</v>
      </c>
      <c r="K756" s="433" t="s">
        <v>2654</v>
      </c>
      <c r="L756" s="433" t="s">
        <v>2654</v>
      </c>
      <c r="M756" s="433" t="s">
        <v>2654</v>
      </c>
      <c r="N756" s="433" t="s">
        <v>2654</v>
      </c>
      <c r="O756" s="433" t="s">
        <v>2654</v>
      </c>
      <c r="P756" s="433" t="s">
        <v>3808</v>
      </c>
      <c r="Q756" s="433" t="s">
        <v>2654</v>
      </c>
      <c r="R756" s="433" t="s">
        <v>2654</v>
      </c>
      <c r="S756" s="426"/>
      <c r="T756" s="426"/>
      <c r="U756" s="426"/>
      <c r="V756" s="426"/>
      <c r="W756" s="426"/>
      <c r="X756" s="426"/>
      <c r="Y756" s="426"/>
      <c r="Z756" s="426"/>
      <c r="AA756" s="426"/>
      <c r="AB756" s="426"/>
      <c r="AC756" s="426"/>
      <c r="AD756" s="426"/>
      <c r="AE756" s="426"/>
      <c r="AF756" s="426"/>
      <c r="AG756" s="426"/>
      <c r="AH756" s="426"/>
      <c r="AI756" s="426"/>
    </row>
    <row r="757" spans="1:36" hidden="1">
      <c r="A757" s="68" t="s">
        <v>2022</v>
      </c>
      <c r="B757" s="427" t="s">
        <v>2647</v>
      </c>
      <c r="C757" s="433" t="s">
        <v>3810</v>
      </c>
      <c r="D757" s="433" t="s">
        <v>3364</v>
      </c>
      <c r="E757" s="433" t="s">
        <v>3159</v>
      </c>
      <c r="F757" s="433" t="s">
        <v>3405</v>
      </c>
      <c r="G757" s="433" t="s">
        <v>3513</v>
      </c>
      <c r="H757" s="433" t="s">
        <v>3178</v>
      </c>
      <c r="I757" s="433" t="s">
        <v>2863</v>
      </c>
      <c r="J757" s="433" t="s">
        <v>3050</v>
      </c>
      <c r="K757" s="433" t="s">
        <v>2783</v>
      </c>
      <c r="L757" s="433" t="s">
        <v>3037</v>
      </c>
      <c r="M757" s="433" t="s">
        <v>2833</v>
      </c>
      <c r="N757" s="433" t="s">
        <v>3306</v>
      </c>
      <c r="O757" s="433" t="s">
        <v>3185</v>
      </c>
      <c r="P757" s="433" t="s">
        <v>4147</v>
      </c>
      <c r="Q757" s="431"/>
      <c r="R757" s="431"/>
      <c r="S757" s="426" t="s">
        <v>2669</v>
      </c>
      <c r="T757" s="426" t="s">
        <v>2657</v>
      </c>
      <c r="U757" s="426" t="s">
        <v>2657</v>
      </c>
      <c r="V757" s="426" t="s">
        <v>2657</v>
      </c>
      <c r="W757" s="426" t="s">
        <v>3339</v>
      </c>
      <c r="X757" s="426" t="s">
        <v>3507</v>
      </c>
      <c r="Y757" s="426" t="s">
        <v>3525</v>
      </c>
      <c r="Z757" s="426" t="s">
        <v>2646</v>
      </c>
      <c r="AA757" s="426" t="s">
        <v>2646</v>
      </c>
      <c r="AB757" s="426" t="s">
        <v>2646</v>
      </c>
      <c r="AC757" s="426" t="s">
        <v>2646</v>
      </c>
      <c r="AD757" s="426" t="s">
        <v>2646</v>
      </c>
      <c r="AE757" s="426" t="s">
        <v>2646</v>
      </c>
      <c r="AF757" s="426" t="s">
        <v>2646</v>
      </c>
      <c r="AG757" s="426" t="s">
        <v>2646</v>
      </c>
      <c r="AH757" s="426" t="s">
        <v>2646</v>
      </c>
      <c r="AI757" s="426" t="s">
        <v>2646</v>
      </c>
      <c r="AJ757" s="68" t="s">
        <v>2646</v>
      </c>
    </row>
    <row r="758" spans="1:36" hidden="1">
      <c r="A758" s="68" t="s">
        <v>2023</v>
      </c>
      <c r="B758" s="427" t="s">
        <v>2648</v>
      </c>
      <c r="C758" s="433" t="s">
        <v>3743</v>
      </c>
      <c r="D758" s="433" t="s">
        <v>3364</v>
      </c>
      <c r="E758" s="433" t="s">
        <v>3164</v>
      </c>
      <c r="F758" s="433" t="s">
        <v>3424</v>
      </c>
      <c r="G758" s="433" t="s">
        <v>3769</v>
      </c>
      <c r="H758" s="433" t="s">
        <v>3513</v>
      </c>
      <c r="I758" s="433" t="s">
        <v>3254</v>
      </c>
      <c r="J758" s="433" t="s">
        <v>2771</v>
      </c>
      <c r="K758" s="433" t="s">
        <v>3168</v>
      </c>
      <c r="L758" s="433" t="s">
        <v>3253</v>
      </c>
      <c r="M758" s="433" t="s">
        <v>2858</v>
      </c>
      <c r="N758" s="433" t="s">
        <v>2913</v>
      </c>
      <c r="O758" s="433" t="s">
        <v>4443</v>
      </c>
      <c r="P758" s="433" t="s">
        <v>4147</v>
      </c>
      <c r="Q758" s="431"/>
      <c r="R758" s="431"/>
      <c r="S758" s="426" t="s">
        <v>2655</v>
      </c>
      <c r="T758" s="426" t="s">
        <v>2657</v>
      </c>
      <c r="U758" s="426" t="s">
        <v>2844</v>
      </c>
      <c r="V758" s="426" t="s">
        <v>2657</v>
      </c>
      <c r="W758" s="426" t="s">
        <v>3339</v>
      </c>
      <c r="X758" s="426" t="s">
        <v>3507</v>
      </c>
      <c r="Y758" s="426" t="s">
        <v>3525</v>
      </c>
      <c r="Z758" s="426" t="s">
        <v>2646</v>
      </c>
      <c r="AA758" s="426" t="s">
        <v>2646</v>
      </c>
      <c r="AB758" s="426" t="s">
        <v>2646</v>
      </c>
      <c r="AC758" s="426" t="s">
        <v>2646</v>
      </c>
      <c r="AD758" s="426" t="s">
        <v>2646</v>
      </c>
      <c r="AE758" s="426" t="s">
        <v>2646</v>
      </c>
      <c r="AF758" s="426" t="s">
        <v>2646</v>
      </c>
      <c r="AG758" s="426" t="s">
        <v>2646</v>
      </c>
      <c r="AH758" s="426" t="s">
        <v>2646</v>
      </c>
      <c r="AI758" s="426" t="s">
        <v>2646</v>
      </c>
      <c r="AJ758" s="68" t="s">
        <v>2646</v>
      </c>
    </row>
    <row r="759" spans="1:36" hidden="1">
      <c r="A759" s="68" t="s">
        <v>2024</v>
      </c>
      <c r="B759" s="427" t="s">
        <v>2649</v>
      </c>
      <c r="C759" s="433" t="s">
        <v>3743</v>
      </c>
      <c r="D759" s="433" t="s">
        <v>3710</v>
      </c>
      <c r="E759" s="433" t="s">
        <v>3801</v>
      </c>
      <c r="F759" s="433" t="s">
        <v>3159</v>
      </c>
      <c r="G759" s="433" t="s">
        <v>3302</v>
      </c>
      <c r="H759" s="433" t="s">
        <v>3424</v>
      </c>
      <c r="I759" s="433" t="s">
        <v>3305</v>
      </c>
      <c r="J759" s="433" t="s">
        <v>3769</v>
      </c>
      <c r="K759" s="433" t="s">
        <v>2775</v>
      </c>
      <c r="L759" s="433" t="s">
        <v>3254</v>
      </c>
      <c r="M759" s="433" t="s">
        <v>3168</v>
      </c>
      <c r="N759" s="433" t="s">
        <v>3055</v>
      </c>
      <c r="O759" s="433" t="s">
        <v>4444</v>
      </c>
      <c r="P759" s="433" t="s">
        <v>4401</v>
      </c>
      <c r="Q759" s="431"/>
      <c r="R759" s="431"/>
      <c r="S759" s="426" t="s">
        <v>2669</v>
      </c>
      <c r="T759" s="426" t="s">
        <v>2657</v>
      </c>
      <c r="U759" s="426" t="s">
        <v>2657</v>
      </c>
      <c r="V759" s="426" t="s">
        <v>2657</v>
      </c>
      <c r="W759" s="426" t="s">
        <v>3339</v>
      </c>
      <c r="X759" s="426" t="s">
        <v>3507</v>
      </c>
      <c r="Y759" s="426" t="s">
        <v>3525</v>
      </c>
      <c r="Z759" s="426" t="s">
        <v>2646</v>
      </c>
      <c r="AA759" s="426" t="s">
        <v>2646</v>
      </c>
      <c r="AB759" s="426" t="s">
        <v>2646</v>
      </c>
      <c r="AC759" s="426" t="s">
        <v>2646</v>
      </c>
      <c r="AD759" s="426" t="s">
        <v>2646</v>
      </c>
      <c r="AE759" s="426" t="s">
        <v>2646</v>
      </c>
      <c r="AF759" s="426" t="s">
        <v>2646</v>
      </c>
      <c r="AG759" s="426" t="s">
        <v>2646</v>
      </c>
      <c r="AH759" s="426" t="s">
        <v>2646</v>
      </c>
      <c r="AI759" s="426" t="s">
        <v>2646</v>
      </c>
      <c r="AJ759" s="68" t="s">
        <v>2646</v>
      </c>
    </row>
    <row r="760" spans="1:36" hidden="1">
      <c r="A760" s="68" t="s">
        <v>2025</v>
      </c>
      <c r="B760" s="427" t="s">
        <v>2650</v>
      </c>
      <c r="C760" s="433" t="s">
        <v>3810</v>
      </c>
      <c r="D760" s="433" t="s">
        <v>3364</v>
      </c>
      <c r="E760" s="433" t="s">
        <v>2721</v>
      </c>
      <c r="F760" s="433" t="s">
        <v>3425</v>
      </c>
      <c r="G760" s="433" t="s">
        <v>3162</v>
      </c>
      <c r="H760" s="433" t="s">
        <v>3028</v>
      </c>
      <c r="I760" s="433" t="s">
        <v>2775</v>
      </c>
      <c r="J760" s="433" t="s">
        <v>3465</v>
      </c>
      <c r="K760" s="433" t="s">
        <v>2879</v>
      </c>
      <c r="L760" s="433" t="s">
        <v>2842</v>
      </c>
      <c r="M760" s="433" t="s">
        <v>3061</v>
      </c>
      <c r="N760" s="433" t="s">
        <v>3248</v>
      </c>
      <c r="O760" s="433" t="s">
        <v>4445</v>
      </c>
      <c r="P760" s="433" t="s">
        <v>4315</v>
      </c>
      <c r="Q760" s="431"/>
      <c r="R760" s="431"/>
      <c r="S760" s="426" t="s">
        <v>2796</v>
      </c>
      <c r="T760" s="426" t="s">
        <v>2657</v>
      </c>
      <c r="U760" s="426" t="s">
        <v>2796</v>
      </c>
      <c r="V760" s="426" t="s">
        <v>2657</v>
      </c>
      <c r="W760" s="426" t="s">
        <v>3339</v>
      </c>
      <c r="X760" s="426" t="s">
        <v>3507</v>
      </c>
      <c r="Y760" s="426" t="s">
        <v>3525</v>
      </c>
      <c r="Z760" s="426" t="s">
        <v>2646</v>
      </c>
      <c r="AA760" s="426" t="s">
        <v>2646</v>
      </c>
      <c r="AB760" s="426" t="s">
        <v>2646</v>
      </c>
      <c r="AC760" s="426" t="s">
        <v>2646</v>
      </c>
      <c r="AD760" s="426" t="s">
        <v>2646</v>
      </c>
      <c r="AE760" s="426" t="s">
        <v>2646</v>
      </c>
      <c r="AF760" s="426" t="s">
        <v>2646</v>
      </c>
      <c r="AG760" s="426" t="s">
        <v>2646</v>
      </c>
      <c r="AH760" s="426" t="s">
        <v>2646</v>
      </c>
      <c r="AI760" s="426" t="s">
        <v>2646</v>
      </c>
      <c r="AJ760" s="68" t="s">
        <v>2646</v>
      </c>
    </row>
    <row r="761" spans="1:36" hidden="1">
      <c r="A761" s="68" t="s">
        <v>2026</v>
      </c>
      <c r="B761" s="427" t="s">
        <v>2651</v>
      </c>
      <c r="C761" s="433" t="s">
        <v>3743</v>
      </c>
      <c r="D761" s="433" t="s">
        <v>3364</v>
      </c>
      <c r="E761" s="433" t="s">
        <v>3752</v>
      </c>
      <c r="F761" s="433" t="s">
        <v>2863</v>
      </c>
      <c r="G761" s="433" t="s">
        <v>3253</v>
      </c>
      <c r="H761" s="433" t="s">
        <v>3094</v>
      </c>
      <c r="I761" s="433" t="s">
        <v>2705</v>
      </c>
      <c r="J761" s="433" t="s">
        <v>3321</v>
      </c>
      <c r="K761" s="433" t="s">
        <v>2962</v>
      </c>
      <c r="L761" s="433" t="s">
        <v>2782</v>
      </c>
      <c r="M761" s="433" t="s">
        <v>2745</v>
      </c>
      <c r="N761" s="433" t="s">
        <v>2685</v>
      </c>
      <c r="O761" s="433" t="s">
        <v>4446</v>
      </c>
      <c r="P761" s="433" t="s">
        <v>4401</v>
      </c>
      <c r="Q761" s="431"/>
      <c r="R761" s="431"/>
      <c r="S761" s="426" t="s">
        <v>2660</v>
      </c>
      <c r="T761" s="426" t="s">
        <v>2657</v>
      </c>
      <c r="U761" s="426" t="s">
        <v>2657</v>
      </c>
      <c r="V761" s="426" t="s">
        <v>2657</v>
      </c>
      <c r="W761" s="426" t="s">
        <v>3339</v>
      </c>
      <c r="X761" s="426" t="s">
        <v>3507</v>
      </c>
      <c r="Y761" s="426" t="s">
        <v>3525</v>
      </c>
      <c r="Z761" s="426" t="s">
        <v>2646</v>
      </c>
      <c r="AA761" s="426" t="s">
        <v>2646</v>
      </c>
      <c r="AB761" s="426" t="s">
        <v>2646</v>
      </c>
      <c r="AC761" s="426" t="s">
        <v>2646</v>
      </c>
      <c r="AD761" s="426" t="s">
        <v>2646</v>
      </c>
      <c r="AE761" s="426" t="s">
        <v>2646</v>
      </c>
      <c r="AF761" s="426" t="s">
        <v>2646</v>
      </c>
      <c r="AG761" s="426" t="s">
        <v>2646</v>
      </c>
      <c r="AH761" s="426" t="s">
        <v>2646</v>
      </c>
      <c r="AI761" s="426" t="s">
        <v>2646</v>
      </c>
      <c r="AJ761" s="68" t="s">
        <v>2646</v>
      </c>
    </row>
    <row r="762" spans="1:36">
      <c r="A762" s="68" t="s">
        <v>2026</v>
      </c>
      <c r="B762" s="427" t="s">
        <v>48</v>
      </c>
      <c r="C762" s="433" t="s">
        <v>4447</v>
      </c>
      <c r="D762" s="433" t="s">
        <v>3871</v>
      </c>
      <c r="E762" s="433" t="s">
        <v>3925</v>
      </c>
      <c r="F762" s="433" t="s">
        <v>4448</v>
      </c>
      <c r="G762" s="433" t="s">
        <v>3834</v>
      </c>
      <c r="H762" s="433" t="s">
        <v>3254</v>
      </c>
      <c r="I762" s="433" t="s">
        <v>4449</v>
      </c>
      <c r="J762" s="433" t="s">
        <v>4450</v>
      </c>
      <c r="K762" s="433" t="s">
        <v>4451</v>
      </c>
      <c r="L762" s="433" t="s">
        <v>4452</v>
      </c>
      <c r="M762" s="433" t="s">
        <v>2833</v>
      </c>
      <c r="N762" s="433" t="s">
        <v>4453</v>
      </c>
      <c r="O762" s="433" t="s">
        <v>4454</v>
      </c>
      <c r="P762" s="433" t="s">
        <v>2723</v>
      </c>
      <c r="Q762" s="433" t="s">
        <v>2654</v>
      </c>
      <c r="R762" s="433" t="s">
        <v>2654</v>
      </c>
      <c r="S762" s="426"/>
      <c r="T762" s="426"/>
      <c r="U762" s="426"/>
      <c r="V762" s="426"/>
      <c r="W762" s="426"/>
      <c r="X762" s="426"/>
      <c r="Y762" s="426"/>
      <c r="Z762" s="426"/>
      <c r="AA762" s="426"/>
      <c r="AB762" s="426"/>
      <c r="AC762" s="426"/>
      <c r="AD762" s="426"/>
      <c r="AE762" s="426"/>
      <c r="AF762" s="426"/>
      <c r="AG762" s="426"/>
      <c r="AH762" s="426"/>
      <c r="AI762" s="426"/>
    </row>
    <row r="763" spans="1:36" hidden="1">
      <c r="A763" s="68" t="s">
        <v>2027</v>
      </c>
      <c r="B763" s="427" t="s">
        <v>2647</v>
      </c>
      <c r="C763" s="433" t="s">
        <v>3721</v>
      </c>
      <c r="D763" s="433" t="s">
        <v>3686</v>
      </c>
      <c r="E763" s="433" t="s">
        <v>2842</v>
      </c>
      <c r="F763" s="433" t="s">
        <v>2894</v>
      </c>
      <c r="G763" s="433" t="s">
        <v>2745</v>
      </c>
      <c r="H763" s="433" t="s">
        <v>2713</v>
      </c>
      <c r="I763" s="433" t="s">
        <v>2915</v>
      </c>
      <c r="J763" s="433" t="s">
        <v>3029</v>
      </c>
      <c r="K763" s="433" t="s">
        <v>2824</v>
      </c>
      <c r="L763" s="433" t="s">
        <v>2947</v>
      </c>
      <c r="M763" s="433" t="s">
        <v>2935</v>
      </c>
      <c r="N763" s="433" t="s">
        <v>2932</v>
      </c>
      <c r="O763" s="433" t="s">
        <v>4455</v>
      </c>
      <c r="P763" s="433" t="s">
        <v>4315</v>
      </c>
      <c r="Q763" s="431"/>
      <c r="R763" s="431"/>
      <c r="S763" s="426" t="s">
        <v>2655</v>
      </c>
      <c r="T763" s="426" t="s">
        <v>2657</v>
      </c>
      <c r="U763" s="426" t="s">
        <v>2657</v>
      </c>
      <c r="V763" s="426" t="s">
        <v>2657</v>
      </c>
      <c r="W763" s="426" t="s">
        <v>3339</v>
      </c>
      <c r="X763" s="426" t="s">
        <v>2887</v>
      </c>
      <c r="Y763" s="426" t="s">
        <v>3031</v>
      </c>
      <c r="Z763" s="426" t="s">
        <v>2646</v>
      </c>
      <c r="AA763" s="426" t="s">
        <v>2646</v>
      </c>
      <c r="AB763" s="426" t="s">
        <v>2646</v>
      </c>
      <c r="AC763" s="426" t="s">
        <v>2646</v>
      </c>
      <c r="AD763" s="426" t="s">
        <v>2646</v>
      </c>
      <c r="AE763" s="426" t="s">
        <v>2646</v>
      </c>
      <c r="AF763" s="426" t="s">
        <v>2646</v>
      </c>
      <c r="AG763" s="426" t="s">
        <v>2646</v>
      </c>
      <c r="AH763" s="426" t="s">
        <v>2646</v>
      </c>
      <c r="AI763" s="426" t="s">
        <v>2646</v>
      </c>
      <c r="AJ763" s="68" t="s">
        <v>2646</v>
      </c>
    </row>
    <row r="764" spans="1:36" hidden="1">
      <c r="A764" s="68" t="s">
        <v>2028</v>
      </c>
      <c r="B764" s="427" t="s">
        <v>2648</v>
      </c>
      <c r="C764" s="433" t="s">
        <v>3631</v>
      </c>
      <c r="D764" s="433" t="s">
        <v>3710</v>
      </c>
      <c r="E764" s="433" t="s">
        <v>2883</v>
      </c>
      <c r="F764" s="433" t="s">
        <v>2959</v>
      </c>
      <c r="G764" s="433" t="s">
        <v>2834</v>
      </c>
      <c r="H764" s="433" t="s">
        <v>2916</v>
      </c>
      <c r="I764" s="433" t="s">
        <v>2737</v>
      </c>
      <c r="J764" s="433" t="s">
        <v>2801</v>
      </c>
      <c r="K764" s="433" t="s">
        <v>2954</v>
      </c>
      <c r="L764" s="433" t="s">
        <v>2766</v>
      </c>
      <c r="M764" s="433" t="s">
        <v>2753</v>
      </c>
      <c r="N764" s="433" t="s">
        <v>3047</v>
      </c>
      <c r="O764" s="433" t="s">
        <v>3993</v>
      </c>
      <c r="P764" s="433" t="s">
        <v>4231</v>
      </c>
      <c r="Q764" s="431"/>
      <c r="R764" s="431"/>
      <c r="S764" s="426" t="s">
        <v>2796</v>
      </c>
      <c r="T764" s="426" t="s">
        <v>2657</v>
      </c>
      <c r="U764" s="426" t="s">
        <v>2657</v>
      </c>
      <c r="V764" s="426" t="s">
        <v>2657</v>
      </c>
      <c r="W764" s="426" t="s">
        <v>3339</v>
      </c>
      <c r="X764" s="426" t="s">
        <v>2887</v>
      </c>
      <c r="Y764" s="426" t="s">
        <v>3031</v>
      </c>
      <c r="Z764" s="426" t="s">
        <v>3528</v>
      </c>
      <c r="AA764" s="426" t="s">
        <v>2646</v>
      </c>
      <c r="AB764" s="426" t="s">
        <v>2646</v>
      </c>
      <c r="AC764" s="426" t="s">
        <v>2646</v>
      </c>
      <c r="AD764" s="426" t="s">
        <v>2646</v>
      </c>
      <c r="AE764" s="426" t="s">
        <v>2646</v>
      </c>
      <c r="AF764" s="426" t="s">
        <v>2646</v>
      </c>
      <c r="AG764" s="426" t="s">
        <v>2646</v>
      </c>
      <c r="AH764" s="426" t="s">
        <v>2646</v>
      </c>
      <c r="AI764" s="426" t="s">
        <v>2646</v>
      </c>
      <c r="AJ764" s="68" t="s">
        <v>2646</v>
      </c>
    </row>
    <row r="765" spans="1:36" hidden="1">
      <c r="A765" s="68" t="s">
        <v>2029</v>
      </c>
      <c r="B765" s="427" t="s">
        <v>2649</v>
      </c>
      <c r="C765" s="433" t="s">
        <v>3721</v>
      </c>
      <c r="D765" s="433" t="s">
        <v>3686</v>
      </c>
      <c r="E765" s="433" t="s">
        <v>2751</v>
      </c>
      <c r="F765" s="433" t="s">
        <v>3050</v>
      </c>
      <c r="G765" s="433" t="s">
        <v>3072</v>
      </c>
      <c r="H765" s="433" t="s">
        <v>2718</v>
      </c>
      <c r="I765" s="433" t="s">
        <v>2765</v>
      </c>
      <c r="J765" s="433" t="s">
        <v>3029</v>
      </c>
      <c r="K765" s="433" t="s">
        <v>2959</v>
      </c>
      <c r="L765" s="433" t="s">
        <v>2947</v>
      </c>
      <c r="M765" s="433" t="s">
        <v>2730</v>
      </c>
      <c r="N765" s="433" t="s">
        <v>3258</v>
      </c>
      <c r="O765" s="433" t="s">
        <v>4456</v>
      </c>
      <c r="P765" s="433" t="s">
        <v>4233</v>
      </c>
      <c r="Q765" s="431"/>
      <c r="R765" s="431"/>
      <c r="S765" s="426" t="s">
        <v>2836</v>
      </c>
      <c r="T765" s="426" t="s">
        <v>2657</v>
      </c>
      <c r="U765" s="426" t="s">
        <v>2657</v>
      </c>
      <c r="V765" s="426" t="s">
        <v>2657</v>
      </c>
      <c r="W765" s="426" t="s">
        <v>3339</v>
      </c>
      <c r="X765" s="426" t="s">
        <v>2887</v>
      </c>
      <c r="Y765" s="426" t="s">
        <v>3031</v>
      </c>
      <c r="Z765" s="426" t="s">
        <v>2646</v>
      </c>
      <c r="AA765" s="426" t="s">
        <v>2646</v>
      </c>
      <c r="AB765" s="426" t="s">
        <v>2646</v>
      </c>
      <c r="AC765" s="426" t="s">
        <v>2646</v>
      </c>
      <c r="AD765" s="426" t="s">
        <v>2646</v>
      </c>
      <c r="AE765" s="426" t="s">
        <v>2646</v>
      </c>
      <c r="AF765" s="426" t="s">
        <v>2646</v>
      </c>
      <c r="AG765" s="426" t="s">
        <v>2646</v>
      </c>
      <c r="AH765" s="426" t="s">
        <v>2646</v>
      </c>
      <c r="AI765" s="426" t="s">
        <v>2646</v>
      </c>
      <c r="AJ765" s="68" t="s">
        <v>2646</v>
      </c>
    </row>
    <row r="766" spans="1:36" hidden="1">
      <c r="A766" s="68" t="s">
        <v>2030</v>
      </c>
      <c r="B766" s="427" t="s">
        <v>2650</v>
      </c>
      <c r="C766" s="433" t="s">
        <v>3532</v>
      </c>
      <c r="D766" s="433" t="s">
        <v>3710</v>
      </c>
      <c r="E766" s="433" t="s">
        <v>3160</v>
      </c>
      <c r="F766" s="433" t="s">
        <v>2915</v>
      </c>
      <c r="G766" s="433" t="s">
        <v>2730</v>
      </c>
      <c r="H766" s="433" t="s">
        <v>2843</v>
      </c>
      <c r="I766" s="433" t="s">
        <v>2932</v>
      </c>
      <c r="J766" s="433" t="s">
        <v>2927</v>
      </c>
      <c r="K766" s="433" t="s">
        <v>2737</v>
      </c>
      <c r="L766" s="433" t="s">
        <v>2722</v>
      </c>
      <c r="M766" s="433" t="s">
        <v>3046</v>
      </c>
      <c r="N766" s="433" t="s">
        <v>2699</v>
      </c>
      <c r="O766" s="433" t="s">
        <v>4457</v>
      </c>
      <c r="P766" s="433" t="s">
        <v>4315</v>
      </c>
      <c r="Q766" s="431"/>
      <c r="R766" s="431"/>
      <c r="S766" s="426" t="s">
        <v>2669</v>
      </c>
      <c r="T766" s="426" t="s">
        <v>2657</v>
      </c>
      <c r="U766" s="426" t="s">
        <v>2768</v>
      </c>
      <c r="V766" s="426" t="s">
        <v>2657</v>
      </c>
      <c r="W766" s="426" t="s">
        <v>3339</v>
      </c>
      <c r="X766" s="426" t="s">
        <v>2887</v>
      </c>
      <c r="Y766" s="426" t="s">
        <v>3031</v>
      </c>
      <c r="Z766" s="426" t="s">
        <v>2646</v>
      </c>
      <c r="AA766" s="426" t="s">
        <v>2646</v>
      </c>
      <c r="AB766" s="426" t="s">
        <v>2646</v>
      </c>
      <c r="AC766" s="426" t="s">
        <v>2646</v>
      </c>
      <c r="AD766" s="426" t="s">
        <v>2646</v>
      </c>
      <c r="AE766" s="426" t="s">
        <v>2646</v>
      </c>
      <c r="AF766" s="426" t="s">
        <v>2646</v>
      </c>
      <c r="AG766" s="426" t="s">
        <v>2646</v>
      </c>
      <c r="AH766" s="426" t="s">
        <v>2646</v>
      </c>
      <c r="AI766" s="426" t="s">
        <v>2646</v>
      </c>
      <c r="AJ766" s="68" t="s">
        <v>2646</v>
      </c>
    </row>
    <row r="767" spans="1:36" hidden="1">
      <c r="A767" s="68" t="s">
        <v>2031</v>
      </c>
      <c r="B767" s="427" t="s">
        <v>2651</v>
      </c>
      <c r="C767" s="433" t="s">
        <v>3786</v>
      </c>
      <c r="D767" s="433" t="s">
        <v>3851</v>
      </c>
      <c r="E767" s="433" t="s">
        <v>3185</v>
      </c>
      <c r="F767" s="433" t="s">
        <v>3055</v>
      </c>
      <c r="G767" s="433" t="s">
        <v>3321</v>
      </c>
      <c r="H767" s="433" t="s">
        <v>2833</v>
      </c>
      <c r="I767" s="433" t="s">
        <v>3306</v>
      </c>
      <c r="J767" s="433" t="s">
        <v>3011</v>
      </c>
      <c r="K767" s="433" t="s">
        <v>2745</v>
      </c>
      <c r="L767" s="433" t="s">
        <v>2848</v>
      </c>
      <c r="M767" s="433" t="s">
        <v>2959</v>
      </c>
      <c r="N767" s="433" t="s">
        <v>2824</v>
      </c>
      <c r="O767" s="433" t="s">
        <v>4458</v>
      </c>
      <c r="P767" s="433" t="s">
        <v>4107</v>
      </c>
      <c r="Q767" s="431"/>
      <c r="R767" s="431"/>
      <c r="S767" s="426" t="s">
        <v>2660</v>
      </c>
      <c r="T767" s="426" t="s">
        <v>2657</v>
      </c>
      <c r="U767" s="426" t="s">
        <v>2657</v>
      </c>
      <c r="V767" s="426" t="s">
        <v>2657</v>
      </c>
      <c r="W767" s="426" t="s">
        <v>3339</v>
      </c>
      <c r="X767" s="426" t="s">
        <v>2887</v>
      </c>
      <c r="Y767" s="426" t="s">
        <v>3031</v>
      </c>
      <c r="Z767" s="426" t="s">
        <v>2646</v>
      </c>
      <c r="AA767" s="426" t="s">
        <v>2646</v>
      </c>
      <c r="AB767" s="426" t="s">
        <v>2646</v>
      </c>
      <c r="AC767" s="426" t="s">
        <v>2646</v>
      </c>
      <c r="AD767" s="426" t="s">
        <v>2646</v>
      </c>
      <c r="AE767" s="426" t="s">
        <v>2646</v>
      </c>
      <c r="AF767" s="426" t="s">
        <v>2646</v>
      </c>
      <c r="AG767" s="426" t="s">
        <v>2646</v>
      </c>
      <c r="AH767" s="426" t="s">
        <v>2646</v>
      </c>
      <c r="AI767" s="426" t="s">
        <v>2646</v>
      </c>
      <c r="AJ767" s="68" t="s">
        <v>2646</v>
      </c>
    </row>
    <row r="768" spans="1:36">
      <c r="A768" s="68" t="s">
        <v>2031</v>
      </c>
      <c r="B768" s="427" t="s">
        <v>48</v>
      </c>
      <c r="C768" s="433" t="s">
        <v>4013</v>
      </c>
      <c r="D768" s="433" t="s">
        <v>3856</v>
      </c>
      <c r="E768" s="433" t="s">
        <v>3050</v>
      </c>
      <c r="F768" s="433" t="s">
        <v>4019</v>
      </c>
      <c r="G768" s="433" t="s">
        <v>3951</v>
      </c>
      <c r="H768" s="433" t="s">
        <v>4000</v>
      </c>
      <c r="I768" s="433" t="s">
        <v>2815</v>
      </c>
      <c r="J768" s="433" t="s">
        <v>3249</v>
      </c>
      <c r="K768" s="433" t="s">
        <v>4276</v>
      </c>
      <c r="L768" s="433" t="s">
        <v>4459</v>
      </c>
      <c r="M768" s="433" t="s">
        <v>4040</v>
      </c>
      <c r="N768" s="433" t="s">
        <v>4460</v>
      </c>
      <c r="O768" s="433" t="s">
        <v>4461</v>
      </c>
      <c r="P768" s="433" t="s">
        <v>2952</v>
      </c>
      <c r="Q768" s="433" t="s">
        <v>2654</v>
      </c>
      <c r="R768" s="433" t="s">
        <v>2654</v>
      </c>
      <c r="S768" s="426"/>
      <c r="T768" s="426"/>
      <c r="U768" s="426"/>
      <c r="V768" s="426"/>
      <c r="W768" s="426"/>
      <c r="X768" s="426"/>
      <c r="Y768" s="426"/>
      <c r="Z768" s="426"/>
      <c r="AA768" s="426"/>
      <c r="AB768" s="426"/>
      <c r="AC768" s="426"/>
      <c r="AD768" s="426"/>
      <c r="AE768" s="426"/>
      <c r="AF768" s="426"/>
      <c r="AG768" s="426"/>
      <c r="AH768" s="426"/>
      <c r="AI768" s="426"/>
    </row>
    <row r="769" spans="1:36" hidden="1">
      <c r="A769" s="68" t="s">
        <v>2032</v>
      </c>
      <c r="B769" s="427" t="s">
        <v>2647</v>
      </c>
      <c r="C769" s="433" t="s">
        <v>3363</v>
      </c>
      <c r="D769" s="433" t="s">
        <v>3872</v>
      </c>
      <c r="E769" s="433" t="s">
        <v>2720</v>
      </c>
      <c r="F769" s="433" t="s">
        <v>3258</v>
      </c>
      <c r="G769" s="433" t="s">
        <v>2699</v>
      </c>
      <c r="H769" s="433" t="s">
        <v>2907</v>
      </c>
      <c r="I769" s="433" t="s">
        <v>2707</v>
      </c>
      <c r="J769" s="433" t="s">
        <v>2835</v>
      </c>
      <c r="K769" s="433" t="s">
        <v>2777</v>
      </c>
      <c r="L769" s="433" t="s">
        <v>2723</v>
      </c>
      <c r="M769" s="433" t="s">
        <v>2928</v>
      </c>
      <c r="N769" s="433" t="s">
        <v>3007</v>
      </c>
      <c r="O769" s="433" t="s">
        <v>4301</v>
      </c>
      <c r="P769" s="433" t="s">
        <v>4416</v>
      </c>
      <c r="Q769" s="431"/>
      <c r="R769" s="431"/>
      <c r="S769" s="426" t="s">
        <v>2665</v>
      </c>
      <c r="T769" s="426" t="s">
        <v>2657</v>
      </c>
      <c r="U769" s="426" t="s">
        <v>2657</v>
      </c>
      <c r="V769" s="426" t="s">
        <v>2657</v>
      </c>
      <c r="W769" s="426" t="s">
        <v>2688</v>
      </c>
      <c r="X769" s="426" t="s">
        <v>2895</v>
      </c>
      <c r="Y769" s="426" t="s">
        <v>3414</v>
      </c>
      <c r="Z769" s="426" t="s">
        <v>3423</v>
      </c>
      <c r="AA769" s="426" t="s">
        <v>3530</v>
      </c>
      <c r="AB769" s="426" t="s">
        <v>2646</v>
      </c>
      <c r="AC769" s="426" t="s">
        <v>2646</v>
      </c>
      <c r="AD769" s="426" t="s">
        <v>2646</v>
      </c>
      <c r="AE769" s="426" t="s">
        <v>2646</v>
      </c>
      <c r="AF769" s="426" t="s">
        <v>2646</v>
      </c>
      <c r="AG769" s="426" t="s">
        <v>2646</v>
      </c>
      <c r="AH769" s="426" t="s">
        <v>2646</v>
      </c>
      <c r="AI769" s="426" t="s">
        <v>2646</v>
      </c>
      <c r="AJ769" s="68" t="s">
        <v>2646</v>
      </c>
    </row>
    <row r="770" spans="1:36" hidden="1">
      <c r="A770" s="68" t="s">
        <v>2033</v>
      </c>
      <c r="B770" s="427" t="s">
        <v>2648</v>
      </c>
      <c r="C770" s="433" t="s">
        <v>3514</v>
      </c>
      <c r="D770" s="433" t="s">
        <v>3710</v>
      </c>
      <c r="E770" s="433" t="s">
        <v>3035</v>
      </c>
      <c r="F770" s="433" t="s">
        <v>3248</v>
      </c>
      <c r="G770" s="433" t="s">
        <v>3033</v>
      </c>
      <c r="H770" s="433" t="s">
        <v>3047</v>
      </c>
      <c r="I770" s="433" t="s">
        <v>2707</v>
      </c>
      <c r="J770" s="433" t="s">
        <v>2835</v>
      </c>
      <c r="K770" s="433" t="s">
        <v>2777</v>
      </c>
      <c r="L770" s="433" t="s">
        <v>2767</v>
      </c>
      <c r="M770" s="433" t="s">
        <v>2928</v>
      </c>
      <c r="N770" s="433" t="s">
        <v>3007</v>
      </c>
      <c r="O770" s="433" t="s">
        <v>3682</v>
      </c>
      <c r="P770" s="433" t="s">
        <v>4462</v>
      </c>
      <c r="Q770" s="431"/>
      <c r="R770" s="431"/>
      <c r="S770" s="426" t="s">
        <v>2778</v>
      </c>
      <c r="T770" s="426" t="s">
        <v>2657</v>
      </c>
      <c r="U770" s="426" t="s">
        <v>2657</v>
      </c>
      <c r="V770" s="426" t="s">
        <v>2657</v>
      </c>
      <c r="W770" s="426" t="s">
        <v>3339</v>
      </c>
      <c r="X770" s="426" t="s">
        <v>2895</v>
      </c>
      <c r="Y770" s="426" t="s">
        <v>2814</v>
      </c>
      <c r="Z770" s="426" t="s">
        <v>3001</v>
      </c>
      <c r="AA770" s="426" t="s">
        <v>3531</v>
      </c>
      <c r="AB770" s="426" t="s">
        <v>2646</v>
      </c>
      <c r="AC770" s="426" t="s">
        <v>2646</v>
      </c>
      <c r="AD770" s="426" t="s">
        <v>2646</v>
      </c>
      <c r="AE770" s="426" t="s">
        <v>2646</v>
      </c>
      <c r="AF770" s="426" t="s">
        <v>2646</v>
      </c>
      <c r="AG770" s="426" t="s">
        <v>2646</v>
      </c>
      <c r="AH770" s="426" t="s">
        <v>2646</v>
      </c>
      <c r="AI770" s="426" t="s">
        <v>2646</v>
      </c>
      <c r="AJ770" s="68" t="s">
        <v>2646</v>
      </c>
    </row>
    <row r="771" spans="1:36" hidden="1">
      <c r="A771" s="68" t="s">
        <v>2034</v>
      </c>
      <c r="B771" s="427" t="s">
        <v>2649</v>
      </c>
      <c r="C771" s="433" t="s">
        <v>3514</v>
      </c>
      <c r="D771" s="433" t="s">
        <v>3364</v>
      </c>
      <c r="E771" s="433" t="s">
        <v>3037</v>
      </c>
      <c r="F771" s="433" t="s">
        <v>2765</v>
      </c>
      <c r="G771" s="433" t="s">
        <v>2916</v>
      </c>
      <c r="H771" s="433" t="s">
        <v>2978</v>
      </c>
      <c r="I771" s="433" t="s">
        <v>2699</v>
      </c>
      <c r="J771" s="433" t="s">
        <v>2686</v>
      </c>
      <c r="K771" s="433" t="s">
        <v>2761</v>
      </c>
      <c r="L771" s="433" t="s">
        <v>2948</v>
      </c>
      <c r="M771" s="433" t="s">
        <v>2707</v>
      </c>
      <c r="N771" s="433" t="s">
        <v>2777</v>
      </c>
      <c r="O771" s="433" t="s">
        <v>4075</v>
      </c>
      <c r="P771" s="433" t="s">
        <v>4463</v>
      </c>
      <c r="Q771" s="431"/>
      <c r="R771" s="431"/>
      <c r="S771" s="426" t="s">
        <v>2688</v>
      </c>
      <c r="T771" s="426" t="s">
        <v>2657</v>
      </c>
      <c r="U771" s="426" t="s">
        <v>2657</v>
      </c>
      <c r="V771" s="426" t="s">
        <v>2657</v>
      </c>
      <c r="W771" s="426" t="s">
        <v>2688</v>
      </c>
      <c r="X771" s="426" t="s">
        <v>2895</v>
      </c>
      <c r="Y771" s="426" t="s">
        <v>3414</v>
      </c>
      <c r="Z771" s="426" t="s">
        <v>3533</v>
      </c>
      <c r="AA771" s="426" t="s">
        <v>3531</v>
      </c>
      <c r="AB771" s="426" t="s">
        <v>2646</v>
      </c>
      <c r="AC771" s="426" t="s">
        <v>2646</v>
      </c>
      <c r="AD771" s="426" t="s">
        <v>2646</v>
      </c>
      <c r="AE771" s="426" t="s">
        <v>2646</v>
      </c>
      <c r="AF771" s="426" t="s">
        <v>2646</v>
      </c>
      <c r="AG771" s="426" t="s">
        <v>2646</v>
      </c>
      <c r="AH771" s="426" t="s">
        <v>2646</v>
      </c>
      <c r="AI771" s="426" t="s">
        <v>2646</v>
      </c>
      <c r="AJ771" s="68" t="s">
        <v>2646</v>
      </c>
    </row>
    <row r="772" spans="1:36" hidden="1">
      <c r="A772" s="68" t="s">
        <v>2035</v>
      </c>
      <c r="B772" s="427" t="s">
        <v>2650</v>
      </c>
      <c r="C772" s="433" t="s">
        <v>3514</v>
      </c>
      <c r="D772" s="433" t="s">
        <v>3851</v>
      </c>
      <c r="E772" s="433" t="s">
        <v>2858</v>
      </c>
      <c r="F772" s="433" t="s">
        <v>2959</v>
      </c>
      <c r="G772" s="433" t="s">
        <v>2916</v>
      </c>
      <c r="H772" s="433" t="s">
        <v>2686</v>
      </c>
      <c r="I772" s="433" t="s">
        <v>2875</v>
      </c>
      <c r="J772" s="433" t="s">
        <v>2875</v>
      </c>
      <c r="K772" s="433" t="s">
        <v>2903</v>
      </c>
      <c r="L772" s="433" t="s">
        <v>2917</v>
      </c>
      <c r="M772" s="433" t="s">
        <v>2835</v>
      </c>
      <c r="N772" s="433" t="s">
        <v>2676</v>
      </c>
      <c r="O772" s="433" t="s">
        <v>4464</v>
      </c>
      <c r="P772" s="433" t="s">
        <v>4465</v>
      </c>
      <c r="Q772" s="431"/>
      <c r="R772" s="431"/>
      <c r="S772" s="426" t="s">
        <v>2655</v>
      </c>
      <c r="T772" s="426" t="s">
        <v>2657</v>
      </c>
      <c r="U772" s="426" t="s">
        <v>2657</v>
      </c>
      <c r="V772" s="426" t="s">
        <v>2657</v>
      </c>
      <c r="W772" s="426" t="s">
        <v>2688</v>
      </c>
      <c r="X772" s="426" t="s">
        <v>2895</v>
      </c>
      <c r="Y772" s="426" t="s">
        <v>3414</v>
      </c>
      <c r="Z772" s="426" t="s">
        <v>3143</v>
      </c>
      <c r="AA772" s="426" t="s">
        <v>3356</v>
      </c>
      <c r="AB772" s="426" t="s">
        <v>2646</v>
      </c>
      <c r="AC772" s="426" t="s">
        <v>2646</v>
      </c>
      <c r="AD772" s="426" t="s">
        <v>2646</v>
      </c>
      <c r="AE772" s="426" t="s">
        <v>2646</v>
      </c>
      <c r="AF772" s="426" t="s">
        <v>2646</v>
      </c>
      <c r="AG772" s="426" t="s">
        <v>2646</v>
      </c>
      <c r="AH772" s="426" t="s">
        <v>2646</v>
      </c>
      <c r="AI772" s="426" t="s">
        <v>2646</v>
      </c>
      <c r="AJ772" s="68" t="s">
        <v>2646</v>
      </c>
    </row>
    <row r="773" spans="1:36" hidden="1">
      <c r="A773" s="68" t="s">
        <v>2036</v>
      </c>
      <c r="B773" s="427" t="s">
        <v>2651</v>
      </c>
      <c r="C773" s="433" t="s">
        <v>3482</v>
      </c>
      <c r="D773" s="433" t="s">
        <v>3364</v>
      </c>
      <c r="E773" s="433" t="s">
        <v>2833</v>
      </c>
      <c r="F773" s="433" t="s">
        <v>2706</v>
      </c>
      <c r="G773" s="433" t="s">
        <v>2819</v>
      </c>
      <c r="H773" s="433" t="s">
        <v>2875</v>
      </c>
      <c r="I773" s="433" t="s">
        <v>2903</v>
      </c>
      <c r="J773" s="433" t="s">
        <v>2921</v>
      </c>
      <c r="K773" s="433" t="s">
        <v>2731</v>
      </c>
      <c r="L773" s="433" t="s">
        <v>2777</v>
      </c>
      <c r="M773" s="433" t="s">
        <v>2754</v>
      </c>
      <c r="N773" s="433" t="s">
        <v>2994</v>
      </c>
      <c r="O773" s="433" t="s">
        <v>4466</v>
      </c>
      <c r="P773" s="433" t="s">
        <v>4147</v>
      </c>
      <c r="Q773" s="431"/>
      <c r="R773" s="431"/>
      <c r="S773" s="426" t="s">
        <v>2796</v>
      </c>
      <c r="T773" s="426" t="s">
        <v>2657</v>
      </c>
      <c r="U773" s="426" t="s">
        <v>2844</v>
      </c>
      <c r="V773" s="426" t="s">
        <v>2657</v>
      </c>
      <c r="W773" s="426" t="s">
        <v>2688</v>
      </c>
      <c r="X773" s="426" t="s">
        <v>2895</v>
      </c>
      <c r="Y773" s="426" t="s">
        <v>3414</v>
      </c>
      <c r="Z773" s="426" t="s">
        <v>3534</v>
      </c>
      <c r="AA773" s="426" t="s">
        <v>3535</v>
      </c>
      <c r="AB773" s="426" t="s">
        <v>2646</v>
      </c>
      <c r="AC773" s="426" t="s">
        <v>2646</v>
      </c>
      <c r="AD773" s="426" t="s">
        <v>2646</v>
      </c>
      <c r="AE773" s="426" t="s">
        <v>2646</v>
      </c>
      <c r="AF773" s="426" t="s">
        <v>2646</v>
      </c>
      <c r="AG773" s="426" t="s">
        <v>2646</v>
      </c>
      <c r="AH773" s="426" t="s">
        <v>2646</v>
      </c>
      <c r="AI773" s="426" t="s">
        <v>2646</v>
      </c>
      <c r="AJ773" s="68" t="s">
        <v>2646</v>
      </c>
    </row>
    <row r="774" spans="1:36">
      <c r="A774" s="68" t="s">
        <v>2036</v>
      </c>
      <c r="B774" s="427" t="s">
        <v>48</v>
      </c>
      <c r="C774" s="433" t="s">
        <v>4467</v>
      </c>
      <c r="D774" s="433" t="s">
        <v>3869</v>
      </c>
      <c r="E774" s="433" t="s">
        <v>4468</v>
      </c>
      <c r="F774" s="433" t="s">
        <v>2818</v>
      </c>
      <c r="G774" s="433" t="s">
        <v>4469</v>
      </c>
      <c r="H774" s="433" t="s">
        <v>4470</v>
      </c>
      <c r="I774" s="433" t="s">
        <v>3812</v>
      </c>
      <c r="J774" s="433" t="s">
        <v>4225</v>
      </c>
      <c r="K774" s="433" t="s">
        <v>2907</v>
      </c>
      <c r="L774" s="433" t="s">
        <v>4254</v>
      </c>
      <c r="M774" s="433" t="s">
        <v>2767</v>
      </c>
      <c r="N774" s="433" t="s">
        <v>4471</v>
      </c>
      <c r="O774" s="433" t="s">
        <v>4031</v>
      </c>
      <c r="P774" s="433" t="s">
        <v>3678</v>
      </c>
      <c r="Q774" s="433" t="s">
        <v>2654</v>
      </c>
      <c r="R774" s="433" t="s">
        <v>2654</v>
      </c>
      <c r="S774" s="426"/>
      <c r="T774" s="426"/>
      <c r="U774" s="426"/>
      <c r="V774" s="426"/>
      <c r="W774" s="426"/>
      <c r="X774" s="426"/>
      <c r="Y774" s="426"/>
      <c r="Z774" s="426"/>
      <c r="AA774" s="426"/>
      <c r="AB774" s="426"/>
      <c r="AC774" s="426"/>
      <c r="AD774" s="426"/>
      <c r="AE774" s="426"/>
      <c r="AF774" s="426"/>
      <c r="AG774" s="426"/>
      <c r="AH774" s="426"/>
      <c r="AI774" s="426"/>
    </row>
    <row r="775" spans="1:36" hidden="1">
      <c r="A775" s="68" t="s">
        <v>2037</v>
      </c>
      <c r="B775" s="427" t="s">
        <v>2647</v>
      </c>
      <c r="C775" s="433" t="s">
        <v>3865</v>
      </c>
      <c r="D775" s="433" t="s">
        <v>3710</v>
      </c>
      <c r="E775" s="433" t="s">
        <v>2894</v>
      </c>
      <c r="F775" s="433" t="s">
        <v>2954</v>
      </c>
      <c r="G775" s="433" t="s">
        <v>3007</v>
      </c>
      <c r="H775" s="433" t="s">
        <v>2677</v>
      </c>
      <c r="I775" s="433" t="s">
        <v>2656</v>
      </c>
      <c r="J775" s="433" t="s">
        <v>2680</v>
      </c>
      <c r="K775" s="433" t="s">
        <v>2680</v>
      </c>
      <c r="L775" s="433" t="s">
        <v>2678</v>
      </c>
      <c r="M775" s="433" t="s">
        <v>2654</v>
      </c>
      <c r="N775" s="433" t="s">
        <v>2654</v>
      </c>
      <c r="O775" s="433" t="s">
        <v>3243</v>
      </c>
      <c r="P775" s="433" t="s">
        <v>4257</v>
      </c>
      <c r="Q775" s="431"/>
      <c r="R775" s="431"/>
      <c r="S775" s="426" t="s">
        <v>2669</v>
      </c>
      <c r="T775" s="426" t="s">
        <v>2657</v>
      </c>
      <c r="U775" s="426" t="s">
        <v>2657</v>
      </c>
      <c r="V775" s="426" t="s">
        <v>2657</v>
      </c>
      <c r="W775" s="426" t="s">
        <v>2688</v>
      </c>
      <c r="X775" s="426" t="s">
        <v>2900</v>
      </c>
      <c r="Y775" s="426" t="s">
        <v>2940</v>
      </c>
      <c r="Z775" s="426" t="s">
        <v>3537</v>
      </c>
      <c r="AA775" s="426" t="s">
        <v>3332</v>
      </c>
      <c r="AB775" s="426" t="s">
        <v>3413</v>
      </c>
      <c r="AC775" s="426" t="s">
        <v>2646</v>
      </c>
      <c r="AD775" s="426" t="s">
        <v>2646</v>
      </c>
      <c r="AE775" s="426" t="s">
        <v>2646</v>
      </c>
      <c r="AF775" s="426" t="s">
        <v>2646</v>
      </c>
      <c r="AG775" s="426" t="s">
        <v>2646</v>
      </c>
      <c r="AH775" s="426" t="s">
        <v>2646</v>
      </c>
      <c r="AI775" s="426" t="s">
        <v>2646</v>
      </c>
      <c r="AJ775" s="68" t="s">
        <v>2646</v>
      </c>
    </row>
    <row r="776" spans="1:36" hidden="1">
      <c r="A776" s="68" t="s">
        <v>2038</v>
      </c>
      <c r="B776" s="427" t="s">
        <v>2648</v>
      </c>
      <c r="C776" s="433" t="s">
        <v>3774</v>
      </c>
      <c r="D776" s="433" t="s">
        <v>3851</v>
      </c>
      <c r="E776" s="433" t="s">
        <v>3050</v>
      </c>
      <c r="F776" s="433" t="s">
        <v>2766</v>
      </c>
      <c r="G776" s="433" t="s">
        <v>2970</v>
      </c>
      <c r="H776" s="433" t="s">
        <v>2791</v>
      </c>
      <c r="I776" s="433" t="s">
        <v>2724</v>
      </c>
      <c r="J776" s="433" t="s">
        <v>2680</v>
      </c>
      <c r="K776" s="433" t="s">
        <v>2678</v>
      </c>
      <c r="L776" s="433" t="s">
        <v>2654</v>
      </c>
      <c r="M776" s="433" t="s">
        <v>2654</v>
      </c>
      <c r="N776" s="433" t="s">
        <v>2654</v>
      </c>
      <c r="O776" s="433" t="s">
        <v>4033</v>
      </c>
      <c r="P776" s="433" t="s">
        <v>4231</v>
      </c>
      <c r="Q776" s="431"/>
      <c r="R776" s="431"/>
      <c r="S776" s="426" t="s">
        <v>2660</v>
      </c>
      <c r="T776" s="426" t="s">
        <v>2657</v>
      </c>
      <c r="U776" s="426" t="s">
        <v>2657</v>
      </c>
      <c r="V776" s="426" t="s">
        <v>2657</v>
      </c>
      <c r="W776" s="426" t="s">
        <v>2709</v>
      </c>
      <c r="X776" s="426" t="s">
        <v>2900</v>
      </c>
      <c r="Y776" s="426" t="s">
        <v>2841</v>
      </c>
      <c r="Z776" s="426" t="s">
        <v>3538</v>
      </c>
      <c r="AA776" s="426" t="s">
        <v>3432</v>
      </c>
      <c r="AB776" s="426" t="s">
        <v>3484</v>
      </c>
      <c r="AC776" s="426" t="s">
        <v>2646</v>
      </c>
      <c r="AD776" s="426" t="s">
        <v>2646</v>
      </c>
      <c r="AE776" s="426" t="s">
        <v>2646</v>
      </c>
      <c r="AF776" s="426" t="s">
        <v>2646</v>
      </c>
      <c r="AG776" s="426" t="s">
        <v>2646</v>
      </c>
      <c r="AH776" s="426" t="s">
        <v>2646</v>
      </c>
      <c r="AI776" s="426" t="s">
        <v>2646</v>
      </c>
      <c r="AJ776" s="68" t="s">
        <v>2646</v>
      </c>
    </row>
    <row r="777" spans="1:36" hidden="1">
      <c r="A777" s="68" t="s">
        <v>2039</v>
      </c>
      <c r="B777" s="427" t="s">
        <v>2649</v>
      </c>
      <c r="C777" s="433" t="s">
        <v>3381</v>
      </c>
      <c r="D777" s="433" t="s">
        <v>3851</v>
      </c>
      <c r="E777" s="433" t="s">
        <v>3035</v>
      </c>
      <c r="F777" s="433" t="s">
        <v>2730</v>
      </c>
      <c r="G777" s="433" t="s">
        <v>3123</v>
      </c>
      <c r="H777" s="433" t="s">
        <v>2907</v>
      </c>
      <c r="I777" s="433" t="s">
        <v>2767</v>
      </c>
      <c r="J777" s="433" t="s">
        <v>2754</v>
      </c>
      <c r="K777" s="433" t="s">
        <v>2773</v>
      </c>
      <c r="L777" s="433" t="s">
        <v>2674</v>
      </c>
      <c r="M777" s="433" t="s">
        <v>2896</v>
      </c>
      <c r="N777" s="433" t="s">
        <v>2791</v>
      </c>
      <c r="O777" s="433" t="s">
        <v>4472</v>
      </c>
      <c r="P777" s="433" t="s">
        <v>4311</v>
      </c>
      <c r="Q777" s="431"/>
      <c r="R777" s="431"/>
      <c r="S777" s="426" t="s">
        <v>2655</v>
      </c>
      <c r="T777" s="426" t="s">
        <v>2657</v>
      </c>
      <c r="U777" s="426" t="s">
        <v>2657</v>
      </c>
      <c r="V777" s="426" t="s">
        <v>2657</v>
      </c>
      <c r="W777" s="426" t="s">
        <v>2688</v>
      </c>
      <c r="X777" s="426" t="s">
        <v>2900</v>
      </c>
      <c r="Y777" s="426" t="s">
        <v>2940</v>
      </c>
      <c r="Z777" s="426" t="s">
        <v>3143</v>
      </c>
      <c r="AA777" s="426" t="s">
        <v>3530</v>
      </c>
      <c r="AB777" s="426" t="s">
        <v>3398</v>
      </c>
      <c r="AC777" s="426" t="s">
        <v>2646</v>
      </c>
      <c r="AD777" s="426" t="s">
        <v>2646</v>
      </c>
      <c r="AE777" s="426" t="s">
        <v>2646</v>
      </c>
      <c r="AF777" s="426" t="s">
        <v>2646</v>
      </c>
      <c r="AG777" s="426" t="s">
        <v>2646</v>
      </c>
      <c r="AH777" s="426" t="s">
        <v>2646</v>
      </c>
      <c r="AI777" s="426" t="s">
        <v>2646</v>
      </c>
      <c r="AJ777" s="68" t="s">
        <v>2646</v>
      </c>
    </row>
    <row r="778" spans="1:36" hidden="1">
      <c r="A778" s="68" t="s">
        <v>2040</v>
      </c>
      <c r="B778" s="427" t="s">
        <v>2650</v>
      </c>
      <c r="C778" s="433" t="s">
        <v>3632</v>
      </c>
      <c r="D778" s="433" t="s">
        <v>3364</v>
      </c>
      <c r="E778" s="433" t="s">
        <v>3465</v>
      </c>
      <c r="F778" s="433" t="s">
        <v>3258</v>
      </c>
      <c r="G778" s="433" t="s">
        <v>2809</v>
      </c>
      <c r="H778" s="433" t="s">
        <v>2754</v>
      </c>
      <c r="I778" s="433" t="s">
        <v>2714</v>
      </c>
      <c r="J778" s="433" t="s">
        <v>2773</v>
      </c>
      <c r="K778" s="433" t="s">
        <v>2899</v>
      </c>
      <c r="L778" s="433" t="s">
        <v>2870</v>
      </c>
      <c r="M778" s="433" t="s">
        <v>2746</v>
      </c>
      <c r="N778" s="433" t="s">
        <v>2677</v>
      </c>
      <c r="O778" s="433" t="s">
        <v>3119</v>
      </c>
      <c r="P778" s="433" t="s">
        <v>4260</v>
      </c>
      <c r="Q778" s="431"/>
      <c r="R778" s="431"/>
      <c r="S778" s="426" t="s">
        <v>2669</v>
      </c>
      <c r="T778" s="426" t="s">
        <v>2657</v>
      </c>
      <c r="U778" s="426" t="s">
        <v>2657</v>
      </c>
      <c r="V778" s="426" t="s">
        <v>2657</v>
      </c>
      <c r="W778" s="426" t="s">
        <v>2688</v>
      </c>
      <c r="X778" s="426" t="s">
        <v>2900</v>
      </c>
      <c r="Y778" s="426" t="s">
        <v>2940</v>
      </c>
      <c r="Z778" s="426" t="s">
        <v>3143</v>
      </c>
      <c r="AA778" s="426" t="s">
        <v>3332</v>
      </c>
      <c r="AB778" s="426" t="s">
        <v>3366</v>
      </c>
      <c r="AC778" s="426" t="s">
        <v>2646</v>
      </c>
      <c r="AD778" s="426" t="s">
        <v>2646</v>
      </c>
      <c r="AE778" s="426" t="s">
        <v>2646</v>
      </c>
      <c r="AF778" s="426" t="s">
        <v>2646</v>
      </c>
      <c r="AG778" s="426" t="s">
        <v>2646</v>
      </c>
      <c r="AH778" s="426" t="s">
        <v>2646</v>
      </c>
      <c r="AI778" s="426" t="s">
        <v>2646</v>
      </c>
      <c r="AJ778" s="68" t="s">
        <v>2646</v>
      </c>
    </row>
    <row r="779" spans="1:36" hidden="1">
      <c r="A779" s="68" t="s">
        <v>2041</v>
      </c>
      <c r="B779" s="427" t="s">
        <v>2651</v>
      </c>
      <c r="C779" s="433" t="s">
        <v>3721</v>
      </c>
      <c r="D779" s="433" t="s">
        <v>3364</v>
      </c>
      <c r="E779" s="433" t="s">
        <v>2685</v>
      </c>
      <c r="F779" s="433" t="s">
        <v>2753</v>
      </c>
      <c r="G779" s="433" t="s">
        <v>2754</v>
      </c>
      <c r="H779" s="433" t="s">
        <v>2825</v>
      </c>
      <c r="I779" s="433" t="s">
        <v>2825</v>
      </c>
      <c r="J779" s="433" t="s">
        <v>2746</v>
      </c>
      <c r="K779" s="433" t="s">
        <v>2791</v>
      </c>
      <c r="L779" s="433" t="s">
        <v>2680</v>
      </c>
      <c r="M779" s="433" t="s">
        <v>2680</v>
      </c>
      <c r="N779" s="433" t="s">
        <v>2680</v>
      </c>
      <c r="O779" s="433" t="s">
        <v>3956</v>
      </c>
      <c r="P779" s="433" t="s">
        <v>4418</v>
      </c>
      <c r="Q779" s="431"/>
      <c r="R779" s="431"/>
      <c r="S779" s="426" t="s">
        <v>2669</v>
      </c>
      <c r="T779" s="426" t="s">
        <v>2657</v>
      </c>
      <c r="U779" s="426" t="s">
        <v>2657</v>
      </c>
      <c r="V779" s="426" t="s">
        <v>2657</v>
      </c>
      <c r="W779" s="426" t="s">
        <v>2688</v>
      </c>
      <c r="X779" s="426" t="s">
        <v>2900</v>
      </c>
      <c r="Y779" s="426" t="s">
        <v>2940</v>
      </c>
      <c r="Z779" s="426" t="s">
        <v>3537</v>
      </c>
      <c r="AA779" s="426" t="s">
        <v>3530</v>
      </c>
      <c r="AB779" s="426" t="s">
        <v>3307</v>
      </c>
      <c r="AC779" s="426" t="s">
        <v>2646</v>
      </c>
      <c r="AD779" s="426" t="s">
        <v>2646</v>
      </c>
      <c r="AE779" s="426" t="s">
        <v>2646</v>
      </c>
      <c r="AF779" s="426" t="s">
        <v>2646</v>
      </c>
      <c r="AG779" s="426" t="s">
        <v>2646</v>
      </c>
      <c r="AH779" s="426" t="s">
        <v>2646</v>
      </c>
      <c r="AI779" s="426" t="s">
        <v>2646</v>
      </c>
      <c r="AJ779" s="68" t="s">
        <v>2646</v>
      </c>
    </row>
    <row r="780" spans="1:36">
      <c r="A780" s="68" t="s">
        <v>2041</v>
      </c>
      <c r="B780" s="427" t="s">
        <v>48</v>
      </c>
      <c r="C780" s="433" t="s">
        <v>4473</v>
      </c>
      <c r="D780" s="433" t="s">
        <v>3710</v>
      </c>
      <c r="E780" s="433" t="s">
        <v>2858</v>
      </c>
      <c r="F780" s="433" t="s">
        <v>2966</v>
      </c>
      <c r="G780" s="433" t="s">
        <v>3773</v>
      </c>
      <c r="H780" s="433" t="s">
        <v>4222</v>
      </c>
      <c r="I780" s="433" t="s">
        <v>3292</v>
      </c>
      <c r="J780" s="433" t="s">
        <v>3095</v>
      </c>
      <c r="K780" s="433" t="s">
        <v>3474</v>
      </c>
      <c r="L780" s="433" t="s">
        <v>3552</v>
      </c>
      <c r="M780" s="433" t="s">
        <v>3004</v>
      </c>
      <c r="N780" s="433" t="s">
        <v>3145</v>
      </c>
      <c r="O780" s="433" t="s">
        <v>3527</v>
      </c>
      <c r="P780" s="433" t="s">
        <v>2921</v>
      </c>
      <c r="Q780" s="433" t="s">
        <v>2654</v>
      </c>
      <c r="R780" s="433" t="s">
        <v>2654</v>
      </c>
      <c r="S780" s="426"/>
      <c r="T780" s="426"/>
      <c r="U780" s="426"/>
      <c r="V780" s="426"/>
      <c r="W780" s="426"/>
      <c r="X780" s="426"/>
      <c r="Y780" s="426"/>
      <c r="Z780" s="426"/>
      <c r="AA780" s="426"/>
      <c r="AB780" s="426"/>
      <c r="AC780" s="426"/>
      <c r="AD780" s="426"/>
      <c r="AE780" s="426"/>
      <c r="AF780" s="426"/>
      <c r="AG780" s="426"/>
      <c r="AH780" s="426"/>
      <c r="AI780" s="426"/>
    </row>
    <row r="781" spans="1:36" hidden="1">
      <c r="A781" s="68" t="s">
        <v>2042</v>
      </c>
      <c r="B781" s="427" t="s">
        <v>2647</v>
      </c>
      <c r="C781" s="433" t="s">
        <v>3781</v>
      </c>
      <c r="D781" s="433" t="s">
        <v>3815</v>
      </c>
      <c r="E781" s="433" t="s">
        <v>2927</v>
      </c>
      <c r="F781" s="433" t="s">
        <v>2835</v>
      </c>
      <c r="G781" s="433" t="s">
        <v>2899</v>
      </c>
      <c r="H781" s="433" t="s">
        <v>2654</v>
      </c>
      <c r="I781" s="433" t="s">
        <v>2654</v>
      </c>
      <c r="J781" s="433" t="s">
        <v>2654</v>
      </c>
      <c r="K781" s="433" t="s">
        <v>2654</v>
      </c>
      <c r="L781" s="433" t="s">
        <v>2654</v>
      </c>
      <c r="M781" s="433" t="s">
        <v>2654</v>
      </c>
      <c r="N781" s="433" t="s">
        <v>2654</v>
      </c>
      <c r="O781" s="433" t="s">
        <v>4076</v>
      </c>
      <c r="P781" s="433" t="s">
        <v>4085</v>
      </c>
      <c r="Q781" s="431"/>
      <c r="R781" s="431"/>
      <c r="S781" s="426" t="s">
        <v>2660</v>
      </c>
      <c r="T781" s="426" t="s">
        <v>2657</v>
      </c>
      <c r="U781" s="426" t="s">
        <v>2796</v>
      </c>
      <c r="V781" s="426" t="s">
        <v>2657</v>
      </c>
      <c r="W781" s="426" t="s">
        <v>2709</v>
      </c>
      <c r="X781" s="426" t="s">
        <v>3542</v>
      </c>
      <c r="Y781" s="426" t="s">
        <v>2874</v>
      </c>
      <c r="Z781" s="426" t="s">
        <v>3423</v>
      </c>
      <c r="AA781" s="426" t="s">
        <v>3432</v>
      </c>
      <c r="AB781" s="426" t="s">
        <v>2852</v>
      </c>
      <c r="AC781" s="426" t="s">
        <v>2646</v>
      </c>
      <c r="AD781" s="426" t="s">
        <v>2646</v>
      </c>
      <c r="AE781" s="426" t="s">
        <v>2646</v>
      </c>
      <c r="AF781" s="426" t="s">
        <v>2646</v>
      </c>
      <c r="AG781" s="426" t="s">
        <v>2646</v>
      </c>
      <c r="AH781" s="426" t="s">
        <v>2646</v>
      </c>
      <c r="AI781" s="426" t="s">
        <v>2646</v>
      </c>
      <c r="AJ781" s="68" t="s">
        <v>2646</v>
      </c>
    </row>
    <row r="782" spans="1:36" hidden="1">
      <c r="A782" s="68" t="s">
        <v>2043</v>
      </c>
      <c r="B782" s="427" t="s">
        <v>2648</v>
      </c>
      <c r="C782" s="433" t="s">
        <v>4296</v>
      </c>
      <c r="D782" s="433" t="s">
        <v>3364</v>
      </c>
      <c r="E782" s="433" t="s">
        <v>3300</v>
      </c>
      <c r="F782" s="433" t="s">
        <v>3047</v>
      </c>
      <c r="G782" s="433" t="s">
        <v>2870</v>
      </c>
      <c r="H782" s="433" t="s">
        <v>2654</v>
      </c>
      <c r="I782" s="433" t="s">
        <v>2654</v>
      </c>
      <c r="J782" s="433" t="s">
        <v>2654</v>
      </c>
      <c r="K782" s="433" t="s">
        <v>2654</v>
      </c>
      <c r="L782" s="433" t="s">
        <v>2654</v>
      </c>
      <c r="M782" s="433" t="s">
        <v>2654</v>
      </c>
      <c r="N782" s="433" t="s">
        <v>2654</v>
      </c>
      <c r="O782" s="433" t="s">
        <v>4474</v>
      </c>
      <c r="P782" s="433" t="s">
        <v>4465</v>
      </c>
      <c r="Q782" s="431"/>
      <c r="R782" s="431"/>
      <c r="S782" s="426" t="s">
        <v>2658</v>
      </c>
      <c r="T782" s="426" t="s">
        <v>2657</v>
      </c>
      <c r="U782" s="426" t="s">
        <v>3187</v>
      </c>
      <c r="V782" s="426" t="s">
        <v>2657</v>
      </c>
      <c r="W782" s="426" t="s">
        <v>3339</v>
      </c>
      <c r="X782" s="426" t="s">
        <v>2906</v>
      </c>
      <c r="Y782" s="426" t="s">
        <v>3079</v>
      </c>
      <c r="Z782" s="426" t="s">
        <v>3423</v>
      </c>
      <c r="AA782" s="426" t="s">
        <v>3543</v>
      </c>
      <c r="AB782" s="426" t="s">
        <v>3488</v>
      </c>
      <c r="AC782" s="426" t="s">
        <v>2880</v>
      </c>
      <c r="AD782" s="426" t="s">
        <v>2646</v>
      </c>
      <c r="AE782" s="426" t="s">
        <v>2646</v>
      </c>
      <c r="AF782" s="426" t="s">
        <v>2646</v>
      </c>
      <c r="AG782" s="426" t="s">
        <v>2646</v>
      </c>
      <c r="AH782" s="426" t="s">
        <v>2646</v>
      </c>
      <c r="AI782" s="426" t="s">
        <v>2646</v>
      </c>
      <c r="AJ782" s="68" t="s">
        <v>2646</v>
      </c>
    </row>
    <row r="783" spans="1:36" hidden="1">
      <c r="A783" s="68" t="s">
        <v>2044</v>
      </c>
      <c r="B783" s="427" t="s">
        <v>2649</v>
      </c>
      <c r="C783" s="433" t="s">
        <v>3575</v>
      </c>
      <c r="D783" s="433" t="s">
        <v>3851</v>
      </c>
      <c r="E783" s="433" t="s">
        <v>2879</v>
      </c>
      <c r="F783" s="433" t="s">
        <v>2801</v>
      </c>
      <c r="G783" s="433" t="s">
        <v>2870</v>
      </c>
      <c r="H783" s="433" t="s">
        <v>2654</v>
      </c>
      <c r="I783" s="433" t="s">
        <v>2654</v>
      </c>
      <c r="J783" s="433" t="s">
        <v>2654</v>
      </c>
      <c r="K783" s="433" t="s">
        <v>2654</v>
      </c>
      <c r="L783" s="433" t="s">
        <v>2654</v>
      </c>
      <c r="M783" s="433" t="s">
        <v>2654</v>
      </c>
      <c r="N783" s="433" t="s">
        <v>2654</v>
      </c>
      <c r="O783" s="433" t="s">
        <v>2826</v>
      </c>
      <c r="P783" s="433" t="s">
        <v>4475</v>
      </c>
      <c r="Q783" s="431"/>
      <c r="R783" s="431"/>
      <c r="S783" s="426" t="s">
        <v>2660</v>
      </c>
      <c r="T783" s="426" t="s">
        <v>2657</v>
      </c>
      <c r="U783" s="426" t="s">
        <v>2786</v>
      </c>
      <c r="V783" s="426" t="s">
        <v>2657</v>
      </c>
      <c r="W783" s="426" t="s">
        <v>3339</v>
      </c>
      <c r="X783" s="426" t="s">
        <v>2906</v>
      </c>
      <c r="Y783" s="426" t="s">
        <v>3079</v>
      </c>
      <c r="Z783" s="426" t="s">
        <v>3544</v>
      </c>
      <c r="AA783" s="426" t="s">
        <v>3332</v>
      </c>
      <c r="AB783" s="426" t="s">
        <v>3392</v>
      </c>
      <c r="AC783" s="426" t="s">
        <v>2646</v>
      </c>
      <c r="AD783" s="426" t="s">
        <v>2646</v>
      </c>
      <c r="AE783" s="426" t="s">
        <v>2646</v>
      </c>
      <c r="AF783" s="426" t="s">
        <v>2646</v>
      </c>
      <c r="AG783" s="426" t="s">
        <v>2646</v>
      </c>
      <c r="AH783" s="426" t="s">
        <v>2646</v>
      </c>
      <c r="AI783" s="426" t="s">
        <v>2646</v>
      </c>
      <c r="AJ783" s="68" t="s">
        <v>2646</v>
      </c>
    </row>
    <row r="784" spans="1:36" hidden="1">
      <c r="A784" s="68" t="s">
        <v>2045</v>
      </c>
      <c r="B784" s="427" t="s">
        <v>2650</v>
      </c>
      <c r="C784" s="433" t="s">
        <v>3169</v>
      </c>
      <c r="D784" s="433" t="s">
        <v>3364</v>
      </c>
      <c r="E784" s="433" t="s">
        <v>3044</v>
      </c>
      <c r="F784" s="433" t="s">
        <v>2917</v>
      </c>
      <c r="G784" s="433" t="s">
        <v>2870</v>
      </c>
      <c r="H784" s="433" t="s">
        <v>2654</v>
      </c>
      <c r="I784" s="433" t="s">
        <v>2654</v>
      </c>
      <c r="J784" s="433" t="s">
        <v>2654</v>
      </c>
      <c r="K784" s="433" t="s">
        <v>2654</v>
      </c>
      <c r="L784" s="433" t="s">
        <v>2654</v>
      </c>
      <c r="M784" s="433" t="s">
        <v>2654</v>
      </c>
      <c r="N784" s="433" t="s">
        <v>2654</v>
      </c>
      <c r="O784" s="433" t="s">
        <v>2667</v>
      </c>
      <c r="P784" s="433" t="s">
        <v>4231</v>
      </c>
      <c r="Q784" s="431"/>
      <c r="R784" s="431"/>
      <c r="S784" s="426" t="s">
        <v>2669</v>
      </c>
      <c r="T784" s="426" t="s">
        <v>2657</v>
      </c>
      <c r="U784" s="426" t="s">
        <v>2844</v>
      </c>
      <c r="V784" s="426" t="s">
        <v>2657</v>
      </c>
      <c r="W784" s="426" t="s">
        <v>3339</v>
      </c>
      <c r="X784" s="426" t="s">
        <v>2906</v>
      </c>
      <c r="Y784" s="426" t="s">
        <v>3079</v>
      </c>
      <c r="Z784" s="426" t="s">
        <v>3538</v>
      </c>
      <c r="AA784" s="426" t="s">
        <v>3530</v>
      </c>
      <c r="AB784" s="426" t="s">
        <v>3349</v>
      </c>
      <c r="AC784" s="426" t="s">
        <v>2646</v>
      </c>
      <c r="AD784" s="426" t="s">
        <v>2646</v>
      </c>
      <c r="AE784" s="426" t="s">
        <v>2646</v>
      </c>
      <c r="AF784" s="426" t="s">
        <v>2646</v>
      </c>
      <c r="AG784" s="426" t="s">
        <v>2646</v>
      </c>
      <c r="AH784" s="426" t="s">
        <v>2646</v>
      </c>
      <c r="AI784" s="426" t="s">
        <v>2646</v>
      </c>
      <c r="AJ784" s="68" t="s">
        <v>2646</v>
      </c>
    </row>
    <row r="785" spans="1:36" hidden="1">
      <c r="A785" s="68" t="s">
        <v>2046</v>
      </c>
      <c r="B785" s="427" t="s">
        <v>2651</v>
      </c>
      <c r="C785" s="433" t="s">
        <v>3573</v>
      </c>
      <c r="D785" s="433" t="s">
        <v>3851</v>
      </c>
      <c r="E785" s="433" t="s">
        <v>3011</v>
      </c>
      <c r="F785" s="433" t="s">
        <v>2722</v>
      </c>
      <c r="G785" s="433" t="s">
        <v>2870</v>
      </c>
      <c r="H785" s="433" t="s">
        <v>2654</v>
      </c>
      <c r="I785" s="433" t="s">
        <v>2654</v>
      </c>
      <c r="J785" s="433" t="s">
        <v>2654</v>
      </c>
      <c r="K785" s="433" t="s">
        <v>2654</v>
      </c>
      <c r="L785" s="433" t="s">
        <v>2654</v>
      </c>
      <c r="M785" s="433" t="s">
        <v>2654</v>
      </c>
      <c r="N785" s="433" t="s">
        <v>2654</v>
      </c>
      <c r="O785" s="433" t="s">
        <v>4285</v>
      </c>
      <c r="P785" s="433" t="s">
        <v>4476</v>
      </c>
      <c r="Q785" s="431"/>
      <c r="R785" s="431"/>
      <c r="S785" s="426" t="s">
        <v>2669</v>
      </c>
      <c r="T785" s="426" t="s">
        <v>2657</v>
      </c>
      <c r="U785" s="426" t="s">
        <v>2657</v>
      </c>
      <c r="V785" s="426" t="s">
        <v>2657</v>
      </c>
      <c r="W785" s="426" t="s">
        <v>3339</v>
      </c>
      <c r="X785" s="426" t="s">
        <v>2906</v>
      </c>
      <c r="Y785" s="426" t="s">
        <v>3079</v>
      </c>
      <c r="Z785" s="426" t="s">
        <v>3538</v>
      </c>
      <c r="AA785" s="426" t="s">
        <v>3432</v>
      </c>
      <c r="AB785" s="426" t="s">
        <v>3412</v>
      </c>
      <c r="AC785" s="426" t="s">
        <v>2646</v>
      </c>
      <c r="AD785" s="426" t="s">
        <v>2646</v>
      </c>
      <c r="AE785" s="426" t="s">
        <v>2646</v>
      </c>
      <c r="AF785" s="426" t="s">
        <v>2646</v>
      </c>
      <c r="AG785" s="426" t="s">
        <v>2646</v>
      </c>
      <c r="AH785" s="426" t="s">
        <v>2646</v>
      </c>
      <c r="AI785" s="426" t="s">
        <v>2646</v>
      </c>
      <c r="AJ785" s="68" t="s">
        <v>2646</v>
      </c>
    </row>
    <row r="786" spans="1:36">
      <c r="A786" s="68" t="s">
        <v>2046</v>
      </c>
      <c r="B786" s="427" t="s">
        <v>48</v>
      </c>
      <c r="C786" s="433" t="s">
        <v>4477</v>
      </c>
      <c r="D786" s="433" t="s">
        <v>4030</v>
      </c>
      <c r="E786" s="433" t="s">
        <v>2772</v>
      </c>
      <c r="F786" s="433" t="s">
        <v>3870</v>
      </c>
      <c r="G786" s="433" t="s">
        <v>3782</v>
      </c>
      <c r="H786" s="433" t="s">
        <v>2654</v>
      </c>
      <c r="I786" s="433" t="s">
        <v>2654</v>
      </c>
      <c r="J786" s="433" t="s">
        <v>2654</v>
      </c>
      <c r="K786" s="433" t="s">
        <v>2654</v>
      </c>
      <c r="L786" s="433" t="s">
        <v>2654</v>
      </c>
      <c r="M786" s="433" t="s">
        <v>2654</v>
      </c>
      <c r="N786" s="433" t="s">
        <v>2654</v>
      </c>
      <c r="O786" s="433" t="s">
        <v>2674</v>
      </c>
      <c r="P786" s="433" t="s">
        <v>4008</v>
      </c>
      <c r="Q786" s="433" t="s">
        <v>2654</v>
      </c>
      <c r="R786" s="433" t="s">
        <v>2654</v>
      </c>
      <c r="S786" s="426"/>
      <c r="T786" s="426"/>
      <c r="U786" s="426"/>
      <c r="V786" s="426"/>
      <c r="W786" s="426"/>
      <c r="X786" s="426"/>
      <c r="Y786" s="426"/>
      <c r="Z786" s="426"/>
      <c r="AA786" s="426"/>
      <c r="AB786" s="426"/>
      <c r="AC786" s="426"/>
      <c r="AD786" s="426"/>
      <c r="AE786" s="426"/>
      <c r="AF786" s="426"/>
      <c r="AG786" s="426"/>
      <c r="AH786" s="426"/>
      <c r="AI786" s="426"/>
    </row>
    <row r="787" spans="1:36" hidden="1">
      <c r="A787" s="68" t="s">
        <v>2047</v>
      </c>
      <c r="B787" s="427" t="s">
        <v>2647</v>
      </c>
      <c r="C787" s="433" t="s">
        <v>3756</v>
      </c>
      <c r="D787" s="433" t="s">
        <v>3860</v>
      </c>
      <c r="E787" s="433" t="s">
        <v>2730</v>
      </c>
      <c r="F787" s="433" t="s">
        <v>2676</v>
      </c>
      <c r="G787" s="433" t="s">
        <v>2746</v>
      </c>
      <c r="H787" s="433" t="s">
        <v>2654</v>
      </c>
      <c r="I787" s="433" t="s">
        <v>2654</v>
      </c>
      <c r="J787" s="433" t="s">
        <v>2654</v>
      </c>
      <c r="K787" s="433" t="s">
        <v>2654</v>
      </c>
      <c r="L787" s="433" t="s">
        <v>2654</v>
      </c>
      <c r="M787" s="433" t="s">
        <v>2654</v>
      </c>
      <c r="N787" s="433" t="s">
        <v>2654</v>
      </c>
      <c r="O787" s="433" t="s">
        <v>4478</v>
      </c>
      <c r="P787" s="433" t="s">
        <v>4462</v>
      </c>
      <c r="Q787" s="431"/>
      <c r="R787" s="431"/>
      <c r="S787" s="426" t="s">
        <v>2669</v>
      </c>
      <c r="T787" s="426" t="s">
        <v>2657</v>
      </c>
      <c r="U787" s="426" t="s">
        <v>2657</v>
      </c>
      <c r="V787" s="426" t="s">
        <v>2657</v>
      </c>
      <c r="W787" s="426" t="s">
        <v>3339</v>
      </c>
      <c r="X787" s="426" t="s">
        <v>2920</v>
      </c>
      <c r="Y787" s="426" t="s">
        <v>3082</v>
      </c>
      <c r="Z787" s="426" t="s">
        <v>3423</v>
      </c>
      <c r="AA787" s="426" t="s">
        <v>3432</v>
      </c>
      <c r="AB787" s="426" t="s">
        <v>3411</v>
      </c>
      <c r="AC787" s="426" t="s">
        <v>2646</v>
      </c>
      <c r="AD787" s="426" t="s">
        <v>2646</v>
      </c>
      <c r="AE787" s="426" t="s">
        <v>2646</v>
      </c>
      <c r="AF787" s="426" t="s">
        <v>2646</v>
      </c>
      <c r="AG787" s="426" t="s">
        <v>2646</v>
      </c>
      <c r="AH787" s="426" t="s">
        <v>2646</v>
      </c>
      <c r="AI787" s="426" t="s">
        <v>2646</v>
      </c>
      <c r="AJ787" s="68" t="s">
        <v>2646</v>
      </c>
    </row>
    <row r="788" spans="1:36" hidden="1">
      <c r="A788" s="68" t="s">
        <v>2048</v>
      </c>
      <c r="B788" s="427" t="s">
        <v>2648</v>
      </c>
      <c r="C788" s="433" t="s">
        <v>3779</v>
      </c>
      <c r="D788" s="433" t="s">
        <v>3710</v>
      </c>
      <c r="E788" s="433" t="s">
        <v>2959</v>
      </c>
      <c r="F788" s="433" t="s">
        <v>2928</v>
      </c>
      <c r="G788" s="433" t="s">
        <v>2746</v>
      </c>
      <c r="H788" s="433" t="s">
        <v>2654</v>
      </c>
      <c r="I788" s="433" t="s">
        <v>2654</v>
      </c>
      <c r="J788" s="433" t="s">
        <v>2654</v>
      </c>
      <c r="K788" s="433" t="s">
        <v>2654</v>
      </c>
      <c r="L788" s="433" t="s">
        <v>2654</v>
      </c>
      <c r="M788" s="433" t="s">
        <v>2654</v>
      </c>
      <c r="N788" s="433" t="s">
        <v>2654</v>
      </c>
      <c r="O788" s="433" t="s">
        <v>4109</v>
      </c>
      <c r="P788" s="433" t="s">
        <v>4311</v>
      </c>
      <c r="Q788" s="431"/>
      <c r="R788" s="431"/>
      <c r="S788" s="426" t="s">
        <v>2655</v>
      </c>
      <c r="T788" s="426" t="s">
        <v>2657</v>
      </c>
      <c r="U788" s="426" t="s">
        <v>2657</v>
      </c>
      <c r="V788" s="426" t="s">
        <v>2657</v>
      </c>
      <c r="W788" s="426" t="s">
        <v>3339</v>
      </c>
      <c r="X788" s="426" t="s">
        <v>2920</v>
      </c>
      <c r="Y788" s="426" t="s">
        <v>3082</v>
      </c>
      <c r="Z788" s="426" t="s">
        <v>3423</v>
      </c>
      <c r="AA788" s="426" t="s">
        <v>3332</v>
      </c>
      <c r="AB788" s="426" t="s">
        <v>3349</v>
      </c>
      <c r="AC788" s="426" t="s">
        <v>2646</v>
      </c>
      <c r="AD788" s="426" t="s">
        <v>2646</v>
      </c>
      <c r="AE788" s="426" t="s">
        <v>2646</v>
      </c>
      <c r="AF788" s="426" t="s">
        <v>2646</v>
      </c>
      <c r="AG788" s="426" t="s">
        <v>2646</v>
      </c>
      <c r="AH788" s="426" t="s">
        <v>2646</v>
      </c>
      <c r="AI788" s="426" t="s">
        <v>2646</v>
      </c>
      <c r="AJ788" s="68" t="s">
        <v>2646</v>
      </c>
    </row>
    <row r="789" spans="1:36" hidden="1">
      <c r="A789" s="68" t="s">
        <v>2049</v>
      </c>
      <c r="B789" s="427" t="s">
        <v>2649</v>
      </c>
      <c r="C789" s="433" t="s">
        <v>4142</v>
      </c>
      <c r="D789" s="433" t="s">
        <v>3364</v>
      </c>
      <c r="E789" s="433" t="s">
        <v>2730</v>
      </c>
      <c r="F789" s="433" t="s">
        <v>2676</v>
      </c>
      <c r="G789" s="433" t="s">
        <v>2896</v>
      </c>
      <c r="H789" s="433" t="s">
        <v>2654</v>
      </c>
      <c r="I789" s="433" t="s">
        <v>2654</v>
      </c>
      <c r="J789" s="433" t="s">
        <v>2654</v>
      </c>
      <c r="K789" s="433" t="s">
        <v>2654</v>
      </c>
      <c r="L789" s="433" t="s">
        <v>2654</v>
      </c>
      <c r="M789" s="433" t="s">
        <v>2654</v>
      </c>
      <c r="N789" s="433" t="s">
        <v>2654</v>
      </c>
      <c r="O789" s="433" t="s">
        <v>3777</v>
      </c>
      <c r="P789" s="433" t="s">
        <v>4479</v>
      </c>
      <c r="Q789" s="431"/>
      <c r="R789" s="431"/>
      <c r="S789" s="426" t="s">
        <v>2660</v>
      </c>
      <c r="T789" s="426" t="s">
        <v>2657</v>
      </c>
      <c r="U789" s="426" t="s">
        <v>2657</v>
      </c>
      <c r="V789" s="426" t="s">
        <v>2657</v>
      </c>
      <c r="W789" s="426" t="s">
        <v>3339</v>
      </c>
      <c r="X789" s="426" t="s">
        <v>2920</v>
      </c>
      <c r="Y789" s="426" t="s">
        <v>3082</v>
      </c>
      <c r="Z789" s="426" t="s">
        <v>3537</v>
      </c>
      <c r="AA789" s="426" t="s">
        <v>3546</v>
      </c>
      <c r="AB789" s="426" t="s">
        <v>3398</v>
      </c>
      <c r="AC789" s="426" t="s">
        <v>3118</v>
      </c>
      <c r="AD789" s="426" t="s">
        <v>2646</v>
      </c>
      <c r="AE789" s="426" t="s">
        <v>2646</v>
      </c>
      <c r="AF789" s="426" t="s">
        <v>2646</v>
      </c>
      <c r="AG789" s="426" t="s">
        <v>2646</v>
      </c>
      <c r="AH789" s="426" t="s">
        <v>2646</v>
      </c>
      <c r="AI789" s="426" t="s">
        <v>2646</v>
      </c>
      <c r="AJ789" s="68" t="s">
        <v>2646</v>
      </c>
    </row>
    <row r="790" spans="1:36" hidden="1">
      <c r="A790" s="68" t="s">
        <v>2050</v>
      </c>
      <c r="B790" s="427" t="s">
        <v>2650</v>
      </c>
      <c r="C790" s="433" t="s">
        <v>3790</v>
      </c>
      <c r="D790" s="433" t="s">
        <v>3364</v>
      </c>
      <c r="E790" s="433" t="s">
        <v>3321</v>
      </c>
      <c r="F790" s="433" t="s">
        <v>2699</v>
      </c>
      <c r="G790" s="433" t="s">
        <v>2899</v>
      </c>
      <c r="H790" s="433" t="s">
        <v>2654</v>
      </c>
      <c r="I790" s="433" t="s">
        <v>2654</v>
      </c>
      <c r="J790" s="433" t="s">
        <v>2654</v>
      </c>
      <c r="K790" s="433" t="s">
        <v>2654</v>
      </c>
      <c r="L790" s="433" t="s">
        <v>2654</v>
      </c>
      <c r="M790" s="433" t="s">
        <v>2654</v>
      </c>
      <c r="N790" s="433" t="s">
        <v>2654</v>
      </c>
      <c r="O790" s="433" t="s">
        <v>2826</v>
      </c>
      <c r="P790" s="433" t="s">
        <v>4085</v>
      </c>
      <c r="Q790" s="431"/>
      <c r="R790" s="431"/>
      <c r="S790" s="426" t="s">
        <v>2655</v>
      </c>
      <c r="T790" s="426" t="s">
        <v>2657</v>
      </c>
      <c r="U790" s="426" t="s">
        <v>2796</v>
      </c>
      <c r="V790" s="426" t="s">
        <v>2657</v>
      </c>
      <c r="W790" s="426" t="s">
        <v>3339</v>
      </c>
      <c r="X790" s="426" t="s">
        <v>2920</v>
      </c>
      <c r="Y790" s="426" t="s">
        <v>3082</v>
      </c>
      <c r="Z790" s="426" t="s">
        <v>3090</v>
      </c>
      <c r="AA790" s="426" t="s">
        <v>3332</v>
      </c>
      <c r="AB790" s="426" t="s">
        <v>3412</v>
      </c>
      <c r="AC790" s="426" t="s">
        <v>2846</v>
      </c>
      <c r="AD790" s="426" t="s">
        <v>2646</v>
      </c>
      <c r="AE790" s="426" t="s">
        <v>2646</v>
      </c>
      <c r="AF790" s="426" t="s">
        <v>2646</v>
      </c>
      <c r="AG790" s="426" t="s">
        <v>2646</v>
      </c>
      <c r="AH790" s="426" t="s">
        <v>2646</v>
      </c>
      <c r="AI790" s="426" t="s">
        <v>2646</v>
      </c>
      <c r="AJ790" s="68" t="s">
        <v>2646</v>
      </c>
    </row>
    <row r="791" spans="1:36" hidden="1">
      <c r="A791" s="68" t="s">
        <v>2051</v>
      </c>
      <c r="B791" s="427" t="s">
        <v>2651</v>
      </c>
      <c r="C791" s="433" t="s">
        <v>3794</v>
      </c>
      <c r="D791" s="433" t="s">
        <v>3364</v>
      </c>
      <c r="E791" s="433" t="s">
        <v>2730</v>
      </c>
      <c r="F791" s="433" t="s">
        <v>3036</v>
      </c>
      <c r="G791" s="433" t="s">
        <v>2896</v>
      </c>
      <c r="H791" s="433" t="s">
        <v>2654</v>
      </c>
      <c r="I791" s="433" t="s">
        <v>2654</v>
      </c>
      <c r="J791" s="433" t="s">
        <v>2654</v>
      </c>
      <c r="K791" s="433" t="s">
        <v>2654</v>
      </c>
      <c r="L791" s="433" t="s">
        <v>2654</v>
      </c>
      <c r="M791" s="433" t="s">
        <v>2654</v>
      </c>
      <c r="N791" s="433" t="s">
        <v>2654</v>
      </c>
      <c r="O791" s="433" t="s">
        <v>4480</v>
      </c>
      <c r="P791" s="433" t="s">
        <v>4481</v>
      </c>
      <c r="Q791" s="431"/>
      <c r="R791" s="431"/>
      <c r="S791" s="426" t="s">
        <v>2768</v>
      </c>
      <c r="T791" s="426" t="s">
        <v>2657</v>
      </c>
      <c r="U791" s="426" t="s">
        <v>2657</v>
      </c>
      <c r="V791" s="426" t="s">
        <v>2657</v>
      </c>
      <c r="W791" s="426" t="s">
        <v>3339</v>
      </c>
      <c r="X791" s="426" t="s">
        <v>2920</v>
      </c>
      <c r="Y791" s="426" t="s">
        <v>3082</v>
      </c>
      <c r="Z791" s="426" t="s">
        <v>3423</v>
      </c>
      <c r="AA791" s="426" t="s">
        <v>3546</v>
      </c>
      <c r="AB791" s="426" t="s">
        <v>2852</v>
      </c>
      <c r="AC791" s="426" t="s">
        <v>2646</v>
      </c>
      <c r="AD791" s="426" t="s">
        <v>2646</v>
      </c>
      <c r="AE791" s="426" t="s">
        <v>2646</v>
      </c>
      <c r="AF791" s="426" t="s">
        <v>2646</v>
      </c>
      <c r="AG791" s="426" t="s">
        <v>2646</v>
      </c>
      <c r="AH791" s="426" t="s">
        <v>2646</v>
      </c>
      <c r="AI791" s="426" t="s">
        <v>2646</v>
      </c>
      <c r="AJ791" s="68" t="s">
        <v>2646</v>
      </c>
    </row>
    <row r="792" spans="1:36">
      <c r="A792" s="68" t="s">
        <v>2051</v>
      </c>
      <c r="B792" s="427" t="s">
        <v>48</v>
      </c>
      <c r="C792" s="433" t="s">
        <v>4482</v>
      </c>
      <c r="D792" s="433" t="s">
        <v>4335</v>
      </c>
      <c r="E792" s="433" t="s">
        <v>4483</v>
      </c>
      <c r="F792" s="433" t="s">
        <v>4245</v>
      </c>
      <c r="G792" s="433" t="s">
        <v>4131</v>
      </c>
      <c r="H792" s="433" t="s">
        <v>2654</v>
      </c>
      <c r="I792" s="433" t="s">
        <v>2654</v>
      </c>
      <c r="J792" s="433" t="s">
        <v>2654</v>
      </c>
      <c r="K792" s="433" t="s">
        <v>2654</v>
      </c>
      <c r="L792" s="433" t="s">
        <v>2654</v>
      </c>
      <c r="M792" s="433" t="s">
        <v>2654</v>
      </c>
      <c r="N792" s="433" t="s">
        <v>2654</v>
      </c>
      <c r="O792" s="433" t="s">
        <v>3958</v>
      </c>
      <c r="P792" s="433" t="s">
        <v>2753</v>
      </c>
      <c r="Q792" s="433" t="s">
        <v>2654</v>
      </c>
      <c r="R792" s="433" t="s">
        <v>2654</v>
      </c>
      <c r="S792" s="426"/>
      <c r="T792" s="426"/>
      <c r="U792" s="426"/>
      <c r="V792" s="426"/>
      <c r="W792" s="426"/>
      <c r="X792" s="426"/>
      <c r="Y792" s="426"/>
      <c r="Z792" s="426"/>
      <c r="AA792" s="426"/>
      <c r="AB792" s="426"/>
      <c r="AC792" s="426"/>
      <c r="AD792" s="426"/>
      <c r="AE792" s="426"/>
      <c r="AF792" s="426"/>
      <c r="AG792" s="426"/>
      <c r="AH792" s="426"/>
      <c r="AI792" s="426"/>
    </row>
    <row r="793" spans="1:36" hidden="1">
      <c r="A793" s="68" t="s">
        <v>2052</v>
      </c>
      <c r="B793" s="427" t="s">
        <v>2647</v>
      </c>
      <c r="C793" s="433" t="s">
        <v>3591</v>
      </c>
      <c r="D793" s="433" t="s">
        <v>3364</v>
      </c>
      <c r="E793" s="433" t="s">
        <v>3980</v>
      </c>
      <c r="F793" s="433" t="s">
        <v>4484</v>
      </c>
      <c r="G793" s="433" t="s">
        <v>3740</v>
      </c>
      <c r="H793" s="433" t="s">
        <v>4389</v>
      </c>
      <c r="I793" s="433" t="s">
        <v>3982</v>
      </c>
      <c r="J793" s="433" t="s">
        <v>3850</v>
      </c>
      <c r="K793" s="433" t="s">
        <v>4012</v>
      </c>
      <c r="L793" s="433" t="s">
        <v>3512</v>
      </c>
      <c r="M793" s="433" t="s">
        <v>3770</v>
      </c>
      <c r="N793" s="433" t="s">
        <v>3804</v>
      </c>
      <c r="O793" s="433" t="s">
        <v>4485</v>
      </c>
      <c r="P793" s="433" t="s">
        <v>4085</v>
      </c>
      <c r="Q793" s="431"/>
      <c r="R793" s="431"/>
      <c r="S793" s="426" t="s">
        <v>2669</v>
      </c>
      <c r="T793" s="426" t="s">
        <v>2657</v>
      </c>
      <c r="U793" s="426" t="s">
        <v>2657</v>
      </c>
      <c r="V793" s="426" t="s">
        <v>2657</v>
      </c>
      <c r="W793" s="426" t="s">
        <v>2664</v>
      </c>
      <c r="X793" s="426" t="s">
        <v>3547</v>
      </c>
      <c r="Y793" s="426" t="s">
        <v>3548</v>
      </c>
      <c r="Z793" s="426" t="s">
        <v>3549</v>
      </c>
      <c r="AA793" s="426" t="s">
        <v>2646</v>
      </c>
      <c r="AB793" s="426" t="s">
        <v>2646</v>
      </c>
      <c r="AC793" s="426" t="s">
        <v>2646</v>
      </c>
      <c r="AD793" s="426" t="s">
        <v>2646</v>
      </c>
      <c r="AE793" s="426" t="s">
        <v>2646</v>
      </c>
      <c r="AF793" s="426" t="s">
        <v>2646</v>
      </c>
      <c r="AG793" s="426" t="s">
        <v>2646</v>
      </c>
      <c r="AH793" s="426" t="s">
        <v>2646</v>
      </c>
      <c r="AI793" s="426" t="s">
        <v>2646</v>
      </c>
      <c r="AJ793" s="68" t="s">
        <v>2646</v>
      </c>
    </row>
    <row r="794" spans="1:36" hidden="1">
      <c r="A794" s="68" t="s">
        <v>2053</v>
      </c>
      <c r="B794" s="427" t="s">
        <v>2648</v>
      </c>
      <c r="C794" s="433" t="s">
        <v>3741</v>
      </c>
      <c r="D794" s="433" t="s">
        <v>3364</v>
      </c>
      <c r="E794" s="433" t="s">
        <v>4486</v>
      </c>
      <c r="F794" s="433" t="s">
        <v>4484</v>
      </c>
      <c r="G794" s="433" t="s">
        <v>3984</v>
      </c>
      <c r="H794" s="433" t="s">
        <v>3827</v>
      </c>
      <c r="I794" s="433" t="s">
        <v>3085</v>
      </c>
      <c r="J794" s="433" t="s">
        <v>3738</v>
      </c>
      <c r="K794" s="433" t="s">
        <v>3317</v>
      </c>
      <c r="L794" s="433" t="s">
        <v>3765</v>
      </c>
      <c r="M794" s="433" t="s">
        <v>3728</v>
      </c>
      <c r="N794" s="433" t="s">
        <v>3801</v>
      </c>
      <c r="O794" s="433" t="s">
        <v>3740</v>
      </c>
      <c r="P794" s="433" t="s">
        <v>4426</v>
      </c>
      <c r="Q794" s="431"/>
      <c r="R794" s="431"/>
      <c r="S794" s="426" t="s">
        <v>2786</v>
      </c>
      <c r="T794" s="426" t="s">
        <v>2657</v>
      </c>
      <c r="U794" s="426" t="s">
        <v>2768</v>
      </c>
      <c r="V794" s="426" t="s">
        <v>2657</v>
      </c>
      <c r="W794" s="426" t="s">
        <v>2664</v>
      </c>
      <c r="X794" s="426" t="s">
        <v>3547</v>
      </c>
      <c r="Y794" s="426" t="s">
        <v>3548</v>
      </c>
      <c r="Z794" s="426" t="s">
        <v>3550</v>
      </c>
      <c r="AA794" s="426" t="s">
        <v>2646</v>
      </c>
      <c r="AB794" s="426" t="s">
        <v>2646</v>
      </c>
      <c r="AC794" s="426" t="s">
        <v>2646</v>
      </c>
      <c r="AD794" s="426" t="s">
        <v>2646</v>
      </c>
      <c r="AE794" s="426" t="s">
        <v>2646</v>
      </c>
      <c r="AF794" s="426" t="s">
        <v>2646</v>
      </c>
      <c r="AG794" s="426" t="s">
        <v>2646</v>
      </c>
      <c r="AH794" s="426" t="s">
        <v>2646</v>
      </c>
      <c r="AI794" s="426" t="s">
        <v>2646</v>
      </c>
      <c r="AJ794" s="68" t="s">
        <v>2646</v>
      </c>
    </row>
    <row r="795" spans="1:36" hidden="1">
      <c r="A795" s="68" t="s">
        <v>2054</v>
      </c>
      <c r="B795" s="427" t="s">
        <v>2649</v>
      </c>
      <c r="C795" s="433" t="s">
        <v>3591</v>
      </c>
      <c r="D795" s="433" t="s">
        <v>3710</v>
      </c>
      <c r="E795" s="433" t="s">
        <v>4009</v>
      </c>
      <c r="F795" s="433" t="s">
        <v>4487</v>
      </c>
      <c r="G795" s="433" t="s">
        <v>4010</v>
      </c>
      <c r="H795" s="433" t="s">
        <v>4488</v>
      </c>
      <c r="I795" s="433" t="s">
        <v>4385</v>
      </c>
      <c r="J795" s="433" t="s">
        <v>3984</v>
      </c>
      <c r="K795" s="433" t="s">
        <v>3898</v>
      </c>
      <c r="L795" s="433" t="s">
        <v>4016</v>
      </c>
      <c r="M795" s="433" t="s">
        <v>3016</v>
      </c>
      <c r="N795" s="433" t="s">
        <v>3767</v>
      </c>
      <c r="O795" s="433" t="s">
        <v>4489</v>
      </c>
      <c r="P795" s="433" t="s">
        <v>4257</v>
      </c>
      <c r="Q795" s="431"/>
      <c r="R795" s="431"/>
      <c r="S795" s="426" t="s">
        <v>2655</v>
      </c>
      <c r="T795" s="426" t="s">
        <v>2657</v>
      </c>
      <c r="U795" s="426" t="s">
        <v>2796</v>
      </c>
      <c r="V795" s="426" t="s">
        <v>2657</v>
      </c>
      <c r="W795" s="426" t="s">
        <v>2664</v>
      </c>
      <c r="X795" s="426" t="s">
        <v>3547</v>
      </c>
      <c r="Y795" s="426" t="s">
        <v>3548</v>
      </c>
      <c r="Z795" s="426" t="s">
        <v>3550</v>
      </c>
      <c r="AA795" s="426" t="s">
        <v>2646</v>
      </c>
      <c r="AB795" s="426" t="s">
        <v>2646</v>
      </c>
      <c r="AC795" s="426" t="s">
        <v>2646</v>
      </c>
      <c r="AD795" s="426" t="s">
        <v>2646</v>
      </c>
      <c r="AE795" s="426" t="s">
        <v>2646</v>
      </c>
      <c r="AF795" s="426" t="s">
        <v>2646</v>
      </c>
      <c r="AG795" s="426" t="s">
        <v>2646</v>
      </c>
      <c r="AH795" s="426" t="s">
        <v>2646</v>
      </c>
      <c r="AI795" s="426" t="s">
        <v>2646</v>
      </c>
      <c r="AJ795" s="68" t="s">
        <v>2646</v>
      </c>
    </row>
    <row r="796" spans="1:36" hidden="1">
      <c r="A796" s="68" t="s">
        <v>2055</v>
      </c>
      <c r="B796" s="427" t="s">
        <v>2650</v>
      </c>
      <c r="C796" s="433" t="s">
        <v>3591</v>
      </c>
      <c r="D796" s="433" t="s">
        <v>3710</v>
      </c>
      <c r="E796" s="433" t="s">
        <v>3820</v>
      </c>
      <c r="F796" s="433" t="s">
        <v>4488</v>
      </c>
      <c r="G796" s="433" t="s">
        <v>3409</v>
      </c>
      <c r="H796" s="433" t="s">
        <v>3500</v>
      </c>
      <c r="I796" s="433" t="s">
        <v>3984</v>
      </c>
      <c r="J796" s="433" t="s">
        <v>3822</v>
      </c>
      <c r="K796" s="433" t="s">
        <v>3982</v>
      </c>
      <c r="L796" s="433" t="s">
        <v>3850</v>
      </c>
      <c r="M796" s="433" t="s">
        <v>3016</v>
      </c>
      <c r="N796" s="433" t="s">
        <v>3824</v>
      </c>
      <c r="O796" s="433" t="s">
        <v>4490</v>
      </c>
      <c r="P796" s="433" t="s">
        <v>4107</v>
      </c>
      <c r="Q796" s="431"/>
      <c r="R796" s="431"/>
      <c r="S796" s="426" t="s">
        <v>3187</v>
      </c>
      <c r="T796" s="426" t="s">
        <v>2657</v>
      </c>
      <c r="U796" s="426" t="s">
        <v>2657</v>
      </c>
      <c r="V796" s="426" t="s">
        <v>2657</v>
      </c>
      <c r="W796" s="426" t="s">
        <v>2664</v>
      </c>
      <c r="X796" s="426" t="s">
        <v>3547</v>
      </c>
      <c r="Y796" s="426" t="s">
        <v>3548</v>
      </c>
      <c r="Z796" s="426" t="s">
        <v>3550</v>
      </c>
      <c r="AA796" s="426" t="s">
        <v>2646</v>
      </c>
      <c r="AB796" s="426" t="s">
        <v>2646</v>
      </c>
      <c r="AC796" s="426" t="s">
        <v>2646</v>
      </c>
      <c r="AD796" s="426" t="s">
        <v>2646</v>
      </c>
      <c r="AE796" s="426" t="s">
        <v>2646</v>
      </c>
      <c r="AF796" s="426" t="s">
        <v>2646</v>
      </c>
      <c r="AG796" s="426" t="s">
        <v>2646</v>
      </c>
      <c r="AH796" s="426" t="s">
        <v>2646</v>
      </c>
      <c r="AI796" s="426" t="s">
        <v>2646</v>
      </c>
      <c r="AJ796" s="68" t="s">
        <v>2646</v>
      </c>
    </row>
    <row r="797" spans="1:36" hidden="1">
      <c r="A797" s="68" t="s">
        <v>2056</v>
      </c>
      <c r="B797" s="427" t="s">
        <v>2651</v>
      </c>
      <c r="C797" s="433" t="s">
        <v>4491</v>
      </c>
      <c r="D797" s="433" t="s">
        <v>3710</v>
      </c>
      <c r="E797" s="433" t="s">
        <v>4492</v>
      </c>
      <c r="F797" s="433" t="s">
        <v>4493</v>
      </c>
      <c r="G797" s="433" t="s">
        <v>4011</v>
      </c>
      <c r="H797" s="433" t="s">
        <v>3981</v>
      </c>
      <c r="I797" s="433" t="s">
        <v>3500</v>
      </c>
      <c r="J797" s="433" t="s">
        <v>4494</v>
      </c>
      <c r="K797" s="433" t="s">
        <v>3803</v>
      </c>
      <c r="L797" s="433" t="s">
        <v>4012</v>
      </c>
      <c r="M797" s="433" t="s">
        <v>3085</v>
      </c>
      <c r="N797" s="433" t="s">
        <v>3819</v>
      </c>
      <c r="O797" s="433" t="s">
        <v>4495</v>
      </c>
      <c r="P797" s="433" t="s">
        <v>4465</v>
      </c>
      <c r="Q797" s="431"/>
      <c r="R797" s="431"/>
      <c r="S797" s="426" t="s">
        <v>2673</v>
      </c>
      <c r="T797" s="426" t="s">
        <v>2657</v>
      </c>
      <c r="U797" s="426" t="s">
        <v>2796</v>
      </c>
      <c r="V797" s="426" t="s">
        <v>2657</v>
      </c>
      <c r="W797" s="426" t="s">
        <v>2664</v>
      </c>
      <c r="X797" s="426" t="s">
        <v>3547</v>
      </c>
      <c r="Y797" s="426" t="s">
        <v>3548</v>
      </c>
      <c r="Z797" s="426" t="s">
        <v>3551</v>
      </c>
      <c r="AA797" s="426" t="s">
        <v>2646</v>
      </c>
      <c r="AB797" s="426" t="s">
        <v>2646</v>
      </c>
      <c r="AC797" s="426" t="s">
        <v>2646</v>
      </c>
      <c r="AD797" s="426" t="s">
        <v>2646</v>
      </c>
      <c r="AE797" s="426" t="s">
        <v>2646</v>
      </c>
      <c r="AF797" s="426" t="s">
        <v>2646</v>
      </c>
      <c r="AG797" s="426" t="s">
        <v>2646</v>
      </c>
      <c r="AH797" s="426" t="s">
        <v>2646</v>
      </c>
      <c r="AI797" s="426" t="s">
        <v>2646</v>
      </c>
      <c r="AJ797" s="68" t="s">
        <v>2646</v>
      </c>
    </row>
    <row r="798" spans="1:36">
      <c r="A798" s="68" t="s">
        <v>2056</v>
      </c>
      <c r="B798" s="427" t="s">
        <v>48</v>
      </c>
      <c r="C798" s="433" t="s">
        <v>4496</v>
      </c>
      <c r="D798" s="433" t="s">
        <v>3867</v>
      </c>
      <c r="E798" s="433" t="s">
        <v>4497</v>
      </c>
      <c r="F798" s="433" t="s">
        <v>4498</v>
      </c>
      <c r="G798" s="433" t="s">
        <v>4499</v>
      </c>
      <c r="H798" s="433" t="s">
        <v>4394</v>
      </c>
      <c r="I798" s="433" t="s">
        <v>4500</v>
      </c>
      <c r="J798" s="433" t="s">
        <v>3988</v>
      </c>
      <c r="K798" s="433" t="s">
        <v>4501</v>
      </c>
      <c r="L798" s="433" t="s">
        <v>4502</v>
      </c>
      <c r="M798" s="433" t="s">
        <v>3804</v>
      </c>
      <c r="N798" s="433" t="s">
        <v>3986</v>
      </c>
      <c r="O798" s="433" t="s">
        <v>4503</v>
      </c>
      <c r="P798" s="433" t="s">
        <v>4254</v>
      </c>
      <c r="Q798" s="433" t="s">
        <v>2654</v>
      </c>
      <c r="R798" s="433" t="s">
        <v>2654</v>
      </c>
      <c r="S798" s="426"/>
      <c r="T798" s="426"/>
      <c r="U798" s="426"/>
      <c r="V798" s="426"/>
      <c r="W798" s="426"/>
      <c r="X798" s="426"/>
      <c r="Y798" s="426"/>
      <c r="Z798" s="426"/>
      <c r="AA798" s="426"/>
      <c r="AB798" s="426"/>
      <c r="AC798" s="426"/>
      <c r="AD798" s="426"/>
      <c r="AE798" s="426"/>
      <c r="AF798" s="426"/>
      <c r="AG798" s="426"/>
      <c r="AH798" s="426"/>
      <c r="AI798" s="426"/>
    </row>
    <row r="799" spans="1:36" hidden="1">
      <c r="A799" s="68" t="s">
        <v>2057</v>
      </c>
      <c r="B799" s="427" t="s">
        <v>2647</v>
      </c>
      <c r="C799" s="433" t="s">
        <v>3721</v>
      </c>
      <c r="D799" s="433" t="s">
        <v>3851</v>
      </c>
      <c r="E799" s="433" t="s">
        <v>3766</v>
      </c>
      <c r="F799" s="433" t="s">
        <v>4016</v>
      </c>
      <c r="G799" s="433" t="s">
        <v>3819</v>
      </c>
      <c r="H799" s="433" t="s">
        <v>3767</v>
      </c>
      <c r="I799" s="433" t="s">
        <v>3737</v>
      </c>
      <c r="J799" s="433" t="s">
        <v>3745</v>
      </c>
      <c r="K799" s="433" t="s">
        <v>3728</v>
      </c>
      <c r="L799" s="433" t="s">
        <v>3461</v>
      </c>
      <c r="M799" s="433" t="s">
        <v>3795</v>
      </c>
      <c r="N799" s="433" t="s">
        <v>3009</v>
      </c>
      <c r="O799" s="433" t="s">
        <v>4504</v>
      </c>
      <c r="P799" s="433" t="s">
        <v>4505</v>
      </c>
      <c r="Q799" s="431"/>
      <c r="R799" s="431"/>
      <c r="S799" s="426" t="s">
        <v>3187</v>
      </c>
      <c r="T799" s="426" t="s">
        <v>2657</v>
      </c>
      <c r="U799" s="426" t="s">
        <v>2796</v>
      </c>
      <c r="V799" s="426" t="s">
        <v>2657</v>
      </c>
      <c r="W799" s="426" t="s">
        <v>2664</v>
      </c>
      <c r="X799" s="426" t="s">
        <v>3553</v>
      </c>
      <c r="Y799" s="426" t="s">
        <v>3490</v>
      </c>
      <c r="Z799" s="426" t="s">
        <v>3403</v>
      </c>
      <c r="AA799" s="426" t="s">
        <v>2646</v>
      </c>
      <c r="AB799" s="426" t="s">
        <v>2646</v>
      </c>
      <c r="AC799" s="426" t="s">
        <v>2646</v>
      </c>
      <c r="AD799" s="426" t="s">
        <v>2646</v>
      </c>
      <c r="AE799" s="426" t="s">
        <v>2646</v>
      </c>
      <c r="AF799" s="426" t="s">
        <v>2646</v>
      </c>
      <c r="AG799" s="426" t="s">
        <v>2646</v>
      </c>
      <c r="AH799" s="426" t="s">
        <v>2646</v>
      </c>
      <c r="AI799" s="426" t="s">
        <v>2646</v>
      </c>
      <c r="AJ799" s="68" t="s">
        <v>2646</v>
      </c>
    </row>
    <row r="800" spans="1:36" hidden="1">
      <c r="A800" s="68" t="s">
        <v>2058</v>
      </c>
      <c r="B800" s="427" t="s">
        <v>2648</v>
      </c>
      <c r="C800" s="433" t="s">
        <v>3721</v>
      </c>
      <c r="D800" s="433" t="s">
        <v>3851</v>
      </c>
      <c r="E800" s="433" t="s">
        <v>4381</v>
      </c>
      <c r="F800" s="433" t="s">
        <v>3984</v>
      </c>
      <c r="G800" s="433" t="s">
        <v>3084</v>
      </c>
      <c r="H800" s="433" t="s">
        <v>3821</v>
      </c>
      <c r="I800" s="433" t="s">
        <v>3764</v>
      </c>
      <c r="J800" s="433" t="s">
        <v>3819</v>
      </c>
      <c r="K800" s="433" t="s">
        <v>3824</v>
      </c>
      <c r="L800" s="433" t="s">
        <v>3923</v>
      </c>
      <c r="M800" s="433" t="s">
        <v>3805</v>
      </c>
      <c r="N800" s="433" t="s">
        <v>2760</v>
      </c>
      <c r="O800" s="433" t="s">
        <v>4506</v>
      </c>
      <c r="P800" s="433" t="s">
        <v>4415</v>
      </c>
      <c r="Q800" s="431"/>
      <c r="R800" s="431"/>
      <c r="S800" s="426" t="s">
        <v>2669</v>
      </c>
      <c r="T800" s="426" t="s">
        <v>2657</v>
      </c>
      <c r="U800" s="426" t="s">
        <v>2657</v>
      </c>
      <c r="V800" s="426" t="s">
        <v>2657</v>
      </c>
      <c r="W800" s="426" t="s">
        <v>2664</v>
      </c>
      <c r="X800" s="426" t="s">
        <v>3553</v>
      </c>
      <c r="Y800" s="426" t="s">
        <v>3490</v>
      </c>
      <c r="Z800" s="426" t="s">
        <v>3550</v>
      </c>
      <c r="AA800" s="426" t="s">
        <v>2646</v>
      </c>
      <c r="AB800" s="426" t="s">
        <v>2646</v>
      </c>
      <c r="AC800" s="426" t="s">
        <v>2646</v>
      </c>
      <c r="AD800" s="426" t="s">
        <v>2646</v>
      </c>
      <c r="AE800" s="426" t="s">
        <v>2646</v>
      </c>
      <c r="AF800" s="426" t="s">
        <v>2646</v>
      </c>
      <c r="AG800" s="426" t="s">
        <v>2646</v>
      </c>
      <c r="AH800" s="426" t="s">
        <v>2646</v>
      </c>
      <c r="AI800" s="426" t="s">
        <v>2646</v>
      </c>
      <c r="AJ800" s="68" t="s">
        <v>2646</v>
      </c>
    </row>
    <row r="801" spans="1:36" hidden="1">
      <c r="A801" s="68" t="s">
        <v>2059</v>
      </c>
      <c r="B801" s="427" t="s">
        <v>2649</v>
      </c>
      <c r="C801" s="433" t="s">
        <v>3631</v>
      </c>
      <c r="D801" s="433" t="s">
        <v>3710</v>
      </c>
      <c r="E801" s="433" t="s">
        <v>4488</v>
      </c>
      <c r="F801" s="433" t="s">
        <v>3540</v>
      </c>
      <c r="G801" s="433" t="s">
        <v>3447</v>
      </c>
      <c r="H801" s="433" t="s">
        <v>3084</v>
      </c>
      <c r="I801" s="433" t="s">
        <v>3784</v>
      </c>
      <c r="J801" s="433" t="s">
        <v>4012</v>
      </c>
      <c r="K801" s="433" t="s">
        <v>3819</v>
      </c>
      <c r="L801" s="433" t="s">
        <v>3799</v>
      </c>
      <c r="M801" s="433" t="s">
        <v>3783</v>
      </c>
      <c r="N801" s="433" t="s">
        <v>3317</v>
      </c>
      <c r="O801" s="433" t="s">
        <v>4507</v>
      </c>
      <c r="P801" s="433" t="s">
        <v>4213</v>
      </c>
      <c r="Q801" s="431"/>
      <c r="R801" s="431"/>
      <c r="S801" s="426" t="s">
        <v>2664</v>
      </c>
      <c r="T801" s="426" t="s">
        <v>2657</v>
      </c>
      <c r="U801" s="426" t="s">
        <v>3187</v>
      </c>
      <c r="V801" s="426" t="s">
        <v>2657</v>
      </c>
      <c r="W801" s="426" t="s">
        <v>2664</v>
      </c>
      <c r="X801" s="426" t="s">
        <v>3553</v>
      </c>
      <c r="Y801" s="426" t="s">
        <v>3490</v>
      </c>
      <c r="Z801" s="426" t="s">
        <v>3404</v>
      </c>
      <c r="AA801" s="426" t="s">
        <v>2646</v>
      </c>
      <c r="AB801" s="426" t="s">
        <v>2646</v>
      </c>
      <c r="AC801" s="426" t="s">
        <v>2646</v>
      </c>
      <c r="AD801" s="426" t="s">
        <v>2646</v>
      </c>
      <c r="AE801" s="426" t="s">
        <v>2646</v>
      </c>
      <c r="AF801" s="426" t="s">
        <v>2646</v>
      </c>
      <c r="AG801" s="426" t="s">
        <v>2646</v>
      </c>
      <c r="AH801" s="426" t="s">
        <v>2646</v>
      </c>
      <c r="AI801" s="426" t="s">
        <v>2646</v>
      </c>
      <c r="AJ801" s="68" t="s">
        <v>2646</v>
      </c>
    </row>
    <row r="802" spans="1:36" hidden="1">
      <c r="A802" s="68" t="s">
        <v>2060</v>
      </c>
      <c r="B802" s="427" t="s">
        <v>2650</v>
      </c>
      <c r="C802" s="433" t="s">
        <v>3721</v>
      </c>
      <c r="D802" s="433" t="s">
        <v>3710</v>
      </c>
      <c r="E802" s="433" t="s">
        <v>3170</v>
      </c>
      <c r="F802" s="433" t="s">
        <v>3818</v>
      </c>
      <c r="G802" s="433" t="s">
        <v>3770</v>
      </c>
      <c r="H802" s="433" t="s">
        <v>3824</v>
      </c>
      <c r="I802" s="433" t="s">
        <v>3797</v>
      </c>
      <c r="J802" s="433" t="s">
        <v>3726</v>
      </c>
      <c r="K802" s="433" t="s">
        <v>3739</v>
      </c>
      <c r="L802" s="433" t="s">
        <v>3461</v>
      </c>
      <c r="M802" s="433" t="s">
        <v>3768</v>
      </c>
      <c r="N802" s="433" t="s">
        <v>3763</v>
      </c>
      <c r="O802" s="433" t="s">
        <v>4508</v>
      </c>
      <c r="P802" s="433" t="s">
        <v>4505</v>
      </c>
      <c r="Q802" s="431"/>
      <c r="R802" s="431"/>
      <c r="S802" s="426" t="s">
        <v>2778</v>
      </c>
      <c r="T802" s="426" t="s">
        <v>2657</v>
      </c>
      <c r="U802" s="426" t="s">
        <v>2844</v>
      </c>
      <c r="V802" s="426" t="s">
        <v>2657</v>
      </c>
      <c r="W802" s="426" t="s">
        <v>2664</v>
      </c>
      <c r="X802" s="426" t="s">
        <v>3553</v>
      </c>
      <c r="Y802" s="426" t="s">
        <v>3490</v>
      </c>
      <c r="Z802" s="426" t="s">
        <v>3531</v>
      </c>
      <c r="AA802" s="426" t="s">
        <v>2646</v>
      </c>
      <c r="AB802" s="426" t="s">
        <v>2646</v>
      </c>
      <c r="AC802" s="426" t="s">
        <v>2646</v>
      </c>
      <c r="AD802" s="426" t="s">
        <v>2646</v>
      </c>
      <c r="AE802" s="426" t="s">
        <v>2646</v>
      </c>
      <c r="AF802" s="426" t="s">
        <v>2646</v>
      </c>
      <c r="AG802" s="426" t="s">
        <v>2646</v>
      </c>
      <c r="AH802" s="426" t="s">
        <v>2646</v>
      </c>
      <c r="AI802" s="426" t="s">
        <v>2646</v>
      </c>
      <c r="AJ802" s="68" t="s">
        <v>2646</v>
      </c>
    </row>
    <row r="803" spans="1:36" hidden="1">
      <c r="A803" s="68" t="s">
        <v>2061</v>
      </c>
      <c r="B803" s="427" t="s">
        <v>2651</v>
      </c>
      <c r="C803" s="433" t="s">
        <v>3532</v>
      </c>
      <c r="D803" s="433" t="s">
        <v>3710</v>
      </c>
      <c r="E803" s="433" t="s">
        <v>4488</v>
      </c>
      <c r="F803" s="433" t="s">
        <v>3816</v>
      </c>
      <c r="G803" s="433" t="s">
        <v>3898</v>
      </c>
      <c r="H803" s="433" t="s">
        <v>3512</v>
      </c>
      <c r="I803" s="433" t="s">
        <v>3738</v>
      </c>
      <c r="J803" s="433" t="s">
        <v>3726</v>
      </c>
      <c r="K803" s="433" t="s">
        <v>3728</v>
      </c>
      <c r="L803" s="433" t="s">
        <v>3461</v>
      </c>
      <c r="M803" s="433" t="s">
        <v>3768</v>
      </c>
      <c r="N803" s="433" t="s">
        <v>3164</v>
      </c>
      <c r="O803" s="433" t="s">
        <v>4509</v>
      </c>
      <c r="P803" s="433" t="s">
        <v>4510</v>
      </c>
      <c r="Q803" s="431"/>
      <c r="R803" s="431"/>
      <c r="S803" s="426" t="s">
        <v>316</v>
      </c>
      <c r="T803" s="426" t="s">
        <v>2657</v>
      </c>
      <c r="U803" s="426" t="s">
        <v>2657</v>
      </c>
      <c r="V803" s="426" t="s">
        <v>2657</v>
      </c>
      <c r="W803" s="426" t="s">
        <v>2664</v>
      </c>
      <c r="X803" s="426" t="s">
        <v>3553</v>
      </c>
      <c r="Y803" s="426" t="s">
        <v>3490</v>
      </c>
      <c r="Z803" s="426" t="s">
        <v>3554</v>
      </c>
      <c r="AA803" s="426" t="s">
        <v>2646</v>
      </c>
      <c r="AB803" s="426" t="s">
        <v>2646</v>
      </c>
      <c r="AC803" s="426" t="s">
        <v>2646</v>
      </c>
      <c r="AD803" s="426" t="s">
        <v>2646</v>
      </c>
      <c r="AE803" s="426" t="s">
        <v>2646</v>
      </c>
      <c r="AF803" s="426" t="s">
        <v>2646</v>
      </c>
      <c r="AG803" s="426" t="s">
        <v>2646</v>
      </c>
      <c r="AH803" s="426" t="s">
        <v>2646</v>
      </c>
      <c r="AI803" s="426" t="s">
        <v>2646</v>
      </c>
      <c r="AJ803" s="68" t="s">
        <v>2646</v>
      </c>
    </row>
    <row r="804" spans="1:36">
      <c r="A804" s="68" t="s">
        <v>2061</v>
      </c>
      <c r="B804" s="427" t="s">
        <v>48</v>
      </c>
      <c r="C804" s="433" t="s">
        <v>4511</v>
      </c>
      <c r="D804" s="433" t="s">
        <v>3932</v>
      </c>
      <c r="E804" s="433" t="s">
        <v>4512</v>
      </c>
      <c r="F804" s="433" t="s">
        <v>4513</v>
      </c>
      <c r="G804" s="433" t="s">
        <v>4514</v>
      </c>
      <c r="H804" s="433" t="s">
        <v>4515</v>
      </c>
      <c r="I804" s="433" t="s">
        <v>4516</v>
      </c>
      <c r="J804" s="433" t="s">
        <v>4517</v>
      </c>
      <c r="K804" s="433" t="s">
        <v>4338</v>
      </c>
      <c r="L804" s="433" t="s">
        <v>4518</v>
      </c>
      <c r="M804" s="433" t="s">
        <v>4519</v>
      </c>
      <c r="N804" s="433" t="s">
        <v>3795</v>
      </c>
      <c r="O804" s="433" t="s">
        <v>4520</v>
      </c>
      <c r="P804" s="433" t="s">
        <v>4002</v>
      </c>
      <c r="Q804" s="433" t="s">
        <v>2654</v>
      </c>
      <c r="R804" s="433" t="s">
        <v>2654</v>
      </c>
      <c r="S804" s="426"/>
      <c r="T804" s="426"/>
      <c r="U804" s="426"/>
      <c r="V804" s="426"/>
      <c r="W804" s="426"/>
      <c r="X804" s="426"/>
      <c r="Y804" s="426"/>
      <c r="Z804" s="426"/>
      <c r="AA804" s="426"/>
      <c r="AB804" s="426"/>
      <c r="AC804" s="426"/>
      <c r="AD804" s="426"/>
      <c r="AE804" s="426"/>
      <c r="AF804" s="426"/>
      <c r="AG804" s="426"/>
      <c r="AH804" s="426"/>
      <c r="AI804" s="426"/>
    </row>
    <row r="805" spans="1:36" hidden="1">
      <c r="A805" s="68" t="s">
        <v>2062</v>
      </c>
      <c r="B805" s="427" t="s">
        <v>2647</v>
      </c>
      <c r="C805" s="433" t="s">
        <v>3193</v>
      </c>
      <c r="D805" s="433" t="s">
        <v>3364</v>
      </c>
      <c r="E805" s="433" t="s">
        <v>3405</v>
      </c>
      <c r="F805" s="433" t="s">
        <v>3465</v>
      </c>
      <c r="G805" s="433" t="s">
        <v>3253</v>
      </c>
      <c r="H805" s="433" t="s">
        <v>2705</v>
      </c>
      <c r="I805" s="433" t="s">
        <v>2913</v>
      </c>
      <c r="J805" s="433" t="s">
        <v>3233</v>
      </c>
      <c r="K805" s="433" t="s">
        <v>2883</v>
      </c>
      <c r="L805" s="433" t="s">
        <v>3248</v>
      </c>
      <c r="M805" s="433" t="s">
        <v>2776</v>
      </c>
      <c r="N805" s="433" t="s">
        <v>2745</v>
      </c>
      <c r="O805" s="433" t="s">
        <v>4521</v>
      </c>
      <c r="P805" s="433" t="s">
        <v>4429</v>
      </c>
      <c r="Q805" s="431"/>
      <c r="R805" s="431"/>
      <c r="S805" s="426" t="s">
        <v>2673</v>
      </c>
      <c r="T805" s="426" t="s">
        <v>2657</v>
      </c>
      <c r="U805" s="426" t="s">
        <v>2657</v>
      </c>
      <c r="V805" s="426" t="s">
        <v>2657</v>
      </c>
      <c r="W805" s="426" t="s">
        <v>2664</v>
      </c>
      <c r="X805" s="426" t="s">
        <v>3556</v>
      </c>
      <c r="Y805" s="426" t="s">
        <v>3493</v>
      </c>
      <c r="Z805" s="426" t="s">
        <v>3546</v>
      </c>
      <c r="AA805" s="426" t="s">
        <v>2646</v>
      </c>
      <c r="AB805" s="426" t="s">
        <v>2646</v>
      </c>
      <c r="AC805" s="426" t="s">
        <v>2646</v>
      </c>
      <c r="AD805" s="426" t="s">
        <v>2646</v>
      </c>
      <c r="AE805" s="426" t="s">
        <v>2646</v>
      </c>
      <c r="AF805" s="426" t="s">
        <v>2646</v>
      </c>
      <c r="AG805" s="426" t="s">
        <v>2646</v>
      </c>
      <c r="AH805" s="426" t="s">
        <v>2646</v>
      </c>
      <c r="AI805" s="426" t="s">
        <v>2646</v>
      </c>
      <c r="AJ805" s="68" t="s">
        <v>2646</v>
      </c>
    </row>
    <row r="806" spans="1:36" hidden="1">
      <c r="A806" s="68" t="s">
        <v>2063</v>
      </c>
      <c r="B806" s="427" t="s">
        <v>2648</v>
      </c>
      <c r="C806" s="433" t="s">
        <v>3615</v>
      </c>
      <c r="D806" s="433" t="s">
        <v>3710</v>
      </c>
      <c r="E806" s="433" t="s">
        <v>3354</v>
      </c>
      <c r="F806" s="433" t="s">
        <v>3164</v>
      </c>
      <c r="G806" s="433" t="s">
        <v>4402</v>
      </c>
      <c r="H806" s="433" t="s">
        <v>3424</v>
      </c>
      <c r="I806" s="433" t="s">
        <v>3769</v>
      </c>
      <c r="J806" s="433" t="s">
        <v>3071</v>
      </c>
      <c r="K806" s="433" t="s">
        <v>3257</v>
      </c>
      <c r="L806" s="433" t="s">
        <v>2868</v>
      </c>
      <c r="M806" s="433" t="s">
        <v>3055</v>
      </c>
      <c r="N806" s="433" t="s">
        <v>2842</v>
      </c>
      <c r="O806" s="433" t="s">
        <v>4522</v>
      </c>
      <c r="P806" s="433" t="s">
        <v>4523</v>
      </c>
      <c r="Q806" s="431"/>
      <c r="R806" s="431"/>
      <c r="S806" s="426" t="s">
        <v>2673</v>
      </c>
      <c r="T806" s="426" t="s">
        <v>2657</v>
      </c>
      <c r="U806" s="426" t="s">
        <v>2657</v>
      </c>
      <c r="V806" s="426" t="s">
        <v>2657</v>
      </c>
      <c r="W806" s="426" t="s">
        <v>2664</v>
      </c>
      <c r="X806" s="426" t="s">
        <v>3556</v>
      </c>
      <c r="Y806" s="426" t="s">
        <v>3493</v>
      </c>
      <c r="Z806" s="426" t="s">
        <v>3557</v>
      </c>
      <c r="AA806" s="426" t="s">
        <v>2646</v>
      </c>
      <c r="AB806" s="426" t="s">
        <v>2646</v>
      </c>
      <c r="AC806" s="426" t="s">
        <v>2646</v>
      </c>
      <c r="AD806" s="426" t="s">
        <v>2646</v>
      </c>
      <c r="AE806" s="426" t="s">
        <v>2646</v>
      </c>
      <c r="AF806" s="426" t="s">
        <v>2646</v>
      </c>
      <c r="AG806" s="426" t="s">
        <v>2646</v>
      </c>
      <c r="AH806" s="426" t="s">
        <v>2646</v>
      </c>
      <c r="AI806" s="426" t="s">
        <v>2646</v>
      </c>
      <c r="AJ806" s="68" t="s">
        <v>2646</v>
      </c>
    </row>
    <row r="807" spans="1:36" hidden="1">
      <c r="A807" s="68" t="s">
        <v>2064</v>
      </c>
      <c r="B807" s="427" t="s">
        <v>2649</v>
      </c>
      <c r="C807" s="433" t="s">
        <v>3193</v>
      </c>
      <c r="D807" s="433" t="s">
        <v>3851</v>
      </c>
      <c r="E807" s="433" t="s">
        <v>3798</v>
      </c>
      <c r="F807" s="433" t="s">
        <v>3028</v>
      </c>
      <c r="G807" s="433" t="s">
        <v>2775</v>
      </c>
      <c r="H807" s="433" t="s">
        <v>3071</v>
      </c>
      <c r="I807" s="433" t="s">
        <v>3035</v>
      </c>
      <c r="J807" s="433" t="s">
        <v>3178</v>
      </c>
      <c r="K807" s="433" t="s">
        <v>3055</v>
      </c>
      <c r="L807" s="433" t="s">
        <v>3050</v>
      </c>
      <c r="M807" s="433" t="s">
        <v>2858</v>
      </c>
      <c r="N807" s="433" t="s">
        <v>3018</v>
      </c>
      <c r="O807" s="433" t="s">
        <v>3224</v>
      </c>
      <c r="P807" s="433" t="s">
        <v>4481</v>
      </c>
      <c r="Q807" s="431"/>
      <c r="R807" s="431"/>
      <c r="S807" s="426" t="s">
        <v>2669</v>
      </c>
      <c r="T807" s="426" t="s">
        <v>2657</v>
      </c>
      <c r="U807" s="426" t="s">
        <v>2657</v>
      </c>
      <c r="V807" s="426" t="s">
        <v>2657</v>
      </c>
      <c r="W807" s="426" t="s">
        <v>2664</v>
      </c>
      <c r="X807" s="426" t="s">
        <v>3556</v>
      </c>
      <c r="Y807" s="426" t="s">
        <v>3493</v>
      </c>
      <c r="Z807" s="426" t="s">
        <v>3535</v>
      </c>
      <c r="AA807" s="426" t="s">
        <v>2646</v>
      </c>
      <c r="AB807" s="426" t="s">
        <v>2646</v>
      </c>
      <c r="AC807" s="426" t="s">
        <v>2646</v>
      </c>
      <c r="AD807" s="426" t="s">
        <v>2646</v>
      </c>
      <c r="AE807" s="426" t="s">
        <v>2646</v>
      </c>
      <c r="AF807" s="426" t="s">
        <v>2646</v>
      </c>
      <c r="AG807" s="426" t="s">
        <v>2646</v>
      </c>
      <c r="AH807" s="426" t="s">
        <v>2646</v>
      </c>
      <c r="AI807" s="426" t="s">
        <v>2646</v>
      </c>
      <c r="AJ807" s="68" t="s">
        <v>2646</v>
      </c>
    </row>
    <row r="808" spans="1:36" hidden="1">
      <c r="A808" s="68" t="s">
        <v>2065</v>
      </c>
      <c r="B808" s="427" t="s">
        <v>2650</v>
      </c>
      <c r="C808" s="433" t="s">
        <v>3615</v>
      </c>
      <c r="D808" s="433" t="s">
        <v>3364</v>
      </c>
      <c r="E808" s="433" t="s">
        <v>3042</v>
      </c>
      <c r="F808" s="433" t="s">
        <v>3424</v>
      </c>
      <c r="G808" s="433" t="s">
        <v>3465</v>
      </c>
      <c r="H808" s="433" t="s">
        <v>2783</v>
      </c>
      <c r="I808" s="433" t="s">
        <v>2913</v>
      </c>
      <c r="J808" s="433" t="s">
        <v>3233</v>
      </c>
      <c r="K808" s="433" t="s">
        <v>2962</v>
      </c>
      <c r="L808" s="433" t="s">
        <v>2943</v>
      </c>
      <c r="M808" s="433" t="s">
        <v>2698</v>
      </c>
      <c r="N808" s="433" t="s">
        <v>2772</v>
      </c>
      <c r="O808" s="433" t="s">
        <v>4524</v>
      </c>
      <c r="P808" s="433" t="s">
        <v>4418</v>
      </c>
      <c r="Q808" s="431"/>
      <c r="R808" s="431"/>
      <c r="S808" s="426" t="s">
        <v>2669</v>
      </c>
      <c r="T808" s="426" t="s">
        <v>2657</v>
      </c>
      <c r="U808" s="426" t="s">
        <v>2768</v>
      </c>
      <c r="V808" s="426" t="s">
        <v>2657</v>
      </c>
      <c r="W808" s="426" t="s">
        <v>2664</v>
      </c>
      <c r="X808" s="426" t="s">
        <v>3556</v>
      </c>
      <c r="Y808" s="426" t="s">
        <v>3493</v>
      </c>
      <c r="Z808" s="426" t="s">
        <v>3143</v>
      </c>
      <c r="AA808" s="426" t="s">
        <v>3282</v>
      </c>
      <c r="AB808" s="426" t="s">
        <v>2646</v>
      </c>
      <c r="AC808" s="426" t="s">
        <v>2646</v>
      </c>
      <c r="AD808" s="426" t="s">
        <v>2646</v>
      </c>
      <c r="AE808" s="426" t="s">
        <v>2646</v>
      </c>
      <c r="AF808" s="426" t="s">
        <v>2646</v>
      </c>
      <c r="AG808" s="426" t="s">
        <v>2646</v>
      </c>
      <c r="AH808" s="426" t="s">
        <v>2646</v>
      </c>
      <c r="AI808" s="426" t="s">
        <v>2646</v>
      </c>
      <c r="AJ808" s="68" t="s">
        <v>2646</v>
      </c>
    </row>
    <row r="809" spans="1:36" hidden="1">
      <c r="A809" s="68" t="s">
        <v>2066</v>
      </c>
      <c r="B809" s="427" t="s">
        <v>2651</v>
      </c>
      <c r="C809" s="433" t="s">
        <v>3193</v>
      </c>
      <c r="D809" s="433" t="s">
        <v>3686</v>
      </c>
      <c r="E809" s="433" t="s">
        <v>2721</v>
      </c>
      <c r="F809" s="433" t="s">
        <v>3425</v>
      </c>
      <c r="G809" s="433" t="s">
        <v>3405</v>
      </c>
      <c r="H809" s="433" t="s">
        <v>3769</v>
      </c>
      <c r="I809" s="433" t="s">
        <v>3010</v>
      </c>
      <c r="J809" s="433" t="s">
        <v>3752</v>
      </c>
      <c r="K809" s="433" t="s">
        <v>3253</v>
      </c>
      <c r="L809" s="433" t="s">
        <v>3050</v>
      </c>
      <c r="M809" s="433" t="s">
        <v>2705</v>
      </c>
      <c r="N809" s="433" t="s">
        <v>2913</v>
      </c>
      <c r="O809" s="433" t="s">
        <v>3947</v>
      </c>
      <c r="P809" s="433" t="s">
        <v>4415</v>
      </c>
      <c r="Q809" s="431"/>
      <c r="R809" s="431"/>
      <c r="S809" s="426" t="s">
        <v>2658</v>
      </c>
      <c r="T809" s="426" t="s">
        <v>2657</v>
      </c>
      <c r="U809" s="426" t="s">
        <v>2657</v>
      </c>
      <c r="V809" s="426" t="s">
        <v>2657</v>
      </c>
      <c r="W809" s="426" t="s">
        <v>2664</v>
      </c>
      <c r="X809" s="426" t="s">
        <v>3556</v>
      </c>
      <c r="Y809" s="426" t="s">
        <v>3493</v>
      </c>
      <c r="Z809" s="426" t="s">
        <v>3356</v>
      </c>
      <c r="AA809" s="426" t="s">
        <v>2646</v>
      </c>
      <c r="AB809" s="426" t="s">
        <v>2646</v>
      </c>
      <c r="AC809" s="426" t="s">
        <v>2646</v>
      </c>
      <c r="AD809" s="426" t="s">
        <v>2646</v>
      </c>
      <c r="AE809" s="426" t="s">
        <v>2646</v>
      </c>
      <c r="AF809" s="426" t="s">
        <v>2646</v>
      </c>
      <c r="AG809" s="426" t="s">
        <v>2646</v>
      </c>
      <c r="AH809" s="426" t="s">
        <v>2646</v>
      </c>
      <c r="AI809" s="426" t="s">
        <v>2646</v>
      </c>
      <c r="AJ809" s="68" t="s">
        <v>2646</v>
      </c>
    </row>
    <row r="810" spans="1:36">
      <c r="A810" s="68" t="s">
        <v>2066</v>
      </c>
      <c r="B810" s="427" t="s">
        <v>48</v>
      </c>
      <c r="C810" s="433" t="s">
        <v>4525</v>
      </c>
      <c r="D810" s="433" t="s">
        <v>3856</v>
      </c>
      <c r="E810" s="433" t="s">
        <v>4526</v>
      </c>
      <c r="F810" s="433" t="s">
        <v>4527</v>
      </c>
      <c r="G810" s="433" t="s">
        <v>3224</v>
      </c>
      <c r="H810" s="433" t="s">
        <v>4528</v>
      </c>
      <c r="I810" s="433" t="s">
        <v>3545</v>
      </c>
      <c r="J810" s="433" t="s">
        <v>3997</v>
      </c>
      <c r="K810" s="433" t="s">
        <v>4205</v>
      </c>
      <c r="L810" s="433" t="s">
        <v>4529</v>
      </c>
      <c r="M810" s="433" t="s">
        <v>3906</v>
      </c>
      <c r="N810" s="433" t="s">
        <v>3306</v>
      </c>
      <c r="O810" s="433" t="s">
        <v>4530</v>
      </c>
      <c r="P810" s="433" t="s">
        <v>4531</v>
      </c>
      <c r="Q810" s="433" t="s">
        <v>2654</v>
      </c>
      <c r="R810" s="433" t="s">
        <v>2654</v>
      </c>
      <c r="S810" s="426"/>
      <c r="T810" s="426"/>
      <c r="U810" s="426"/>
      <c r="V810" s="426"/>
      <c r="W810" s="426"/>
      <c r="X810" s="426"/>
      <c r="Y810" s="426"/>
      <c r="Z810" s="426"/>
      <c r="AA810" s="426"/>
      <c r="AB810" s="426"/>
      <c r="AC810" s="426"/>
      <c r="AD810" s="426"/>
      <c r="AE810" s="426"/>
      <c r="AF810" s="426"/>
      <c r="AG810" s="426"/>
      <c r="AH810" s="426"/>
      <c r="AI810" s="426"/>
    </row>
    <row r="811" spans="1:36" hidden="1">
      <c r="A811" s="68" t="s">
        <v>2067</v>
      </c>
      <c r="B811" s="427" t="s">
        <v>2647</v>
      </c>
      <c r="C811" s="433" t="s">
        <v>3502</v>
      </c>
      <c r="D811" s="433" t="s">
        <v>3710</v>
      </c>
      <c r="E811" s="433" t="s">
        <v>3050</v>
      </c>
      <c r="F811" s="433" t="s">
        <v>3233</v>
      </c>
      <c r="G811" s="433" t="s">
        <v>2894</v>
      </c>
      <c r="H811" s="433" t="s">
        <v>3163</v>
      </c>
      <c r="I811" s="433" t="s">
        <v>3163</v>
      </c>
      <c r="J811" s="433" t="s">
        <v>2745</v>
      </c>
      <c r="K811" s="433" t="s">
        <v>2713</v>
      </c>
      <c r="L811" s="433" t="s">
        <v>3300</v>
      </c>
      <c r="M811" s="433" t="s">
        <v>2935</v>
      </c>
      <c r="N811" s="433" t="s">
        <v>2916</v>
      </c>
      <c r="O811" s="433" t="s">
        <v>4421</v>
      </c>
      <c r="P811" s="433" t="s">
        <v>4311</v>
      </c>
      <c r="Q811" s="431"/>
      <c r="R811" s="431"/>
      <c r="S811" s="426" t="s">
        <v>2768</v>
      </c>
      <c r="T811" s="426" t="s">
        <v>2657</v>
      </c>
      <c r="U811" s="426" t="s">
        <v>2664</v>
      </c>
      <c r="V811" s="426" t="s">
        <v>2657</v>
      </c>
      <c r="W811" s="426" t="s">
        <v>2844</v>
      </c>
      <c r="X811" s="426" t="s">
        <v>3498</v>
      </c>
      <c r="Y811" s="426" t="s">
        <v>3213</v>
      </c>
      <c r="Z811" s="426" t="s">
        <v>3558</v>
      </c>
      <c r="AA811" s="426" t="s">
        <v>3411</v>
      </c>
      <c r="AB811" s="426" t="s">
        <v>3207</v>
      </c>
      <c r="AC811" s="426" t="s">
        <v>2646</v>
      </c>
      <c r="AD811" s="426" t="s">
        <v>2646</v>
      </c>
      <c r="AE811" s="426" t="s">
        <v>2646</v>
      </c>
      <c r="AF811" s="426" t="s">
        <v>2646</v>
      </c>
      <c r="AG811" s="426" t="s">
        <v>2646</v>
      </c>
      <c r="AH811" s="426" t="s">
        <v>2646</v>
      </c>
      <c r="AI811" s="426" t="s">
        <v>2646</v>
      </c>
      <c r="AJ811" s="68" t="s">
        <v>2646</v>
      </c>
    </row>
    <row r="812" spans="1:36" hidden="1">
      <c r="A812" s="68" t="s">
        <v>2068</v>
      </c>
      <c r="B812" s="427" t="s">
        <v>2648</v>
      </c>
      <c r="C812" s="433" t="s">
        <v>3322</v>
      </c>
      <c r="D812" s="433" t="s">
        <v>3364</v>
      </c>
      <c r="E812" s="433" t="s">
        <v>2713</v>
      </c>
      <c r="F812" s="433" t="s">
        <v>2959</v>
      </c>
      <c r="G812" s="433" t="s">
        <v>2730</v>
      </c>
      <c r="H812" s="433" t="s">
        <v>3237</v>
      </c>
      <c r="I812" s="433" t="s">
        <v>2741</v>
      </c>
      <c r="J812" s="433" t="s">
        <v>2722</v>
      </c>
      <c r="K812" s="433" t="s">
        <v>2819</v>
      </c>
      <c r="L812" s="433" t="s">
        <v>3046</v>
      </c>
      <c r="M812" s="433" t="s">
        <v>2875</v>
      </c>
      <c r="N812" s="433" t="s">
        <v>3036</v>
      </c>
      <c r="O812" s="433" t="s">
        <v>3171</v>
      </c>
      <c r="P812" s="433" t="s">
        <v>4532</v>
      </c>
      <c r="Q812" s="431"/>
      <c r="R812" s="431"/>
      <c r="S812" s="426" t="s">
        <v>2660</v>
      </c>
      <c r="T812" s="426" t="s">
        <v>2657</v>
      </c>
      <c r="U812" s="426" t="s">
        <v>2844</v>
      </c>
      <c r="V812" s="426" t="s">
        <v>2657</v>
      </c>
      <c r="W812" s="426" t="s">
        <v>2844</v>
      </c>
      <c r="X812" s="426" t="s">
        <v>3498</v>
      </c>
      <c r="Y812" s="426" t="s">
        <v>3213</v>
      </c>
      <c r="Z812" s="426" t="s">
        <v>3557</v>
      </c>
      <c r="AA812" s="426" t="s">
        <v>2942</v>
      </c>
      <c r="AB812" s="426" t="s">
        <v>3524</v>
      </c>
      <c r="AC812" s="426" t="s">
        <v>2646</v>
      </c>
      <c r="AD812" s="426" t="s">
        <v>2646</v>
      </c>
      <c r="AE812" s="426" t="s">
        <v>2646</v>
      </c>
      <c r="AF812" s="426" t="s">
        <v>2646</v>
      </c>
      <c r="AG812" s="426" t="s">
        <v>2646</v>
      </c>
      <c r="AH812" s="426" t="s">
        <v>2646</v>
      </c>
      <c r="AI812" s="426" t="s">
        <v>2646</v>
      </c>
      <c r="AJ812" s="68" t="s">
        <v>2646</v>
      </c>
    </row>
    <row r="813" spans="1:36" hidden="1">
      <c r="A813" s="68" t="s">
        <v>2069</v>
      </c>
      <c r="B813" s="427" t="s">
        <v>2649</v>
      </c>
      <c r="C813" s="433" t="s">
        <v>4112</v>
      </c>
      <c r="D813" s="433" t="s">
        <v>3710</v>
      </c>
      <c r="E813" s="433" t="s">
        <v>2943</v>
      </c>
      <c r="F813" s="433" t="s">
        <v>2713</v>
      </c>
      <c r="G813" s="433" t="s">
        <v>2915</v>
      </c>
      <c r="H813" s="433" t="s">
        <v>2818</v>
      </c>
      <c r="I813" s="433" t="s">
        <v>2815</v>
      </c>
      <c r="J813" s="433" t="s">
        <v>2730</v>
      </c>
      <c r="K813" s="433" t="s">
        <v>2935</v>
      </c>
      <c r="L813" s="433" t="s">
        <v>2834</v>
      </c>
      <c r="M813" s="433" t="s">
        <v>2859</v>
      </c>
      <c r="N813" s="433" t="s">
        <v>2737</v>
      </c>
      <c r="O813" s="433" t="s">
        <v>3842</v>
      </c>
      <c r="P813" s="433" t="s">
        <v>4257</v>
      </c>
      <c r="Q813" s="431"/>
      <c r="R813" s="431"/>
      <c r="S813" s="426" t="s">
        <v>2669</v>
      </c>
      <c r="T813" s="426" t="s">
        <v>2657</v>
      </c>
      <c r="U813" s="426" t="s">
        <v>2657</v>
      </c>
      <c r="V813" s="426" t="s">
        <v>2657</v>
      </c>
      <c r="W813" s="426" t="s">
        <v>2844</v>
      </c>
      <c r="X813" s="426" t="s">
        <v>3498</v>
      </c>
      <c r="Y813" s="426" t="s">
        <v>3213</v>
      </c>
      <c r="Z813" s="426" t="s">
        <v>3546</v>
      </c>
      <c r="AA813" s="426" t="s">
        <v>3312</v>
      </c>
      <c r="AB813" s="426" t="s">
        <v>2646</v>
      </c>
      <c r="AC813" s="426" t="s">
        <v>2646</v>
      </c>
      <c r="AD813" s="426" t="s">
        <v>2646</v>
      </c>
      <c r="AE813" s="426" t="s">
        <v>2646</v>
      </c>
      <c r="AF813" s="426" t="s">
        <v>2646</v>
      </c>
      <c r="AG813" s="426" t="s">
        <v>2646</v>
      </c>
      <c r="AH813" s="426" t="s">
        <v>2646</v>
      </c>
      <c r="AI813" s="426" t="s">
        <v>2646</v>
      </c>
      <c r="AJ813" s="68" t="s">
        <v>2646</v>
      </c>
    </row>
    <row r="814" spans="1:36" hidden="1">
      <c r="A814" s="68" t="s">
        <v>2070</v>
      </c>
      <c r="B814" s="427" t="s">
        <v>2650</v>
      </c>
      <c r="C814" s="433" t="s">
        <v>4155</v>
      </c>
      <c r="D814" s="433" t="s">
        <v>3364</v>
      </c>
      <c r="E814" s="433" t="s">
        <v>3160</v>
      </c>
      <c r="F814" s="433" t="s">
        <v>2685</v>
      </c>
      <c r="G814" s="433" t="s">
        <v>2915</v>
      </c>
      <c r="H814" s="433" t="s">
        <v>2815</v>
      </c>
      <c r="I814" s="433" t="s">
        <v>2733</v>
      </c>
      <c r="J814" s="433" t="s">
        <v>3171</v>
      </c>
      <c r="K814" s="433" t="s">
        <v>3237</v>
      </c>
      <c r="L814" s="433" t="s">
        <v>3237</v>
      </c>
      <c r="M814" s="433" t="s">
        <v>2869</v>
      </c>
      <c r="N814" s="433" t="s">
        <v>2966</v>
      </c>
      <c r="O814" s="433" t="s">
        <v>4533</v>
      </c>
      <c r="P814" s="433" t="s">
        <v>4465</v>
      </c>
      <c r="Q814" s="431"/>
      <c r="R814" s="431"/>
      <c r="S814" s="426" t="s">
        <v>2655</v>
      </c>
      <c r="T814" s="426" t="s">
        <v>2657</v>
      </c>
      <c r="U814" s="426" t="s">
        <v>2657</v>
      </c>
      <c r="V814" s="426" t="s">
        <v>2657</v>
      </c>
      <c r="W814" s="426" t="s">
        <v>2844</v>
      </c>
      <c r="X814" s="426" t="s">
        <v>3498</v>
      </c>
      <c r="Y814" s="426" t="s">
        <v>3213</v>
      </c>
      <c r="Z814" s="426" t="s">
        <v>3535</v>
      </c>
      <c r="AA814" s="426" t="s">
        <v>3301</v>
      </c>
      <c r="AB814" s="426" t="s">
        <v>2646</v>
      </c>
      <c r="AC814" s="426" t="s">
        <v>2646</v>
      </c>
      <c r="AD814" s="426" t="s">
        <v>2646</v>
      </c>
      <c r="AE814" s="426" t="s">
        <v>2646</v>
      </c>
      <c r="AF814" s="426" t="s">
        <v>2646</v>
      </c>
      <c r="AG814" s="426" t="s">
        <v>2646</v>
      </c>
      <c r="AH814" s="426" t="s">
        <v>2646</v>
      </c>
      <c r="AI814" s="426" t="s">
        <v>2646</v>
      </c>
      <c r="AJ814" s="68" t="s">
        <v>2646</v>
      </c>
    </row>
    <row r="815" spans="1:36" hidden="1">
      <c r="A815" s="68" t="s">
        <v>2071</v>
      </c>
      <c r="B815" s="427" t="s">
        <v>2651</v>
      </c>
      <c r="C815" s="433" t="s">
        <v>4155</v>
      </c>
      <c r="D815" s="433" t="s">
        <v>3364</v>
      </c>
      <c r="E815" s="433" t="s">
        <v>2868</v>
      </c>
      <c r="F815" s="433" t="s">
        <v>2765</v>
      </c>
      <c r="G815" s="433" t="s">
        <v>2752</v>
      </c>
      <c r="H815" s="433" t="s">
        <v>3249</v>
      </c>
      <c r="I815" s="433" t="s">
        <v>3237</v>
      </c>
      <c r="J815" s="433" t="s">
        <v>2843</v>
      </c>
      <c r="K815" s="433" t="s">
        <v>2932</v>
      </c>
      <c r="L815" s="433" t="s">
        <v>2859</v>
      </c>
      <c r="M815" s="433" t="s">
        <v>2927</v>
      </c>
      <c r="N815" s="433" t="s">
        <v>2908</v>
      </c>
      <c r="O815" s="433" t="s">
        <v>4534</v>
      </c>
      <c r="P815" s="433" t="s">
        <v>4260</v>
      </c>
      <c r="Q815" s="431"/>
      <c r="R815" s="431"/>
      <c r="S815" s="426" t="s">
        <v>2665</v>
      </c>
      <c r="T815" s="426" t="s">
        <v>2657</v>
      </c>
      <c r="U815" s="426" t="s">
        <v>2786</v>
      </c>
      <c r="V815" s="426" t="s">
        <v>2657</v>
      </c>
      <c r="W815" s="426" t="s">
        <v>2844</v>
      </c>
      <c r="X815" s="426" t="s">
        <v>3498</v>
      </c>
      <c r="Y815" s="426" t="s">
        <v>3213</v>
      </c>
      <c r="Z815" s="426" t="s">
        <v>3531</v>
      </c>
      <c r="AA815" s="426" t="s">
        <v>3282</v>
      </c>
      <c r="AB815" s="426" t="s">
        <v>3207</v>
      </c>
      <c r="AC815" s="426" t="s">
        <v>2646</v>
      </c>
      <c r="AD815" s="426" t="s">
        <v>2646</v>
      </c>
      <c r="AE815" s="426" t="s">
        <v>2646</v>
      </c>
      <c r="AF815" s="426" t="s">
        <v>2646</v>
      </c>
      <c r="AG815" s="426" t="s">
        <v>2646</v>
      </c>
      <c r="AH815" s="426" t="s">
        <v>2646</v>
      </c>
      <c r="AI815" s="426" t="s">
        <v>2646</v>
      </c>
      <c r="AJ815" s="68" t="s">
        <v>2646</v>
      </c>
    </row>
    <row r="816" spans="1:36">
      <c r="A816" s="68" t="s">
        <v>2071</v>
      </c>
      <c r="B816" s="427" t="s">
        <v>48</v>
      </c>
      <c r="C816" s="433" t="s">
        <v>4535</v>
      </c>
      <c r="D816" s="433" t="s">
        <v>3856</v>
      </c>
      <c r="E816" s="433" t="s">
        <v>4536</v>
      </c>
      <c r="F816" s="433" t="s">
        <v>4537</v>
      </c>
      <c r="G816" s="433" t="s">
        <v>4538</v>
      </c>
      <c r="H816" s="433" t="s">
        <v>4539</v>
      </c>
      <c r="I816" s="433" t="s">
        <v>3682</v>
      </c>
      <c r="J816" s="433" t="s">
        <v>3033</v>
      </c>
      <c r="K816" s="433" t="s">
        <v>4540</v>
      </c>
      <c r="L816" s="433" t="s">
        <v>3926</v>
      </c>
      <c r="M816" s="433" t="s">
        <v>2927</v>
      </c>
      <c r="N816" s="433" t="s">
        <v>4541</v>
      </c>
      <c r="O816" s="433" t="s">
        <v>2765</v>
      </c>
      <c r="P816" s="433" t="s">
        <v>3877</v>
      </c>
      <c r="Q816" s="433" t="s">
        <v>2654</v>
      </c>
      <c r="R816" s="433" t="s">
        <v>2654</v>
      </c>
      <c r="S816" s="426"/>
      <c r="T816" s="426"/>
      <c r="U816" s="426"/>
      <c r="V816" s="426"/>
      <c r="W816" s="426"/>
      <c r="X816" s="426"/>
      <c r="Y816" s="426"/>
      <c r="Z816" s="426"/>
      <c r="AA816" s="426"/>
      <c r="AB816" s="426"/>
      <c r="AC816" s="426"/>
      <c r="AD816" s="426"/>
      <c r="AE816" s="426"/>
      <c r="AF816" s="426"/>
      <c r="AG816" s="426"/>
      <c r="AH816" s="426"/>
      <c r="AI816" s="426"/>
    </row>
    <row r="817" spans="1:36" hidden="1">
      <c r="A817" s="68" t="s">
        <v>2072</v>
      </c>
      <c r="B817" s="427" t="s">
        <v>2647</v>
      </c>
      <c r="C817" s="433" t="s">
        <v>3630</v>
      </c>
      <c r="D817" s="433" t="s">
        <v>3851</v>
      </c>
      <c r="E817" s="433" t="s">
        <v>3171</v>
      </c>
      <c r="F817" s="433" t="s">
        <v>2859</v>
      </c>
      <c r="G817" s="433" t="s">
        <v>2966</v>
      </c>
      <c r="H817" s="433" t="s">
        <v>2766</v>
      </c>
      <c r="I817" s="433" t="s">
        <v>2686</v>
      </c>
      <c r="J817" s="433" t="s">
        <v>2809</v>
      </c>
      <c r="K817" s="433" t="s">
        <v>3036</v>
      </c>
      <c r="L817" s="433" t="s">
        <v>2907</v>
      </c>
      <c r="M817" s="433" t="s">
        <v>2731</v>
      </c>
      <c r="N817" s="433" t="s">
        <v>2676</v>
      </c>
      <c r="O817" s="433" t="s">
        <v>3837</v>
      </c>
      <c r="P817" s="433" t="s">
        <v>4532</v>
      </c>
      <c r="Q817" s="431"/>
      <c r="R817" s="431"/>
      <c r="S817" s="426" t="s">
        <v>3339</v>
      </c>
      <c r="T817" s="426" t="s">
        <v>2657</v>
      </c>
      <c r="U817" s="426" t="s">
        <v>2657</v>
      </c>
      <c r="V817" s="426" t="s">
        <v>2657</v>
      </c>
      <c r="W817" s="426" t="s">
        <v>2844</v>
      </c>
      <c r="X817" s="426" t="s">
        <v>3559</v>
      </c>
      <c r="Y817" s="426" t="s">
        <v>3560</v>
      </c>
      <c r="Z817" s="426" t="s">
        <v>3412</v>
      </c>
      <c r="AA817" s="426" t="s">
        <v>2938</v>
      </c>
      <c r="AB817" s="426" t="s">
        <v>3524</v>
      </c>
      <c r="AC817" s="426" t="s">
        <v>3327</v>
      </c>
      <c r="AD817" s="426" t="s">
        <v>2646</v>
      </c>
      <c r="AE817" s="426" t="s">
        <v>2646</v>
      </c>
      <c r="AF817" s="426" t="s">
        <v>2646</v>
      </c>
      <c r="AG817" s="426" t="s">
        <v>2646</v>
      </c>
      <c r="AH817" s="426" t="s">
        <v>2646</v>
      </c>
      <c r="AI817" s="426" t="s">
        <v>2646</v>
      </c>
      <c r="AJ817" s="68" t="s">
        <v>2646</v>
      </c>
    </row>
    <row r="818" spans="1:36" hidden="1">
      <c r="A818" s="68" t="s">
        <v>2073</v>
      </c>
      <c r="B818" s="427" t="s">
        <v>2648</v>
      </c>
      <c r="C818" s="433" t="s">
        <v>4542</v>
      </c>
      <c r="D818" s="433" t="s">
        <v>3710</v>
      </c>
      <c r="E818" s="433" t="s">
        <v>3123</v>
      </c>
      <c r="F818" s="433" t="s">
        <v>2903</v>
      </c>
      <c r="G818" s="433" t="s">
        <v>2907</v>
      </c>
      <c r="H818" s="433" t="s">
        <v>2707</v>
      </c>
      <c r="I818" s="433" t="s">
        <v>2777</v>
      </c>
      <c r="J818" s="433" t="s">
        <v>2970</v>
      </c>
      <c r="K818" s="433" t="s">
        <v>2899</v>
      </c>
      <c r="L818" s="433" t="s">
        <v>2746</v>
      </c>
      <c r="M818" s="433" t="s">
        <v>2677</v>
      </c>
      <c r="N818" s="433" t="s">
        <v>2677</v>
      </c>
      <c r="O818" s="433" t="s">
        <v>4543</v>
      </c>
      <c r="P818" s="433" t="s">
        <v>4085</v>
      </c>
      <c r="Q818" s="431"/>
      <c r="R818" s="431"/>
      <c r="S818" s="426" t="s">
        <v>2778</v>
      </c>
      <c r="T818" s="426" t="s">
        <v>2657</v>
      </c>
      <c r="U818" s="426" t="s">
        <v>2657</v>
      </c>
      <c r="V818" s="426" t="s">
        <v>2657</v>
      </c>
      <c r="W818" s="426" t="s">
        <v>2844</v>
      </c>
      <c r="X818" s="426" t="s">
        <v>3559</v>
      </c>
      <c r="Y818" s="426" t="s">
        <v>3560</v>
      </c>
      <c r="Z818" s="426" t="s">
        <v>3550</v>
      </c>
      <c r="AA818" s="426" t="s">
        <v>3312</v>
      </c>
      <c r="AB818" s="426" t="s">
        <v>2950</v>
      </c>
      <c r="AC818" s="426" t="s">
        <v>3562</v>
      </c>
      <c r="AD818" s="426" t="s">
        <v>2646</v>
      </c>
      <c r="AE818" s="426" t="s">
        <v>2646</v>
      </c>
      <c r="AF818" s="426" t="s">
        <v>2646</v>
      </c>
      <c r="AG818" s="426" t="s">
        <v>2646</v>
      </c>
      <c r="AH818" s="426" t="s">
        <v>2646</v>
      </c>
      <c r="AI818" s="426" t="s">
        <v>2646</v>
      </c>
      <c r="AJ818" s="68" t="s">
        <v>2646</v>
      </c>
    </row>
    <row r="819" spans="1:36" hidden="1">
      <c r="A819" s="68" t="s">
        <v>2074</v>
      </c>
      <c r="B819" s="427" t="s">
        <v>2649</v>
      </c>
      <c r="C819" s="433" t="s">
        <v>3642</v>
      </c>
      <c r="D819" s="433" t="s">
        <v>3710</v>
      </c>
      <c r="E819" s="433" t="s">
        <v>2954</v>
      </c>
      <c r="F819" s="433" t="s">
        <v>2809</v>
      </c>
      <c r="G819" s="433" t="s">
        <v>2731</v>
      </c>
      <c r="H819" s="433" t="s">
        <v>2767</v>
      </c>
      <c r="I819" s="433" t="s">
        <v>2994</v>
      </c>
      <c r="J819" s="433" t="s">
        <v>2714</v>
      </c>
      <c r="K819" s="433" t="s">
        <v>2687</v>
      </c>
      <c r="L819" s="433" t="s">
        <v>2825</v>
      </c>
      <c r="M819" s="433" t="s">
        <v>2807</v>
      </c>
      <c r="N819" s="433" t="s">
        <v>2896</v>
      </c>
      <c r="O819" s="433" t="s">
        <v>3773</v>
      </c>
      <c r="P819" s="433" t="s">
        <v>4119</v>
      </c>
      <c r="Q819" s="431"/>
      <c r="R819" s="431"/>
      <c r="S819" s="426" t="s">
        <v>2778</v>
      </c>
      <c r="T819" s="426" t="s">
        <v>2657</v>
      </c>
      <c r="U819" s="426" t="s">
        <v>2657</v>
      </c>
      <c r="V819" s="426" t="s">
        <v>2657</v>
      </c>
      <c r="W819" s="426" t="s">
        <v>2844</v>
      </c>
      <c r="X819" s="426" t="s">
        <v>3559</v>
      </c>
      <c r="Y819" s="426" t="s">
        <v>3560</v>
      </c>
      <c r="Z819" s="426" t="s">
        <v>3563</v>
      </c>
      <c r="AA819" s="426" t="s">
        <v>3320</v>
      </c>
      <c r="AB819" s="426" t="s">
        <v>3202</v>
      </c>
      <c r="AC819" s="426" t="s">
        <v>2646</v>
      </c>
      <c r="AD819" s="426" t="s">
        <v>2646</v>
      </c>
      <c r="AE819" s="426" t="s">
        <v>2646</v>
      </c>
      <c r="AF819" s="426" t="s">
        <v>2646</v>
      </c>
      <c r="AG819" s="426" t="s">
        <v>2646</v>
      </c>
      <c r="AH819" s="426" t="s">
        <v>2646</v>
      </c>
      <c r="AI819" s="426" t="s">
        <v>2646</v>
      </c>
      <c r="AJ819" s="68" t="s">
        <v>2646</v>
      </c>
    </row>
    <row r="820" spans="1:36" hidden="1">
      <c r="A820" s="68" t="s">
        <v>2075</v>
      </c>
      <c r="B820" s="427" t="s">
        <v>2650</v>
      </c>
      <c r="C820" s="433" t="s">
        <v>3653</v>
      </c>
      <c r="D820" s="433" t="s">
        <v>3686</v>
      </c>
      <c r="E820" s="433" t="s">
        <v>3044</v>
      </c>
      <c r="F820" s="433" t="s">
        <v>2932</v>
      </c>
      <c r="G820" s="433" t="s">
        <v>2927</v>
      </c>
      <c r="H820" s="433" t="s">
        <v>2954</v>
      </c>
      <c r="I820" s="433" t="s">
        <v>2686</v>
      </c>
      <c r="J820" s="433" t="s">
        <v>2761</v>
      </c>
      <c r="K820" s="433" t="s">
        <v>3047</v>
      </c>
      <c r="L820" s="433" t="s">
        <v>2676</v>
      </c>
      <c r="M820" s="433" t="s">
        <v>2928</v>
      </c>
      <c r="N820" s="433" t="s">
        <v>3007</v>
      </c>
      <c r="O820" s="433" t="s">
        <v>4544</v>
      </c>
      <c r="P820" s="433" t="s">
        <v>4545</v>
      </c>
      <c r="Q820" s="431"/>
      <c r="R820" s="431"/>
      <c r="S820" s="426" t="s">
        <v>2660</v>
      </c>
      <c r="T820" s="426" t="s">
        <v>2657</v>
      </c>
      <c r="U820" s="426" t="s">
        <v>2657</v>
      </c>
      <c r="V820" s="426" t="s">
        <v>2657</v>
      </c>
      <c r="W820" s="426" t="s">
        <v>2844</v>
      </c>
      <c r="X820" s="426" t="s">
        <v>3559</v>
      </c>
      <c r="Y820" s="426" t="s">
        <v>3560</v>
      </c>
      <c r="Z820" s="426" t="s">
        <v>3531</v>
      </c>
      <c r="AA820" s="426" t="s">
        <v>3320</v>
      </c>
      <c r="AB820" s="426" t="s">
        <v>3196</v>
      </c>
      <c r="AC820" s="426" t="s">
        <v>2646</v>
      </c>
      <c r="AD820" s="426" t="s">
        <v>2646</v>
      </c>
      <c r="AE820" s="426" t="s">
        <v>2646</v>
      </c>
      <c r="AF820" s="426" t="s">
        <v>2646</v>
      </c>
      <c r="AG820" s="426" t="s">
        <v>2646</v>
      </c>
      <c r="AH820" s="426" t="s">
        <v>2646</v>
      </c>
      <c r="AI820" s="426" t="s">
        <v>2646</v>
      </c>
      <c r="AJ820" s="68" t="s">
        <v>2646</v>
      </c>
    </row>
    <row r="821" spans="1:36" ht="13.5" hidden="1">
      <c r="A821" s="296" t="s">
        <v>2076</v>
      </c>
      <c r="B821" s="427" t="s">
        <v>2651</v>
      </c>
      <c r="C821" s="433" t="s">
        <v>3597</v>
      </c>
      <c r="D821" s="433" t="s">
        <v>3364</v>
      </c>
      <c r="E821" s="433" t="s">
        <v>2954</v>
      </c>
      <c r="F821" s="433" t="s">
        <v>2875</v>
      </c>
      <c r="G821" s="433" t="s">
        <v>2907</v>
      </c>
      <c r="H821" s="433" t="s">
        <v>2777</v>
      </c>
      <c r="I821" s="433" t="s">
        <v>2994</v>
      </c>
      <c r="J821" s="433" t="s">
        <v>2970</v>
      </c>
      <c r="K821" s="433" t="s">
        <v>2970</v>
      </c>
      <c r="L821" s="433" t="s">
        <v>2667</v>
      </c>
      <c r="M821" s="433" t="s">
        <v>2899</v>
      </c>
      <c r="N821" s="433" t="s">
        <v>2870</v>
      </c>
      <c r="O821" s="433" t="s">
        <v>3965</v>
      </c>
      <c r="P821" s="433" t="s">
        <v>4119</v>
      </c>
      <c r="Q821" s="431"/>
      <c r="R821" s="431"/>
      <c r="S821" s="426" t="s">
        <v>2669</v>
      </c>
      <c r="T821" s="426" t="s">
        <v>2657</v>
      </c>
      <c r="U821" s="426" t="s">
        <v>2657</v>
      </c>
      <c r="V821" s="426" t="s">
        <v>2657</v>
      </c>
      <c r="W821" s="426" t="s">
        <v>2844</v>
      </c>
      <c r="X821" s="426" t="s">
        <v>3559</v>
      </c>
      <c r="Y821" s="426" t="s">
        <v>3560</v>
      </c>
      <c r="Z821" s="426" t="s">
        <v>3431</v>
      </c>
      <c r="AA821" s="426" t="s">
        <v>3320</v>
      </c>
      <c r="AB821" s="426" t="s">
        <v>3191</v>
      </c>
      <c r="AC821" s="426" t="s">
        <v>2646</v>
      </c>
      <c r="AD821" s="426" t="s">
        <v>2646</v>
      </c>
      <c r="AE821" s="426" t="s">
        <v>2646</v>
      </c>
      <c r="AF821" s="426" t="s">
        <v>2646</v>
      </c>
      <c r="AG821" s="426" t="s">
        <v>2646</v>
      </c>
      <c r="AH821" s="426" t="s">
        <v>2646</v>
      </c>
      <c r="AI821" s="426" t="s">
        <v>2646</v>
      </c>
      <c r="AJ821" s="68" t="s">
        <v>2646</v>
      </c>
    </row>
    <row r="822" spans="1:36" ht="13.5">
      <c r="A822" s="296" t="s">
        <v>2076</v>
      </c>
      <c r="B822" s="427" t="s">
        <v>48</v>
      </c>
      <c r="C822" s="433" t="s">
        <v>4546</v>
      </c>
      <c r="D822" s="433" t="s">
        <v>3867</v>
      </c>
      <c r="E822" s="433" t="s">
        <v>3928</v>
      </c>
      <c r="F822" s="433" t="s">
        <v>4547</v>
      </c>
      <c r="G822" s="433" t="s">
        <v>4005</v>
      </c>
      <c r="H822" s="433" t="s">
        <v>2948</v>
      </c>
      <c r="I822" s="433" t="s">
        <v>3716</v>
      </c>
      <c r="J822" s="433" t="s">
        <v>3672</v>
      </c>
      <c r="K822" s="433" t="s">
        <v>3674</v>
      </c>
      <c r="L822" s="433" t="s">
        <v>3687</v>
      </c>
      <c r="M822" s="433" t="s">
        <v>4222</v>
      </c>
      <c r="N822" s="433" t="s">
        <v>3644</v>
      </c>
      <c r="O822" s="433" t="s">
        <v>3857</v>
      </c>
      <c r="P822" s="433" t="s">
        <v>4292</v>
      </c>
      <c r="Q822" s="433" t="s">
        <v>2654</v>
      </c>
      <c r="R822" s="433" t="s">
        <v>2654</v>
      </c>
      <c r="S822" s="426"/>
      <c r="T822" s="426"/>
      <c r="U822" s="426"/>
      <c r="V822" s="426"/>
      <c r="W822" s="426"/>
      <c r="X822" s="426"/>
      <c r="Y822" s="426"/>
      <c r="Z822" s="426"/>
      <c r="AA822" s="426"/>
      <c r="AB822" s="426"/>
      <c r="AC822" s="426"/>
      <c r="AD822" s="426"/>
      <c r="AE822" s="426"/>
      <c r="AF822" s="426"/>
      <c r="AG822" s="426"/>
      <c r="AH822" s="426"/>
      <c r="AI822" s="426"/>
    </row>
    <row r="823" spans="1:36" ht="13.5" hidden="1">
      <c r="A823" s="296" t="s">
        <v>2077</v>
      </c>
      <c r="B823" s="427" t="s">
        <v>2647</v>
      </c>
      <c r="C823" s="433" t="s">
        <v>3696</v>
      </c>
      <c r="D823" s="433" t="s">
        <v>3851</v>
      </c>
      <c r="E823" s="433" t="s">
        <v>2677</v>
      </c>
      <c r="F823" s="433" t="s">
        <v>2654</v>
      </c>
      <c r="G823" s="433" t="s">
        <v>2654</v>
      </c>
      <c r="H823" s="433" t="s">
        <v>2654</v>
      </c>
      <c r="I823" s="433" t="s">
        <v>2654</v>
      </c>
      <c r="J823" s="433" t="s">
        <v>2654</v>
      </c>
      <c r="K823" s="433" t="s">
        <v>2654</v>
      </c>
      <c r="L823" s="433" t="s">
        <v>2654</v>
      </c>
      <c r="M823" s="433" t="s">
        <v>2654</v>
      </c>
      <c r="N823" s="433" t="s">
        <v>2654</v>
      </c>
      <c r="O823" s="433" t="s">
        <v>2793</v>
      </c>
      <c r="P823" s="433" t="s">
        <v>4085</v>
      </c>
      <c r="Q823" s="431"/>
      <c r="R823" s="431"/>
      <c r="S823" s="426" t="s">
        <v>2664</v>
      </c>
      <c r="T823" s="426" t="s">
        <v>2657</v>
      </c>
      <c r="U823" s="426" t="s">
        <v>2657</v>
      </c>
      <c r="V823" s="426" t="s">
        <v>2657</v>
      </c>
      <c r="W823" s="426" t="s">
        <v>2664</v>
      </c>
      <c r="X823" s="426" t="s">
        <v>3564</v>
      </c>
      <c r="Y823" s="426" t="s">
        <v>3565</v>
      </c>
      <c r="Z823" s="426" t="s">
        <v>3287</v>
      </c>
      <c r="AA823" s="426" t="s">
        <v>3207</v>
      </c>
      <c r="AB823" s="426" t="s">
        <v>3019</v>
      </c>
      <c r="AC823" s="426" t="s">
        <v>2646</v>
      </c>
      <c r="AD823" s="426" t="s">
        <v>2646</v>
      </c>
      <c r="AE823" s="426" t="s">
        <v>2646</v>
      </c>
      <c r="AF823" s="426" t="s">
        <v>2646</v>
      </c>
      <c r="AG823" s="426" t="s">
        <v>2646</v>
      </c>
      <c r="AH823" s="426" t="s">
        <v>2646</v>
      </c>
      <c r="AI823" s="426" t="s">
        <v>2646</v>
      </c>
      <c r="AJ823" s="68" t="s">
        <v>2646</v>
      </c>
    </row>
    <row r="824" spans="1:36" ht="13.5" hidden="1">
      <c r="A824" s="296" t="s">
        <v>2078</v>
      </c>
      <c r="B824" s="427" t="s">
        <v>2648</v>
      </c>
      <c r="C824" s="433" t="s">
        <v>3741</v>
      </c>
      <c r="D824" s="433" t="s">
        <v>3364</v>
      </c>
      <c r="E824" s="433" t="s">
        <v>2732</v>
      </c>
      <c r="F824" s="433" t="s">
        <v>2654</v>
      </c>
      <c r="G824" s="433" t="s">
        <v>2654</v>
      </c>
      <c r="H824" s="433" t="s">
        <v>2654</v>
      </c>
      <c r="I824" s="433" t="s">
        <v>2654</v>
      </c>
      <c r="J824" s="433" t="s">
        <v>2654</v>
      </c>
      <c r="K824" s="433" t="s">
        <v>2654</v>
      </c>
      <c r="L824" s="433" t="s">
        <v>2654</v>
      </c>
      <c r="M824" s="433" t="s">
        <v>2654</v>
      </c>
      <c r="N824" s="433" t="s">
        <v>2654</v>
      </c>
      <c r="O824" s="433" t="s">
        <v>2793</v>
      </c>
      <c r="P824" s="433" t="s">
        <v>4429</v>
      </c>
      <c r="Q824" s="431"/>
      <c r="R824" s="431"/>
      <c r="S824" s="426" t="s">
        <v>2660</v>
      </c>
      <c r="T824" s="426" t="s">
        <v>2657</v>
      </c>
      <c r="U824" s="426" t="s">
        <v>2657</v>
      </c>
      <c r="V824" s="426" t="s">
        <v>2657</v>
      </c>
      <c r="W824" s="426" t="s">
        <v>2664</v>
      </c>
      <c r="X824" s="426" t="s">
        <v>3564</v>
      </c>
      <c r="Y824" s="426" t="s">
        <v>3565</v>
      </c>
      <c r="Z824" s="426" t="s">
        <v>3207</v>
      </c>
      <c r="AA824" s="426" t="s">
        <v>3196</v>
      </c>
      <c r="AB824" s="426" t="s">
        <v>2838</v>
      </c>
      <c r="AC824" s="426" t="s">
        <v>2646</v>
      </c>
      <c r="AD824" s="426" t="s">
        <v>2646</v>
      </c>
      <c r="AE824" s="426" t="s">
        <v>2646</v>
      </c>
      <c r="AF824" s="426" t="s">
        <v>2646</v>
      </c>
      <c r="AG824" s="426" t="s">
        <v>2646</v>
      </c>
      <c r="AH824" s="426" t="s">
        <v>2646</v>
      </c>
      <c r="AI824" s="426" t="s">
        <v>2646</v>
      </c>
      <c r="AJ824" s="68" t="s">
        <v>2646</v>
      </c>
    </row>
    <row r="825" spans="1:36" ht="13.5" hidden="1">
      <c r="A825" s="296" t="s">
        <v>2079</v>
      </c>
      <c r="B825" s="427" t="s">
        <v>2649</v>
      </c>
      <c r="C825" s="433" t="s">
        <v>2799</v>
      </c>
      <c r="D825" s="433" t="s">
        <v>3710</v>
      </c>
      <c r="E825" s="433" t="s">
        <v>2724</v>
      </c>
      <c r="F825" s="433" t="s">
        <v>2654</v>
      </c>
      <c r="G825" s="433" t="s">
        <v>2654</v>
      </c>
      <c r="H825" s="433" t="s">
        <v>2654</v>
      </c>
      <c r="I825" s="433" t="s">
        <v>2654</v>
      </c>
      <c r="J825" s="433" t="s">
        <v>2654</v>
      </c>
      <c r="K825" s="433" t="s">
        <v>2654</v>
      </c>
      <c r="L825" s="433" t="s">
        <v>2654</v>
      </c>
      <c r="M825" s="433" t="s">
        <v>2654</v>
      </c>
      <c r="N825" s="433" t="s">
        <v>2654</v>
      </c>
      <c r="O825" s="433" t="s">
        <v>2793</v>
      </c>
      <c r="P825" s="433" t="s">
        <v>4548</v>
      </c>
      <c r="Q825" s="431"/>
      <c r="R825" s="431"/>
      <c r="S825" s="426" t="s">
        <v>2655</v>
      </c>
      <c r="T825" s="426" t="s">
        <v>2657</v>
      </c>
      <c r="U825" s="426" t="s">
        <v>2657</v>
      </c>
      <c r="V825" s="426" t="s">
        <v>2657</v>
      </c>
      <c r="W825" s="426" t="s">
        <v>2664</v>
      </c>
      <c r="X825" s="426" t="s">
        <v>3564</v>
      </c>
      <c r="Y825" s="426" t="s">
        <v>3565</v>
      </c>
      <c r="Z825" s="426" t="s">
        <v>3312</v>
      </c>
      <c r="AA825" s="426" t="s">
        <v>3201</v>
      </c>
      <c r="AB825" s="426" t="s">
        <v>3387</v>
      </c>
      <c r="AC825" s="426" t="s">
        <v>2646</v>
      </c>
      <c r="AD825" s="426" t="s">
        <v>2646</v>
      </c>
      <c r="AE825" s="426" t="s">
        <v>2646</v>
      </c>
      <c r="AF825" s="426" t="s">
        <v>2646</v>
      </c>
      <c r="AG825" s="426" t="s">
        <v>2646</v>
      </c>
      <c r="AH825" s="426" t="s">
        <v>2646</v>
      </c>
      <c r="AI825" s="426" t="s">
        <v>2646</v>
      </c>
      <c r="AJ825" s="68" t="s">
        <v>2646</v>
      </c>
    </row>
    <row r="826" spans="1:36" ht="13.5" hidden="1">
      <c r="A826" s="296" t="s">
        <v>2080</v>
      </c>
      <c r="B826" s="427" t="s">
        <v>2650</v>
      </c>
      <c r="C826" s="433" t="s">
        <v>2675</v>
      </c>
      <c r="D826" s="433" t="s">
        <v>3364</v>
      </c>
      <c r="E826" s="433" t="s">
        <v>2708</v>
      </c>
      <c r="F826" s="433" t="s">
        <v>2654</v>
      </c>
      <c r="G826" s="433" t="s">
        <v>2654</v>
      </c>
      <c r="H826" s="433" t="s">
        <v>2654</v>
      </c>
      <c r="I826" s="433" t="s">
        <v>2654</v>
      </c>
      <c r="J826" s="433" t="s">
        <v>2654</v>
      </c>
      <c r="K826" s="433" t="s">
        <v>2654</v>
      </c>
      <c r="L826" s="433" t="s">
        <v>2654</v>
      </c>
      <c r="M826" s="433" t="s">
        <v>2654</v>
      </c>
      <c r="N826" s="433" t="s">
        <v>2654</v>
      </c>
      <c r="O826" s="433" t="s">
        <v>2654</v>
      </c>
      <c r="P826" s="433" t="s">
        <v>4387</v>
      </c>
      <c r="Q826" s="431"/>
      <c r="R826" s="431"/>
      <c r="S826" s="426" t="s">
        <v>2669</v>
      </c>
      <c r="T826" s="426" t="s">
        <v>2657</v>
      </c>
      <c r="U826" s="426" t="s">
        <v>2657</v>
      </c>
      <c r="V826" s="426" t="s">
        <v>2657</v>
      </c>
      <c r="W826" s="426" t="s">
        <v>2664</v>
      </c>
      <c r="X826" s="426" t="s">
        <v>3564</v>
      </c>
      <c r="Y826" s="426" t="s">
        <v>3565</v>
      </c>
      <c r="Z826" s="426" t="s">
        <v>3301</v>
      </c>
      <c r="AA826" s="426" t="s">
        <v>3524</v>
      </c>
      <c r="AB826" s="426" t="s">
        <v>3385</v>
      </c>
      <c r="AC826" s="426" t="s">
        <v>2646</v>
      </c>
      <c r="AD826" s="426" t="s">
        <v>2646</v>
      </c>
      <c r="AE826" s="426" t="s">
        <v>2646</v>
      </c>
      <c r="AF826" s="426" t="s">
        <v>2646</v>
      </c>
      <c r="AG826" s="426" t="s">
        <v>2646</v>
      </c>
      <c r="AH826" s="426" t="s">
        <v>2646</v>
      </c>
      <c r="AI826" s="426" t="s">
        <v>2646</v>
      </c>
      <c r="AJ826" s="68" t="s">
        <v>2646</v>
      </c>
    </row>
    <row r="827" spans="1:36" ht="13.5" hidden="1">
      <c r="A827" s="296" t="s">
        <v>2081</v>
      </c>
      <c r="B827" s="427" t="s">
        <v>2651</v>
      </c>
      <c r="C827" s="433" t="s">
        <v>3591</v>
      </c>
      <c r="D827" s="433" t="s">
        <v>3364</v>
      </c>
      <c r="E827" s="433" t="s">
        <v>2680</v>
      </c>
      <c r="F827" s="433" t="s">
        <v>2654</v>
      </c>
      <c r="G827" s="433" t="s">
        <v>2654</v>
      </c>
      <c r="H827" s="433" t="s">
        <v>2654</v>
      </c>
      <c r="I827" s="433" t="s">
        <v>2654</v>
      </c>
      <c r="J827" s="433" t="s">
        <v>2654</v>
      </c>
      <c r="K827" s="433" t="s">
        <v>2654</v>
      </c>
      <c r="L827" s="433" t="s">
        <v>2654</v>
      </c>
      <c r="M827" s="433" t="s">
        <v>2654</v>
      </c>
      <c r="N827" s="433" t="s">
        <v>2654</v>
      </c>
      <c r="O827" s="433" t="s">
        <v>2654</v>
      </c>
      <c r="P827" s="433" t="s">
        <v>4143</v>
      </c>
      <c r="Q827" s="431"/>
      <c r="R827" s="431"/>
      <c r="S827" s="426" t="s">
        <v>2658</v>
      </c>
      <c r="T827" s="426" t="s">
        <v>2657</v>
      </c>
      <c r="U827" s="426" t="s">
        <v>2657</v>
      </c>
      <c r="V827" s="426" t="s">
        <v>2657</v>
      </c>
      <c r="W827" s="426" t="s">
        <v>2664</v>
      </c>
      <c r="X827" s="426" t="s">
        <v>3564</v>
      </c>
      <c r="Y827" s="426" t="s">
        <v>3565</v>
      </c>
      <c r="Z827" s="426" t="s">
        <v>3312</v>
      </c>
      <c r="AA827" s="426" t="s">
        <v>3524</v>
      </c>
      <c r="AB827" s="426" t="s">
        <v>3080</v>
      </c>
      <c r="AC827" s="426" t="s">
        <v>2646</v>
      </c>
      <c r="AD827" s="426" t="s">
        <v>2646</v>
      </c>
      <c r="AE827" s="426" t="s">
        <v>2646</v>
      </c>
      <c r="AF827" s="426" t="s">
        <v>2646</v>
      </c>
      <c r="AG827" s="426" t="s">
        <v>2646</v>
      </c>
      <c r="AH827" s="426" t="s">
        <v>2646</v>
      </c>
      <c r="AI827" s="426" t="s">
        <v>2646</v>
      </c>
      <c r="AJ827" s="68" t="s">
        <v>2646</v>
      </c>
    </row>
    <row r="828" spans="1:36" ht="13.5">
      <c r="A828" s="296" t="s">
        <v>2081</v>
      </c>
      <c r="B828" s="427" t="s">
        <v>48</v>
      </c>
      <c r="C828" s="433" t="s">
        <v>4549</v>
      </c>
      <c r="D828" s="433" t="s">
        <v>3867</v>
      </c>
      <c r="E828" s="433" t="s">
        <v>2724</v>
      </c>
      <c r="F828" s="433" t="s">
        <v>2654</v>
      </c>
      <c r="G828" s="433" t="s">
        <v>2654</v>
      </c>
      <c r="H828" s="433" t="s">
        <v>2654</v>
      </c>
      <c r="I828" s="433" t="s">
        <v>2654</v>
      </c>
      <c r="J828" s="433" t="s">
        <v>2654</v>
      </c>
      <c r="K828" s="433" t="s">
        <v>2654</v>
      </c>
      <c r="L828" s="433" t="s">
        <v>2654</v>
      </c>
      <c r="M828" s="433" t="s">
        <v>2654</v>
      </c>
      <c r="N828" s="433" t="s">
        <v>2654</v>
      </c>
      <c r="O828" s="433" t="s">
        <v>2793</v>
      </c>
      <c r="P828" s="433" t="s">
        <v>3007</v>
      </c>
      <c r="Q828" s="433" t="s">
        <v>2654</v>
      </c>
      <c r="R828" s="433" t="s">
        <v>2654</v>
      </c>
      <c r="S828" s="426"/>
      <c r="T828" s="426"/>
      <c r="U828" s="426"/>
      <c r="V828" s="426"/>
      <c r="W828" s="426"/>
      <c r="X828" s="426"/>
      <c r="Y828" s="426"/>
      <c r="Z828" s="426"/>
      <c r="AA828" s="426"/>
      <c r="AB828" s="426"/>
      <c r="AC828" s="426"/>
      <c r="AD828" s="426"/>
      <c r="AE828" s="426"/>
      <c r="AF828" s="426"/>
      <c r="AG828" s="426"/>
      <c r="AH828" s="426"/>
      <c r="AI828" s="426"/>
    </row>
    <row r="829" spans="1:36" ht="13.5" hidden="1">
      <c r="A829" s="296" t="s">
        <v>2082</v>
      </c>
      <c r="B829" s="427" t="s">
        <v>2647</v>
      </c>
      <c r="C829" s="433" t="s">
        <v>3749</v>
      </c>
      <c r="D829" s="433" t="s">
        <v>3851</v>
      </c>
      <c r="E829" s="433" t="s">
        <v>3807</v>
      </c>
      <c r="F829" s="433" t="s">
        <v>3028</v>
      </c>
      <c r="G829" s="433" t="s">
        <v>3185</v>
      </c>
      <c r="H829" s="433" t="s">
        <v>2751</v>
      </c>
      <c r="I829" s="433" t="s">
        <v>3035</v>
      </c>
      <c r="J829" s="433" t="s">
        <v>2771</v>
      </c>
      <c r="K829" s="433" t="s">
        <v>3178</v>
      </c>
      <c r="L829" s="433" t="s">
        <v>2868</v>
      </c>
      <c r="M829" s="433" t="s">
        <v>2842</v>
      </c>
      <c r="N829" s="433" t="s">
        <v>2705</v>
      </c>
      <c r="O829" s="433" t="s">
        <v>4018</v>
      </c>
      <c r="P829" s="433" t="s">
        <v>4550</v>
      </c>
      <c r="Q829" s="431"/>
      <c r="R829" s="431"/>
      <c r="S829" s="426" t="s">
        <v>2657</v>
      </c>
      <c r="T829" s="426" t="s">
        <v>2657</v>
      </c>
      <c r="U829" s="426" t="s">
        <v>2657</v>
      </c>
      <c r="V829" s="426" t="s">
        <v>2657</v>
      </c>
      <c r="W829" s="426" t="s">
        <v>3296</v>
      </c>
      <c r="X829" s="426" t="s">
        <v>2893</v>
      </c>
      <c r="Y829" s="426" t="s">
        <v>2646</v>
      </c>
      <c r="Z829" s="426" t="s">
        <v>3304</v>
      </c>
      <c r="AA829" s="426" t="s">
        <v>2646</v>
      </c>
      <c r="AB829" s="426" t="s">
        <v>2646</v>
      </c>
      <c r="AC829" s="426" t="s">
        <v>2646</v>
      </c>
      <c r="AD829" s="426" t="s">
        <v>2646</v>
      </c>
      <c r="AE829" s="426" t="s">
        <v>2646</v>
      </c>
      <c r="AF829" s="426" t="s">
        <v>2646</v>
      </c>
      <c r="AG829" s="426" t="s">
        <v>2646</v>
      </c>
      <c r="AH829" s="426" t="s">
        <v>2646</v>
      </c>
      <c r="AI829" s="426" t="s">
        <v>2646</v>
      </c>
      <c r="AJ829" s="68" t="s">
        <v>2646</v>
      </c>
    </row>
    <row r="830" spans="1:36" ht="13.5" hidden="1">
      <c r="A830" s="296" t="s">
        <v>2083</v>
      </c>
      <c r="B830" s="427" t="s">
        <v>2648</v>
      </c>
      <c r="C830" s="433" t="s">
        <v>3750</v>
      </c>
      <c r="D830" s="433" t="s">
        <v>3710</v>
      </c>
      <c r="E830" s="433" t="s">
        <v>3424</v>
      </c>
      <c r="F830" s="433" t="s">
        <v>3465</v>
      </c>
      <c r="G830" s="433" t="s">
        <v>2879</v>
      </c>
      <c r="H830" s="433" t="s">
        <v>2868</v>
      </c>
      <c r="I830" s="433" t="s">
        <v>3017</v>
      </c>
      <c r="J830" s="433" t="s">
        <v>2783</v>
      </c>
      <c r="K830" s="433" t="s">
        <v>2833</v>
      </c>
      <c r="L830" s="433" t="s">
        <v>2729</v>
      </c>
      <c r="M830" s="433" t="s">
        <v>3072</v>
      </c>
      <c r="N830" s="433" t="s">
        <v>2776</v>
      </c>
      <c r="O830" s="433" t="s">
        <v>4551</v>
      </c>
      <c r="P830" s="433" t="s">
        <v>4311</v>
      </c>
      <c r="Q830" s="431"/>
      <c r="R830" s="431"/>
      <c r="S830" s="426" t="s">
        <v>2768</v>
      </c>
      <c r="T830" s="426" t="s">
        <v>2657</v>
      </c>
      <c r="U830" s="426" t="s">
        <v>2657</v>
      </c>
      <c r="V830" s="426" t="s">
        <v>2657</v>
      </c>
      <c r="W830" s="426" t="s">
        <v>3566</v>
      </c>
      <c r="X830" s="426" t="s">
        <v>3477</v>
      </c>
      <c r="Y830" s="426" t="s">
        <v>3504</v>
      </c>
      <c r="Z830" s="426" t="s">
        <v>2998</v>
      </c>
      <c r="AA830" s="426" t="s">
        <v>2936</v>
      </c>
      <c r="AB830" s="426" t="s">
        <v>2646</v>
      </c>
      <c r="AC830" s="426" t="s">
        <v>2646</v>
      </c>
      <c r="AD830" s="426" t="s">
        <v>2646</v>
      </c>
      <c r="AE830" s="426" t="s">
        <v>2646</v>
      </c>
      <c r="AF830" s="426" t="s">
        <v>2646</v>
      </c>
      <c r="AG830" s="426" t="s">
        <v>2646</v>
      </c>
      <c r="AH830" s="426" t="s">
        <v>2646</v>
      </c>
      <c r="AI830" s="426" t="s">
        <v>2646</v>
      </c>
      <c r="AJ830" s="68" t="s">
        <v>2646</v>
      </c>
    </row>
    <row r="831" spans="1:36" ht="13.5" hidden="1">
      <c r="A831" s="296" t="s">
        <v>2084</v>
      </c>
      <c r="B831" s="427" t="s">
        <v>2649</v>
      </c>
      <c r="C831" s="433" t="s">
        <v>3778</v>
      </c>
      <c r="D831" s="433" t="s">
        <v>3686</v>
      </c>
      <c r="E831" s="433" t="s">
        <v>3725</v>
      </c>
      <c r="F831" s="433" t="s">
        <v>3042</v>
      </c>
      <c r="G831" s="433" t="s">
        <v>3164</v>
      </c>
      <c r="H831" s="433" t="s">
        <v>3424</v>
      </c>
      <c r="I831" s="433" t="s">
        <v>3769</v>
      </c>
      <c r="J831" s="433" t="s">
        <v>3802</v>
      </c>
      <c r="K831" s="433" t="s">
        <v>3753</v>
      </c>
      <c r="L831" s="433" t="s">
        <v>2751</v>
      </c>
      <c r="M831" s="433" t="s">
        <v>3035</v>
      </c>
      <c r="N831" s="433" t="s">
        <v>3010</v>
      </c>
      <c r="O831" s="433" t="s">
        <v>4552</v>
      </c>
      <c r="P831" s="433" t="s">
        <v>4119</v>
      </c>
      <c r="Q831" s="431"/>
      <c r="R831" s="431"/>
      <c r="S831" s="426" t="s">
        <v>2655</v>
      </c>
      <c r="T831" s="426" t="s">
        <v>2657</v>
      </c>
      <c r="U831" s="426" t="s">
        <v>2657</v>
      </c>
      <c r="V831" s="426" t="s">
        <v>2657</v>
      </c>
      <c r="W831" s="426" t="s">
        <v>3296</v>
      </c>
      <c r="X831" s="426" t="s">
        <v>2893</v>
      </c>
      <c r="Y831" s="426" t="s">
        <v>2646</v>
      </c>
      <c r="Z831" s="426" t="s">
        <v>2923</v>
      </c>
      <c r="AA831" s="426" t="s">
        <v>2646</v>
      </c>
      <c r="AB831" s="426" t="s">
        <v>2646</v>
      </c>
      <c r="AC831" s="426" t="s">
        <v>2646</v>
      </c>
      <c r="AD831" s="426" t="s">
        <v>2646</v>
      </c>
      <c r="AE831" s="426" t="s">
        <v>2646</v>
      </c>
      <c r="AF831" s="426" t="s">
        <v>2646</v>
      </c>
      <c r="AG831" s="426" t="s">
        <v>2646</v>
      </c>
      <c r="AH831" s="426" t="s">
        <v>2646</v>
      </c>
      <c r="AI831" s="426" t="s">
        <v>2646</v>
      </c>
      <c r="AJ831" s="68" t="s">
        <v>2646</v>
      </c>
    </row>
    <row r="832" spans="1:36" ht="13.5" hidden="1">
      <c r="A832" s="296" t="s">
        <v>2085</v>
      </c>
      <c r="B832" s="427" t="s">
        <v>2650</v>
      </c>
      <c r="C832" s="433" t="s">
        <v>3750</v>
      </c>
      <c r="D832" s="433" t="s">
        <v>3141</v>
      </c>
      <c r="E832" s="433" t="s">
        <v>3769</v>
      </c>
      <c r="F832" s="433" t="s">
        <v>3185</v>
      </c>
      <c r="G832" s="433" t="s">
        <v>2775</v>
      </c>
      <c r="H832" s="433" t="s">
        <v>3465</v>
      </c>
      <c r="I832" s="433" t="s">
        <v>3178</v>
      </c>
      <c r="J832" s="433" t="s">
        <v>3017</v>
      </c>
      <c r="K832" s="433" t="s">
        <v>2858</v>
      </c>
      <c r="L832" s="433" t="s">
        <v>3321</v>
      </c>
      <c r="M832" s="433" t="s">
        <v>2962</v>
      </c>
      <c r="N832" s="433" t="s">
        <v>2943</v>
      </c>
      <c r="O832" s="433" t="s">
        <v>4553</v>
      </c>
      <c r="P832" s="433" t="s">
        <v>4107</v>
      </c>
      <c r="Q832" s="431"/>
      <c r="R832" s="431"/>
      <c r="S832" s="426" t="s">
        <v>2660</v>
      </c>
      <c r="T832" s="426" t="s">
        <v>2657</v>
      </c>
      <c r="U832" s="426" t="s">
        <v>2657</v>
      </c>
      <c r="V832" s="426" t="s">
        <v>2657</v>
      </c>
      <c r="W832" s="426" t="s">
        <v>3567</v>
      </c>
      <c r="X832" s="426" t="s">
        <v>3481</v>
      </c>
      <c r="Y832" s="426" t="s">
        <v>2646</v>
      </c>
      <c r="Z832" s="426" t="s">
        <v>3241</v>
      </c>
      <c r="AA832" s="426" t="s">
        <v>2742</v>
      </c>
      <c r="AB832" s="426" t="s">
        <v>2646</v>
      </c>
      <c r="AC832" s="426" t="s">
        <v>2646</v>
      </c>
      <c r="AD832" s="426" t="s">
        <v>2646</v>
      </c>
      <c r="AE832" s="426" t="s">
        <v>2646</v>
      </c>
      <c r="AF832" s="426" t="s">
        <v>2646</v>
      </c>
      <c r="AG832" s="426" t="s">
        <v>2646</v>
      </c>
      <c r="AH832" s="426" t="s">
        <v>2646</v>
      </c>
      <c r="AI832" s="426" t="s">
        <v>2646</v>
      </c>
      <c r="AJ832" s="68" t="s">
        <v>2646</v>
      </c>
    </row>
    <row r="833" spans="1:36" ht="13.5" hidden="1">
      <c r="A833" s="296" t="s">
        <v>2086</v>
      </c>
      <c r="B833" s="427" t="s">
        <v>2651</v>
      </c>
      <c r="C833" s="433" t="s">
        <v>3810</v>
      </c>
      <c r="D833" s="433" t="s">
        <v>3710</v>
      </c>
      <c r="E833" s="433" t="s">
        <v>3424</v>
      </c>
      <c r="F833" s="433" t="s">
        <v>3802</v>
      </c>
      <c r="G833" s="433" t="s">
        <v>3753</v>
      </c>
      <c r="H833" s="433" t="s">
        <v>3071</v>
      </c>
      <c r="I833" s="433" t="s">
        <v>3010</v>
      </c>
      <c r="J833" s="433" t="s">
        <v>2863</v>
      </c>
      <c r="K833" s="433" t="s">
        <v>2833</v>
      </c>
      <c r="L833" s="433" t="s">
        <v>2833</v>
      </c>
      <c r="M833" s="433" t="s">
        <v>3233</v>
      </c>
      <c r="N833" s="433" t="s">
        <v>2962</v>
      </c>
      <c r="O833" s="433" t="s">
        <v>4554</v>
      </c>
      <c r="P833" s="433" t="s">
        <v>4311</v>
      </c>
      <c r="Q833" s="431"/>
      <c r="R833" s="431"/>
      <c r="S833" s="426" t="s">
        <v>2660</v>
      </c>
      <c r="T833" s="426" t="s">
        <v>2657</v>
      </c>
      <c r="U833" s="426" t="s">
        <v>2657</v>
      </c>
      <c r="V833" s="426" t="s">
        <v>2657</v>
      </c>
      <c r="W833" s="426" t="s">
        <v>3567</v>
      </c>
      <c r="X833" s="426" t="s">
        <v>3481</v>
      </c>
      <c r="Y833" s="426" t="s">
        <v>2646</v>
      </c>
      <c r="Z833" s="426" t="s">
        <v>3114</v>
      </c>
      <c r="AA833" s="426" t="s">
        <v>3105</v>
      </c>
      <c r="AB833" s="426" t="s">
        <v>2646</v>
      </c>
      <c r="AC833" s="426" t="s">
        <v>2646</v>
      </c>
      <c r="AD833" s="426" t="s">
        <v>2646</v>
      </c>
      <c r="AE833" s="426" t="s">
        <v>2646</v>
      </c>
      <c r="AF833" s="426" t="s">
        <v>2646</v>
      </c>
      <c r="AG833" s="426" t="s">
        <v>2646</v>
      </c>
      <c r="AH833" s="426" t="s">
        <v>2646</v>
      </c>
      <c r="AI833" s="426" t="s">
        <v>2646</v>
      </c>
      <c r="AJ833" s="68" t="s">
        <v>2646</v>
      </c>
    </row>
    <row r="834" spans="1:36" ht="13.5">
      <c r="A834" s="296" t="s">
        <v>2086</v>
      </c>
      <c r="B834" s="427" t="s">
        <v>48</v>
      </c>
      <c r="C834" s="433" t="s">
        <v>4555</v>
      </c>
      <c r="D834" s="433" t="s">
        <v>3894</v>
      </c>
      <c r="E834" s="433" t="s">
        <v>4556</v>
      </c>
      <c r="F834" s="433" t="s">
        <v>3998</v>
      </c>
      <c r="G834" s="433" t="s">
        <v>4417</v>
      </c>
      <c r="H834" s="433" t="s">
        <v>4557</v>
      </c>
      <c r="I834" s="433" t="s">
        <v>3828</v>
      </c>
      <c r="J834" s="433" t="s">
        <v>4558</v>
      </c>
      <c r="K834" s="433" t="s">
        <v>3032</v>
      </c>
      <c r="L834" s="433" t="s">
        <v>4205</v>
      </c>
      <c r="M834" s="433" t="s">
        <v>4559</v>
      </c>
      <c r="N834" s="433" t="s">
        <v>3771</v>
      </c>
      <c r="O834" s="433" t="s">
        <v>4560</v>
      </c>
      <c r="P834" s="433" t="s">
        <v>3939</v>
      </c>
      <c r="Q834" s="433" t="s">
        <v>2654</v>
      </c>
      <c r="R834" s="433" t="s">
        <v>2654</v>
      </c>
      <c r="S834" s="426"/>
      <c r="T834" s="426"/>
      <c r="U834" s="426"/>
      <c r="V834" s="426"/>
      <c r="W834" s="426"/>
      <c r="X834" s="426"/>
      <c r="Y834" s="426"/>
      <c r="Z834" s="426"/>
      <c r="AA834" s="426"/>
      <c r="AB834" s="426"/>
      <c r="AC834" s="426"/>
      <c r="AD834" s="426"/>
      <c r="AE834" s="426"/>
      <c r="AF834" s="426"/>
      <c r="AG834" s="426"/>
      <c r="AH834" s="426"/>
      <c r="AI834" s="426"/>
    </row>
    <row r="835" spans="1:36" ht="13.5" hidden="1">
      <c r="A835" s="296" t="s">
        <v>2087</v>
      </c>
      <c r="B835" s="427" t="s">
        <v>2647</v>
      </c>
      <c r="C835" s="433" t="s">
        <v>4561</v>
      </c>
      <c r="D835" s="433" t="s">
        <v>3710</v>
      </c>
      <c r="E835" s="433" t="s">
        <v>3405</v>
      </c>
      <c r="F835" s="433" t="s">
        <v>3055</v>
      </c>
      <c r="G835" s="433" t="s">
        <v>2782</v>
      </c>
      <c r="H835" s="433" t="s">
        <v>2713</v>
      </c>
      <c r="I835" s="433" t="s">
        <v>2772</v>
      </c>
      <c r="J835" s="433" t="s">
        <v>3171</v>
      </c>
      <c r="K835" s="433" t="s">
        <v>3045</v>
      </c>
      <c r="L835" s="433" t="s">
        <v>2927</v>
      </c>
      <c r="M835" s="433" t="s">
        <v>3371</v>
      </c>
      <c r="N835" s="433" t="s">
        <v>3046</v>
      </c>
      <c r="O835" s="433" t="s">
        <v>3948</v>
      </c>
      <c r="P835" s="433" t="s">
        <v>4418</v>
      </c>
      <c r="Q835" s="431"/>
      <c r="R835" s="431"/>
      <c r="S835" s="426" t="s">
        <v>2673</v>
      </c>
      <c r="T835" s="426" t="s">
        <v>2657</v>
      </c>
      <c r="U835" s="426" t="s">
        <v>2657</v>
      </c>
      <c r="V835" s="426" t="s">
        <v>2657</v>
      </c>
      <c r="W835" s="426" t="s">
        <v>3568</v>
      </c>
      <c r="X835" s="426" t="s">
        <v>3506</v>
      </c>
      <c r="Y835" s="426" t="s">
        <v>3569</v>
      </c>
      <c r="Z835" s="426" t="s">
        <v>3241</v>
      </c>
      <c r="AA835" s="426" t="s">
        <v>2646</v>
      </c>
      <c r="AB835" s="426" t="s">
        <v>2646</v>
      </c>
      <c r="AC835" s="426" t="s">
        <v>2646</v>
      </c>
      <c r="AD835" s="426" t="s">
        <v>2646</v>
      </c>
      <c r="AE835" s="426" t="s">
        <v>2646</v>
      </c>
      <c r="AF835" s="426" t="s">
        <v>2646</v>
      </c>
      <c r="AG835" s="426" t="s">
        <v>2646</v>
      </c>
      <c r="AH835" s="426" t="s">
        <v>2646</v>
      </c>
      <c r="AI835" s="426" t="s">
        <v>2646</v>
      </c>
      <c r="AJ835" s="68" t="s">
        <v>2646</v>
      </c>
    </row>
    <row r="836" spans="1:36" ht="13.5" hidden="1">
      <c r="A836" s="296" t="s">
        <v>2088</v>
      </c>
      <c r="B836" s="427" t="s">
        <v>2648</v>
      </c>
      <c r="C836" s="433" t="s">
        <v>3631</v>
      </c>
      <c r="D836" s="433" t="s">
        <v>3858</v>
      </c>
      <c r="E836" s="433" t="s">
        <v>2879</v>
      </c>
      <c r="F836" s="433" t="s">
        <v>3037</v>
      </c>
      <c r="G836" s="433" t="s">
        <v>3160</v>
      </c>
      <c r="H836" s="433" t="s">
        <v>3163</v>
      </c>
      <c r="I836" s="433" t="s">
        <v>2713</v>
      </c>
      <c r="J836" s="433" t="s">
        <v>2765</v>
      </c>
      <c r="K836" s="433" t="s">
        <v>2818</v>
      </c>
      <c r="L836" s="433" t="s">
        <v>2824</v>
      </c>
      <c r="M836" s="433" t="s">
        <v>3044</v>
      </c>
      <c r="N836" s="433" t="s">
        <v>3249</v>
      </c>
      <c r="O836" s="433" t="s">
        <v>4562</v>
      </c>
      <c r="P836" s="433" t="s">
        <v>4416</v>
      </c>
      <c r="Q836" s="431"/>
      <c r="R836" s="431"/>
      <c r="S836" s="426" t="s">
        <v>2655</v>
      </c>
      <c r="T836" s="426" t="s">
        <v>2657</v>
      </c>
      <c r="U836" s="426" t="s">
        <v>2657</v>
      </c>
      <c r="V836" s="426" t="s">
        <v>2657</v>
      </c>
      <c r="W836" s="426" t="s">
        <v>3568</v>
      </c>
      <c r="X836" s="426" t="s">
        <v>3506</v>
      </c>
      <c r="Y836" s="426" t="s">
        <v>3569</v>
      </c>
      <c r="Z836" s="426" t="s">
        <v>3226</v>
      </c>
      <c r="AA836" s="426" t="s">
        <v>2872</v>
      </c>
      <c r="AB836" s="426" t="s">
        <v>2646</v>
      </c>
      <c r="AC836" s="426" t="s">
        <v>2646</v>
      </c>
      <c r="AD836" s="426" t="s">
        <v>2646</v>
      </c>
      <c r="AE836" s="426" t="s">
        <v>2646</v>
      </c>
      <c r="AF836" s="426" t="s">
        <v>2646</v>
      </c>
      <c r="AG836" s="426" t="s">
        <v>2646</v>
      </c>
      <c r="AH836" s="426" t="s">
        <v>2646</v>
      </c>
      <c r="AI836" s="426" t="s">
        <v>2646</v>
      </c>
      <c r="AJ836" s="68" t="s">
        <v>2646</v>
      </c>
    </row>
    <row r="837" spans="1:36" ht="13.5" hidden="1">
      <c r="A837" s="296" t="s">
        <v>2089</v>
      </c>
      <c r="B837" s="427" t="s">
        <v>2649</v>
      </c>
      <c r="C837" s="433" t="s">
        <v>3631</v>
      </c>
      <c r="D837" s="433" t="s">
        <v>3710</v>
      </c>
      <c r="E837" s="433" t="s">
        <v>3253</v>
      </c>
      <c r="F837" s="433" t="s">
        <v>3233</v>
      </c>
      <c r="G837" s="433" t="s">
        <v>2943</v>
      </c>
      <c r="H837" s="433" t="s">
        <v>2772</v>
      </c>
      <c r="I837" s="433" t="s">
        <v>3029</v>
      </c>
      <c r="J837" s="433" t="s">
        <v>2815</v>
      </c>
      <c r="K837" s="433" t="s">
        <v>2733</v>
      </c>
      <c r="L837" s="433" t="s">
        <v>3258</v>
      </c>
      <c r="M837" s="433" t="s">
        <v>2706</v>
      </c>
      <c r="N837" s="433" t="s">
        <v>3045</v>
      </c>
      <c r="O837" s="433" t="s">
        <v>4037</v>
      </c>
      <c r="P837" s="433" t="s">
        <v>4563</v>
      </c>
      <c r="Q837" s="431"/>
      <c r="R837" s="431"/>
      <c r="S837" s="426" t="s">
        <v>2655</v>
      </c>
      <c r="T837" s="426" t="s">
        <v>2657</v>
      </c>
      <c r="U837" s="426" t="s">
        <v>2657</v>
      </c>
      <c r="V837" s="426" t="s">
        <v>2657</v>
      </c>
      <c r="W837" s="426" t="s">
        <v>3568</v>
      </c>
      <c r="X837" s="426" t="s">
        <v>3506</v>
      </c>
      <c r="Y837" s="426" t="s">
        <v>3569</v>
      </c>
      <c r="Z837" s="426" t="s">
        <v>3245</v>
      </c>
      <c r="AA837" s="426" t="s">
        <v>2646</v>
      </c>
      <c r="AB837" s="426" t="s">
        <v>2646</v>
      </c>
      <c r="AC837" s="426" t="s">
        <v>2646</v>
      </c>
      <c r="AD837" s="426" t="s">
        <v>2646</v>
      </c>
      <c r="AE837" s="426" t="s">
        <v>2646</v>
      </c>
      <c r="AF837" s="426" t="s">
        <v>2646</v>
      </c>
      <c r="AG837" s="426" t="s">
        <v>2646</v>
      </c>
      <c r="AH837" s="426" t="s">
        <v>2646</v>
      </c>
      <c r="AI837" s="426" t="s">
        <v>2646</v>
      </c>
      <c r="AJ837" s="68" t="s">
        <v>2646</v>
      </c>
    </row>
    <row r="838" spans="1:36" ht="13.5" hidden="1">
      <c r="A838" s="296" t="s">
        <v>2090</v>
      </c>
      <c r="B838" s="427" t="s">
        <v>2650</v>
      </c>
      <c r="C838" s="433" t="s">
        <v>3720</v>
      </c>
      <c r="D838" s="433" t="s">
        <v>3710</v>
      </c>
      <c r="E838" s="433" t="s">
        <v>3805</v>
      </c>
      <c r="F838" s="433" t="s">
        <v>2751</v>
      </c>
      <c r="G838" s="433" t="s">
        <v>3037</v>
      </c>
      <c r="H838" s="433" t="s">
        <v>2833</v>
      </c>
      <c r="I838" s="433" t="s">
        <v>2883</v>
      </c>
      <c r="J838" s="433" t="s">
        <v>3306</v>
      </c>
      <c r="K838" s="433" t="s">
        <v>2782</v>
      </c>
      <c r="L838" s="433" t="s">
        <v>2959</v>
      </c>
      <c r="M838" s="433" t="s">
        <v>2824</v>
      </c>
      <c r="N838" s="433" t="s">
        <v>2947</v>
      </c>
      <c r="O838" s="433" t="s">
        <v>4564</v>
      </c>
      <c r="P838" s="433" t="s">
        <v>4231</v>
      </c>
      <c r="Q838" s="431"/>
      <c r="R838" s="431"/>
      <c r="S838" s="426" t="s">
        <v>2658</v>
      </c>
      <c r="T838" s="426" t="s">
        <v>2657</v>
      </c>
      <c r="U838" s="426" t="s">
        <v>3187</v>
      </c>
      <c r="V838" s="426" t="s">
        <v>2657</v>
      </c>
      <c r="W838" s="426" t="s">
        <v>3441</v>
      </c>
      <c r="X838" s="426" t="s">
        <v>3508</v>
      </c>
      <c r="Y838" s="426" t="s">
        <v>2890</v>
      </c>
      <c r="Z838" s="426" t="s">
        <v>3241</v>
      </c>
      <c r="AA838" s="426" t="s">
        <v>2646</v>
      </c>
      <c r="AB838" s="426" t="s">
        <v>2646</v>
      </c>
      <c r="AC838" s="426" t="s">
        <v>2646</v>
      </c>
      <c r="AD838" s="426" t="s">
        <v>2646</v>
      </c>
      <c r="AE838" s="426" t="s">
        <v>2646</v>
      </c>
      <c r="AF838" s="426" t="s">
        <v>2646</v>
      </c>
      <c r="AG838" s="426" t="s">
        <v>2646</v>
      </c>
      <c r="AH838" s="426" t="s">
        <v>2646</v>
      </c>
      <c r="AI838" s="426" t="s">
        <v>2646</v>
      </c>
      <c r="AJ838" s="68" t="s">
        <v>2646</v>
      </c>
    </row>
    <row r="839" spans="1:36" ht="13.5" hidden="1">
      <c r="A839" s="296" t="s">
        <v>2091</v>
      </c>
      <c r="B839" s="427" t="s">
        <v>2651</v>
      </c>
      <c r="C839" s="433" t="s">
        <v>3532</v>
      </c>
      <c r="D839" s="433" t="s">
        <v>3710</v>
      </c>
      <c r="E839" s="433" t="s">
        <v>3028</v>
      </c>
      <c r="F839" s="433" t="s">
        <v>3043</v>
      </c>
      <c r="G839" s="433" t="s">
        <v>3018</v>
      </c>
      <c r="H839" s="433" t="s">
        <v>3248</v>
      </c>
      <c r="I839" s="433" t="s">
        <v>2776</v>
      </c>
      <c r="J839" s="433" t="s">
        <v>3163</v>
      </c>
      <c r="K839" s="433" t="s">
        <v>2772</v>
      </c>
      <c r="L839" s="433" t="s">
        <v>2848</v>
      </c>
      <c r="M839" s="433" t="s">
        <v>3300</v>
      </c>
      <c r="N839" s="433" t="s">
        <v>2815</v>
      </c>
      <c r="O839" s="433" t="s">
        <v>4565</v>
      </c>
      <c r="P839" s="433" t="s">
        <v>4257</v>
      </c>
      <c r="Q839" s="431"/>
      <c r="R839" s="431"/>
      <c r="S839" s="426" t="s">
        <v>2669</v>
      </c>
      <c r="T839" s="426" t="s">
        <v>2657</v>
      </c>
      <c r="U839" s="426" t="s">
        <v>2657</v>
      </c>
      <c r="V839" s="426" t="s">
        <v>2657</v>
      </c>
      <c r="W839" s="426" t="s">
        <v>3568</v>
      </c>
      <c r="X839" s="426" t="s">
        <v>3506</v>
      </c>
      <c r="Y839" s="426" t="s">
        <v>3569</v>
      </c>
      <c r="Z839" s="426" t="s">
        <v>2697</v>
      </c>
      <c r="AA839" s="426" t="s">
        <v>2646</v>
      </c>
      <c r="AB839" s="426" t="s">
        <v>2646</v>
      </c>
      <c r="AC839" s="426" t="s">
        <v>2646</v>
      </c>
      <c r="AD839" s="426" t="s">
        <v>2646</v>
      </c>
      <c r="AE839" s="426" t="s">
        <v>2646</v>
      </c>
      <c r="AF839" s="426" t="s">
        <v>2646</v>
      </c>
      <c r="AG839" s="426" t="s">
        <v>2646</v>
      </c>
      <c r="AH839" s="426" t="s">
        <v>2646</v>
      </c>
      <c r="AI839" s="426" t="s">
        <v>2646</v>
      </c>
      <c r="AJ839" s="68" t="s">
        <v>2646</v>
      </c>
    </row>
    <row r="840" spans="1:36" ht="13.5">
      <c r="A840" s="296" t="s">
        <v>2091</v>
      </c>
      <c r="B840" s="427" t="s">
        <v>48</v>
      </c>
      <c r="C840" s="433" t="s">
        <v>2799</v>
      </c>
      <c r="D840" s="433" t="s">
        <v>3647</v>
      </c>
      <c r="E840" s="433" t="s">
        <v>3834</v>
      </c>
      <c r="F840" s="433" t="s">
        <v>4035</v>
      </c>
      <c r="G840" s="433" t="s">
        <v>3841</v>
      </c>
      <c r="H840" s="433" t="s">
        <v>2943</v>
      </c>
      <c r="I840" s="433" t="s">
        <v>4455</v>
      </c>
      <c r="J840" s="433" t="s">
        <v>3830</v>
      </c>
      <c r="K840" s="433" t="s">
        <v>4566</v>
      </c>
      <c r="L840" s="433" t="s">
        <v>2947</v>
      </c>
      <c r="M840" s="433" t="s">
        <v>4567</v>
      </c>
      <c r="N840" s="433" t="s">
        <v>4568</v>
      </c>
      <c r="O840" s="433" t="s">
        <v>4569</v>
      </c>
      <c r="P840" s="433" t="s">
        <v>3772</v>
      </c>
      <c r="Q840" s="433" t="s">
        <v>2654</v>
      </c>
      <c r="R840" s="433" t="s">
        <v>2654</v>
      </c>
      <c r="S840" s="426"/>
      <c r="T840" s="426"/>
      <c r="U840" s="426"/>
      <c r="V840" s="426"/>
      <c r="W840" s="426"/>
      <c r="X840" s="426"/>
      <c r="Y840" s="426"/>
      <c r="Z840" s="426"/>
      <c r="AA840" s="426"/>
      <c r="AB840" s="426"/>
      <c r="AC840" s="426"/>
      <c r="AD840" s="426"/>
      <c r="AE840" s="426"/>
      <c r="AF840" s="426"/>
      <c r="AG840" s="426"/>
      <c r="AH840" s="426"/>
      <c r="AI840" s="426"/>
    </row>
    <row r="841" spans="1:36" ht="13.5" hidden="1">
      <c r="A841" s="296" t="s">
        <v>2092</v>
      </c>
      <c r="B841" s="427" t="s">
        <v>2647</v>
      </c>
      <c r="C841" s="433" t="s">
        <v>3787</v>
      </c>
      <c r="D841" s="433" t="s">
        <v>3710</v>
      </c>
      <c r="E841" s="433" t="s">
        <v>3050</v>
      </c>
      <c r="F841" s="433" t="s">
        <v>2685</v>
      </c>
      <c r="G841" s="433" t="s">
        <v>2834</v>
      </c>
      <c r="H841" s="433" t="s">
        <v>2978</v>
      </c>
      <c r="I841" s="433" t="s">
        <v>2753</v>
      </c>
      <c r="J841" s="433" t="s">
        <v>2695</v>
      </c>
      <c r="K841" s="433" t="s">
        <v>2809</v>
      </c>
      <c r="L841" s="433" t="s">
        <v>3036</v>
      </c>
      <c r="M841" s="433" t="s">
        <v>3036</v>
      </c>
      <c r="N841" s="433" t="s">
        <v>2903</v>
      </c>
      <c r="O841" s="433" t="s">
        <v>4570</v>
      </c>
      <c r="P841" s="433" t="s">
        <v>4571</v>
      </c>
      <c r="Q841" s="431"/>
      <c r="R841" s="431"/>
      <c r="S841" s="426" t="s">
        <v>2660</v>
      </c>
      <c r="T841" s="426" t="s">
        <v>2657</v>
      </c>
      <c r="U841" s="426" t="s">
        <v>2657</v>
      </c>
      <c r="V841" s="426" t="s">
        <v>2657</v>
      </c>
      <c r="W841" s="426" t="s">
        <v>3570</v>
      </c>
      <c r="X841" s="426" t="s">
        <v>3571</v>
      </c>
      <c r="Y841" s="426" t="s">
        <v>3515</v>
      </c>
      <c r="Z841" s="426" t="s">
        <v>3398</v>
      </c>
      <c r="AA841" s="426" t="s">
        <v>3135</v>
      </c>
      <c r="AB841" s="426" t="s">
        <v>2646</v>
      </c>
      <c r="AC841" s="426" t="s">
        <v>2646</v>
      </c>
      <c r="AD841" s="426" t="s">
        <v>2646</v>
      </c>
      <c r="AE841" s="426" t="s">
        <v>2646</v>
      </c>
      <c r="AF841" s="426" t="s">
        <v>2646</v>
      </c>
      <c r="AG841" s="426" t="s">
        <v>2646</v>
      </c>
      <c r="AH841" s="426" t="s">
        <v>2646</v>
      </c>
      <c r="AI841" s="426" t="s">
        <v>2646</v>
      </c>
      <c r="AJ841" s="68" t="s">
        <v>2646</v>
      </c>
    </row>
    <row r="842" spans="1:36" ht="13.5" hidden="1">
      <c r="A842" s="296" t="s">
        <v>2093</v>
      </c>
      <c r="B842" s="427" t="s">
        <v>2648</v>
      </c>
      <c r="C842" s="433" t="s">
        <v>3590</v>
      </c>
      <c r="D842" s="433" t="s">
        <v>3710</v>
      </c>
      <c r="E842" s="433" t="s">
        <v>3037</v>
      </c>
      <c r="F842" s="433" t="s">
        <v>2741</v>
      </c>
      <c r="G842" s="433" t="s">
        <v>2875</v>
      </c>
      <c r="H842" s="433" t="s">
        <v>2767</v>
      </c>
      <c r="I842" s="433" t="s">
        <v>2767</v>
      </c>
      <c r="J842" s="433" t="s">
        <v>2994</v>
      </c>
      <c r="K842" s="433" t="s">
        <v>2773</v>
      </c>
      <c r="L842" s="433" t="s">
        <v>2773</v>
      </c>
      <c r="M842" s="433" t="s">
        <v>2687</v>
      </c>
      <c r="N842" s="433" t="s">
        <v>2667</v>
      </c>
      <c r="O842" s="433" t="s">
        <v>4572</v>
      </c>
      <c r="P842" s="433" t="s">
        <v>4231</v>
      </c>
      <c r="Q842" s="431"/>
      <c r="R842" s="431"/>
      <c r="S842" s="426" t="s">
        <v>2660</v>
      </c>
      <c r="T842" s="426" t="s">
        <v>2657</v>
      </c>
      <c r="U842" s="426" t="s">
        <v>2657</v>
      </c>
      <c r="V842" s="426" t="s">
        <v>2657</v>
      </c>
      <c r="W842" s="426" t="s">
        <v>3568</v>
      </c>
      <c r="X842" s="426" t="s">
        <v>3428</v>
      </c>
      <c r="Y842" s="426" t="s">
        <v>3572</v>
      </c>
      <c r="Z842" s="426" t="s">
        <v>3398</v>
      </c>
      <c r="AA842" s="426" t="s">
        <v>3456</v>
      </c>
      <c r="AB842" s="426" t="s">
        <v>2646</v>
      </c>
      <c r="AC842" s="426" t="s">
        <v>2646</v>
      </c>
      <c r="AD842" s="426" t="s">
        <v>2646</v>
      </c>
      <c r="AE842" s="426" t="s">
        <v>2646</v>
      </c>
      <c r="AF842" s="426" t="s">
        <v>2646</v>
      </c>
      <c r="AG842" s="426" t="s">
        <v>2646</v>
      </c>
      <c r="AH842" s="426" t="s">
        <v>2646</v>
      </c>
      <c r="AI842" s="426" t="s">
        <v>2646</v>
      </c>
      <c r="AJ842" s="68" t="s">
        <v>2646</v>
      </c>
    </row>
    <row r="843" spans="1:36" ht="13.5" hidden="1">
      <c r="A843" s="296" t="s">
        <v>2094</v>
      </c>
      <c r="B843" s="427" t="s">
        <v>2649</v>
      </c>
      <c r="C843" s="433" t="s">
        <v>3475</v>
      </c>
      <c r="D843" s="433" t="s">
        <v>3710</v>
      </c>
      <c r="E843" s="433" t="s">
        <v>3248</v>
      </c>
      <c r="F843" s="433" t="s">
        <v>2935</v>
      </c>
      <c r="G843" s="433" t="s">
        <v>2908</v>
      </c>
      <c r="H843" s="433" t="s">
        <v>3047</v>
      </c>
      <c r="I843" s="433" t="s">
        <v>2835</v>
      </c>
      <c r="J843" s="433" t="s">
        <v>2767</v>
      </c>
      <c r="K843" s="433" t="s">
        <v>2994</v>
      </c>
      <c r="L843" s="433" t="s">
        <v>3007</v>
      </c>
      <c r="M843" s="433" t="s">
        <v>2714</v>
      </c>
      <c r="N843" s="433" t="s">
        <v>2738</v>
      </c>
      <c r="O843" s="433" t="s">
        <v>4573</v>
      </c>
      <c r="P843" s="433" t="s">
        <v>4249</v>
      </c>
      <c r="Q843" s="431"/>
      <c r="R843" s="431"/>
      <c r="S843" s="426" t="s">
        <v>2658</v>
      </c>
      <c r="T843" s="426" t="s">
        <v>2657</v>
      </c>
      <c r="U843" s="426" t="s">
        <v>2786</v>
      </c>
      <c r="V843" s="426" t="s">
        <v>2657</v>
      </c>
      <c r="W843" s="426" t="s">
        <v>3568</v>
      </c>
      <c r="X843" s="426" t="s">
        <v>3428</v>
      </c>
      <c r="Y843" s="426" t="s">
        <v>3572</v>
      </c>
      <c r="Z843" s="426" t="s">
        <v>3510</v>
      </c>
      <c r="AA843" s="426" t="s">
        <v>2881</v>
      </c>
      <c r="AB843" s="426" t="s">
        <v>2646</v>
      </c>
      <c r="AC843" s="426" t="s">
        <v>2646</v>
      </c>
      <c r="AD843" s="426" t="s">
        <v>2646</v>
      </c>
      <c r="AE843" s="426" t="s">
        <v>2646</v>
      </c>
      <c r="AF843" s="426" t="s">
        <v>2646</v>
      </c>
      <c r="AG843" s="426" t="s">
        <v>2646</v>
      </c>
      <c r="AH843" s="426" t="s">
        <v>2646</v>
      </c>
      <c r="AI843" s="426" t="s">
        <v>2646</v>
      </c>
      <c r="AJ843" s="68" t="s">
        <v>2646</v>
      </c>
    </row>
    <row r="844" spans="1:36" ht="13.5" hidden="1">
      <c r="A844" s="296" t="s">
        <v>2095</v>
      </c>
      <c r="B844" s="427" t="s">
        <v>2650</v>
      </c>
      <c r="C844" s="433" t="s">
        <v>3363</v>
      </c>
      <c r="D844" s="433" t="s">
        <v>3710</v>
      </c>
      <c r="E844" s="433" t="s">
        <v>3055</v>
      </c>
      <c r="F844" s="433" t="s">
        <v>2745</v>
      </c>
      <c r="G844" s="433" t="s">
        <v>2859</v>
      </c>
      <c r="H844" s="433" t="s">
        <v>2921</v>
      </c>
      <c r="I844" s="433" t="s">
        <v>2835</v>
      </c>
      <c r="J844" s="433" t="s">
        <v>2676</v>
      </c>
      <c r="K844" s="433" t="s">
        <v>2754</v>
      </c>
      <c r="L844" s="433" t="s">
        <v>2714</v>
      </c>
      <c r="M844" s="433" t="s">
        <v>2773</v>
      </c>
      <c r="N844" s="433" t="s">
        <v>2667</v>
      </c>
      <c r="O844" s="433" t="s">
        <v>4574</v>
      </c>
      <c r="P844" s="433" t="s">
        <v>4575</v>
      </c>
      <c r="Q844" s="431"/>
      <c r="R844" s="431"/>
      <c r="S844" s="426" t="s">
        <v>2669</v>
      </c>
      <c r="T844" s="426" t="s">
        <v>2657</v>
      </c>
      <c r="U844" s="426" t="s">
        <v>2657</v>
      </c>
      <c r="V844" s="426" t="s">
        <v>2657</v>
      </c>
      <c r="W844" s="426" t="s">
        <v>3568</v>
      </c>
      <c r="X844" s="426" t="s">
        <v>3428</v>
      </c>
      <c r="Y844" s="426" t="s">
        <v>3572</v>
      </c>
      <c r="Z844" s="426" t="s">
        <v>3398</v>
      </c>
      <c r="AA844" s="426" t="s">
        <v>3117</v>
      </c>
      <c r="AB844" s="426" t="s">
        <v>2646</v>
      </c>
      <c r="AC844" s="426" t="s">
        <v>2646</v>
      </c>
      <c r="AD844" s="426" t="s">
        <v>2646</v>
      </c>
      <c r="AE844" s="426" t="s">
        <v>2646</v>
      </c>
      <c r="AF844" s="426" t="s">
        <v>2646</v>
      </c>
      <c r="AG844" s="426" t="s">
        <v>2646</v>
      </c>
      <c r="AH844" s="426" t="s">
        <v>2646</v>
      </c>
      <c r="AI844" s="426" t="s">
        <v>2646</v>
      </c>
      <c r="AJ844" s="68" t="s">
        <v>2646</v>
      </c>
    </row>
    <row r="845" spans="1:36" ht="13.5" hidden="1">
      <c r="A845" s="296" t="s">
        <v>2096</v>
      </c>
      <c r="B845" s="427" t="s">
        <v>2651</v>
      </c>
      <c r="C845" s="433" t="s">
        <v>3514</v>
      </c>
      <c r="D845" s="433" t="s">
        <v>3364</v>
      </c>
      <c r="E845" s="433" t="s">
        <v>3011</v>
      </c>
      <c r="F845" s="433" t="s">
        <v>3171</v>
      </c>
      <c r="G845" s="433" t="s">
        <v>3371</v>
      </c>
      <c r="H845" s="433" t="s">
        <v>2903</v>
      </c>
      <c r="I845" s="433" t="s">
        <v>2917</v>
      </c>
      <c r="J845" s="433" t="s">
        <v>2917</v>
      </c>
      <c r="K845" s="433" t="s">
        <v>2767</v>
      </c>
      <c r="L845" s="433" t="s">
        <v>2754</v>
      </c>
      <c r="M845" s="433" t="s">
        <v>2928</v>
      </c>
      <c r="N845" s="433" t="s">
        <v>2994</v>
      </c>
      <c r="O845" s="433" t="s">
        <v>4576</v>
      </c>
      <c r="P845" s="433" t="s">
        <v>4415</v>
      </c>
      <c r="Q845" s="431"/>
      <c r="R845" s="431"/>
      <c r="S845" s="426" t="s">
        <v>2669</v>
      </c>
      <c r="T845" s="426" t="s">
        <v>2657</v>
      </c>
      <c r="U845" s="426" t="s">
        <v>2657</v>
      </c>
      <c r="V845" s="426" t="s">
        <v>2657</v>
      </c>
      <c r="W845" s="426" t="s">
        <v>3568</v>
      </c>
      <c r="X845" s="426" t="s">
        <v>3428</v>
      </c>
      <c r="Y845" s="426" t="s">
        <v>3572</v>
      </c>
      <c r="Z845" s="426" t="s">
        <v>3398</v>
      </c>
      <c r="AA845" s="426" t="s">
        <v>3135</v>
      </c>
      <c r="AB845" s="426" t="s">
        <v>2646</v>
      </c>
      <c r="AC845" s="426" t="s">
        <v>2646</v>
      </c>
      <c r="AD845" s="426" t="s">
        <v>2646</v>
      </c>
      <c r="AE845" s="426" t="s">
        <v>2646</v>
      </c>
      <c r="AF845" s="426" t="s">
        <v>2646</v>
      </c>
      <c r="AG845" s="426" t="s">
        <v>2646</v>
      </c>
      <c r="AH845" s="426" t="s">
        <v>2646</v>
      </c>
      <c r="AI845" s="426" t="s">
        <v>2646</v>
      </c>
      <c r="AJ845" s="68" t="s">
        <v>2646</v>
      </c>
    </row>
    <row r="846" spans="1:36" ht="13.5">
      <c r="A846" s="296" t="s">
        <v>2096</v>
      </c>
      <c r="B846" s="427" t="s">
        <v>48</v>
      </c>
      <c r="C846" s="433" t="s">
        <v>4577</v>
      </c>
      <c r="D846" s="433" t="s">
        <v>3874</v>
      </c>
      <c r="E846" s="433" t="s">
        <v>4578</v>
      </c>
      <c r="F846" s="433" t="s">
        <v>4579</v>
      </c>
      <c r="G846" s="433" t="s">
        <v>3960</v>
      </c>
      <c r="H846" s="433" t="s">
        <v>3964</v>
      </c>
      <c r="I846" s="433" t="s">
        <v>4580</v>
      </c>
      <c r="J846" s="433" t="s">
        <v>3776</v>
      </c>
      <c r="K846" s="433" t="s">
        <v>4227</v>
      </c>
      <c r="L846" s="433" t="s">
        <v>3847</v>
      </c>
      <c r="M846" s="433" t="s">
        <v>4333</v>
      </c>
      <c r="N846" s="433" t="s">
        <v>3660</v>
      </c>
      <c r="O846" s="433" t="s">
        <v>4581</v>
      </c>
      <c r="P846" s="433" t="s">
        <v>3775</v>
      </c>
      <c r="Q846" s="433" t="s">
        <v>2654</v>
      </c>
      <c r="R846" s="433" t="s">
        <v>2654</v>
      </c>
      <c r="S846" s="426"/>
      <c r="T846" s="426"/>
      <c r="U846" s="426"/>
      <c r="V846" s="426"/>
      <c r="W846" s="426"/>
      <c r="X846" s="426"/>
      <c r="Y846" s="426"/>
      <c r="Z846" s="426"/>
      <c r="AA846" s="426"/>
      <c r="AB846" s="426"/>
      <c r="AC846" s="426"/>
      <c r="AD846" s="426"/>
      <c r="AE846" s="426"/>
      <c r="AF846" s="426"/>
      <c r="AG846" s="426"/>
      <c r="AH846" s="426"/>
      <c r="AI846" s="426"/>
    </row>
    <row r="847" spans="1:36" ht="13.5" hidden="1">
      <c r="A847" s="296" t="s">
        <v>2097</v>
      </c>
      <c r="B847" s="427" t="s">
        <v>2647</v>
      </c>
      <c r="C847" s="433" t="s">
        <v>3865</v>
      </c>
      <c r="D847" s="433" t="s">
        <v>3686</v>
      </c>
      <c r="E847" s="433" t="s">
        <v>3043</v>
      </c>
      <c r="F847" s="433" t="s">
        <v>3123</v>
      </c>
      <c r="G847" s="433" t="s">
        <v>2754</v>
      </c>
      <c r="H847" s="433" t="s">
        <v>2825</v>
      </c>
      <c r="I847" s="433" t="s">
        <v>2708</v>
      </c>
      <c r="J847" s="433" t="s">
        <v>2678</v>
      </c>
      <c r="K847" s="433" t="s">
        <v>2678</v>
      </c>
      <c r="L847" s="433" t="s">
        <v>2654</v>
      </c>
      <c r="M847" s="433" t="s">
        <v>2654</v>
      </c>
      <c r="N847" s="433" t="s">
        <v>2654</v>
      </c>
      <c r="O847" s="433" t="s">
        <v>3255</v>
      </c>
      <c r="P847" s="433" t="s">
        <v>4481</v>
      </c>
      <c r="Q847" s="431"/>
      <c r="R847" s="431"/>
      <c r="S847" s="426" t="s">
        <v>2660</v>
      </c>
      <c r="T847" s="426" t="s">
        <v>2657</v>
      </c>
      <c r="U847" s="426" t="s">
        <v>3187</v>
      </c>
      <c r="V847" s="426" t="s">
        <v>2657</v>
      </c>
      <c r="W847" s="426" t="s">
        <v>3568</v>
      </c>
      <c r="X847" s="426" t="s">
        <v>3435</v>
      </c>
      <c r="Y847" s="426" t="s">
        <v>3493</v>
      </c>
      <c r="Z847" s="426" t="s">
        <v>3398</v>
      </c>
      <c r="AA847" s="426" t="s">
        <v>3039</v>
      </c>
      <c r="AB847" s="426" t="s">
        <v>2646</v>
      </c>
      <c r="AC847" s="426" t="s">
        <v>2646</v>
      </c>
      <c r="AD847" s="426" t="s">
        <v>2646</v>
      </c>
      <c r="AE847" s="426" t="s">
        <v>2646</v>
      </c>
      <c r="AF847" s="426" t="s">
        <v>2646</v>
      </c>
      <c r="AG847" s="426" t="s">
        <v>2646</v>
      </c>
      <c r="AH847" s="426" t="s">
        <v>2646</v>
      </c>
      <c r="AI847" s="426" t="s">
        <v>2646</v>
      </c>
      <c r="AJ847" s="68" t="s">
        <v>2646</v>
      </c>
    </row>
    <row r="848" spans="1:36" ht="13.5" hidden="1">
      <c r="A848" s="296" t="s">
        <v>2098</v>
      </c>
      <c r="B848" s="427" t="s">
        <v>2648</v>
      </c>
      <c r="C848" s="433" t="s">
        <v>3920</v>
      </c>
      <c r="D848" s="433" t="s">
        <v>3686</v>
      </c>
      <c r="E848" s="433" t="s">
        <v>3055</v>
      </c>
      <c r="F848" s="433" t="s">
        <v>2978</v>
      </c>
      <c r="G848" s="433" t="s">
        <v>3007</v>
      </c>
      <c r="H848" s="433" t="s">
        <v>2896</v>
      </c>
      <c r="I848" s="433" t="s">
        <v>2677</v>
      </c>
      <c r="J848" s="433" t="s">
        <v>2732</v>
      </c>
      <c r="K848" s="433" t="s">
        <v>2654</v>
      </c>
      <c r="L848" s="433" t="s">
        <v>2654</v>
      </c>
      <c r="M848" s="433" t="s">
        <v>2654</v>
      </c>
      <c r="N848" s="433" t="s">
        <v>2654</v>
      </c>
      <c r="O848" s="433" t="s">
        <v>3243</v>
      </c>
      <c r="P848" s="433" t="s">
        <v>4257</v>
      </c>
      <c r="Q848" s="431"/>
      <c r="R848" s="431"/>
      <c r="S848" s="426" t="s">
        <v>2660</v>
      </c>
      <c r="T848" s="426" t="s">
        <v>2657</v>
      </c>
      <c r="U848" s="426" t="s">
        <v>2657</v>
      </c>
      <c r="V848" s="426" t="s">
        <v>2657</v>
      </c>
      <c r="W848" s="426" t="s">
        <v>3568</v>
      </c>
      <c r="X848" s="426" t="s">
        <v>3435</v>
      </c>
      <c r="Y848" s="426" t="s">
        <v>3493</v>
      </c>
      <c r="Z848" s="426" t="s">
        <v>3574</v>
      </c>
      <c r="AA848" s="426" t="s">
        <v>3238</v>
      </c>
      <c r="AB848" s="426" t="s">
        <v>2646</v>
      </c>
      <c r="AC848" s="426" t="s">
        <v>2646</v>
      </c>
      <c r="AD848" s="426" t="s">
        <v>2646</v>
      </c>
      <c r="AE848" s="426" t="s">
        <v>2646</v>
      </c>
      <c r="AF848" s="426" t="s">
        <v>2646</v>
      </c>
      <c r="AG848" s="426" t="s">
        <v>2646</v>
      </c>
      <c r="AH848" s="426" t="s">
        <v>2646</v>
      </c>
      <c r="AI848" s="426" t="s">
        <v>2646</v>
      </c>
      <c r="AJ848" s="68" t="s">
        <v>2646</v>
      </c>
    </row>
    <row r="849" spans="1:36" ht="13.5" hidden="1">
      <c r="A849" s="296" t="s">
        <v>2099</v>
      </c>
      <c r="B849" s="427" t="s">
        <v>2649</v>
      </c>
      <c r="C849" s="433" t="s">
        <v>4196</v>
      </c>
      <c r="D849" s="433" t="s">
        <v>3710</v>
      </c>
      <c r="E849" s="433" t="s">
        <v>3021</v>
      </c>
      <c r="F849" s="433" t="s">
        <v>2782</v>
      </c>
      <c r="G849" s="433" t="s">
        <v>2809</v>
      </c>
      <c r="H849" s="433" t="s">
        <v>2724</v>
      </c>
      <c r="I849" s="433" t="s">
        <v>2724</v>
      </c>
      <c r="J849" s="433" t="s">
        <v>2656</v>
      </c>
      <c r="K849" s="433" t="s">
        <v>2678</v>
      </c>
      <c r="L849" s="433" t="s">
        <v>2654</v>
      </c>
      <c r="M849" s="433" t="s">
        <v>2654</v>
      </c>
      <c r="N849" s="433" t="s">
        <v>2654</v>
      </c>
      <c r="O849" s="433" t="s">
        <v>4034</v>
      </c>
      <c r="P849" s="433" t="s">
        <v>2860</v>
      </c>
      <c r="Q849" s="431"/>
      <c r="R849" s="431"/>
      <c r="S849" s="426" t="s">
        <v>2669</v>
      </c>
      <c r="T849" s="426" t="s">
        <v>2657</v>
      </c>
      <c r="U849" s="426" t="s">
        <v>2796</v>
      </c>
      <c r="V849" s="426" t="s">
        <v>2657</v>
      </c>
      <c r="W849" s="426" t="s">
        <v>3570</v>
      </c>
      <c r="X849" s="426" t="s">
        <v>2898</v>
      </c>
      <c r="Y849" s="426" t="s">
        <v>3002</v>
      </c>
      <c r="Z849" s="426" t="s">
        <v>3398</v>
      </c>
      <c r="AA849" s="426" t="s">
        <v>3188</v>
      </c>
      <c r="AB849" s="426" t="s">
        <v>2646</v>
      </c>
      <c r="AC849" s="426" t="s">
        <v>2646</v>
      </c>
      <c r="AD849" s="426" t="s">
        <v>2646</v>
      </c>
      <c r="AE849" s="426" t="s">
        <v>2646</v>
      </c>
      <c r="AF849" s="426" t="s">
        <v>2646</v>
      </c>
      <c r="AG849" s="426" t="s">
        <v>2646</v>
      </c>
      <c r="AH849" s="426" t="s">
        <v>2646</v>
      </c>
      <c r="AI849" s="426" t="s">
        <v>2646</v>
      </c>
      <c r="AJ849" s="68" t="s">
        <v>2646</v>
      </c>
    </row>
    <row r="850" spans="1:36" ht="13.5" hidden="1">
      <c r="A850" s="296" t="s">
        <v>2100</v>
      </c>
      <c r="B850" s="427" t="s">
        <v>2650</v>
      </c>
      <c r="C850" s="433" t="s">
        <v>3223</v>
      </c>
      <c r="D850" s="433" t="s">
        <v>3710</v>
      </c>
      <c r="E850" s="433" t="s">
        <v>2752</v>
      </c>
      <c r="F850" s="433" t="s">
        <v>3046</v>
      </c>
      <c r="G850" s="433" t="s">
        <v>2700</v>
      </c>
      <c r="H850" s="433" t="s">
        <v>2724</v>
      </c>
      <c r="I850" s="433" t="s">
        <v>2708</v>
      </c>
      <c r="J850" s="433" t="s">
        <v>2654</v>
      </c>
      <c r="K850" s="433" t="s">
        <v>2654</v>
      </c>
      <c r="L850" s="433" t="s">
        <v>2654</v>
      </c>
      <c r="M850" s="433" t="s">
        <v>2654</v>
      </c>
      <c r="N850" s="433" t="s">
        <v>2654</v>
      </c>
      <c r="O850" s="433" t="s">
        <v>4223</v>
      </c>
      <c r="P850" s="433" t="s">
        <v>4260</v>
      </c>
      <c r="Q850" s="431"/>
      <c r="R850" s="431"/>
      <c r="S850" s="426" t="s">
        <v>2673</v>
      </c>
      <c r="T850" s="426" t="s">
        <v>2657</v>
      </c>
      <c r="U850" s="426" t="s">
        <v>2657</v>
      </c>
      <c r="V850" s="426" t="s">
        <v>2657</v>
      </c>
      <c r="W850" s="426" t="s">
        <v>3568</v>
      </c>
      <c r="X850" s="426" t="s">
        <v>3435</v>
      </c>
      <c r="Y850" s="426" t="s">
        <v>3493</v>
      </c>
      <c r="Z850" s="426" t="s">
        <v>3574</v>
      </c>
      <c r="AA850" s="426" t="s">
        <v>3207</v>
      </c>
      <c r="AB850" s="426" t="s">
        <v>2646</v>
      </c>
      <c r="AC850" s="426" t="s">
        <v>2646</v>
      </c>
      <c r="AD850" s="426" t="s">
        <v>2646</v>
      </c>
      <c r="AE850" s="426" t="s">
        <v>2646</v>
      </c>
      <c r="AF850" s="426" t="s">
        <v>2646</v>
      </c>
      <c r="AG850" s="426" t="s">
        <v>2646</v>
      </c>
      <c r="AH850" s="426" t="s">
        <v>2646</v>
      </c>
      <c r="AI850" s="426" t="s">
        <v>2646</v>
      </c>
      <c r="AJ850" s="68" t="s">
        <v>2646</v>
      </c>
    </row>
    <row r="851" spans="1:36" ht="13.5" hidden="1">
      <c r="A851" s="296" t="s">
        <v>2101</v>
      </c>
      <c r="B851" s="427" t="s">
        <v>2651</v>
      </c>
      <c r="C851" s="433" t="s">
        <v>4196</v>
      </c>
      <c r="D851" s="433" t="s">
        <v>3364</v>
      </c>
      <c r="E851" s="433" t="s">
        <v>2782</v>
      </c>
      <c r="F851" s="433" t="s">
        <v>2695</v>
      </c>
      <c r="G851" s="433" t="s">
        <v>2970</v>
      </c>
      <c r="H851" s="433" t="s">
        <v>2896</v>
      </c>
      <c r="I851" s="433" t="s">
        <v>2677</v>
      </c>
      <c r="J851" s="433" t="s">
        <v>2724</v>
      </c>
      <c r="K851" s="433" t="s">
        <v>2680</v>
      </c>
      <c r="L851" s="433" t="s">
        <v>2654</v>
      </c>
      <c r="M851" s="433" t="s">
        <v>2654</v>
      </c>
      <c r="N851" s="433" t="s">
        <v>2654</v>
      </c>
      <c r="O851" s="433" t="s">
        <v>4582</v>
      </c>
      <c r="P851" s="433" t="s">
        <v>4401</v>
      </c>
      <c r="Q851" s="431"/>
      <c r="R851" s="431"/>
      <c r="S851" s="426" t="s">
        <v>2655</v>
      </c>
      <c r="T851" s="426" t="s">
        <v>2657</v>
      </c>
      <c r="U851" s="426" t="s">
        <v>2657</v>
      </c>
      <c r="V851" s="426" t="s">
        <v>2657</v>
      </c>
      <c r="W851" s="426" t="s">
        <v>3570</v>
      </c>
      <c r="X851" s="426" t="s">
        <v>2898</v>
      </c>
      <c r="Y851" s="426" t="s">
        <v>3002</v>
      </c>
      <c r="Z851" s="426" t="s">
        <v>3574</v>
      </c>
      <c r="AA851" s="426" t="s">
        <v>3188</v>
      </c>
      <c r="AB851" s="426" t="s">
        <v>2646</v>
      </c>
      <c r="AC851" s="426" t="s">
        <v>2646</v>
      </c>
      <c r="AD851" s="426" t="s">
        <v>2646</v>
      </c>
      <c r="AE851" s="426" t="s">
        <v>2646</v>
      </c>
      <c r="AF851" s="426" t="s">
        <v>2646</v>
      </c>
      <c r="AG851" s="426" t="s">
        <v>2646</v>
      </c>
      <c r="AH851" s="426" t="s">
        <v>2646</v>
      </c>
      <c r="AI851" s="426" t="s">
        <v>2646</v>
      </c>
      <c r="AJ851" s="68" t="s">
        <v>2646</v>
      </c>
    </row>
    <row r="852" spans="1:36" ht="13.5">
      <c r="A852" s="296" t="s">
        <v>2101</v>
      </c>
      <c r="B852" s="427" t="s">
        <v>48</v>
      </c>
      <c r="C852" s="433" t="s">
        <v>4583</v>
      </c>
      <c r="D852" s="433" t="s">
        <v>3364</v>
      </c>
      <c r="E852" s="433" t="s">
        <v>4584</v>
      </c>
      <c r="F852" s="433" t="s">
        <v>3837</v>
      </c>
      <c r="G852" s="433" t="s">
        <v>3243</v>
      </c>
      <c r="H852" s="433" t="s">
        <v>4024</v>
      </c>
      <c r="I852" s="433" t="s">
        <v>3555</v>
      </c>
      <c r="J852" s="433" t="s">
        <v>2656</v>
      </c>
      <c r="K852" s="433" t="s">
        <v>2934</v>
      </c>
      <c r="L852" s="433" t="s">
        <v>2654</v>
      </c>
      <c r="M852" s="433" t="s">
        <v>2654</v>
      </c>
      <c r="N852" s="433" t="s">
        <v>2654</v>
      </c>
      <c r="O852" s="433" t="s">
        <v>3931</v>
      </c>
      <c r="P852" s="433" t="s">
        <v>2686</v>
      </c>
      <c r="Q852" s="433" t="s">
        <v>2654</v>
      </c>
      <c r="R852" s="433" t="s">
        <v>2654</v>
      </c>
      <c r="S852" s="426"/>
      <c r="T852" s="426"/>
      <c r="U852" s="426"/>
      <c r="V852" s="426"/>
      <c r="W852" s="426"/>
      <c r="X852" s="426"/>
      <c r="Y852" s="426"/>
      <c r="Z852" s="426"/>
      <c r="AA852" s="426"/>
      <c r="AB852" s="426"/>
      <c r="AC852" s="426"/>
      <c r="AD852" s="426"/>
      <c r="AE852" s="426"/>
      <c r="AF852" s="426"/>
      <c r="AG852" s="426"/>
      <c r="AH852" s="426"/>
      <c r="AI852" s="426"/>
    </row>
    <row r="853" spans="1:36" ht="13.5" hidden="1">
      <c r="A853" s="296" t="s">
        <v>2102</v>
      </c>
      <c r="B853" s="427" t="s">
        <v>2647</v>
      </c>
      <c r="C853" s="433" t="s">
        <v>3573</v>
      </c>
      <c r="D853" s="433" t="s">
        <v>3686</v>
      </c>
      <c r="E853" s="433" t="s">
        <v>2818</v>
      </c>
      <c r="F853" s="433" t="s">
        <v>2723</v>
      </c>
      <c r="G853" s="433" t="s">
        <v>2807</v>
      </c>
      <c r="H853" s="433" t="s">
        <v>2654</v>
      </c>
      <c r="I853" s="433" t="s">
        <v>2654</v>
      </c>
      <c r="J853" s="433" t="s">
        <v>2654</v>
      </c>
      <c r="K853" s="433" t="s">
        <v>2654</v>
      </c>
      <c r="L853" s="433" t="s">
        <v>2654</v>
      </c>
      <c r="M853" s="433" t="s">
        <v>2654</v>
      </c>
      <c r="N853" s="433" t="s">
        <v>2654</v>
      </c>
      <c r="O853" s="433" t="s">
        <v>3958</v>
      </c>
      <c r="P853" s="433" t="s">
        <v>4231</v>
      </c>
      <c r="Q853" s="431"/>
      <c r="R853" s="431"/>
      <c r="S853" s="426" t="s">
        <v>2655</v>
      </c>
      <c r="T853" s="426" t="s">
        <v>2657</v>
      </c>
      <c r="U853" s="426" t="s">
        <v>2657</v>
      </c>
      <c r="V853" s="426" t="s">
        <v>2657</v>
      </c>
      <c r="W853" s="426" t="s">
        <v>3568</v>
      </c>
      <c r="X853" s="426" t="s">
        <v>3576</v>
      </c>
      <c r="Y853" s="426" t="s">
        <v>3577</v>
      </c>
      <c r="Z853" s="426" t="s">
        <v>3398</v>
      </c>
      <c r="AA853" s="426" t="s">
        <v>2945</v>
      </c>
      <c r="AB853" s="426" t="s">
        <v>2646</v>
      </c>
      <c r="AC853" s="426" t="s">
        <v>2646</v>
      </c>
      <c r="AD853" s="426" t="s">
        <v>2646</v>
      </c>
      <c r="AE853" s="426" t="s">
        <v>2646</v>
      </c>
      <c r="AF853" s="426" t="s">
        <v>2646</v>
      </c>
      <c r="AG853" s="426" t="s">
        <v>2646</v>
      </c>
      <c r="AH853" s="426" t="s">
        <v>2646</v>
      </c>
      <c r="AI853" s="426" t="s">
        <v>2646</v>
      </c>
      <c r="AJ853" s="68" t="s">
        <v>2646</v>
      </c>
    </row>
    <row r="854" spans="1:36" ht="13.5" hidden="1">
      <c r="A854" s="296" t="s">
        <v>2103</v>
      </c>
      <c r="B854" s="427" t="s">
        <v>2648</v>
      </c>
      <c r="C854" s="433" t="s">
        <v>3575</v>
      </c>
      <c r="D854" s="433" t="s">
        <v>3364</v>
      </c>
      <c r="E854" s="433" t="s">
        <v>2947</v>
      </c>
      <c r="F854" s="433" t="s">
        <v>2707</v>
      </c>
      <c r="G854" s="433" t="s">
        <v>2791</v>
      </c>
      <c r="H854" s="433" t="s">
        <v>2654</v>
      </c>
      <c r="I854" s="433" t="s">
        <v>2654</v>
      </c>
      <c r="J854" s="433" t="s">
        <v>2654</v>
      </c>
      <c r="K854" s="433" t="s">
        <v>2654</v>
      </c>
      <c r="L854" s="433" t="s">
        <v>2654</v>
      </c>
      <c r="M854" s="433" t="s">
        <v>2654</v>
      </c>
      <c r="N854" s="433" t="s">
        <v>2654</v>
      </c>
      <c r="O854" s="433" t="s">
        <v>4131</v>
      </c>
      <c r="P854" s="433" t="s">
        <v>4085</v>
      </c>
      <c r="Q854" s="431"/>
      <c r="R854" s="431"/>
      <c r="S854" s="426" t="s">
        <v>2657</v>
      </c>
      <c r="T854" s="426" t="s">
        <v>2657</v>
      </c>
      <c r="U854" s="426" t="s">
        <v>2657</v>
      </c>
      <c r="V854" s="426" t="s">
        <v>2657</v>
      </c>
      <c r="W854" s="426" t="s">
        <v>3568</v>
      </c>
      <c r="X854" s="426" t="s">
        <v>3576</v>
      </c>
      <c r="Y854" s="426" t="s">
        <v>3577</v>
      </c>
      <c r="Z854" s="426" t="s">
        <v>3398</v>
      </c>
      <c r="AA854" s="426" t="s">
        <v>2646</v>
      </c>
      <c r="AB854" s="426" t="s">
        <v>2646</v>
      </c>
      <c r="AC854" s="426" t="s">
        <v>2646</v>
      </c>
      <c r="AD854" s="426" t="s">
        <v>2646</v>
      </c>
      <c r="AE854" s="426" t="s">
        <v>2646</v>
      </c>
      <c r="AF854" s="426" t="s">
        <v>2646</v>
      </c>
      <c r="AG854" s="426" t="s">
        <v>2646</v>
      </c>
      <c r="AH854" s="426" t="s">
        <v>2646</v>
      </c>
      <c r="AI854" s="426" t="s">
        <v>2646</v>
      </c>
      <c r="AJ854" s="68" t="s">
        <v>2646</v>
      </c>
    </row>
    <row r="855" spans="1:36" ht="13.5" hidden="1">
      <c r="A855" s="296" t="s">
        <v>2104</v>
      </c>
      <c r="B855" s="427" t="s">
        <v>2649</v>
      </c>
      <c r="C855" s="433" t="s">
        <v>2986</v>
      </c>
      <c r="D855" s="433" t="s">
        <v>3710</v>
      </c>
      <c r="E855" s="433" t="s">
        <v>3163</v>
      </c>
      <c r="F855" s="433" t="s">
        <v>2928</v>
      </c>
      <c r="G855" s="433" t="s">
        <v>2807</v>
      </c>
      <c r="H855" s="433" t="s">
        <v>2654</v>
      </c>
      <c r="I855" s="433" t="s">
        <v>2654</v>
      </c>
      <c r="J855" s="433" t="s">
        <v>2654</v>
      </c>
      <c r="K855" s="433" t="s">
        <v>2654</v>
      </c>
      <c r="L855" s="433" t="s">
        <v>2654</v>
      </c>
      <c r="M855" s="433" t="s">
        <v>2654</v>
      </c>
      <c r="N855" s="433" t="s">
        <v>2654</v>
      </c>
      <c r="O855" s="433" t="s">
        <v>3958</v>
      </c>
      <c r="P855" s="433" t="s">
        <v>4231</v>
      </c>
      <c r="Q855" s="431"/>
      <c r="R855" s="431"/>
      <c r="S855" s="426" t="s">
        <v>2658</v>
      </c>
      <c r="T855" s="426" t="s">
        <v>2657</v>
      </c>
      <c r="U855" s="426" t="s">
        <v>2796</v>
      </c>
      <c r="V855" s="426" t="s">
        <v>2657</v>
      </c>
      <c r="W855" s="426" t="s">
        <v>3568</v>
      </c>
      <c r="X855" s="426" t="s">
        <v>3576</v>
      </c>
      <c r="Y855" s="426" t="s">
        <v>3577</v>
      </c>
      <c r="Z855" s="426" t="s">
        <v>3398</v>
      </c>
      <c r="AA855" s="426" t="s">
        <v>2646</v>
      </c>
      <c r="AB855" s="426" t="s">
        <v>2646</v>
      </c>
      <c r="AC855" s="426" t="s">
        <v>2646</v>
      </c>
      <c r="AD855" s="426" t="s">
        <v>2646</v>
      </c>
      <c r="AE855" s="426" t="s">
        <v>2646</v>
      </c>
      <c r="AF855" s="426" t="s">
        <v>2646</v>
      </c>
      <c r="AG855" s="426" t="s">
        <v>2646</v>
      </c>
      <c r="AH855" s="426" t="s">
        <v>2646</v>
      </c>
      <c r="AI855" s="426" t="s">
        <v>2646</v>
      </c>
      <c r="AJ855" s="68" t="s">
        <v>2646</v>
      </c>
    </row>
    <row r="856" spans="1:36" ht="13.5" hidden="1">
      <c r="A856" s="296" t="s">
        <v>2105</v>
      </c>
      <c r="B856" s="427" t="s">
        <v>2650</v>
      </c>
      <c r="C856" s="433" t="s">
        <v>3169</v>
      </c>
      <c r="D856" s="433" t="s">
        <v>3364</v>
      </c>
      <c r="E856" s="433" t="s">
        <v>2733</v>
      </c>
      <c r="F856" s="433" t="s">
        <v>2948</v>
      </c>
      <c r="G856" s="433" t="s">
        <v>2825</v>
      </c>
      <c r="H856" s="433" t="s">
        <v>2654</v>
      </c>
      <c r="I856" s="433" t="s">
        <v>2654</v>
      </c>
      <c r="J856" s="433" t="s">
        <v>2654</v>
      </c>
      <c r="K856" s="433" t="s">
        <v>2654</v>
      </c>
      <c r="L856" s="433" t="s">
        <v>2654</v>
      </c>
      <c r="M856" s="433" t="s">
        <v>2654</v>
      </c>
      <c r="N856" s="433" t="s">
        <v>2654</v>
      </c>
      <c r="O856" s="433" t="s">
        <v>4585</v>
      </c>
      <c r="P856" s="433" t="s">
        <v>4416</v>
      </c>
      <c r="Q856" s="431"/>
      <c r="R856" s="431"/>
      <c r="S856" s="426" t="s">
        <v>2688</v>
      </c>
      <c r="T856" s="426" t="s">
        <v>2657</v>
      </c>
      <c r="U856" s="426" t="s">
        <v>2657</v>
      </c>
      <c r="V856" s="426" t="s">
        <v>2657</v>
      </c>
      <c r="W856" s="426" t="s">
        <v>3132</v>
      </c>
      <c r="X856" s="426" t="s">
        <v>2840</v>
      </c>
      <c r="Y856" s="426" t="s">
        <v>3578</v>
      </c>
      <c r="Z856" s="426" t="s">
        <v>3398</v>
      </c>
      <c r="AA856" s="426" t="s">
        <v>3075</v>
      </c>
      <c r="AB856" s="426" t="s">
        <v>2646</v>
      </c>
      <c r="AC856" s="426" t="s">
        <v>2646</v>
      </c>
      <c r="AD856" s="426" t="s">
        <v>2646</v>
      </c>
      <c r="AE856" s="426" t="s">
        <v>2646</v>
      </c>
      <c r="AF856" s="426" t="s">
        <v>2646</v>
      </c>
      <c r="AG856" s="426" t="s">
        <v>2646</v>
      </c>
      <c r="AH856" s="426" t="s">
        <v>2646</v>
      </c>
      <c r="AI856" s="426" t="s">
        <v>2646</v>
      </c>
      <c r="AJ856" s="68" t="s">
        <v>2646</v>
      </c>
    </row>
    <row r="857" spans="1:36" ht="13.5" hidden="1">
      <c r="A857" s="296" t="s">
        <v>2106</v>
      </c>
      <c r="B857" s="427" t="s">
        <v>2651</v>
      </c>
      <c r="C857" s="433" t="s">
        <v>3211</v>
      </c>
      <c r="D857" s="433" t="s">
        <v>3364</v>
      </c>
      <c r="E857" s="433" t="s">
        <v>2894</v>
      </c>
      <c r="F857" s="433" t="s">
        <v>2707</v>
      </c>
      <c r="G857" s="433" t="s">
        <v>2667</v>
      </c>
      <c r="H857" s="433" t="s">
        <v>2654</v>
      </c>
      <c r="I857" s="433" t="s">
        <v>2654</v>
      </c>
      <c r="J857" s="433" t="s">
        <v>2654</v>
      </c>
      <c r="K857" s="433" t="s">
        <v>2654</v>
      </c>
      <c r="L857" s="433" t="s">
        <v>2654</v>
      </c>
      <c r="M857" s="433" t="s">
        <v>2654</v>
      </c>
      <c r="N857" s="433" t="s">
        <v>2654</v>
      </c>
      <c r="O857" s="433" t="s">
        <v>4435</v>
      </c>
      <c r="P857" s="433" t="s">
        <v>4231</v>
      </c>
      <c r="Q857" s="431"/>
      <c r="R857" s="431"/>
      <c r="S857" s="426" t="s">
        <v>2665</v>
      </c>
      <c r="T857" s="426" t="s">
        <v>2657</v>
      </c>
      <c r="U857" s="426" t="s">
        <v>2796</v>
      </c>
      <c r="V857" s="426" t="s">
        <v>2657</v>
      </c>
      <c r="W857" s="426" t="s">
        <v>3568</v>
      </c>
      <c r="X857" s="426" t="s">
        <v>3576</v>
      </c>
      <c r="Y857" s="426" t="s">
        <v>3577</v>
      </c>
      <c r="Z857" s="426" t="s">
        <v>3398</v>
      </c>
      <c r="AA857" s="426" t="s">
        <v>3327</v>
      </c>
      <c r="AB857" s="426" t="s">
        <v>2646</v>
      </c>
      <c r="AC857" s="426" t="s">
        <v>2646</v>
      </c>
      <c r="AD857" s="426" t="s">
        <v>2646</v>
      </c>
      <c r="AE857" s="426" t="s">
        <v>2646</v>
      </c>
      <c r="AF857" s="426" t="s">
        <v>2646</v>
      </c>
      <c r="AG857" s="426" t="s">
        <v>2646</v>
      </c>
      <c r="AH857" s="426" t="s">
        <v>2646</v>
      </c>
      <c r="AI857" s="426" t="s">
        <v>2646</v>
      </c>
      <c r="AJ857" s="68" t="s">
        <v>2646</v>
      </c>
    </row>
    <row r="858" spans="1:36" ht="13.5">
      <c r="A858" s="296" t="s">
        <v>2106</v>
      </c>
      <c r="B858" s="427" t="s">
        <v>48</v>
      </c>
      <c r="C858" s="433" t="s">
        <v>4586</v>
      </c>
      <c r="D858" s="433" t="s">
        <v>3364</v>
      </c>
      <c r="E858" s="433" t="s">
        <v>4587</v>
      </c>
      <c r="F858" s="433" t="s">
        <v>4298</v>
      </c>
      <c r="G858" s="433" t="s">
        <v>3095</v>
      </c>
      <c r="H858" s="433" t="s">
        <v>2654</v>
      </c>
      <c r="I858" s="433" t="s">
        <v>2654</v>
      </c>
      <c r="J858" s="433" t="s">
        <v>2654</v>
      </c>
      <c r="K858" s="433" t="s">
        <v>2654</v>
      </c>
      <c r="L858" s="433" t="s">
        <v>2654</v>
      </c>
      <c r="M858" s="433" t="s">
        <v>2654</v>
      </c>
      <c r="N858" s="433" t="s">
        <v>2654</v>
      </c>
      <c r="O858" s="433" t="s">
        <v>3966</v>
      </c>
      <c r="P858" s="433" t="s">
        <v>4292</v>
      </c>
      <c r="Q858" s="433" t="s">
        <v>2654</v>
      </c>
      <c r="R858" s="433" t="s">
        <v>2654</v>
      </c>
      <c r="S858" s="426"/>
      <c r="T858" s="426"/>
      <c r="U858" s="426"/>
      <c r="V858" s="426"/>
      <c r="W858" s="426"/>
      <c r="X858" s="426"/>
      <c r="Y858" s="426"/>
      <c r="Z858" s="426"/>
      <c r="AA858" s="426"/>
      <c r="AB858" s="426"/>
      <c r="AC858" s="426"/>
      <c r="AD858" s="426"/>
      <c r="AE858" s="426"/>
      <c r="AF858" s="426"/>
      <c r="AG858" s="426"/>
      <c r="AH858" s="426"/>
      <c r="AI858" s="426"/>
    </row>
    <row r="859" spans="1:36" ht="13.5" hidden="1">
      <c r="A859" s="296" t="s">
        <v>2107</v>
      </c>
      <c r="B859" s="427" t="s">
        <v>2647</v>
      </c>
      <c r="C859" s="433" t="s">
        <v>3940</v>
      </c>
      <c r="D859" s="433" t="s">
        <v>3710</v>
      </c>
      <c r="E859" s="433" t="s">
        <v>2729</v>
      </c>
      <c r="F859" s="433" t="s">
        <v>2731</v>
      </c>
      <c r="G859" s="433" t="s">
        <v>2899</v>
      </c>
      <c r="H859" s="433" t="s">
        <v>2654</v>
      </c>
      <c r="I859" s="433" t="s">
        <v>2654</v>
      </c>
      <c r="J859" s="433" t="s">
        <v>2654</v>
      </c>
      <c r="K859" s="433" t="s">
        <v>2654</v>
      </c>
      <c r="L859" s="433" t="s">
        <v>2654</v>
      </c>
      <c r="M859" s="433" t="s">
        <v>2654</v>
      </c>
      <c r="N859" s="433" t="s">
        <v>2654</v>
      </c>
      <c r="O859" s="433" t="s">
        <v>4258</v>
      </c>
      <c r="P859" s="433" t="s">
        <v>4405</v>
      </c>
      <c r="Q859" s="431"/>
      <c r="R859" s="431"/>
      <c r="S859" s="426" t="s">
        <v>3273</v>
      </c>
      <c r="T859" s="426" t="s">
        <v>2657</v>
      </c>
      <c r="U859" s="426" t="s">
        <v>2657</v>
      </c>
      <c r="V859" s="426" t="s">
        <v>2657</v>
      </c>
      <c r="W859" s="426" t="s">
        <v>3568</v>
      </c>
      <c r="X859" s="426" t="s">
        <v>3579</v>
      </c>
      <c r="Y859" s="426" t="s">
        <v>3560</v>
      </c>
      <c r="Z859" s="426" t="s">
        <v>3574</v>
      </c>
      <c r="AA859" s="426" t="s">
        <v>2950</v>
      </c>
      <c r="AB859" s="426" t="s">
        <v>2646</v>
      </c>
      <c r="AC859" s="426" t="s">
        <v>2646</v>
      </c>
      <c r="AD859" s="426" t="s">
        <v>2646</v>
      </c>
      <c r="AE859" s="426" t="s">
        <v>2646</v>
      </c>
      <c r="AF859" s="426" t="s">
        <v>2646</v>
      </c>
      <c r="AG859" s="426" t="s">
        <v>2646</v>
      </c>
      <c r="AH859" s="426" t="s">
        <v>2646</v>
      </c>
      <c r="AI859" s="426" t="s">
        <v>2646</v>
      </c>
      <c r="AJ859" s="68" t="s">
        <v>2646</v>
      </c>
    </row>
    <row r="860" spans="1:36" ht="13.5" hidden="1">
      <c r="A860" s="296" t="s">
        <v>2108</v>
      </c>
      <c r="B860" s="427" t="s">
        <v>2648</v>
      </c>
      <c r="C860" s="433" t="s">
        <v>4142</v>
      </c>
      <c r="D860" s="433" t="s">
        <v>3851</v>
      </c>
      <c r="E860" s="433" t="s">
        <v>3248</v>
      </c>
      <c r="F860" s="433" t="s">
        <v>2916</v>
      </c>
      <c r="G860" s="433" t="s">
        <v>2899</v>
      </c>
      <c r="H860" s="433" t="s">
        <v>2654</v>
      </c>
      <c r="I860" s="433" t="s">
        <v>2654</v>
      </c>
      <c r="J860" s="433" t="s">
        <v>2654</v>
      </c>
      <c r="K860" s="433" t="s">
        <v>2654</v>
      </c>
      <c r="L860" s="433" t="s">
        <v>2654</v>
      </c>
      <c r="M860" s="433" t="s">
        <v>2654</v>
      </c>
      <c r="N860" s="433" t="s">
        <v>2654</v>
      </c>
      <c r="O860" s="433" t="s">
        <v>4588</v>
      </c>
      <c r="P860" s="433" t="s">
        <v>4475</v>
      </c>
      <c r="Q860" s="431"/>
      <c r="R860" s="431"/>
      <c r="S860" s="426" t="s">
        <v>2655</v>
      </c>
      <c r="T860" s="426" t="s">
        <v>2657</v>
      </c>
      <c r="U860" s="426" t="s">
        <v>2657</v>
      </c>
      <c r="V860" s="426" t="s">
        <v>2657</v>
      </c>
      <c r="W860" s="426" t="s">
        <v>3568</v>
      </c>
      <c r="X860" s="426" t="s">
        <v>3579</v>
      </c>
      <c r="Y860" s="426" t="s">
        <v>3560</v>
      </c>
      <c r="Z860" s="426" t="s">
        <v>3398</v>
      </c>
      <c r="AA860" s="426" t="s">
        <v>2646</v>
      </c>
      <c r="AB860" s="426" t="s">
        <v>2646</v>
      </c>
      <c r="AC860" s="426" t="s">
        <v>2646</v>
      </c>
      <c r="AD860" s="426" t="s">
        <v>2646</v>
      </c>
      <c r="AE860" s="426" t="s">
        <v>2646</v>
      </c>
      <c r="AF860" s="426" t="s">
        <v>2646</v>
      </c>
      <c r="AG860" s="426" t="s">
        <v>2646</v>
      </c>
      <c r="AH860" s="426" t="s">
        <v>2646</v>
      </c>
      <c r="AI860" s="426" t="s">
        <v>2646</v>
      </c>
      <c r="AJ860" s="68" t="s">
        <v>2646</v>
      </c>
    </row>
    <row r="861" spans="1:36" ht="13.5" hidden="1">
      <c r="A861" s="296" t="s">
        <v>2109</v>
      </c>
      <c r="B861" s="427" t="s">
        <v>2649</v>
      </c>
      <c r="C861" s="433" t="s">
        <v>3940</v>
      </c>
      <c r="D861" s="433" t="s">
        <v>3851</v>
      </c>
      <c r="E861" s="433" t="s">
        <v>2733</v>
      </c>
      <c r="F861" s="433" t="s">
        <v>2707</v>
      </c>
      <c r="G861" s="433" t="s">
        <v>2807</v>
      </c>
      <c r="H861" s="433" t="s">
        <v>2654</v>
      </c>
      <c r="I861" s="433" t="s">
        <v>2654</v>
      </c>
      <c r="J861" s="433" t="s">
        <v>2654</v>
      </c>
      <c r="K861" s="433" t="s">
        <v>2654</v>
      </c>
      <c r="L861" s="433" t="s">
        <v>2654</v>
      </c>
      <c r="M861" s="433" t="s">
        <v>2654</v>
      </c>
      <c r="N861" s="433" t="s">
        <v>2654</v>
      </c>
      <c r="O861" s="433" t="s">
        <v>3934</v>
      </c>
      <c r="P861" s="433" t="s">
        <v>4416</v>
      </c>
      <c r="Q861" s="431"/>
      <c r="R861" s="431"/>
      <c r="S861" s="426" t="s">
        <v>2669</v>
      </c>
      <c r="T861" s="426" t="s">
        <v>2657</v>
      </c>
      <c r="U861" s="426" t="s">
        <v>2657</v>
      </c>
      <c r="V861" s="426" t="s">
        <v>2657</v>
      </c>
      <c r="W861" s="426" t="s">
        <v>3568</v>
      </c>
      <c r="X861" s="426" t="s">
        <v>3579</v>
      </c>
      <c r="Y861" s="426" t="s">
        <v>3560</v>
      </c>
      <c r="Z861" s="426" t="s">
        <v>3517</v>
      </c>
      <c r="AA861" s="426" t="s">
        <v>3411</v>
      </c>
      <c r="AB861" s="426" t="s">
        <v>2646</v>
      </c>
      <c r="AC861" s="426" t="s">
        <v>2646</v>
      </c>
      <c r="AD861" s="426" t="s">
        <v>2646</v>
      </c>
      <c r="AE861" s="426" t="s">
        <v>2646</v>
      </c>
      <c r="AF861" s="426" t="s">
        <v>2646</v>
      </c>
      <c r="AG861" s="426" t="s">
        <v>2646</v>
      </c>
      <c r="AH861" s="426" t="s">
        <v>2646</v>
      </c>
      <c r="AI861" s="426" t="s">
        <v>2646</v>
      </c>
      <c r="AJ861" s="68" t="s">
        <v>2646</v>
      </c>
    </row>
    <row r="862" spans="1:36" ht="13.5" hidden="1">
      <c r="A862" s="296" t="s">
        <v>2110</v>
      </c>
      <c r="B862" s="427" t="s">
        <v>2650</v>
      </c>
      <c r="C862" s="433" t="s">
        <v>3756</v>
      </c>
      <c r="D862" s="433" t="s">
        <v>3364</v>
      </c>
      <c r="E862" s="433" t="s">
        <v>2730</v>
      </c>
      <c r="F862" s="433" t="s">
        <v>2835</v>
      </c>
      <c r="G862" s="433" t="s">
        <v>2807</v>
      </c>
      <c r="H862" s="433" t="s">
        <v>2654</v>
      </c>
      <c r="I862" s="433" t="s">
        <v>2654</v>
      </c>
      <c r="J862" s="433" t="s">
        <v>2654</v>
      </c>
      <c r="K862" s="433" t="s">
        <v>2654</v>
      </c>
      <c r="L862" s="433" t="s">
        <v>2654</v>
      </c>
      <c r="M862" s="433" t="s">
        <v>2654</v>
      </c>
      <c r="N862" s="433" t="s">
        <v>2654</v>
      </c>
      <c r="O862" s="433" t="s">
        <v>4589</v>
      </c>
      <c r="P862" s="433" t="s">
        <v>4085</v>
      </c>
      <c r="Q862" s="431"/>
      <c r="R862" s="431"/>
      <c r="S862" s="426" t="s">
        <v>2844</v>
      </c>
      <c r="T862" s="426" t="s">
        <v>2657</v>
      </c>
      <c r="U862" s="426" t="s">
        <v>2844</v>
      </c>
      <c r="V862" s="426" t="s">
        <v>2657</v>
      </c>
      <c r="W862" s="426" t="s">
        <v>3566</v>
      </c>
      <c r="X862" s="426" t="s">
        <v>2873</v>
      </c>
      <c r="Y862" s="426" t="s">
        <v>3523</v>
      </c>
      <c r="Z862" s="426" t="s">
        <v>3398</v>
      </c>
      <c r="AA862" s="426" t="s">
        <v>2646</v>
      </c>
      <c r="AB862" s="426" t="s">
        <v>2646</v>
      </c>
      <c r="AC862" s="426" t="s">
        <v>2646</v>
      </c>
      <c r="AD862" s="426" t="s">
        <v>2646</v>
      </c>
      <c r="AE862" s="426" t="s">
        <v>2646</v>
      </c>
      <c r="AF862" s="426" t="s">
        <v>2646</v>
      </c>
      <c r="AG862" s="426" t="s">
        <v>2646</v>
      </c>
      <c r="AH862" s="426" t="s">
        <v>2646</v>
      </c>
      <c r="AI862" s="426" t="s">
        <v>2646</v>
      </c>
      <c r="AJ862" s="68" t="s">
        <v>2646</v>
      </c>
    </row>
    <row r="863" spans="1:36" ht="13.5" hidden="1">
      <c r="A863" s="296" t="s">
        <v>2111</v>
      </c>
      <c r="B863" s="427" t="s">
        <v>2651</v>
      </c>
      <c r="C863" s="433" t="s">
        <v>3794</v>
      </c>
      <c r="D863" s="433" t="s">
        <v>3872</v>
      </c>
      <c r="E863" s="433" t="s">
        <v>2741</v>
      </c>
      <c r="F863" s="433" t="s">
        <v>2731</v>
      </c>
      <c r="G863" s="433" t="s">
        <v>2825</v>
      </c>
      <c r="H863" s="433" t="s">
        <v>2654</v>
      </c>
      <c r="I863" s="433" t="s">
        <v>2654</v>
      </c>
      <c r="J863" s="433" t="s">
        <v>2654</v>
      </c>
      <c r="K863" s="433" t="s">
        <v>2654</v>
      </c>
      <c r="L863" s="433" t="s">
        <v>2654</v>
      </c>
      <c r="M863" s="433" t="s">
        <v>2654</v>
      </c>
      <c r="N863" s="433" t="s">
        <v>2654</v>
      </c>
      <c r="O863" s="433" t="s">
        <v>3167</v>
      </c>
      <c r="P863" s="433" t="s">
        <v>4249</v>
      </c>
      <c r="Q863" s="431"/>
      <c r="R863" s="431"/>
      <c r="S863" s="426" t="s">
        <v>2673</v>
      </c>
      <c r="T863" s="426" t="s">
        <v>2657</v>
      </c>
      <c r="U863" s="426" t="s">
        <v>2657</v>
      </c>
      <c r="V863" s="426" t="s">
        <v>2657</v>
      </c>
      <c r="W863" s="426" t="s">
        <v>3566</v>
      </c>
      <c r="X863" s="426" t="s">
        <v>2873</v>
      </c>
      <c r="Y863" s="426" t="s">
        <v>3523</v>
      </c>
      <c r="Z863" s="426" t="s">
        <v>3398</v>
      </c>
      <c r="AA863" s="426" t="s">
        <v>2646</v>
      </c>
      <c r="AB863" s="426" t="s">
        <v>2646</v>
      </c>
      <c r="AC863" s="426" t="s">
        <v>2646</v>
      </c>
      <c r="AD863" s="426" t="s">
        <v>2646</v>
      </c>
      <c r="AE863" s="426" t="s">
        <v>2646</v>
      </c>
      <c r="AF863" s="426" t="s">
        <v>2646</v>
      </c>
      <c r="AG863" s="426" t="s">
        <v>2646</v>
      </c>
      <c r="AH863" s="426" t="s">
        <v>2646</v>
      </c>
      <c r="AI863" s="426" t="s">
        <v>2646</v>
      </c>
      <c r="AJ863" s="68" t="s">
        <v>2646</v>
      </c>
    </row>
    <row r="864" spans="1:36" ht="13.5">
      <c r="A864" s="296" t="s">
        <v>2111</v>
      </c>
      <c r="B864" s="427" t="s">
        <v>48</v>
      </c>
      <c r="C864" s="433" t="s">
        <v>4482</v>
      </c>
      <c r="D864" s="433" t="s">
        <v>4007</v>
      </c>
      <c r="E864" s="433" t="s">
        <v>4590</v>
      </c>
      <c r="F864" s="433" t="s">
        <v>3877</v>
      </c>
      <c r="G864" s="433" t="s">
        <v>3935</v>
      </c>
      <c r="H864" s="433" t="s">
        <v>2654</v>
      </c>
      <c r="I864" s="433" t="s">
        <v>2654</v>
      </c>
      <c r="J864" s="433" t="s">
        <v>2654</v>
      </c>
      <c r="K864" s="433" t="s">
        <v>2654</v>
      </c>
      <c r="L864" s="433" t="s">
        <v>2654</v>
      </c>
      <c r="M864" s="433" t="s">
        <v>2654</v>
      </c>
      <c r="N864" s="433" t="s">
        <v>2654</v>
      </c>
      <c r="O864" s="433" t="s">
        <v>4591</v>
      </c>
      <c r="P864" s="433" t="s">
        <v>4592</v>
      </c>
      <c r="Q864" s="433" t="s">
        <v>2654</v>
      </c>
      <c r="R864" s="433" t="s">
        <v>2654</v>
      </c>
      <c r="S864" s="426"/>
      <c r="T864" s="426"/>
      <c r="U864" s="426"/>
      <c r="V864" s="426"/>
      <c r="W864" s="426"/>
      <c r="X864" s="426"/>
      <c r="Y864" s="426"/>
      <c r="Z864" s="426"/>
      <c r="AA864" s="426"/>
      <c r="AB864" s="426"/>
      <c r="AC864" s="426"/>
      <c r="AD864" s="426"/>
      <c r="AE864" s="426"/>
      <c r="AF864" s="426"/>
      <c r="AG864" s="426"/>
      <c r="AH864" s="426"/>
      <c r="AI864" s="426"/>
    </row>
    <row r="865" spans="1:36" ht="13.5" hidden="1">
      <c r="A865" s="296" t="s">
        <v>2112</v>
      </c>
      <c r="B865" s="427" t="s">
        <v>2647</v>
      </c>
      <c r="C865" s="433" t="s">
        <v>3743</v>
      </c>
      <c r="D865" s="433" t="s">
        <v>3872</v>
      </c>
      <c r="E865" s="433" t="s">
        <v>3539</v>
      </c>
      <c r="F865" s="433" t="s">
        <v>3805</v>
      </c>
      <c r="G865" s="433" t="s">
        <v>3795</v>
      </c>
      <c r="H865" s="433" t="s">
        <v>3164</v>
      </c>
      <c r="I865" s="433" t="s">
        <v>3763</v>
      </c>
      <c r="J865" s="433" t="s">
        <v>3302</v>
      </c>
      <c r="K865" s="433" t="s">
        <v>3021</v>
      </c>
      <c r="L865" s="433" t="s">
        <v>3802</v>
      </c>
      <c r="M865" s="433" t="s">
        <v>3753</v>
      </c>
      <c r="N865" s="433" t="s">
        <v>3071</v>
      </c>
      <c r="O865" s="433" t="s">
        <v>4593</v>
      </c>
      <c r="P865" s="433" t="s">
        <v>4147</v>
      </c>
      <c r="Q865" s="431"/>
      <c r="R865" s="431"/>
      <c r="S865" s="426" t="s">
        <v>2673</v>
      </c>
      <c r="T865" s="426" t="s">
        <v>2657</v>
      </c>
      <c r="U865" s="426" t="s">
        <v>2657</v>
      </c>
      <c r="V865" s="426" t="s">
        <v>2657</v>
      </c>
      <c r="W865" s="426" t="s">
        <v>2768</v>
      </c>
      <c r="X865" s="426" t="s">
        <v>3581</v>
      </c>
      <c r="Y865" s="426" t="s">
        <v>3569</v>
      </c>
      <c r="Z865" s="426" t="s">
        <v>3582</v>
      </c>
      <c r="AA865" s="426" t="s">
        <v>3544</v>
      </c>
      <c r="AB865" s="426" t="s">
        <v>3431</v>
      </c>
      <c r="AC865" s="426" t="s">
        <v>3314</v>
      </c>
      <c r="AD865" s="426" t="s">
        <v>3397</v>
      </c>
      <c r="AE865" s="426" t="s">
        <v>2646</v>
      </c>
      <c r="AF865" s="426" t="s">
        <v>2646</v>
      </c>
      <c r="AG865" s="426" t="s">
        <v>2646</v>
      </c>
      <c r="AH865" s="426" t="s">
        <v>2646</v>
      </c>
      <c r="AI865" s="426" t="s">
        <v>2646</v>
      </c>
      <c r="AJ865" s="68" t="s">
        <v>2646</v>
      </c>
    </row>
    <row r="866" spans="1:36" ht="13.5" hidden="1">
      <c r="A866" s="296" t="s">
        <v>2113</v>
      </c>
      <c r="B866" s="427" t="s">
        <v>2648</v>
      </c>
      <c r="C866" s="433" t="s">
        <v>3750</v>
      </c>
      <c r="D866" s="433" t="s">
        <v>3686</v>
      </c>
      <c r="E866" s="433" t="s">
        <v>3088</v>
      </c>
      <c r="F866" s="433" t="s">
        <v>3071</v>
      </c>
      <c r="G866" s="433" t="s">
        <v>3010</v>
      </c>
      <c r="H866" s="433" t="s">
        <v>2863</v>
      </c>
      <c r="I866" s="433" t="s">
        <v>3017</v>
      </c>
      <c r="J866" s="433" t="s">
        <v>2858</v>
      </c>
      <c r="K866" s="433" t="s">
        <v>2720</v>
      </c>
      <c r="L866" s="433" t="s">
        <v>3011</v>
      </c>
      <c r="M866" s="433" t="s">
        <v>3160</v>
      </c>
      <c r="N866" s="433" t="s">
        <v>2745</v>
      </c>
      <c r="O866" s="433" t="s">
        <v>3927</v>
      </c>
      <c r="P866" s="433" t="s">
        <v>4119</v>
      </c>
      <c r="Q866" s="431"/>
      <c r="R866" s="431"/>
      <c r="S866" s="426" t="s">
        <v>2885</v>
      </c>
      <c r="T866" s="426" t="s">
        <v>2657</v>
      </c>
      <c r="U866" s="426" t="s">
        <v>2796</v>
      </c>
      <c r="V866" s="426" t="s">
        <v>2657</v>
      </c>
      <c r="W866" s="426" t="s">
        <v>2768</v>
      </c>
      <c r="X866" s="426" t="s">
        <v>3581</v>
      </c>
      <c r="Y866" s="426" t="s">
        <v>3569</v>
      </c>
      <c r="Z866" s="426" t="s">
        <v>3440</v>
      </c>
      <c r="AA866" s="426" t="s">
        <v>3538</v>
      </c>
      <c r="AB866" s="426" t="s">
        <v>3431</v>
      </c>
      <c r="AC866" s="426" t="s">
        <v>3307</v>
      </c>
      <c r="AD866" s="426" t="s">
        <v>3397</v>
      </c>
      <c r="AE866" s="426" t="s">
        <v>2646</v>
      </c>
      <c r="AF866" s="426" t="s">
        <v>2646</v>
      </c>
      <c r="AG866" s="426" t="s">
        <v>2646</v>
      </c>
      <c r="AH866" s="426" t="s">
        <v>2646</v>
      </c>
      <c r="AI866" s="426" t="s">
        <v>2646</v>
      </c>
      <c r="AJ866" s="68" t="s">
        <v>2646</v>
      </c>
    </row>
    <row r="867" spans="1:36" ht="13.5" hidden="1">
      <c r="A867" s="296" t="s">
        <v>2114</v>
      </c>
      <c r="B867" s="427" t="s">
        <v>2649</v>
      </c>
      <c r="C867" s="433" t="s">
        <v>3810</v>
      </c>
      <c r="D867" s="433" t="s">
        <v>3851</v>
      </c>
      <c r="E867" s="433" t="s">
        <v>3923</v>
      </c>
      <c r="F867" s="433" t="s">
        <v>3539</v>
      </c>
      <c r="G867" s="433" t="s">
        <v>3049</v>
      </c>
      <c r="H867" s="433" t="s">
        <v>2721</v>
      </c>
      <c r="I867" s="433" t="s">
        <v>3769</v>
      </c>
      <c r="J867" s="433" t="s">
        <v>3802</v>
      </c>
      <c r="K867" s="433" t="s">
        <v>3185</v>
      </c>
      <c r="L867" s="433" t="s">
        <v>3071</v>
      </c>
      <c r="M867" s="433" t="s">
        <v>2771</v>
      </c>
      <c r="N867" s="433" t="s">
        <v>2879</v>
      </c>
      <c r="O867" s="433" t="s">
        <v>4594</v>
      </c>
      <c r="P867" s="433" t="s">
        <v>4532</v>
      </c>
      <c r="Q867" s="431"/>
      <c r="R867" s="431"/>
      <c r="S867" s="426" t="s">
        <v>2673</v>
      </c>
      <c r="T867" s="426" t="s">
        <v>2657</v>
      </c>
      <c r="U867" s="426" t="s">
        <v>2657</v>
      </c>
      <c r="V867" s="426" t="s">
        <v>2657</v>
      </c>
      <c r="W867" s="426" t="s">
        <v>2768</v>
      </c>
      <c r="X867" s="426" t="s">
        <v>3581</v>
      </c>
      <c r="Y867" s="426" t="s">
        <v>3569</v>
      </c>
      <c r="Z867" s="426" t="s">
        <v>2974</v>
      </c>
      <c r="AA867" s="426" t="s">
        <v>3404</v>
      </c>
      <c r="AB867" s="426" t="s">
        <v>3479</v>
      </c>
      <c r="AC867" s="426" t="s">
        <v>3207</v>
      </c>
      <c r="AD867" s="426" t="s">
        <v>3562</v>
      </c>
      <c r="AE867" s="426" t="s">
        <v>2646</v>
      </c>
      <c r="AF867" s="426" t="s">
        <v>2646</v>
      </c>
      <c r="AG867" s="426" t="s">
        <v>2646</v>
      </c>
      <c r="AH867" s="426" t="s">
        <v>2646</v>
      </c>
      <c r="AI867" s="426" t="s">
        <v>2646</v>
      </c>
      <c r="AJ867" s="68" t="s">
        <v>2646</v>
      </c>
    </row>
    <row r="868" spans="1:36" ht="13.5" hidden="1">
      <c r="A868" s="296" t="s">
        <v>2115</v>
      </c>
      <c r="B868" s="427" t="s">
        <v>2650</v>
      </c>
      <c r="C868" s="433" t="s">
        <v>3750</v>
      </c>
      <c r="D868" s="433" t="s">
        <v>3364</v>
      </c>
      <c r="E868" s="433" t="s">
        <v>3071</v>
      </c>
      <c r="F868" s="433" t="s">
        <v>2751</v>
      </c>
      <c r="G868" s="433" t="s">
        <v>2771</v>
      </c>
      <c r="H868" s="433" t="s">
        <v>3752</v>
      </c>
      <c r="I868" s="433" t="s">
        <v>3253</v>
      </c>
      <c r="J868" s="433" t="s">
        <v>3017</v>
      </c>
      <c r="K868" s="433" t="s">
        <v>3037</v>
      </c>
      <c r="L868" s="433" t="s">
        <v>3018</v>
      </c>
      <c r="M868" s="433" t="s">
        <v>3306</v>
      </c>
      <c r="N868" s="433" t="s">
        <v>3160</v>
      </c>
      <c r="O868" s="433" t="s">
        <v>4595</v>
      </c>
      <c r="P868" s="433" t="s">
        <v>4391</v>
      </c>
      <c r="Q868" s="431"/>
      <c r="R868" s="431"/>
      <c r="S868" s="426" t="s">
        <v>2885</v>
      </c>
      <c r="T868" s="426" t="s">
        <v>2657</v>
      </c>
      <c r="U868" s="426" t="s">
        <v>2768</v>
      </c>
      <c r="V868" s="426" t="s">
        <v>2657</v>
      </c>
      <c r="W868" s="426" t="s">
        <v>2768</v>
      </c>
      <c r="X868" s="426" t="s">
        <v>3581</v>
      </c>
      <c r="Y868" s="426" t="s">
        <v>3569</v>
      </c>
      <c r="Z868" s="426" t="s">
        <v>2661</v>
      </c>
      <c r="AA868" s="426" t="s">
        <v>3584</v>
      </c>
      <c r="AB868" s="426" t="s">
        <v>3276</v>
      </c>
      <c r="AC868" s="426" t="s">
        <v>3207</v>
      </c>
      <c r="AD868" s="426" t="s">
        <v>3562</v>
      </c>
      <c r="AE868" s="426" t="s">
        <v>2646</v>
      </c>
      <c r="AF868" s="426" t="s">
        <v>2646</v>
      </c>
      <c r="AG868" s="426" t="s">
        <v>2646</v>
      </c>
      <c r="AH868" s="426" t="s">
        <v>2646</v>
      </c>
      <c r="AI868" s="426" t="s">
        <v>2646</v>
      </c>
      <c r="AJ868" s="68" t="s">
        <v>2646</v>
      </c>
    </row>
    <row r="869" spans="1:36" ht="13.5" hidden="1">
      <c r="A869" s="296" t="s">
        <v>2116</v>
      </c>
      <c r="B869" s="427" t="s">
        <v>2651</v>
      </c>
      <c r="C869" s="433" t="s">
        <v>3810</v>
      </c>
      <c r="D869" s="433" t="s">
        <v>3710</v>
      </c>
      <c r="E869" s="433" t="s">
        <v>2775</v>
      </c>
      <c r="F869" s="433" t="s">
        <v>2771</v>
      </c>
      <c r="G869" s="433" t="s">
        <v>3043</v>
      </c>
      <c r="H869" s="433" t="s">
        <v>2863</v>
      </c>
      <c r="I869" s="433" t="s">
        <v>3017</v>
      </c>
      <c r="J869" s="433" t="s">
        <v>3050</v>
      </c>
      <c r="K869" s="433" t="s">
        <v>2705</v>
      </c>
      <c r="L869" s="433" t="s">
        <v>3018</v>
      </c>
      <c r="M869" s="433" t="s">
        <v>3061</v>
      </c>
      <c r="N869" s="433" t="s">
        <v>3248</v>
      </c>
      <c r="O869" s="433" t="s">
        <v>4596</v>
      </c>
      <c r="P869" s="433" t="s">
        <v>4230</v>
      </c>
      <c r="Q869" s="431"/>
      <c r="R869" s="431"/>
      <c r="S869" s="426" t="s">
        <v>2658</v>
      </c>
      <c r="T869" s="426" t="s">
        <v>2657</v>
      </c>
      <c r="U869" s="426" t="s">
        <v>2796</v>
      </c>
      <c r="V869" s="426" t="s">
        <v>2657</v>
      </c>
      <c r="W869" s="426" t="s">
        <v>2768</v>
      </c>
      <c r="X869" s="426" t="s">
        <v>3581</v>
      </c>
      <c r="Y869" s="426" t="s">
        <v>3569</v>
      </c>
      <c r="Z869" s="426" t="s">
        <v>2974</v>
      </c>
      <c r="AA869" s="426" t="s">
        <v>3584</v>
      </c>
      <c r="AB869" s="426" t="s">
        <v>3479</v>
      </c>
      <c r="AC869" s="426" t="s">
        <v>3301</v>
      </c>
      <c r="AD869" s="426" t="s">
        <v>3338</v>
      </c>
      <c r="AE869" s="426" t="s">
        <v>2646</v>
      </c>
      <c r="AF869" s="426" t="s">
        <v>2646</v>
      </c>
      <c r="AG869" s="426" t="s">
        <v>2646</v>
      </c>
      <c r="AH869" s="426" t="s">
        <v>2646</v>
      </c>
      <c r="AI869" s="426" t="s">
        <v>2646</v>
      </c>
      <c r="AJ869" s="68" t="s">
        <v>2646</v>
      </c>
    </row>
    <row r="870" spans="1:36" ht="13.5">
      <c r="A870" s="296" t="s">
        <v>2116</v>
      </c>
      <c r="B870" s="427" t="s">
        <v>48</v>
      </c>
      <c r="C870" s="433" t="s">
        <v>4597</v>
      </c>
      <c r="D870" s="433" t="s">
        <v>3710</v>
      </c>
      <c r="E870" s="433" t="s">
        <v>4598</v>
      </c>
      <c r="F870" s="433" t="s">
        <v>4527</v>
      </c>
      <c r="G870" s="433" t="s">
        <v>4599</v>
      </c>
      <c r="H870" s="433" t="s">
        <v>4600</v>
      </c>
      <c r="I870" s="433" t="s">
        <v>3927</v>
      </c>
      <c r="J870" s="433" t="s">
        <v>4001</v>
      </c>
      <c r="K870" s="433" t="s">
        <v>4601</v>
      </c>
      <c r="L870" s="433" t="s">
        <v>4602</v>
      </c>
      <c r="M870" s="433" t="s">
        <v>4603</v>
      </c>
      <c r="N870" s="433" t="s">
        <v>3438</v>
      </c>
      <c r="O870" s="433" t="s">
        <v>4604</v>
      </c>
      <c r="P870" s="433" t="s">
        <v>4605</v>
      </c>
      <c r="Q870" s="433" t="s">
        <v>2654</v>
      </c>
      <c r="R870" s="433" t="s">
        <v>2654</v>
      </c>
      <c r="S870" s="426"/>
      <c r="T870" s="426"/>
      <c r="U870" s="426"/>
      <c r="V870" s="426"/>
      <c r="W870" s="426"/>
      <c r="X870" s="426"/>
      <c r="Y870" s="426"/>
      <c r="Z870" s="426"/>
      <c r="AA870" s="426"/>
      <c r="AB870" s="426"/>
      <c r="AC870" s="426"/>
      <c r="AD870" s="426"/>
      <c r="AE870" s="426"/>
      <c r="AF870" s="426"/>
      <c r="AG870" s="426"/>
      <c r="AH870" s="426"/>
      <c r="AI870" s="426"/>
    </row>
    <row r="871" spans="1:36" ht="13.5" hidden="1">
      <c r="A871" s="296" t="s">
        <v>2117</v>
      </c>
      <c r="B871" s="427" t="s">
        <v>2647</v>
      </c>
      <c r="C871" s="433" t="s">
        <v>3886</v>
      </c>
      <c r="D871" s="433" t="s">
        <v>3710</v>
      </c>
      <c r="E871" s="433" t="s">
        <v>2879</v>
      </c>
      <c r="F871" s="433" t="s">
        <v>2883</v>
      </c>
      <c r="G871" s="433" t="s">
        <v>2685</v>
      </c>
      <c r="H871" s="433" t="s">
        <v>2765</v>
      </c>
      <c r="I871" s="433" t="s">
        <v>2848</v>
      </c>
      <c r="J871" s="433" t="s">
        <v>2733</v>
      </c>
      <c r="K871" s="433" t="s">
        <v>2834</v>
      </c>
      <c r="L871" s="433" t="s">
        <v>3208</v>
      </c>
      <c r="M871" s="433" t="s">
        <v>2741</v>
      </c>
      <c r="N871" s="433" t="s">
        <v>2978</v>
      </c>
      <c r="O871" s="433" t="s">
        <v>4606</v>
      </c>
      <c r="P871" s="433" t="s">
        <v>4479</v>
      </c>
      <c r="Q871" s="431"/>
      <c r="R871" s="431"/>
      <c r="S871" s="426" t="s">
        <v>2885</v>
      </c>
      <c r="T871" s="426" t="s">
        <v>2657</v>
      </c>
      <c r="U871" s="426" t="s">
        <v>2796</v>
      </c>
      <c r="V871" s="426" t="s">
        <v>2657</v>
      </c>
      <c r="W871" s="426" t="s">
        <v>2768</v>
      </c>
      <c r="X871" s="426" t="s">
        <v>3586</v>
      </c>
      <c r="Y871" s="426" t="s">
        <v>3572</v>
      </c>
      <c r="Z871" s="426" t="s">
        <v>2974</v>
      </c>
      <c r="AA871" s="426" t="s">
        <v>3558</v>
      </c>
      <c r="AB871" s="426" t="s">
        <v>3484</v>
      </c>
      <c r="AC871" s="426" t="s">
        <v>3587</v>
      </c>
      <c r="AD871" s="426" t="s">
        <v>2646</v>
      </c>
      <c r="AE871" s="426" t="s">
        <v>2646</v>
      </c>
      <c r="AF871" s="426" t="s">
        <v>2646</v>
      </c>
      <c r="AG871" s="426" t="s">
        <v>2646</v>
      </c>
      <c r="AH871" s="426" t="s">
        <v>2646</v>
      </c>
      <c r="AI871" s="426" t="s">
        <v>2646</v>
      </c>
      <c r="AJ871" s="68" t="s">
        <v>2646</v>
      </c>
    </row>
    <row r="872" spans="1:36" ht="13.5" hidden="1">
      <c r="A872" s="296" t="s">
        <v>2118</v>
      </c>
      <c r="B872" s="427" t="s">
        <v>2648</v>
      </c>
      <c r="C872" s="433" t="s">
        <v>3659</v>
      </c>
      <c r="D872" s="433" t="s">
        <v>3710</v>
      </c>
      <c r="E872" s="433" t="s">
        <v>3233</v>
      </c>
      <c r="F872" s="433" t="s">
        <v>2745</v>
      </c>
      <c r="G872" s="433" t="s">
        <v>3300</v>
      </c>
      <c r="H872" s="433" t="s">
        <v>3171</v>
      </c>
      <c r="I872" s="433" t="s">
        <v>2877</v>
      </c>
      <c r="J872" s="433" t="s">
        <v>3237</v>
      </c>
      <c r="K872" s="433" t="s">
        <v>3208</v>
      </c>
      <c r="L872" s="433" t="s">
        <v>2927</v>
      </c>
      <c r="M872" s="433" t="s">
        <v>3051</v>
      </c>
      <c r="N872" s="433" t="s">
        <v>3046</v>
      </c>
      <c r="O872" s="433" t="s">
        <v>4607</v>
      </c>
      <c r="P872" s="433" t="s">
        <v>4233</v>
      </c>
      <c r="Q872" s="431"/>
      <c r="R872" s="431"/>
      <c r="S872" s="426" t="s">
        <v>2673</v>
      </c>
      <c r="T872" s="426" t="s">
        <v>2657</v>
      </c>
      <c r="U872" s="426" t="s">
        <v>2657</v>
      </c>
      <c r="V872" s="426" t="s">
        <v>2657</v>
      </c>
      <c r="W872" s="426" t="s">
        <v>2768</v>
      </c>
      <c r="X872" s="426" t="s">
        <v>3586</v>
      </c>
      <c r="Y872" s="426" t="s">
        <v>3572</v>
      </c>
      <c r="Z872" s="426" t="s">
        <v>2661</v>
      </c>
      <c r="AA872" s="426" t="s">
        <v>3584</v>
      </c>
      <c r="AB872" s="426" t="s">
        <v>3479</v>
      </c>
      <c r="AC872" s="426" t="s">
        <v>2938</v>
      </c>
      <c r="AD872" s="426" t="s">
        <v>2646</v>
      </c>
      <c r="AE872" s="426" t="s">
        <v>2646</v>
      </c>
      <c r="AF872" s="426" t="s">
        <v>2646</v>
      </c>
      <c r="AG872" s="426" t="s">
        <v>2646</v>
      </c>
      <c r="AH872" s="426" t="s">
        <v>2646</v>
      </c>
      <c r="AI872" s="426" t="s">
        <v>2646</v>
      </c>
      <c r="AJ872" s="68" t="s">
        <v>2646</v>
      </c>
    </row>
    <row r="873" spans="1:36" ht="13.5" hidden="1">
      <c r="A873" s="296" t="s">
        <v>2119</v>
      </c>
      <c r="B873" s="427" t="s">
        <v>2649</v>
      </c>
      <c r="C873" s="433" t="s">
        <v>3659</v>
      </c>
      <c r="D873" s="433" t="s">
        <v>3686</v>
      </c>
      <c r="E873" s="433" t="s">
        <v>3035</v>
      </c>
      <c r="F873" s="433" t="s">
        <v>2833</v>
      </c>
      <c r="G873" s="433" t="s">
        <v>2698</v>
      </c>
      <c r="H873" s="433" t="s">
        <v>3029</v>
      </c>
      <c r="I873" s="433" t="s">
        <v>3249</v>
      </c>
      <c r="J873" s="433" t="s">
        <v>2706</v>
      </c>
      <c r="K873" s="433" t="s">
        <v>2869</v>
      </c>
      <c r="L873" s="433" t="s">
        <v>2932</v>
      </c>
      <c r="M873" s="433" t="s">
        <v>2916</v>
      </c>
      <c r="N873" s="433" t="s">
        <v>2737</v>
      </c>
      <c r="O873" s="433" t="s">
        <v>2718</v>
      </c>
      <c r="P873" s="433" t="s">
        <v>4260</v>
      </c>
      <c r="Q873" s="431"/>
      <c r="R873" s="431"/>
      <c r="S873" s="426" t="s">
        <v>316</v>
      </c>
      <c r="T873" s="426" t="s">
        <v>2657</v>
      </c>
      <c r="U873" s="426" t="s">
        <v>2657</v>
      </c>
      <c r="V873" s="426" t="s">
        <v>2657</v>
      </c>
      <c r="W873" s="426" t="s">
        <v>2768</v>
      </c>
      <c r="X873" s="426" t="s">
        <v>3586</v>
      </c>
      <c r="Y873" s="426" t="s">
        <v>3572</v>
      </c>
      <c r="Z873" s="426" t="s">
        <v>2981</v>
      </c>
      <c r="AA873" s="426" t="s">
        <v>3404</v>
      </c>
      <c r="AB873" s="426" t="s">
        <v>3410</v>
      </c>
      <c r="AC873" s="426" t="s">
        <v>3524</v>
      </c>
      <c r="AD873" s="426" t="s">
        <v>2646</v>
      </c>
      <c r="AE873" s="426" t="s">
        <v>2646</v>
      </c>
      <c r="AF873" s="426" t="s">
        <v>2646</v>
      </c>
      <c r="AG873" s="426" t="s">
        <v>2646</v>
      </c>
      <c r="AH873" s="426" t="s">
        <v>2646</v>
      </c>
      <c r="AI873" s="426" t="s">
        <v>2646</v>
      </c>
      <c r="AJ873" s="68" t="s">
        <v>2646</v>
      </c>
    </row>
    <row r="874" spans="1:36" ht="13.5" hidden="1">
      <c r="A874" s="296" t="s">
        <v>2120</v>
      </c>
      <c r="B874" s="427" t="s">
        <v>2650</v>
      </c>
      <c r="C874" s="433" t="s">
        <v>3721</v>
      </c>
      <c r="D874" s="433" t="s">
        <v>3851</v>
      </c>
      <c r="E874" s="433" t="s">
        <v>3802</v>
      </c>
      <c r="F874" s="433" t="s">
        <v>3017</v>
      </c>
      <c r="G874" s="433" t="s">
        <v>3306</v>
      </c>
      <c r="H874" s="433" t="s">
        <v>3160</v>
      </c>
      <c r="I874" s="433" t="s">
        <v>2782</v>
      </c>
      <c r="J874" s="433" t="s">
        <v>2818</v>
      </c>
      <c r="K874" s="433" t="s">
        <v>3249</v>
      </c>
      <c r="L874" s="433" t="s">
        <v>2877</v>
      </c>
      <c r="M874" s="433" t="s">
        <v>2935</v>
      </c>
      <c r="N874" s="433" t="s">
        <v>2932</v>
      </c>
      <c r="O874" s="433" t="s">
        <v>4608</v>
      </c>
      <c r="P874" s="433" t="s">
        <v>4249</v>
      </c>
      <c r="Q874" s="431"/>
      <c r="R874" s="431"/>
      <c r="S874" s="426" t="s">
        <v>2658</v>
      </c>
      <c r="T874" s="426" t="s">
        <v>2657</v>
      </c>
      <c r="U874" s="426" t="s">
        <v>2657</v>
      </c>
      <c r="V874" s="426" t="s">
        <v>2657</v>
      </c>
      <c r="W874" s="426" t="s">
        <v>2768</v>
      </c>
      <c r="X874" s="426" t="s">
        <v>3586</v>
      </c>
      <c r="Y874" s="426" t="s">
        <v>3572</v>
      </c>
      <c r="Z874" s="426" t="s">
        <v>2661</v>
      </c>
      <c r="AA874" s="426" t="s">
        <v>3584</v>
      </c>
      <c r="AB874" s="426" t="s">
        <v>3484</v>
      </c>
      <c r="AC874" s="426" t="s">
        <v>3413</v>
      </c>
      <c r="AD874" s="426" t="s">
        <v>2646</v>
      </c>
      <c r="AE874" s="426" t="s">
        <v>2646</v>
      </c>
      <c r="AF874" s="426" t="s">
        <v>2646</v>
      </c>
      <c r="AG874" s="426" t="s">
        <v>2646</v>
      </c>
      <c r="AH874" s="426" t="s">
        <v>2646</v>
      </c>
      <c r="AI874" s="426" t="s">
        <v>2646</v>
      </c>
      <c r="AJ874" s="68" t="s">
        <v>2646</v>
      </c>
    </row>
    <row r="875" spans="1:36" ht="13.5" hidden="1">
      <c r="A875" s="296" t="s">
        <v>2121</v>
      </c>
      <c r="B875" s="427" t="s">
        <v>2651</v>
      </c>
      <c r="C875" s="433" t="s">
        <v>3631</v>
      </c>
      <c r="D875" s="433" t="s">
        <v>3686</v>
      </c>
      <c r="E875" s="433" t="s">
        <v>2879</v>
      </c>
      <c r="F875" s="433" t="s">
        <v>3072</v>
      </c>
      <c r="G875" s="433" t="s">
        <v>2915</v>
      </c>
      <c r="H875" s="433" t="s">
        <v>2815</v>
      </c>
      <c r="I875" s="433" t="s">
        <v>3249</v>
      </c>
      <c r="J875" s="433" t="s">
        <v>2947</v>
      </c>
      <c r="K875" s="433" t="s">
        <v>3033</v>
      </c>
      <c r="L875" s="433" t="s">
        <v>2706</v>
      </c>
      <c r="M875" s="433" t="s">
        <v>2843</v>
      </c>
      <c r="N875" s="433" t="s">
        <v>2932</v>
      </c>
      <c r="O875" s="433" t="s">
        <v>3830</v>
      </c>
      <c r="P875" s="433" t="s">
        <v>4465</v>
      </c>
      <c r="Q875" s="431"/>
      <c r="R875" s="431"/>
      <c r="S875" s="426" t="s">
        <v>2885</v>
      </c>
      <c r="T875" s="426" t="s">
        <v>2657</v>
      </c>
      <c r="U875" s="426" t="s">
        <v>2796</v>
      </c>
      <c r="V875" s="426" t="s">
        <v>2657</v>
      </c>
      <c r="W875" s="426" t="s">
        <v>2768</v>
      </c>
      <c r="X875" s="426" t="s">
        <v>3586</v>
      </c>
      <c r="Y875" s="426" t="s">
        <v>3572</v>
      </c>
      <c r="Z875" s="426" t="s">
        <v>2974</v>
      </c>
      <c r="AA875" s="426" t="s">
        <v>3558</v>
      </c>
      <c r="AB875" s="426" t="s">
        <v>3484</v>
      </c>
      <c r="AC875" s="426" t="s">
        <v>3587</v>
      </c>
      <c r="AD875" s="426" t="s">
        <v>2646</v>
      </c>
      <c r="AE875" s="426" t="s">
        <v>2646</v>
      </c>
      <c r="AF875" s="426" t="s">
        <v>2646</v>
      </c>
      <c r="AG875" s="426" t="s">
        <v>2646</v>
      </c>
      <c r="AH875" s="426" t="s">
        <v>2646</v>
      </c>
      <c r="AI875" s="426" t="s">
        <v>2646</v>
      </c>
      <c r="AJ875" s="68" t="s">
        <v>2646</v>
      </c>
    </row>
    <row r="876" spans="1:36" ht="13.5">
      <c r="A876" s="296" t="s">
        <v>2121</v>
      </c>
      <c r="B876" s="427" t="s">
        <v>48</v>
      </c>
      <c r="C876" s="433" t="s">
        <v>4609</v>
      </c>
      <c r="D876" s="433" t="s">
        <v>3856</v>
      </c>
      <c r="E876" s="433" t="s">
        <v>4203</v>
      </c>
      <c r="F876" s="433" t="s">
        <v>3831</v>
      </c>
      <c r="G876" s="433" t="s">
        <v>4610</v>
      </c>
      <c r="H876" s="433" t="s">
        <v>4611</v>
      </c>
      <c r="I876" s="433" t="s">
        <v>3300</v>
      </c>
      <c r="J876" s="433" t="s">
        <v>4067</v>
      </c>
      <c r="K876" s="433" t="s">
        <v>4612</v>
      </c>
      <c r="L876" s="433" t="s">
        <v>3833</v>
      </c>
      <c r="M876" s="433" t="s">
        <v>3933</v>
      </c>
      <c r="N876" s="433" t="s">
        <v>3999</v>
      </c>
      <c r="O876" s="433" t="s">
        <v>4613</v>
      </c>
      <c r="P876" s="433" t="s">
        <v>4003</v>
      </c>
      <c r="Q876" s="433" t="s">
        <v>2654</v>
      </c>
      <c r="R876" s="433" t="s">
        <v>2654</v>
      </c>
      <c r="S876" s="426"/>
      <c r="T876" s="426"/>
      <c r="U876" s="426"/>
      <c r="V876" s="426"/>
      <c r="W876" s="426"/>
      <c r="X876" s="426"/>
      <c r="Y876" s="426"/>
      <c r="Z876" s="426"/>
      <c r="AA876" s="426"/>
      <c r="AB876" s="426"/>
      <c r="AC876" s="426"/>
      <c r="AD876" s="426"/>
      <c r="AE876" s="426"/>
      <c r="AF876" s="426"/>
      <c r="AG876" s="426"/>
      <c r="AH876" s="426"/>
      <c r="AI876" s="426"/>
    </row>
    <row r="877" spans="1:36" ht="13.5" hidden="1">
      <c r="A877" s="296" t="s">
        <v>2122</v>
      </c>
      <c r="B877" s="427" t="s">
        <v>2647</v>
      </c>
      <c r="C877" s="433" t="s">
        <v>3482</v>
      </c>
      <c r="D877" s="433" t="s">
        <v>3710</v>
      </c>
      <c r="E877" s="433" t="s">
        <v>2783</v>
      </c>
      <c r="F877" s="433" t="s">
        <v>2685</v>
      </c>
      <c r="G877" s="433" t="s">
        <v>2869</v>
      </c>
      <c r="H877" s="433" t="s">
        <v>2766</v>
      </c>
      <c r="I877" s="433" t="s">
        <v>2686</v>
      </c>
      <c r="J877" s="433" t="s">
        <v>2948</v>
      </c>
      <c r="K877" s="433" t="s">
        <v>2907</v>
      </c>
      <c r="L877" s="433" t="s">
        <v>2907</v>
      </c>
      <c r="M877" s="433" t="s">
        <v>2907</v>
      </c>
      <c r="N877" s="433" t="s">
        <v>2707</v>
      </c>
      <c r="O877" s="433" t="s">
        <v>4612</v>
      </c>
      <c r="P877" s="433" t="s">
        <v>4249</v>
      </c>
      <c r="Q877" s="431"/>
      <c r="R877" s="431"/>
      <c r="S877" s="426" t="s">
        <v>2778</v>
      </c>
      <c r="T877" s="426" t="s">
        <v>2657</v>
      </c>
      <c r="U877" s="426" t="s">
        <v>2657</v>
      </c>
      <c r="V877" s="426" t="s">
        <v>2657</v>
      </c>
      <c r="W877" s="426" t="s">
        <v>2709</v>
      </c>
      <c r="X877" s="426" t="s">
        <v>3493</v>
      </c>
      <c r="Y877" s="426" t="s">
        <v>3492</v>
      </c>
      <c r="Z877" s="426" t="s">
        <v>2661</v>
      </c>
      <c r="AA877" s="426" t="s">
        <v>3584</v>
      </c>
      <c r="AB877" s="426" t="s">
        <v>3410</v>
      </c>
      <c r="AC877" s="426" t="s">
        <v>2646</v>
      </c>
      <c r="AD877" s="426" t="s">
        <v>2646</v>
      </c>
      <c r="AE877" s="426" t="s">
        <v>2646</v>
      </c>
      <c r="AF877" s="426" t="s">
        <v>2646</v>
      </c>
      <c r="AG877" s="426" t="s">
        <v>2646</v>
      </c>
      <c r="AH877" s="426" t="s">
        <v>2646</v>
      </c>
      <c r="AI877" s="426" t="s">
        <v>2646</v>
      </c>
      <c r="AJ877" s="68" t="s">
        <v>2646</v>
      </c>
    </row>
    <row r="878" spans="1:36" ht="13.5" hidden="1">
      <c r="A878" s="296" t="s">
        <v>2123</v>
      </c>
      <c r="B878" s="427" t="s">
        <v>2648</v>
      </c>
      <c r="C878" s="433" t="s">
        <v>3514</v>
      </c>
      <c r="D878" s="433" t="s">
        <v>3710</v>
      </c>
      <c r="E878" s="433" t="s">
        <v>2868</v>
      </c>
      <c r="F878" s="433" t="s">
        <v>2713</v>
      </c>
      <c r="G878" s="433" t="s">
        <v>2843</v>
      </c>
      <c r="H878" s="433" t="s">
        <v>3051</v>
      </c>
      <c r="I878" s="433" t="s">
        <v>2819</v>
      </c>
      <c r="J878" s="433" t="s">
        <v>3036</v>
      </c>
      <c r="K878" s="433" t="s">
        <v>2921</v>
      </c>
      <c r="L878" s="433" t="s">
        <v>2907</v>
      </c>
      <c r="M878" s="433" t="s">
        <v>2707</v>
      </c>
      <c r="N878" s="433" t="s">
        <v>2835</v>
      </c>
      <c r="O878" s="433" t="s">
        <v>2706</v>
      </c>
      <c r="P878" s="433" t="s">
        <v>4441</v>
      </c>
      <c r="Q878" s="431"/>
      <c r="R878" s="431"/>
      <c r="S878" s="426" t="s">
        <v>2901</v>
      </c>
      <c r="T878" s="426" t="s">
        <v>2657</v>
      </c>
      <c r="U878" s="426" t="s">
        <v>2664</v>
      </c>
      <c r="V878" s="426" t="s">
        <v>2657</v>
      </c>
      <c r="W878" s="426" t="s">
        <v>2709</v>
      </c>
      <c r="X878" s="426" t="s">
        <v>3493</v>
      </c>
      <c r="Y878" s="426" t="s">
        <v>3492</v>
      </c>
      <c r="Z878" s="426" t="s">
        <v>2974</v>
      </c>
      <c r="AA878" s="426" t="s">
        <v>3554</v>
      </c>
      <c r="AB878" s="426" t="s">
        <v>3488</v>
      </c>
      <c r="AC878" s="426" t="s">
        <v>2646</v>
      </c>
      <c r="AD878" s="426" t="s">
        <v>2646</v>
      </c>
      <c r="AE878" s="426" t="s">
        <v>2646</v>
      </c>
      <c r="AF878" s="426" t="s">
        <v>2646</v>
      </c>
      <c r="AG878" s="426" t="s">
        <v>2646</v>
      </c>
      <c r="AH878" s="426" t="s">
        <v>2646</v>
      </c>
      <c r="AI878" s="426" t="s">
        <v>2646</v>
      </c>
      <c r="AJ878" s="68" t="s">
        <v>2646</v>
      </c>
    </row>
    <row r="879" spans="1:36" ht="13.5" hidden="1">
      <c r="A879" s="296" t="s">
        <v>2124</v>
      </c>
      <c r="B879" s="427" t="s">
        <v>2649</v>
      </c>
      <c r="C879" s="433" t="s">
        <v>3482</v>
      </c>
      <c r="D879" s="433" t="s">
        <v>3710</v>
      </c>
      <c r="E879" s="433" t="s">
        <v>3752</v>
      </c>
      <c r="F879" s="433" t="s">
        <v>3160</v>
      </c>
      <c r="G879" s="433" t="s">
        <v>3249</v>
      </c>
      <c r="H879" s="433" t="s">
        <v>2932</v>
      </c>
      <c r="I879" s="433" t="s">
        <v>2737</v>
      </c>
      <c r="J879" s="433" t="s">
        <v>2819</v>
      </c>
      <c r="K879" s="433" t="s">
        <v>3119</v>
      </c>
      <c r="L879" s="433" t="s">
        <v>2809</v>
      </c>
      <c r="M879" s="433" t="s">
        <v>2875</v>
      </c>
      <c r="N879" s="433" t="s">
        <v>2903</v>
      </c>
      <c r="O879" s="433" t="s">
        <v>4614</v>
      </c>
      <c r="P879" s="433" t="s">
        <v>4615</v>
      </c>
      <c r="Q879" s="431"/>
      <c r="R879" s="431"/>
      <c r="S879" s="426" t="s">
        <v>2658</v>
      </c>
      <c r="T879" s="426" t="s">
        <v>2657</v>
      </c>
      <c r="U879" s="426" t="s">
        <v>2657</v>
      </c>
      <c r="V879" s="426" t="s">
        <v>2657</v>
      </c>
      <c r="W879" s="426" t="s">
        <v>2709</v>
      </c>
      <c r="X879" s="426" t="s">
        <v>3493</v>
      </c>
      <c r="Y879" s="426" t="s">
        <v>3492</v>
      </c>
      <c r="Z879" s="426" t="s">
        <v>3001</v>
      </c>
      <c r="AA879" s="426" t="s">
        <v>3589</v>
      </c>
      <c r="AB879" s="426" t="s">
        <v>3418</v>
      </c>
      <c r="AC879" s="426" t="s">
        <v>2646</v>
      </c>
      <c r="AD879" s="426" t="s">
        <v>2646</v>
      </c>
      <c r="AE879" s="426" t="s">
        <v>2646</v>
      </c>
      <c r="AF879" s="426" t="s">
        <v>2646</v>
      </c>
      <c r="AG879" s="426" t="s">
        <v>2646</v>
      </c>
      <c r="AH879" s="426" t="s">
        <v>2646</v>
      </c>
      <c r="AI879" s="426" t="s">
        <v>2646</v>
      </c>
      <c r="AJ879" s="68" t="s">
        <v>2646</v>
      </c>
    </row>
    <row r="880" spans="1:36" ht="13.5" hidden="1">
      <c r="A880" s="296" t="s">
        <v>2125</v>
      </c>
      <c r="B880" s="427" t="s">
        <v>2650</v>
      </c>
      <c r="C880" s="433" t="s">
        <v>3363</v>
      </c>
      <c r="D880" s="433" t="s">
        <v>3364</v>
      </c>
      <c r="E880" s="433" t="s">
        <v>2771</v>
      </c>
      <c r="F880" s="433" t="s">
        <v>2947</v>
      </c>
      <c r="G880" s="433" t="s">
        <v>3046</v>
      </c>
      <c r="H880" s="433" t="s">
        <v>2903</v>
      </c>
      <c r="I880" s="433" t="s">
        <v>2917</v>
      </c>
      <c r="J880" s="433" t="s">
        <v>2921</v>
      </c>
      <c r="K880" s="433" t="s">
        <v>2907</v>
      </c>
      <c r="L880" s="433" t="s">
        <v>2731</v>
      </c>
      <c r="M880" s="433" t="s">
        <v>2777</v>
      </c>
      <c r="N880" s="433" t="s">
        <v>2970</v>
      </c>
      <c r="O880" s="433" t="s">
        <v>4616</v>
      </c>
      <c r="P880" s="433" t="s">
        <v>4418</v>
      </c>
      <c r="Q880" s="431"/>
      <c r="R880" s="431"/>
      <c r="S880" s="426" t="s">
        <v>2885</v>
      </c>
      <c r="T880" s="426" t="s">
        <v>2657</v>
      </c>
      <c r="U880" s="426" t="s">
        <v>2657</v>
      </c>
      <c r="V880" s="426" t="s">
        <v>2657</v>
      </c>
      <c r="W880" s="426" t="s">
        <v>2709</v>
      </c>
      <c r="X880" s="426" t="s">
        <v>3493</v>
      </c>
      <c r="Y880" s="426" t="s">
        <v>3492</v>
      </c>
      <c r="Z880" s="426" t="s">
        <v>3401</v>
      </c>
      <c r="AA880" s="426" t="s">
        <v>3558</v>
      </c>
      <c r="AB880" s="426" t="s">
        <v>3484</v>
      </c>
      <c r="AC880" s="426" t="s">
        <v>2646</v>
      </c>
      <c r="AD880" s="426" t="s">
        <v>2646</v>
      </c>
      <c r="AE880" s="426" t="s">
        <v>2646</v>
      </c>
      <c r="AF880" s="426" t="s">
        <v>2646</v>
      </c>
      <c r="AG880" s="426" t="s">
        <v>2646</v>
      </c>
      <c r="AH880" s="426" t="s">
        <v>2646</v>
      </c>
      <c r="AI880" s="426" t="s">
        <v>2646</v>
      </c>
      <c r="AJ880" s="68" t="s">
        <v>2646</v>
      </c>
    </row>
    <row r="881" spans="1:36" ht="13.5" hidden="1">
      <c r="A881" s="296" t="s">
        <v>2126</v>
      </c>
      <c r="B881" s="427" t="s">
        <v>2651</v>
      </c>
      <c r="C881" s="433" t="s">
        <v>3673</v>
      </c>
      <c r="D881" s="433" t="s">
        <v>3858</v>
      </c>
      <c r="E881" s="433" t="s">
        <v>2718</v>
      </c>
      <c r="F881" s="433" t="s">
        <v>3045</v>
      </c>
      <c r="G881" s="433" t="s">
        <v>2753</v>
      </c>
      <c r="H881" s="433" t="s">
        <v>2731</v>
      </c>
      <c r="I881" s="433" t="s">
        <v>2676</v>
      </c>
      <c r="J881" s="433" t="s">
        <v>2676</v>
      </c>
      <c r="K881" s="433" t="s">
        <v>2767</v>
      </c>
      <c r="L881" s="433" t="s">
        <v>2994</v>
      </c>
      <c r="M881" s="433" t="s">
        <v>2994</v>
      </c>
      <c r="N881" s="433" t="s">
        <v>2994</v>
      </c>
      <c r="O881" s="433" t="s">
        <v>4617</v>
      </c>
      <c r="P881" s="433" t="s">
        <v>4257</v>
      </c>
      <c r="Q881" s="431"/>
      <c r="R881" s="431"/>
      <c r="S881" s="426" t="s">
        <v>2778</v>
      </c>
      <c r="T881" s="426" t="s">
        <v>2657</v>
      </c>
      <c r="U881" s="426" t="s">
        <v>2657</v>
      </c>
      <c r="V881" s="426" t="s">
        <v>2657</v>
      </c>
      <c r="W881" s="426" t="s">
        <v>2709</v>
      </c>
      <c r="X881" s="426" t="s">
        <v>3493</v>
      </c>
      <c r="Y881" s="426" t="s">
        <v>3492</v>
      </c>
      <c r="Z881" s="426" t="s">
        <v>2661</v>
      </c>
      <c r="AA881" s="426" t="s">
        <v>3584</v>
      </c>
      <c r="AB881" s="426" t="s">
        <v>3410</v>
      </c>
      <c r="AC881" s="426" t="s">
        <v>2646</v>
      </c>
      <c r="AD881" s="426" t="s">
        <v>2646</v>
      </c>
      <c r="AE881" s="426" t="s">
        <v>2646</v>
      </c>
      <c r="AF881" s="426" t="s">
        <v>2646</v>
      </c>
      <c r="AG881" s="426" t="s">
        <v>2646</v>
      </c>
      <c r="AH881" s="426" t="s">
        <v>2646</v>
      </c>
      <c r="AI881" s="426" t="s">
        <v>2646</v>
      </c>
      <c r="AJ881" s="68" t="s">
        <v>2646</v>
      </c>
    </row>
    <row r="882" spans="1:36" ht="13.5">
      <c r="A882" s="296" t="s">
        <v>2126</v>
      </c>
      <c r="B882" s="427" t="s">
        <v>48</v>
      </c>
      <c r="C882" s="433" t="s">
        <v>4618</v>
      </c>
      <c r="D882" s="433" t="s">
        <v>3891</v>
      </c>
      <c r="E882" s="433" t="s">
        <v>4027</v>
      </c>
      <c r="F882" s="433" t="s">
        <v>4431</v>
      </c>
      <c r="G882" s="433" t="s">
        <v>4619</v>
      </c>
      <c r="H882" s="433" t="s">
        <v>2699</v>
      </c>
      <c r="I882" s="433" t="s">
        <v>3857</v>
      </c>
      <c r="J882" s="433" t="s">
        <v>2911</v>
      </c>
      <c r="K882" s="433" t="s">
        <v>4288</v>
      </c>
      <c r="L882" s="433" t="s">
        <v>3716</v>
      </c>
      <c r="M882" s="433" t="s">
        <v>3776</v>
      </c>
      <c r="N882" s="433" t="s">
        <v>4224</v>
      </c>
      <c r="O882" s="433" t="s">
        <v>4021</v>
      </c>
      <c r="P882" s="433" t="s">
        <v>4023</v>
      </c>
      <c r="Q882" s="433" t="s">
        <v>2654</v>
      </c>
      <c r="R882" s="433" t="s">
        <v>2654</v>
      </c>
      <c r="S882" s="426"/>
      <c r="T882" s="426"/>
      <c r="U882" s="426"/>
      <c r="V882" s="426"/>
      <c r="W882" s="426"/>
      <c r="X882" s="426"/>
      <c r="Y882" s="426"/>
      <c r="Z882" s="426"/>
      <c r="AA882" s="426"/>
      <c r="AB882" s="426"/>
      <c r="AC882" s="426"/>
      <c r="AD882" s="426"/>
      <c r="AE882" s="426"/>
      <c r="AF882" s="426"/>
      <c r="AG882" s="426"/>
      <c r="AH882" s="426"/>
      <c r="AI882" s="426"/>
    </row>
    <row r="883" spans="1:36" ht="13.5" hidden="1">
      <c r="A883" s="296" t="s">
        <v>2127</v>
      </c>
      <c r="B883" s="427" t="s">
        <v>2647</v>
      </c>
      <c r="C883" s="433" t="s">
        <v>3720</v>
      </c>
      <c r="D883" s="433" t="s">
        <v>3710</v>
      </c>
      <c r="E883" s="433" t="s">
        <v>3050</v>
      </c>
      <c r="F883" s="433" t="s">
        <v>2877</v>
      </c>
      <c r="G883" s="433" t="s">
        <v>2707</v>
      </c>
      <c r="H883" s="433" t="s">
        <v>2807</v>
      </c>
      <c r="I883" s="433" t="s">
        <v>2791</v>
      </c>
      <c r="J883" s="433" t="s">
        <v>2791</v>
      </c>
      <c r="K883" s="433" t="s">
        <v>2791</v>
      </c>
      <c r="L883" s="433" t="s">
        <v>2680</v>
      </c>
      <c r="M883" s="433" t="s">
        <v>2680</v>
      </c>
      <c r="N883" s="433" t="s">
        <v>2678</v>
      </c>
      <c r="O883" s="433" t="s">
        <v>3875</v>
      </c>
      <c r="P883" s="433" t="s">
        <v>4620</v>
      </c>
      <c r="Q883" s="431"/>
      <c r="R883" s="431"/>
      <c r="S883" s="426" t="s">
        <v>2664</v>
      </c>
      <c r="T883" s="426" t="s">
        <v>2657</v>
      </c>
      <c r="U883" s="426" t="s">
        <v>2664</v>
      </c>
      <c r="V883" s="426" t="s">
        <v>2657</v>
      </c>
      <c r="W883" s="426" t="s">
        <v>316</v>
      </c>
      <c r="X883" s="426" t="s">
        <v>3577</v>
      </c>
      <c r="Y883" s="426" t="s">
        <v>3213</v>
      </c>
      <c r="Z883" s="426" t="s">
        <v>2974</v>
      </c>
      <c r="AA883" s="426" t="s">
        <v>3143</v>
      </c>
      <c r="AB883" s="426" t="s">
        <v>2646</v>
      </c>
      <c r="AC883" s="426" t="s">
        <v>2646</v>
      </c>
      <c r="AD883" s="426" t="s">
        <v>2646</v>
      </c>
      <c r="AE883" s="426" t="s">
        <v>2646</v>
      </c>
      <c r="AF883" s="426" t="s">
        <v>2646</v>
      </c>
      <c r="AG883" s="426" t="s">
        <v>2646</v>
      </c>
      <c r="AH883" s="426" t="s">
        <v>2646</v>
      </c>
      <c r="AI883" s="426" t="s">
        <v>2646</v>
      </c>
      <c r="AJ883" s="68" t="s">
        <v>2646</v>
      </c>
    </row>
    <row r="884" spans="1:36" ht="13.5" hidden="1">
      <c r="A884" s="296" t="s">
        <v>2128</v>
      </c>
      <c r="B884" s="427" t="s">
        <v>2648</v>
      </c>
      <c r="C884" s="433" t="s">
        <v>3695</v>
      </c>
      <c r="D884" s="433" t="s">
        <v>3686</v>
      </c>
      <c r="E884" s="433" t="s">
        <v>2720</v>
      </c>
      <c r="F884" s="433" t="s">
        <v>2916</v>
      </c>
      <c r="G884" s="433" t="s">
        <v>2994</v>
      </c>
      <c r="H884" s="433" t="s">
        <v>2896</v>
      </c>
      <c r="I884" s="433" t="s">
        <v>2732</v>
      </c>
      <c r="J884" s="433" t="s">
        <v>2678</v>
      </c>
      <c r="K884" s="433" t="s">
        <v>2654</v>
      </c>
      <c r="L884" s="433" t="s">
        <v>2654</v>
      </c>
      <c r="M884" s="433" t="s">
        <v>2654</v>
      </c>
      <c r="N884" s="433" t="s">
        <v>2654</v>
      </c>
      <c r="O884" s="433" t="s">
        <v>3956</v>
      </c>
      <c r="P884" s="433" t="s">
        <v>4249</v>
      </c>
      <c r="Q884" s="431"/>
      <c r="R884" s="431"/>
      <c r="S884" s="426" t="s">
        <v>2658</v>
      </c>
      <c r="T884" s="426" t="s">
        <v>2657</v>
      </c>
      <c r="U884" s="426" t="s">
        <v>2657</v>
      </c>
      <c r="V884" s="426" t="s">
        <v>2657</v>
      </c>
      <c r="W884" s="426" t="s">
        <v>316</v>
      </c>
      <c r="X884" s="426" t="s">
        <v>3577</v>
      </c>
      <c r="Y884" s="426" t="s">
        <v>3213</v>
      </c>
      <c r="Z884" s="426" t="s">
        <v>3024</v>
      </c>
      <c r="AA884" s="426" t="s">
        <v>3423</v>
      </c>
      <c r="AB884" s="426" t="s">
        <v>2646</v>
      </c>
      <c r="AC884" s="426" t="s">
        <v>2646</v>
      </c>
      <c r="AD884" s="426" t="s">
        <v>2646</v>
      </c>
      <c r="AE884" s="426" t="s">
        <v>2646</v>
      </c>
      <c r="AF884" s="426" t="s">
        <v>2646</v>
      </c>
      <c r="AG884" s="426" t="s">
        <v>2646</v>
      </c>
      <c r="AH884" s="426" t="s">
        <v>2646</v>
      </c>
      <c r="AI884" s="426" t="s">
        <v>2646</v>
      </c>
      <c r="AJ884" s="68" t="s">
        <v>2646</v>
      </c>
    </row>
    <row r="885" spans="1:36" ht="13.5" hidden="1">
      <c r="A885" s="296" t="s">
        <v>2129</v>
      </c>
      <c r="B885" s="427" t="s">
        <v>2649</v>
      </c>
      <c r="C885" s="433" t="s">
        <v>3695</v>
      </c>
      <c r="D885" s="433" t="s">
        <v>3710</v>
      </c>
      <c r="E885" s="433" t="s">
        <v>3300</v>
      </c>
      <c r="F885" s="433" t="s">
        <v>3047</v>
      </c>
      <c r="G885" s="433" t="s">
        <v>2674</v>
      </c>
      <c r="H885" s="433" t="s">
        <v>2724</v>
      </c>
      <c r="I885" s="433" t="s">
        <v>2724</v>
      </c>
      <c r="J885" s="433" t="s">
        <v>2708</v>
      </c>
      <c r="K885" s="433" t="s">
        <v>2678</v>
      </c>
      <c r="L885" s="433" t="s">
        <v>2654</v>
      </c>
      <c r="M885" s="433" t="s">
        <v>2654</v>
      </c>
      <c r="N885" s="433" t="s">
        <v>2654</v>
      </c>
      <c r="O885" s="433" t="s">
        <v>4588</v>
      </c>
      <c r="P885" s="433" t="s">
        <v>4085</v>
      </c>
      <c r="Q885" s="431"/>
      <c r="R885" s="431"/>
      <c r="S885" s="426" t="s">
        <v>2768</v>
      </c>
      <c r="T885" s="426" t="s">
        <v>2657</v>
      </c>
      <c r="U885" s="426" t="s">
        <v>2657</v>
      </c>
      <c r="V885" s="426" t="s">
        <v>2657</v>
      </c>
      <c r="W885" s="426" t="s">
        <v>316</v>
      </c>
      <c r="X885" s="426" t="s">
        <v>3577</v>
      </c>
      <c r="Y885" s="426" t="s">
        <v>3213</v>
      </c>
      <c r="Z885" s="426" t="s">
        <v>3001</v>
      </c>
      <c r="AA885" s="426" t="s">
        <v>3584</v>
      </c>
      <c r="AB885" s="426" t="s">
        <v>2646</v>
      </c>
      <c r="AC885" s="426" t="s">
        <v>2646</v>
      </c>
      <c r="AD885" s="426" t="s">
        <v>2646</v>
      </c>
      <c r="AE885" s="426" t="s">
        <v>2646</v>
      </c>
      <c r="AF885" s="426" t="s">
        <v>2646</v>
      </c>
      <c r="AG885" s="426" t="s">
        <v>2646</v>
      </c>
      <c r="AH885" s="426" t="s">
        <v>2646</v>
      </c>
      <c r="AI885" s="426" t="s">
        <v>2646</v>
      </c>
      <c r="AJ885" s="68" t="s">
        <v>2646</v>
      </c>
    </row>
    <row r="886" spans="1:36" ht="13.5" hidden="1">
      <c r="A886" s="296" t="s">
        <v>2130</v>
      </c>
      <c r="B886" s="427" t="s">
        <v>2650</v>
      </c>
      <c r="C886" s="433" t="s">
        <v>3695</v>
      </c>
      <c r="D886" s="433" t="s">
        <v>3364</v>
      </c>
      <c r="E886" s="433" t="s">
        <v>2751</v>
      </c>
      <c r="F886" s="433" t="s">
        <v>2808</v>
      </c>
      <c r="G886" s="433" t="s">
        <v>2714</v>
      </c>
      <c r="H886" s="433" t="s">
        <v>2896</v>
      </c>
      <c r="I886" s="433" t="s">
        <v>2724</v>
      </c>
      <c r="J886" s="433" t="s">
        <v>2708</v>
      </c>
      <c r="K886" s="433" t="s">
        <v>2708</v>
      </c>
      <c r="L886" s="433" t="s">
        <v>2680</v>
      </c>
      <c r="M886" s="433" t="s">
        <v>2678</v>
      </c>
      <c r="N886" s="433" t="s">
        <v>2678</v>
      </c>
      <c r="O886" s="433" t="s">
        <v>3755</v>
      </c>
      <c r="P886" s="433" t="s">
        <v>4621</v>
      </c>
      <c r="Q886" s="431"/>
      <c r="R886" s="431"/>
      <c r="S886" s="426" t="s">
        <v>2660</v>
      </c>
      <c r="T886" s="426" t="s">
        <v>2657</v>
      </c>
      <c r="U886" s="426" t="s">
        <v>2657</v>
      </c>
      <c r="V886" s="426" t="s">
        <v>2657</v>
      </c>
      <c r="W886" s="426" t="s">
        <v>316</v>
      </c>
      <c r="X886" s="426" t="s">
        <v>3577</v>
      </c>
      <c r="Y886" s="426" t="s">
        <v>3213</v>
      </c>
      <c r="Z886" s="426" t="s">
        <v>2661</v>
      </c>
      <c r="AA886" s="426" t="s">
        <v>3554</v>
      </c>
      <c r="AB886" s="426" t="s">
        <v>2646</v>
      </c>
      <c r="AC886" s="426" t="s">
        <v>2646</v>
      </c>
      <c r="AD886" s="426" t="s">
        <v>2646</v>
      </c>
      <c r="AE886" s="426" t="s">
        <v>2646</v>
      </c>
      <c r="AF886" s="426" t="s">
        <v>2646</v>
      </c>
      <c r="AG886" s="426" t="s">
        <v>2646</v>
      </c>
      <c r="AH886" s="426" t="s">
        <v>2646</v>
      </c>
      <c r="AI886" s="426" t="s">
        <v>2646</v>
      </c>
      <c r="AJ886" s="68" t="s">
        <v>2646</v>
      </c>
    </row>
    <row r="887" spans="1:36" ht="13.5" hidden="1">
      <c r="A887" s="296" t="s">
        <v>2131</v>
      </c>
      <c r="B887" s="427" t="s">
        <v>2651</v>
      </c>
      <c r="C887" s="433" t="s">
        <v>4196</v>
      </c>
      <c r="D887" s="433" t="s">
        <v>3364</v>
      </c>
      <c r="E887" s="433" t="s">
        <v>3018</v>
      </c>
      <c r="F887" s="433" t="s">
        <v>2908</v>
      </c>
      <c r="G887" s="433" t="s">
        <v>2687</v>
      </c>
      <c r="H887" s="433" t="s">
        <v>2677</v>
      </c>
      <c r="I887" s="433" t="s">
        <v>2724</v>
      </c>
      <c r="J887" s="433" t="s">
        <v>2680</v>
      </c>
      <c r="K887" s="433" t="s">
        <v>2680</v>
      </c>
      <c r="L887" s="433" t="s">
        <v>2678</v>
      </c>
      <c r="M887" s="433" t="s">
        <v>2654</v>
      </c>
      <c r="N887" s="433" t="s">
        <v>2654</v>
      </c>
      <c r="O887" s="433" t="s">
        <v>4069</v>
      </c>
      <c r="P887" s="433" t="s">
        <v>4315</v>
      </c>
      <c r="Q887" s="431"/>
      <c r="R887" s="431"/>
      <c r="S887" s="426" t="s">
        <v>2664</v>
      </c>
      <c r="T887" s="426" t="s">
        <v>2657</v>
      </c>
      <c r="U887" s="426" t="s">
        <v>2664</v>
      </c>
      <c r="V887" s="426" t="s">
        <v>2657</v>
      </c>
      <c r="W887" s="426" t="s">
        <v>316</v>
      </c>
      <c r="X887" s="426" t="s">
        <v>3577</v>
      </c>
      <c r="Y887" s="426" t="s">
        <v>3213</v>
      </c>
      <c r="Z887" s="426" t="s">
        <v>2974</v>
      </c>
      <c r="AA887" s="426" t="s">
        <v>3143</v>
      </c>
      <c r="AB887" s="426" t="s">
        <v>2646</v>
      </c>
      <c r="AC887" s="426" t="s">
        <v>2646</v>
      </c>
      <c r="AD887" s="426" t="s">
        <v>2646</v>
      </c>
      <c r="AE887" s="426" t="s">
        <v>2646</v>
      </c>
      <c r="AF887" s="426" t="s">
        <v>2646</v>
      </c>
      <c r="AG887" s="426" t="s">
        <v>2646</v>
      </c>
      <c r="AH887" s="426" t="s">
        <v>2646</v>
      </c>
      <c r="AI887" s="426" t="s">
        <v>2646</v>
      </c>
      <c r="AJ887" s="68" t="s">
        <v>2646</v>
      </c>
    </row>
    <row r="888" spans="1:36" ht="13.5">
      <c r="A888" s="296" t="s">
        <v>2131</v>
      </c>
      <c r="B888" s="427" t="s">
        <v>48</v>
      </c>
      <c r="C888" s="433" t="s">
        <v>3774</v>
      </c>
      <c r="D888" s="433" t="s">
        <v>3871</v>
      </c>
      <c r="E888" s="433" t="s">
        <v>3677</v>
      </c>
      <c r="F888" s="433" t="s">
        <v>4031</v>
      </c>
      <c r="G888" s="433" t="s">
        <v>3616</v>
      </c>
      <c r="H888" s="433" t="s">
        <v>4024</v>
      </c>
      <c r="I888" s="433" t="s">
        <v>2912</v>
      </c>
      <c r="J888" s="433" t="s">
        <v>2933</v>
      </c>
      <c r="K888" s="433" t="s">
        <v>2781</v>
      </c>
      <c r="L888" s="433" t="s">
        <v>2678</v>
      </c>
      <c r="M888" s="433" t="s">
        <v>2659</v>
      </c>
      <c r="N888" s="433" t="s">
        <v>2683</v>
      </c>
      <c r="O888" s="433" t="s">
        <v>4248</v>
      </c>
      <c r="P888" s="433" t="s">
        <v>3846</v>
      </c>
      <c r="Q888" s="433" t="s">
        <v>2654</v>
      </c>
      <c r="R888" s="433" t="s">
        <v>2654</v>
      </c>
      <c r="S888" s="426"/>
      <c r="T888" s="426"/>
      <c r="U888" s="426"/>
      <c r="V888" s="426"/>
      <c r="W888" s="426"/>
      <c r="X888" s="426"/>
      <c r="Y888" s="426"/>
      <c r="Z888" s="426"/>
      <c r="AA888" s="426"/>
      <c r="AB888" s="426"/>
      <c r="AC888" s="426"/>
      <c r="AD888" s="426"/>
      <c r="AE888" s="426"/>
      <c r="AF888" s="426"/>
      <c r="AG888" s="426"/>
      <c r="AH888" s="426"/>
      <c r="AI888" s="426"/>
    </row>
    <row r="889" spans="1:36" ht="13.5" hidden="1">
      <c r="A889" s="296" t="s">
        <v>2132</v>
      </c>
      <c r="B889" s="427" t="s">
        <v>2647</v>
      </c>
      <c r="C889" s="433" t="s">
        <v>2986</v>
      </c>
      <c r="D889" s="433" t="s">
        <v>3710</v>
      </c>
      <c r="E889" s="433" t="s">
        <v>2959</v>
      </c>
      <c r="F889" s="433" t="s">
        <v>2835</v>
      </c>
      <c r="G889" s="433" t="s">
        <v>2825</v>
      </c>
      <c r="H889" s="433" t="s">
        <v>2654</v>
      </c>
      <c r="I889" s="433" t="s">
        <v>2654</v>
      </c>
      <c r="J889" s="433" t="s">
        <v>2654</v>
      </c>
      <c r="K889" s="433" t="s">
        <v>2654</v>
      </c>
      <c r="L889" s="433" t="s">
        <v>2654</v>
      </c>
      <c r="M889" s="433" t="s">
        <v>2654</v>
      </c>
      <c r="N889" s="433" t="s">
        <v>2654</v>
      </c>
      <c r="O889" s="433" t="s">
        <v>2831</v>
      </c>
      <c r="P889" s="433" t="s">
        <v>4481</v>
      </c>
      <c r="Q889" s="431"/>
      <c r="R889" s="431"/>
      <c r="S889" s="426" t="s">
        <v>2658</v>
      </c>
      <c r="T889" s="426" t="s">
        <v>2657</v>
      </c>
      <c r="U889" s="426" t="s">
        <v>2657</v>
      </c>
      <c r="V889" s="426" t="s">
        <v>2657</v>
      </c>
      <c r="W889" s="426" t="s">
        <v>2768</v>
      </c>
      <c r="X889" s="426" t="s">
        <v>3592</v>
      </c>
      <c r="Y889" s="426" t="s">
        <v>3560</v>
      </c>
      <c r="Z889" s="426" t="s">
        <v>2974</v>
      </c>
      <c r="AA889" s="426" t="s">
        <v>2646</v>
      </c>
      <c r="AB889" s="426" t="s">
        <v>2646</v>
      </c>
      <c r="AC889" s="426" t="s">
        <v>2646</v>
      </c>
      <c r="AD889" s="426" t="s">
        <v>2646</v>
      </c>
      <c r="AE889" s="426" t="s">
        <v>2646</v>
      </c>
      <c r="AF889" s="426" t="s">
        <v>2646</v>
      </c>
      <c r="AG889" s="426" t="s">
        <v>2646</v>
      </c>
      <c r="AH889" s="426" t="s">
        <v>2646</v>
      </c>
      <c r="AI889" s="426" t="s">
        <v>2646</v>
      </c>
      <c r="AJ889" s="68" t="s">
        <v>2646</v>
      </c>
    </row>
    <row r="890" spans="1:36" ht="13.5" hidden="1">
      <c r="A890" s="296" t="s">
        <v>2133</v>
      </c>
      <c r="B890" s="427" t="s">
        <v>2648</v>
      </c>
      <c r="C890" s="433" t="s">
        <v>3211</v>
      </c>
      <c r="D890" s="433" t="s">
        <v>3686</v>
      </c>
      <c r="E890" s="433" t="s">
        <v>2947</v>
      </c>
      <c r="F890" s="433" t="s">
        <v>2676</v>
      </c>
      <c r="G890" s="433" t="s">
        <v>2674</v>
      </c>
      <c r="H890" s="433" t="s">
        <v>2654</v>
      </c>
      <c r="I890" s="433" t="s">
        <v>2654</v>
      </c>
      <c r="J890" s="433" t="s">
        <v>2654</v>
      </c>
      <c r="K890" s="433" t="s">
        <v>2654</v>
      </c>
      <c r="L890" s="433" t="s">
        <v>2654</v>
      </c>
      <c r="M890" s="433" t="s">
        <v>2654</v>
      </c>
      <c r="N890" s="433" t="s">
        <v>2654</v>
      </c>
      <c r="O890" s="433" t="s">
        <v>2773</v>
      </c>
      <c r="P890" s="433" t="s">
        <v>4481</v>
      </c>
      <c r="Q890" s="431"/>
      <c r="R890" s="431"/>
      <c r="S890" s="426" t="s">
        <v>2860</v>
      </c>
      <c r="T890" s="426" t="s">
        <v>2657</v>
      </c>
      <c r="U890" s="426" t="s">
        <v>2796</v>
      </c>
      <c r="V890" s="426" t="s">
        <v>2657</v>
      </c>
      <c r="W890" s="426" t="s">
        <v>2768</v>
      </c>
      <c r="X890" s="426" t="s">
        <v>3592</v>
      </c>
      <c r="Y890" s="426" t="s">
        <v>3560</v>
      </c>
      <c r="Z890" s="426" t="s">
        <v>2661</v>
      </c>
      <c r="AA890" s="426" t="s">
        <v>2646</v>
      </c>
      <c r="AB890" s="426" t="s">
        <v>2646</v>
      </c>
      <c r="AC890" s="426" t="s">
        <v>2646</v>
      </c>
      <c r="AD890" s="426" t="s">
        <v>2646</v>
      </c>
      <c r="AE890" s="426" t="s">
        <v>2646</v>
      </c>
      <c r="AF890" s="426" t="s">
        <v>2646</v>
      </c>
      <c r="AG890" s="426" t="s">
        <v>2646</v>
      </c>
      <c r="AH890" s="426" t="s">
        <v>2646</v>
      </c>
      <c r="AI890" s="426" t="s">
        <v>2646</v>
      </c>
      <c r="AJ890" s="68" t="s">
        <v>2646</v>
      </c>
    </row>
    <row r="891" spans="1:36" ht="13.5" hidden="1">
      <c r="A891" s="296" t="s">
        <v>2134</v>
      </c>
      <c r="B891" s="427" t="s">
        <v>2649</v>
      </c>
      <c r="C891" s="433" t="s">
        <v>2986</v>
      </c>
      <c r="D891" s="433" t="s">
        <v>3364</v>
      </c>
      <c r="E891" s="433" t="s">
        <v>2815</v>
      </c>
      <c r="F891" s="433" t="s">
        <v>2907</v>
      </c>
      <c r="G891" s="433" t="s">
        <v>2896</v>
      </c>
      <c r="H891" s="433" t="s">
        <v>2654</v>
      </c>
      <c r="I891" s="433" t="s">
        <v>2654</v>
      </c>
      <c r="J891" s="433" t="s">
        <v>2654</v>
      </c>
      <c r="K891" s="433" t="s">
        <v>2654</v>
      </c>
      <c r="L891" s="433" t="s">
        <v>2654</v>
      </c>
      <c r="M891" s="433" t="s">
        <v>2654</v>
      </c>
      <c r="N891" s="433" t="s">
        <v>2654</v>
      </c>
      <c r="O891" s="433" t="s">
        <v>2899</v>
      </c>
      <c r="P891" s="433" t="s">
        <v>4308</v>
      </c>
      <c r="Q891" s="431"/>
      <c r="R891" s="431"/>
      <c r="S891" s="426" t="s">
        <v>2844</v>
      </c>
      <c r="T891" s="426" t="s">
        <v>2657</v>
      </c>
      <c r="U891" s="426" t="s">
        <v>2657</v>
      </c>
      <c r="V891" s="426" t="s">
        <v>2657</v>
      </c>
      <c r="W891" s="426" t="s">
        <v>2768</v>
      </c>
      <c r="X891" s="426" t="s">
        <v>3592</v>
      </c>
      <c r="Y891" s="426" t="s">
        <v>3560</v>
      </c>
      <c r="Z891" s="426" t="s">
        <v>3593</v>
      </c>
      <c r="AA891" s="426" t="s">
        <v>2646</v>
      </c>
      <c r="AB891" s="426" t="s">
        <v>2646</v>
      </c>
      <c r="AC891" s="426" t="s">
        <v>2646</v>
      </c>
      <c r="AD891" s="426" t="s">
        <v>2646</v>
      </c>
      <c r="AE891" s="426" t="s">
        <v>2646</v>
      </c>
      <c r="AF891" s="426" t="s">
        <v>2646</v>
      </c>
      <c r="AG891" s="426" t="s">
        <v>2646</v>
      </c>
      <c r="AH891" s="426" t="s">
        <v>2646</v>
      </c>
      <c r="AI891" s="426" t="s">
        <v>2646</v>
      </c>
      <c r="AJ891" s="68" t="s">
        <v>2646</v>
      </c>
    </row>
    <row r="892" spans="1:36" ht="13.5" hidden="1">
      <c r="A892" s="296" t="s">
        <v>2135</v>
      </c>
      <c r="B892" s="427" t="s">
        <v>2650</v>
      </c>
      <c r="C892" s="433" t="s">
        <v>3575</v>
      </c>
      <c r="D892" s="433" t="s">
        <v>3364</v>
      </c>
      <c r="E892" s="433" t="s">
        <v>2776</v>
      </c>
      <c r="F892" s="433" t="s">
        <v>2761</v>
      </c>
      <c r="G892" s="433" t="s">
        <v>2896</v>
      </c>
      <c r="H892" s="433" t="s">
        <v>2654</v>
      </c>
      <c r="I892" s="433" t="s">
        <v>2654</v>
      </c>
      <c r="J892" s="433" t="s">
        <v>2654</v>
      </c>
      <c r="K892" s="433" t="s">
        <v>2654</v>
      </c>
      <c r="L892" s="433" t="s">
        <v>2654</v>
      </c>
      <c r="M892" s="433" t="s">
        <v>2654</v>
      </c>
      <c r="N892" s="433" t="s">
        <v>2654</v>
      </c>
      <c r="O892" s="433" t="s">
        <v>3934</v>
      </c>
      <c r="P892" s="433" t="s">
        <v>4563</v>
      </c>
      <c r="Q892" s="431"/>
      <c r="R892" s="431"/>
      <c r="S892" s="426" t="s">
        <v>2665</v>
      </c>
      <c r="T892" s="426" t="s">
        <v>2657</v>
      </c>
      <c r="U892" s="426" t="s">
        <v>2796</v>
      </c>
      <c r="V892" s="426" t="s">
        <v>2657</v>
      </c>
      <c r="W892" s="426" t="s">
        <v>2768</v>
      </c>
      <c r="X892" s="426" t="s">
        <v>3592</v>
      </c>
      <c r="Y892" s="426" t="s">
        <v>3560</v>
      </c>
      <c r="Z892" s="426" t="s">
        <v>3173</v>
      </c>
      <c r="AA892" s="426" t="s">
        <v>2646</v>
      </c>
      <c r="AB892" s="426" t="s">
        <v>2646</v>
      </c>
      <c r="AC892" s="426" t="s">
        <v>2646</v>
      </c>
      <c r="AD892" s="426" t="s">
        <v>2646</v>
      </c>
      <c r="AE892" s="426" t="s">
        <v>2646</v>
      </c>
      <c r="AF892" s="426" t="s">
        <v>2646</v>
      </c>
      <c r="AG892" s="426" t="s">
        <v>2646</v>
      </c>
      <c r="AH892" s="426" t="s">
        <v>2646</v>
      </c>
      <c r="AI892" s="426" t="s">
        <v>2646</v>
      </c>
      <c r="AJ892" s="68" t="s">
        <v>2646</v>
      </c>
    </row>
    <row r="893" spans="1:36" ht="13.5" hidden="1">
      <c r="A893" s="296" t="s">
        <v>2136</v>
      </c>
      <c r="B893" s="427" t="s">
        <v>2651</v>
      </c>
      <c r="C893" s="433" t="s">
        <v>3211</v>
      </c>
      <c r="D893" s="433" t="s">
        <v>3710</v>
      </c>
      <c r="E893" s="433" t="s">
        <v>2713</v>
      </c>
      <c r="F893" s="433" t="s">
        <v>2859</v>
      </c>
      <c r="G893" s="433" t="s">
        <v>2896</v>
      </c>
      <c r="H893" s="433" t="s">
        <v>2654</v>
      </c>
      <c r="I893" s="433" t="s">
        <v>2654</v>
      </c>
      <c r="J893" s="433" t="s">
        <v>2654</v>
      </c>
      <c r="K893" s="433" t="s">
        <v>2654</v>
      </c>
      <c r="L893" s="433" t="s">
        <v>2654</v>
      </c>
      <c r="M893" s="433" t="s">
        <v>2654</v>
      </c>
      <c r="N893" s="433" t="s">
        <v>2654</v>
      </c>
      <c r="O893" s="433" t="s">
        <v>4622</v>
      </c>
      <c r="P893" s="433" t="s">
        <v>4475</v>
      </c>
      <c r="Q893" s="431"/>
      <c r="R893" s="431"/>
      <c r="S893" s="426" t="s">
        <v>2658</v>
      </c>
      <c r="T893" s="426" t="s">
        <v>2657</v>
      </c>
      <c r="U893" s="426" t="s">
        <v>2657</v>
      </c>
      <c r="V893" s="426" t="s">
        <v>2657</v>
      </c>
      <c r="W893" s="426" t="s">
        <v>2768</v>
      </c>
      <c r="X893" s="426" t="s">
        <v>3592</v>
      </c>
      <c r="Y893" s="426" t="s">
        <v>3560</v>
      </c>
      <c r="Z893" s="426" t="s">
        <v>2974</v>
      </c>
      <c r="AA893" s="426" t="s">
        <v>2646</v>
      </c>
      <c r="AB893" s="426" t="s">
        <v>2646</v>
      </c>
      <c r="AC893" s="426" t="s">
        <v>2646</v>
      </c>
      <c r="AD893" s="426" t="s">
        <v>2646</v>
      </c>
      <c r="AE893" s="426" t="s">
        <v>2646</v>
      </c>
      <c r="AF893" s="426" t="s">
        <v>2646</v>
      </c>
      <c r="AG893" s="426" t="s">
        <v>2646</v>
      </c>
      <c r="AH893" s="426" t="s">
        <v>2646</v>
      </c>
      <c r="AI893" s="426" t="s">
        <v>2646</v>
      </c>
      <c r="AJ893" s="68" t="s">
        <v>2646</v>
      </c>
    </row>
    <row r="894" spans="1:36" ht="13.5">
      <c r="A894" s="296" t="s">
        <v>2136</v>
      </c>
      <c r="B894" s="427" t="s">
        <v>48</v>
      </c>
      <c r="C894" s="433" t="s">
        <v>4623</v>
      </c>
      <c r="D894" s="433" t="s">
        <v>3871</v>
      </c>
      <c r="E894" s="433" t="s">
        <v>4624</v>
      </c>
      <c r="F894" s="433" t="s">
        <v>4029</v>
      </c>
      <c r="G894" s="433" t="s">
        <v>2870</v>
      </c>
      <c r="H894" s="433" t="s">
        <v>2654</v>
      </c>
      <c r="I894" s="433" t="s">
        <v>2654</v>
      </c>
      <c r="J894" s="433" t="s">
        <v>2654</v>
      </c>
      <c r="K894" s="433" t="s">
        <v>2654</v>
      </c>
      <c r="L894" s="433" t="s">
        <v>2654</v>
      </c>
      <c r="M894" s="433" t="s">
        <v>2654</v>
      </c>
      <c r="N894" s="433" t="s">
        <v>2654</v>
      </c>
      <c r="O894" s="433" t="s">
        <v>3760</v>
      </c>
      <c r="P894" s="433" t="s">
        <v>4625</v>
      </c>
      <c r="Q894" s="433" t="s">
        <v>2654</v>
      </c>
      <c r="R894" s="433" t="s">
        <v>2654</v>
      </c>
      <c r="S894" s="426"/>
      <c r="T894" s="426"/>
      <c r="U894" s="426"/>
      <c r="V894" s="426"/>
      <c r="W894" s="426"/>
      <c r="X894" s="426"/>
      <c r="Y894" s="426"/>
      <c r="Z894" s="426"/>
      <c r="AA894" s="426"/>
      <c r="AB894" s="426"/>
      <c r="AC894" s="426"/>
      <c r="AD894" s="426"/>
      <c r="AE894" s="426"/>
      <c r="AF894" s="426"/>
      <c r="AG894" s="426"/>
      <c r="AH894" s="426"/>
      <c r="AI894" s="426"/>
    </row>
    <row r="895" spans="1:36" ht="13.5" hidden="1">
      <c r="A895" s="296" t="s">
        <v>2137</v>
      </c>
      <c r="B895" s="427" t="s">
        <v>2647</v>
      </c>
      <c r="C895" s="433" t="s">
        <v>3779</v>
      </c>
      <c r="D895" s="433" t="s">
        <v>3364</v>
      </c>
      <c r="E895" s="433" t="s">
        <v>2959</v>
      </c>
      <c r="F895" s="433" t="s">
        <v>2754</v>
      </c>
      <c r="G895" s="433" t="s">
        <v>2677</v>
      </c>
      <c r="H895" s="433" t="s">
        <v>2654</v>
      </c>
      <c r="I895" s="433" t="s">
        <v>2654</v>
      </c>
      <c r="J895" s="433" t="s">
        <v>2654</v>
      </c>
      <c r="K895" s="433" t="s">
        <v>2654</v>
      </c>
      <c r="L895" s="433" t="s">
        <v>2654</v>
      </c>
      <c r="M895" s="433" t="s">
        <v>2654</v>
      </c>
      <c r="N895" s="433" t="s">
        <v>2654</v>
      </c>
      <c r="O895" s="433" t="s">
        <v>3996</v>
      </c>
      <c r="P895" s="433" t="s">
        <v>4085</v>
      </c>
      <c r="Q895" s="431"/>
      <c r="R895" s="431"/>
      <c r="S895" s="426" t="s">
        <v>2768</v>
      </c>
      <c r="T895" s="426" t="s">
        <v>2657</v>
      </c>
      <c r="U895" s="426" t="s">
        <v>2657</v>
      </c>
      <c r="V895" s="426" t="s">
        <v>2657</v>
      </c>
      <c r="W895" s="426" t="s">
        <v>2768</v>
      </c>
      <c r="X895" s="426" t="s">
        <v>3594</v>
      </c>
      <c r="Y895" s="426" t="s">
        <v>3595</v>
      </c>
      <c r="Z895" s="426" t="s">
        <v>2646</v>
      </c>
      <c r="AA895" s="426" t="s">
        <v>2646</v>
      </c>
      <c r="AB895" s="426" t="s">
        <v>2646</v>
      </c>
      <c r="AC895" s="426" t="s">
        <v>2646</v>
      </c>
      <c r="AD895" s="426" t="s">
        <v>2646</v>
      </c>
      <c r="AE895" s="426" t="s">
        <v>2646</v>
      </c>
      <c r="AF895" s="426" t="s">
        <v>2646</v>
      </c>
      <c r="AG895" s="426" t="s">
        <v>2646</v>
      </c>
      <c r="AH895" s="426" t="s">
        <v>2646</v>
      </c>
      <c r="AI895" s="426" t="s">
        <v>2646</v>
      </c>
      <c r="AJ895" s="68" t="s">
        <v>2646</v>
      </c>
    </row>
    <row r="896" spans="1:36" ht="13.5" hidden="1">
      <c r="A896" s="296" t="s">
        <v>2138</v>
      </c>
      <c r="B896" s="427" t="s">
        <v>2648</v>
      </c>
      <c r="C896" s="433" t="s">
        <v>3756</v>
      </c>
      <c r="D896" s="433" t="s">
        <v>3851</v>
      </c>
      <c r="E896" s="433" t="s">
        <v>3258</v>
      </c>
      <c r="F896" s="433" t="s">
        <v>2707</v>
      </c>
      <c r="G896" s="433" t="s">
        <v>2870</v>
      </c>
      <c r="H896" s="433" t="s">
        <v>2654</v>
      </c>
      <c r="I896" s="433" t="s">
        <v>2654</v>
      </c>
      <c r="J896" s="433" t="s">
        <v>2654</v>
      </c>
      <c r="K896" s="433" t="s">
        <v>2654</v>
      </c>
      <c r="L896" s="433" t="s">
        <v>2654</v>
      </c>
      <c r="M896" s="433" t="s">
        <v>2654</v>
      </c>
      <c r="N896" s="433" t="s">
        <v>2654</v>
      </c>
      <c r="O896" s="433" t="s">
        <v>3292</v>
      </c>
      <c r="P896" s="433" t="s">
        <v>4257</v>
      </c>
      <c r="Q896" s="431"/>
      <c r="R896" s="431"/>
      <c r="S896" s="426" t="s">
        <v>2660</v>
      </c>
      <c r="T896" s="426" t="s">
        <v>2657</v>
      </c>
      <c r="U896" s="426" t="s">
        <v>2657</v>
      </c>
      <c r="V896" s="426" t="s">
        <v>2657</v>
      </c>
      <c r="W896" s="426" t="s">
        <v>2768</v>
      </c>
      <c r="X896" s="426" t="s">
        <v>3594</v>
      </c>
      <c r="Y896" s="426" t="s">
        <v>3595</v>
      </c>
      <c r="Z896" s="426" t="s">
        <v>2646</v>
      </c>
      <c r="AA896" s="426" t="s">
        <v>2646</v>
      </c>
      <c r="AB896" s="426" t="s">
        <v>2646</v>
      </c>
      <c r="AC896" s="426" t="s">
        <v>2646</v>
      </c>
      <c r="AD896" s="426" t="s">
        <v>2646</v>
      </c>
      <c r="AE896" s="426" t="s">
        <v>2646</v>
      </c>
      <c r="AF896" s="426" t="s">
        <v>2646</v>
      </c>
      <c r="AG896" s="426" t="s">
        <v>2646</v>
      </c>
      <c r="AH896" s="426" t="s">
        <v>2646</v>
      </c>
      <c r="AI896" s="426" t="s">
        <v>2646</v>
      </c>
      <c r="AJ896" s="68" t="s">
        <v>2646</v>
      </c>
    </row>
    <row r="897" spans="1:36" ht="13.5" hidden="1">
      <c r="A897" s="296" t="s">
        <v>2139</v>
      </c>
      <c r="B897" s="427" t="s">
        <v>2649</v>
      </c>
      <c r="C897" s="433" t="s">
        <v>3756</v>
      </c>
      <c r="D897" s="433" t="s">
        <v>3686</v>
      </c>
      <c r="E897" s="433" t="s">
        <v>3171</v>
      </c>
      <c r="F897" s="433" t="s">
        <v>2707</v>
      </c>
      <c r="G897" s="433" t="s">
        <v>2807</v>
      </c>
      <c r="H897" s="433" t="s">
        <v>2654</v>
      </c>
      <c r="I897" s="433" t="s">
        <v>2654</v>
      </c>
      <c r="J897" s="433" t="s">
        <v>2654</v>
      </c>
      <c r="K897" s="433" t="s">
        <v>2654</v>
      </c>
      <c r="L897" s="433" t="s">
        <v>2654</v>
      </c>
      <c r="M897" s="433" t="s">
        <v>2654</v>
      </c>
      <c r="N897" s="433" t="s">
        <v>2654</v>
      </c>
      <c r="O897" s="433" t="s">
        <v>3934</v>
      </c>
      <c r="P897" s="433" t="s">
        <v>4260</v>
      </c>
      <c r="Q897" s="431"/>
      <c r="R897" s="431"/>
      <c r="S897" s="426" t="s">
        <v>316</v>
      </c>
      <c r="T897" s="426" t="s">
        <v>2657</v>
      </c>
      <c r="U897" s="426" t="s">
        <v>2844</v>
      </c>
      <c r="V897" s="426" t="s">
        <v>2657</v>
      </c>
      <c r="W897" s="426" t="s">
        <v>2768</v>
      </c>
      <c r="X897" s="426" t="s">
        <v>3594</v>
      </c>
      <c r="Y897" s="426" t="s">
        <v>3595</v>
      </c>
      <c r="Z897" s="426" t="s">
        <v>2646</v>
      </c>
      <c r="AA897" s="426" t="s">
        <v>2646</v>
      </c>
      <c r="AB897" s="426" t="s">
        <v>2646</v>
      </c>
      <c r="AC897" s="426" t="s">
        <v>2646</v>
      </c>
      <c r="AD897" s="426" t="s">
        <v>2646</v>
      </c>
      <c r="AE897" s="426" t="s">
        <v>2646</v>
      </c>
      <c r="AF897" s="426" t="s">
        <v>2646</v>
      </c>
      <c r="AG897" s="426" t="s">
        <v>2646</v>
      </c>
      <c r="AH897" s="426" t="s">
        <v>2646</v>
      </c>
      <c r="AI897" s="426" t="s">
        <v>2646</v>
      </c>
      <c r="AJ897" s="68" t="s">
        <v>2646</v>
      </c>
    </row>
    <row r="898" spans="1:36" ht="13.5" hidden="1">
      <c r="A898" s="296" t="s">
        <v>2140</v>
      </c>
      <c r="B898" s="427" t="s">
        <v>2650</v>
      </c>
      <c r="C898" s="433" t="s">
        <v>4142</v>
      </c>
      <c r="D898" s="433" t="s">
        <v>3872</v>
      </c>
      <c r="E898" s="433" t="s">
        <v>3258</v>
      </c>
      <c r="F898" s="433" t="s">
        <v>2849</v>
      </c>
      <c r="G898" s="433" t="s">
        <v>2746</v>
      </c>
      <c r="H898" s="433" t="s">
        <v>2654</v>
      </c>
      <c r="I898" s="433" t="s">
        <v>2654</v>
      </c>
      <c r="J898" s="433" t="s">
        <v>2654</v>
      </c>
      <c r="K898" s="433" t="s">
        <v>2654</v>
      </c>
      <c r="L898" s="433" t="s">
        <v>2654</v>
      </c>
      <c r="M898" s="433" t="s">
        <v>2654</v>
      </c>
      <c r="N898" s="433" t="s">
        <v>2654</v>
      </c>
      <c r="O898" s="433" t="s">
        <v>2807</v>
      </c>
      <c r="P898" s="433" t="s">
        <v>4401</v>
      </c>
      <c r="Q898" s="431"/>
      <c r="R898" s="431"/>
      <c r="S898" s="426" t="s">
        <v>2768</v>
      </c>
      <c r="T898" s="426" t="s">
        <v>2657</v>
      </c>
      <c r="U898" s="426" t="s">
        <v>2657</v>
      </c>
      <c r="V898" s="426" t="s">
        <v>2657</v>
      </c>
      <c r="W898" s="426" t="s">
        <v>2768</v>
      </c>
      <c r="X898" s="426" t="s">
        <v>3594</v>
      </c>
      <c r="Y898" s="426" t="s">
        <v>3595</v>
      </c>
      <c r="Z898" s="426" t="s">
        <v>2646</v>
      </c>
      <c r="AA898" s="426" t="s">
        <v>2646</v>
      </c>
      <c r="AB898" s="426" t="s">
        <v>2646</v>
      </c>
      <c r="AC898" s="426" t="s">
        <v>2646</v>
      </c>
      <c r="AD898" s="426" t="s">
        <v>2646</v>
      </c>
      <c r="AE898" s="426" t="s">
        <v>2646</v>
      </c>
      <c r="AF898" s="426" t="s">
        <v>2646</v>
      </c>
      <c r="AG898" s="426" t="s">
        <v>2646</v>
      </c>
      <c r="AH898" s="426" t="s">
        <v>2646</v>
      </c>
      <c r="AI898" s="426" t="s">
        <v>2646</v>
      </c>
      <c r="AJ898" s="68" t="s">
        <v>2646</v>
      </c>
    </row>
    <row r="899" spans="1:36" ht="13.5" hidden="1">
      <c r="A899" s="296" t="s">
        <v>2141</v>
      </c>
      <c r="B899" s="427" t="s">
        <v>2651</v>
      </c>
      <c r="C899" s="433" t="s">
        <v>3712</v>
      </c>
      <c r="D899" s="433" t="s">
        <v>3686</v>
      </c>
      <c r="E899" s="433" t="s">
        <v>3033</v>
      </c>
      <c r="F899" s="433" t="s">
        <v>2835</v>
      </c>
      <c r="G899" s="433" t="s">
        <v>2807</v>
      </c>
      <c r="H899" s="433" t="s">
        <v>2654</v>
      </c>
      <c r="I899" s="433" t="s">
        <v>2654</v>
      </c>
      <c r="J899" s="433" t="s">
        <v>2654</v>
      </c>
      <c r="K899" s="433" t="s">
        <v>2654</v>
      </c>
      <c r="L899" s="433" t="s">
        <v>2654</v>
      </c>
      <c r="M899" s="433" t="s">
        <v>2654</v>
      </c>
      <c r="N899" s="433" t="s">
        <v>2654</v>
      </c>
      <c r="O899" s="433" t="s">
        <v>4589</v>
      </c>
      <c r="P899" s="433" t="s">
        <v>4311</v>
      </c>
      <c r="Q899" s="431"/>
      <c r="R899" s="431"/>
      <c r="S899" s="426" t="s">
        <v>2768</v>
      </c>
      <c r="T899" s="426" t="s">
        <v>2657</v>
      </c>
      <c r="U899" s="426" t="s">
        <v>2657</v>
      </c>
      <c r="V899" s="426" t="s">
        <v>2657</v>
      </c>
      <c r="W899" s="426" t="s">
        <v>2768</v>
      </c>
      <c r="X899" s="426" t="s">
        <v>3594</v>
      </c>
      <c r="Y899" s="426" t="s">
        <v>3595</v>
      </c>
      <c r="Z899" s="426" t="s">
        <v>2646</v>
      </c>
      <c r="AA899" s="426" t="s">
        <v>2646</v>
      </c>
      <c r="AB899" s="426" t="s">
        <v>2646</v>
      </c>
      <c r="AC899" s="426" t="s">
        <v>2646</v>
      </c>
      <c r="AD899" s="426" t="s">
        <v>2646</v>
      </c>
      <c r="AE899" s="426" t="s">
        <v>2646</v>
      </c>
      <c r="AF899" s="426" t="s">
        <v>2646</v>
      </c>
      <c r="AG899" s="426" t="s">
        <v>2646</v>
      </c>
      <c r="AH899" s="426" t="s">
        <v>2646</v>
      </c>
      <c r="AI899" s="426" t="s">
        <v>2646</v>
      </c>
      <c r="AJ899" s="68" t="s">
        <v>2646</v>
      </c>
    </row>
    <row r="900" spans="1:36" ht="13.5">
      <c r="A900" s="296" t="s">
        <v>2141</v>
      </c>
      <c r="B900" s="427" t="s">
        <v>48</v>
      </c>
      <c r="C900" s="433" t="s">
        <v>4626</v>
      </c>
      <c r="D900" s="433" t="s">
        <v>3867</v>
      </c>
      <c r="E900" s="433" t="s">
        <v>3171</v>
      </c>
      <c r="F900" s="433" t="s">
        <v>4224</v>
      </c>
      <c r="G900" s="433" t="s">
        <v>4131</v>
      </c>
      <c r="H900" s="433" t="s">
        <v>2654</v>
      </c>
      <c r="I900" s="433" t="s">
        <v>2654</v>
      </c>
      <c r="J900" s="433" t="s">
        <v>2654</v>
      </c>
      <c r="K900" s="433" t="s">
        <v>2654</v>
      </c>
      <c r="L900" s="433" t="s">
        <v>2654</v>
      </c>
      <c r="M900" s="433" t="s">
        <v>2654</v>
      </c>
      <c r="N900" s="433" t="s">
        <v>2654</v>
      </c>
      <c r="O900" s="433" t="s">
        <v>3944</v>
      </c>
      <c r="P900" s="433" t="s">
        <v>4298</v>
      </c>
      <c r="Q900" s="433" t="s">
        <v>2654</v>
      </c>
      <c r="R900" s="433" t="s">
        <v>2654</v>
      </c>
      <c r="S900" s="426"/>
      <c r="T900" s="426"/>
      <c r="U900" s="426"/>
      <c r="V900" s="426"/>
      <c r="W900" s="426"/>
      <c r="X900" s="426"/>
      <c r="Y900" s="426"/>
      <c r="Z900" s="426"/>
      <c r="AA900" s="426"/>
      <c r="AB900" s="426"/>
      <c r="AC900" s="426"/>
      <c r="AD900" s="426"/>
      <c r="AE900" s="426"/>
      <c r="AF900" s="426"/>
      <c r="AG900" s="426"/>
      <c r="AH900" s="426"/>
      <c r="AI900" s="426"/>
    </row>
    <row r="901" spans="1:36" ht="13.5" hidden="1">
      <c r="A901" s="296" t="s">
        <v>2142</v>
      </c>
      <c r="B901" s="427" t="s">
        <v>2647</v>
      </c>
      <c r="C901" s="433" t="s">
        <v>2721</v>
      </c>
      <c r="D901" s="433" t="s">
        <v>2676</v>
      </c>
      <c r="E901" s="433" t="s">
        <v>2654</v>
      </c>
      <c r="F901" s="433" t="s">
        <v>2654</v>
      </c>
      <c r="G901" s="433" t="s">
        <v>2654</v>
      </c>
      <c r="H901" s="433" t="s">
        <v>2654</v>
      </c>
      <c r="I901" s="433" t="s">
        <v>2654</v>
      </c>
      <c r="J901" s="433" t="s">
        <v>2654</v>
      </c>
      <c r="K901" s="433" t="s">
        <v>2654</v>
      </c>
      <c r="L901" s="433" t="s">
        <v>2654</v>
      </c>
      <c r="M901" s="433" t="s">
        <v>2654</v>
      </c>
      <c r="N901" s="433" t="s">
        <v>2654</v>
      </c>
      <c r="O901" s="433" t="s">
        <v>2654</v>
      </c>
      <c r="P901" s="433" t="s">
        <v>4061</v>
      </c>
      <c r="Q901" s="431"/>
      <c r="R901" s="431"/>
      <c r="S901" s="426" t="s">
        <v>3422</v>
      </c>
      <c r="T901" s="426" t="s">
        <v>2657</v>
      </c>
      <c r="U901" s="426" t="s">
        <v>2657</v>
      </c>
      <c r="V901" s="426" t="s">
        <v>2657</v>
      </c>
      <c r="W901" s="426" t="s">
        <v>2646</v>
      </c>
      <c r="X901" s="426" t="s">
        <v>2646</v>
      </c>
      <c r="Y901" s="426" t="s">
        <v>2646</v>
      </c>
      <c r="Z901" s="426" t="s">
        <v>2646</v>
      </c>
      <c r="AA901" s="426" t="s">
        <v>2646</v>
      </c>
      <c r="AB901" s="426" t="s">
        <v>2646</v>
      </c>
      <c r="AC901" s="426" t="s">
        <v>2646</v>
      </c>
      <c r="AD901" s="426" t="s">
        <v>2646</v>
      </c>
      <c r="AE901" s="426" t="s">
        <v>2646</v>
      </c>
      <c r="AF901" s="426" t="s">
        <v>2646</v>
      </c>
      <c r="AG901" s="426" t="s">
        <v>2646</v>
      </c>
      <c r="AH901" s="426" t="s">
        <v>2646</v>
      </c>
      <c r="AI901" s="426" t="s">
        <v>2646</v>
      </c>
      <c r="AJ901" s="68" t="s">
        <v>2646</v>
      </c>
    </row>
    <row r="902" spans="1:36" ht="13.5" hidden="1">
      <c r="A902" s="296" t="s">
        <v>2143</v>
      </c>
      <c r="B902" s="427" t="s">
        <v>2648</v>
      </c>
      <c r="C902" s="433" t="s">
        <v>3262</v>
      </c>
      <c r="D902" s="433" t="s">
        <v>2835</v>
      </c>
      <c r="E902" s="433" t="s">
        <v>2654</v>
      </c>
      <c r="F902" s="433" t="s">
        <v>2654</v>
      </c>
      <c r="G902" s="433" t="s">
        <v>2654</v>
      </c>
      <c r="H902" s="433" t="s">
        <v>2654</v>
      </c>
      <c r="I902" s="433" t="s">
        <v>2654</v>
      </c>
      <c r="J902" s="433" t="s">
        <v>2654</v>
      </c>
      <c r="K902" s="433" t="s">
        <v>2654</v>
      </c>
      <c r="L902" s="433" t="s">
        <v>2654</v>
      </c>
      <c r="M902" s="433" t="s">
        <v>2654</v>
      </c>
      <c r="N902" s="433" t="s">
        <v>2654</v>
      </c>
      <c r="O902" s="433" t="s">
        <v>2654</v>
      </c>
      <c r="P902" s="433" t="s">
        <v>4059</v>
      </c>
      <c r="Q902" s="431"/>
      <c r="R902" s="431"/>
      <c r="S902" s="426" t="s">
        <v>3194</v>
      </c>
      <c r="T902" s="426" t="s">
        <v>2646</v>
      </c>
      <c r="U902" s="426" t="s">
        <v>3109</v>
      </c>
      <c r="V902" s="426" t="s">
        <v>3109</v>
      </c>
      <c r="W902" s="426" t="s">
        <v>2646</v>
      </c>
      <c r="X902" s="426" t="s">
        <v>2646</v>
      </c>
      <c r="Y902" s="426" t="s">
        <v>3504</v>
      </c>
      <c r="Z902" s="426" t="s">
        <v>2646</v>
      </c>
      <c r="AA902" s="426" t="s">
        <v>2646</v>
      </c>
      <c r="AB902" s="426" t="s">
        <v>2646</v>
      </c>
      <c r="AC902" s="426" t="s">
        <v>2646</v>
      </c>
      <c r="AD902" s="426" t="s">
        <v>2646</v>
      </c>
      <c r="AE902" s="426" t="s">
        <v>2646</v>
      </c>
      <c r="AF902" s="426" t="s">
        <v>2646</v>
      </c>
      <c r="AG902" s="426" t="s">
        <v>2646</v>
      </c>
      <c r="AH902" s="426" t="s">
        <v>2646</v>
      </c>
      <c r="AI902" s="426" t="s">
        <v>2646</v>
      </c>
      <c r="AJ902" s="68" t="s">
        <v>2646</v>
      </c>
    </row>
    <row r="903" spans="1:36" ht="13.5" hidden="1">
      <c r="A903" s="296" t="s">
        <v>2144</v>
      </c>
      <c r="B903" s="427" t="s">
        <v>2649</v>
      </c>
      <c r="C903" s="433" t="s">
        <v>2721</v>
      </c>
      <c r="D903" s="433" t="s">
        <v>2777</v>
      </c>
      <c r="E903" s="433" t="s">
        <v>2654</v>
      </c>
      <c r="F903" s="433" t="s">
        <v>2654</v>
      </c>
      <c r="G903" s="433" t="s">
        <v>2654</v>
      </c>
      <c r="H903" s="433" t="s">
        <v>2654</v>
      </c>
      <c r="I903" s="433" t="s">
        <v>2654</v>
      </c>
      <c r="J903" s="433" t="s">
        <v>2654</v>
      </c>
      <c r="K903" s="433" t="s">
        <v>2654</v>
      </c>
      <c r="L903" s="433" t="s">
        <v>2654</v>
      </c>
      <c r="M903" s="433" t="s">
        <v>2654</v>
      </c>
      <c r="N903" s="433" t="s">
        <v>2654</v>
      </c>
      <c r="O903" s="433" t="s">
        <v>2654</v>
      </c>
      <c r="P903" s="433" t="s">
        <v>4080</v>
      </c>
      <c r="Q903" s="431"/>
      <c r="R903" s="431"/>
      <c r="S903" s="426" t="s">
        <v>2768</v>
      </c>
      <c r="T903" s="426" t="s">
        <v>2657</v>
      </c>
      <c r="U903" s="426" t="s">
        <v>2657</v>
      </c>
      <c r="V903" s="426" t="s">
        <v>2657</v>
      </c>
      <c r="W903" s="426" t="s">
        <v>2646</v>
      </c>
      <c r="X903" s="426" t="s">
        <v>2646</v>
      </c>
      <c r="Y903" s="426" t="s">
        <v>3504</v>
      </c>
      <c r="Z903" s="426" t="s">
        <v>2646</v>
      </c>
      <c r="AA903" s="426" t="s">
        <v>2646</v>
      </c>
      <c r="AB903" s="426" t="s">
        <v>2646</v>
      </c>
      <c r="AC903" s="426" t="s">
        <v>2646</v>
      </c>
      <c r="AD903" s="426" t="s">
        <v>2646</v>
      </c>
      <c r="AE903" s="426" t="s">
        <v>2646</v>
      </c>
      <c r="AF903" s="426" t="s">
        <v>2646</v>
      </c>
      <c r="AG903" s="426" t="s">
        <v>2646</v>
      </c>
      <c r="AH903" s="426" t="s">
        <v>2646</v>
      </c>
      <c r="AI903" s="426" t="s">
        <v>2646</v>
      </c>
      <c r="AJ903" s="68" t="s">
        <v>2646</v>
      </c>
    </row>
    <row r="904" spans="1:36" ht="13.5" hidden="1">
      <c r="A904" s="296" t="s">
        <v>2145</v>
      </c>
      <c r="B904" s="427" t="s">
        <v>2650</v>
      </c>
      <c r="C904" s="433" t="s">
        <v>3042</v>
      </c>
      <c r="D904" s="433" t="s">
        <v>2676</v>
      </c>
      <c r="E904" s="433" t="s">
        <v>2654</v>
      </c>
      <c r="F904" s="433" t="s">
        <v>2654</v>
      </c>
      <c r="G904" s="433" t="s">
        <v>2654</v>
      </c>
      <c r="H904" s="433" t="s">
        <v>2654</v>
      </c>
      <c r="I904" s="433" t="s">
        <v>2654</v>
      </c>
      <c r="J904" s="433" t="s">
        <v>2654</v>
      </c>
      <c r="K904" s="433" t="s">
        <v>2654</v>
      </c>
      <c r="L904" s="433" t="s">
        <v>2654</v>
      </c>
      <c r="M904" s="433" t="s">
        <v>2654</v>
      </c>
      <c r="N904" s="433" t="s">
        <v>2654</v>
      </c>
      <c r="O904" s="433" t="s">
        <v>2654</v>
      </c>
      <c r="P904" s="433" t="s">
        <v>4080</v>
      </c>
      <c r="Q904" s="431"/>
      <c r="R904" s="431"/>
      <c r="S904" s="426" t="s">
        <v>2778</v>
      </c>
      <c r="T904" s="426" t="s">
        <v>2646</v>
      </c>
      <c r="U904" s="426" t="s">
        <v>2646</v>
      </c>
      <c r="V904" s="426" t="s">
        <v>2646</v>
      </c>
      <c r="W904" s="426" t="s">
        <v>2646</v>
      </c>
      <c r="X904" s="426" t="s">
        <v>2646</v>
      </c>
      <c r="Y904" s="426" t="s">
        <v>3504</v>
      </c>
      <c r="Z904" s="426" t="s">
        <v>2646</v>
      </c>
      <c r="AA904" s="426" t="s">
        <v>2646</v>
      </c>
      <c r="AB904" s="426" t="s">
        <v>2646</v>
      </c>
      <c r="AC904" s="426" t="s">
        <v>2646</v>
      </c>
      <c r="AD904" s="426" t="s">
        <v>2646</v>
      </c>
      <c r="AE904" s="426" t="s">
        <v>2646</v>
      </c>
      <c r="AF904" s="426" t="s">
        <v>2646</v>
      </c>
      <c r="AG904" s="426" t="s">
        <v>2646</v>
      </c>
      <c r="AH904" s="426" t="s">
        <v>2646</v>
      </c>
      <c r="AI904" s="426" t="s">
        <v>2646</v>
      </c>
      <c r="AJ904" s="68" t="s">
        <v>2646</v>
      </c>
    </row>
    <row r="905" spans="1:36" ht="13.5" hidden="1">
      <c r="A905" s="296" t="s">
        <v>2146</v>
      </c>
      <c r="B905" s="427" t="s">
        <v>2651</v>
      </c>
      <c r="C905" s="433" t="s">
        <v>3725</v>
      </c>
      <c r="D905" s="433" t="s">
        <v>2777</v>
      </c>
      <c r="E905" s="433" t="s">
        <v>2654</v>
      </c>
      <c r="F905" s="433" t="s">
        <v>2654</v>
      </c>
      <c r="G905" s="433" t="s">
        <v>2654</v>
      </c>
      <c r="H905" s="433" t="s">
        <v>2654</v>
      </c>
      <c r="I905" s="433" t="s">
        <v>2654</v>
      </c>
      <c r="J905" s="433" t="s">
        <v>2654</v>
      </c>
      <c r="K905" s="433" t="s">
        <v>2654</v>
      </c>
      <c r="L905" s="433" t="s">
        <v>2654</v>
      </c>
      <c r="M905" s="433" t="s">
        <v>2654</v>
      </c>
      <c r="N905" s="433" t="s">
        <v>2654</v>
      </c>
      <c r="O905" s="433" t="s">
        <v>2654</v>
      </c>
      <c r="P905" s="433" t="s">
        <v>4080</v>
      </c>
      <c r="Q905" s="431"/>
      <c r="R905" s="431"/>
      <c r="S905" s="426" t="s">
        <v>2655</v>
      </c>
      <c r="T905" s="426" t="s">
        <v>2646</v>
      </c>
      <c r="U905" s="426" t="s">
        <v>2657</v>
      </c>
      <c r="V905" s="426" t="s">
        <v>2657</v>
      </c>
      <c r="W905" s="426" t="s">
        <v>2646</v>
      </c>
      <c r="X905" s="426" t="s">
        <v>2646</v>
      </c>
      <c r="Y905" s="426" t="s">
        <v>3504</v>
      </c>
      <c r="Z905" s="426" t="s">
        <v>2646</v>
      </c>
      <c r="AA905" s="426" t="s">
        <v>2646</v>
      </c>
      <c r="AB905" s="426" t="s">
        <v>2646</v>
      </c>
      <c r="AC905" s="426" t="s">
        <v>2646</v>
      </c>
      <c r="AD905" s="426" t="s">
        <v>2646</v>
      </c>
      <c r="AE905" s="426" t="s">
        <v>2646</v>
      </c>
      <c r="AF905" s="426" t="s">
        <v>2646</v>
      </c>
      <c r="AG905" s="426" t="s">
        <v>2646</v>
      </c>
      <c r="AH905" s="426" t="s">
        <v>2646</v>
      </c>
      <c r="AI905" s="426" t="s">
        <v>2646</v>
      </c>
      <c r="AJ905" s="68" t="s">
        <v>2646</v>
      </c>
    </row>
    <row r="906" spans="1:36" ht="13.5">
      <c r="A906" s="296" t="s">
        <v>2146</v>
      </c>
      <c r="B906" s="427" t="s">
        <v>48</v>
      </c>
      <c r="C906" s="433" t="s">
        <v>4519</v>
      </c>
      <c r="D906" s="433" t="s">
        <v>3255</v>
      </c>
      <c r="E906" s="433" t="s">
        <v>2654</v>
      </c>
      <c r="F906" s="433" t="s">
        <v>2654</v>
      </c>
      <c r="G906" s="433" t="s">
        <v>2654</v>
      </c>
      <c r="H906" s="433" t="s">
        <v>2654</v>
      </c>
      <c r="I906" s="433" t="s">
        <v>2654</v>
      </c>
      <c r="J906" s="433" t="s">
        <v>2654</v>
      </c>
      <c r="K906" s="433" t="s">
        <v>2654</v>
      </c>
      <c r="L906" s="433" t="s">
        <v>2654</v>
      </c>
      <c r="M906" s="433" t="s">
        <v>2654</v>
      </c>
      <c r="N906" s="433" t="s">
        <v>2654</v>
      </c>
      <c r="O906" s="433" t="s">
        <v>2654</v>
      </c>
      <c r="P906" s="433" t="s">
        <v>2746</v>
      </c>
      <c r="Q906" s="433" t="s">
        <v>2654</v>
      </c>
      <c r="R906" s="433" t="s">
        <v>2654</v>
      </c>
      <c r="S906" s="426"/>
      <c r="T906" s="426"/>
      <c r="U906" s="426"/>
      <c r="V906" s="426"/>
      <c r="W906" s="426"/>
      <c r="X906" s="426"/>
      <c r="Y906" s="426"/>
      <c r="Z906" s="426"/>
      <c r="AA906" s="426"/>
      <c r="AB906" s="426"/>
      <c r="AC906" s="426"/>
      <c r="AD906" s="426"/>
      <c r="AE906" s="426"/>
      <c r="AF906" s="426"/>
      <c r="AG906" s="426"/>
      <c r="AH906" s="426"/>
      <c r="AI906" s="426"/>
    </row>
    <row r="907" spans="1:36" ht="13.5" hidden="1">
      <c r="A907" s="296" t="s">
        <v>2147</v>
      </c>
      <c r="B907" s="427" t="s">
        <v>2647</v>
      </c>
      <c r="C907" s="433" t="s">
        <v>2684</v>
      </c>
      <c r="D907" s="433" t="s">
        <v>2833</v>
      </c>
      <c r="E907" s="433" t="s">
        <v>2654</v>
      </c>
      <c r="F907" s="433" t="s">
        <v>2654</v>
      </c>
      <c r="G907" s="433" t="s">
        <v>2654</v>
      </c>
      <c r="H907" s="433" t="s">
        <v>2654</v>
      </c>
      <c r="I907" s="433" t="s">
        <v>2654</v>
      </c>
      <c r="J907" s="433" t="s">
        <v>2654</v>
      </c>
      <c r="K907" s="433" t="s">
        <v>2654</v>
      </c>
      <c r="L907" s="433" t="s">
        <v>2654</v>
      </c>
      <c r="M907" s="433" t="s">
        <v>2654</v>
      </c>
      <c r="N907" s="433" t="s">
        <v>2654</v>
      </c>
      <c r="O907" s="433" t="s">
        <v>2654</v>
      </c>
      <c r="P907" s="433" t="s">
        <v>4059</v>
      </c>
      <c r="Q907" s="431"/>
      <c r="R907" s="431"/>
      <c r="S907" s="426" t="s">
        <v>2673</v>
      </c>
      <c r="T907" s="426" t="s">
        <v>2778</v>
      </c>
      <c r="U907" s="426" t="s">
        <v>2657</v>
      </c>
      <c r="V907" s="426" t="s">
        <v>2657</v>
      </c>
      <c r="W907" s="426" t="s">
        <v>3309</v>
      </c>
      <c r="X907" s="426" t="s">
        <v>3577</v>
      </c>
      <c r="Y907" s="426" t="s">
        <v>3487</v>
      </c>
      <c r="Z907" s="426" t="s">
        <v>2646</v>
      </c>
      <c r="AA907" s="426" t="s">
        <v>2646</v>
      </c>
      <c r="AB907" s="426" t="s">
        <v>2646</v>
      </c>
      <c r="AC907" s="426" t="s">
        <v>2646</v>
      </c>
      <c r="AD907" s="426" t="s">
        <v>2646</v>
      </c>
      <c r="AE907" s="426" t="s">
        <v>2646</v>
      </c>
      <c r="AF907" s="426" t="s">
        <v>2646</v>
      </c>
      <c r="AG907" s="426" t="s">
        <v>2646</v>
      </c>
      <c r="AH907" s="426" t="s">
        <v>2646</v>
      </c>
      <c r="AI907" s="426" t="s">
        <v>2646</v>
      </c>
      <c r="AJ907" s="68" t="s">
        <v>2646</v>
      </c>
    </row>
    <row r="908" spans="1:36" ht="13.5" hidden="1">
      <c r="A908" s="296" t="s">
        <v>2148</v>
      </c>
      <c r="B908" s="427" t="s">
        <v>2648</v>
      </c>
      <c r="C908" s="433" t="s">
        <v>3060</v>
      </c>
      <c r="D908" s="433" t="s">
        <v>3233</v>
      </c>
      <c r="E908" s="433" t="s">
        <v>2654</v>
      </c>
      <c r="F908" s="433" t="s">
        <v>2654</v>
      </c>
      <c r="G908" s="433" t="s">
        <v>2654</v>
      </c>
      <c r="H908" s="433" t="s">
        <v>2654</v>
      </c>
      <c r="I908" s="433" t="s">
        <v>2654</v>
      </c>
      <c r="J908" s="433" t="s">
        <v>2654</v>
      </c>
      <c r="K908" s="433" t="s">
        <v>2654</v>
      </c>
      <c r="L908" s="433" t="s">
        <v>2654</v>
      </c>
      <c r="M908" s="433" t="s">
        <v>2654</v>
      </c>
      <c r="N908" s="433" t="s">
        <v>2654</v>
      </c>
      <c r="O908" s="433" t="s">
        <v>2654</v>
      </c>
      <c r="P908" s="433" t="s">
        <v>2651</v>
      </c>
      <c r="Q908" s="431"/>
      <c r="R908" s="431"/>
      <c r="S908" s="426" t="s">
        <v>2844</v>
      </c>
      <c r="T908" s="426" t="s">
        <v>2657</v>
      </c>
      <c r="U908" s="426" t="s">
        <v>2657</v>
      </c>
      <c r="V908" s="426" t="s">
        <v>2657</v>
      </c>
      <c r="W908" s="426" t="s">
        <v>3309</v>
      </c>
      <c r="X908" s="426" t="s">
        <v>3577</v>
      </c>
      <c r="Y908" s="426" t="s">
        <v>3487</v>
      </c>
      <c r="Z908" s="426" t="s">
        <v>2646</v>
      </c>
      <c r="AA908" s="426" t="s">
        <v>2646</v>
      </c>
      <c r="AB908" s="426" t="s">
        <v>2646</v>
      </c>
      <c r="AC908" s="426" t="s">
        <v>2646</v>
      </c>
      <c r="AD908" s="426" t="s">
        <v>2646</v>
      </c>
      <c r="AE908" s="426" t="s">
        <v>2646</v>
      </c>
      <c r="AF908" s="426" t="s">
        <v>2646</v>
      </c>
      <c r="AG908" s="426" t="s">
        <v>2646</v>
      </c>
      <c r="AH908" s="426" t="s">
        <v>2646</v>
      </c>
      <c r="AI908" s="426" t="s">
        <v>2646</v>
      </c>
      <c r="AJ908" s="68" t="s">
        <v>2646</v>
      </c>
    </row>
    <row r="909" spans="1:36" ht="13.5" hidden="1">
      <c r="A909" s="296" t="s">
        <v>2149</v>
      </c>
      <c r="B909" s="427" t="s">
        <v>2649</v>
      </c>
      <c r="C909" s="433" t="s">
        <v>4339</v>
      </c>
      <c r="D909" s="433" t="s">
        <v>2720</v>
      </c>
      <c r="E909" s="433" t="s">
        <v>2654</v>
      </c>
      <c r="F909" s="433" t="s">
        <v>2654</v>
      </c>
      <c r="G909" s="433" t="s">
        <v>2654</v>
      </c>
      <c r="H909" s="433" t="s">
        <v>2654</v>
      </c>
      <c r="I909" s="433" t="s">
        <v>2654</v>
      </c>
      <c r="J909" s="433" t="s">
        <v>2654</v>
      </c>
      <c r="K909" s="433" t="s">
        <v>2654</v>
      </c>
      <c r="L909" s="433" t="s">
        <v>2654</v>
      </c>
      <c r="M909" s="433" t="s">
        <v>2654</v>
      </c>
      <c r="N909" s="433" t="s">
        <v>2654</v>
      </c>
      <c r="O909" s="433" t="s">
        <v>2654</v>
      </c>
      <c r="P909" s="433" t="s">
        <v>4083</v>
      </c>
      <c r="Q909" s="431"/>
      <c r="R909" s="431"/>
      <c r="S909" s="426" t="s">
        <v>2664</v>
      </c>
      <c r="T909" s="426" t="s">
        <v>3143</v>
      </c>
      <c r="U909" s="426" t="s">
        <v>3142</v>
      </c>
      <c r="V909" s="426" t="s">
        <v>3142</v>
      </c>
      <c r="W909" s="426" t="s">
        <v>3309</v>
      </c>
      <c r="X909" s="426" t="s">
        <v>3577</v>
      </c>
      <c r="Y909" s="426" t="s">
        <v>3487</v>
      </c>
      <c r="Z909" s="426" t="s">
        <v>2646</v>
      </c>
      <c r="AA909" s="426" t="s">
        <v>2646</v>
      </c>
      <c r="AB909" s="426" t="s">
        <v>2646</v>
      </c>
      <c r="AC909" s="426" t="s">
        <v>2646</v>
      </c>
      <c r="AD909" s="426" t="s">
        <v>2646</v>
      </c>
      <c r="AE909" s="426" t="s">
        <v>2646</v>
      </c>
      <c r="AF909" s="426" t="s">
        <v>2646</v>
      </c>
      <c r="AG909" s="426" t="s">
        <v>2646</v>
      </c>
      <c r="AH909" s="426" t="s">
        <v>2646</v>
      </c>
      <c r="AI909" s="426" t="s">
        <v>2646</v>
      </c>
      <c r="AJ909" s="68" t="s">
        <v>2646</v>
      </c>
    </row>
    <row r="910" spans="1:36" ht="13.5" hidden="1">
      <c r="A910" s="296" t="s">
        <v>2150</v>
      </c>
      <c r="B910" s="427" t="s">
        <v>2650</v>
      </c>
      <c r="C910" s="433" t="s">
        <v>4627</v>
      </c>
      <c r="D910" s="433" t="s">
        <v>3233</v>
      </c>
      <c r="E910" s="433" t="s">
        <v>2654</v>
      </c>
      <c r="F910" s="433" t="s">
        <v>2654</v>
      </c>
      <c r="G910" s="433" t="s">
        <v>2654</v>
      </c>
      <c r="H910" s="433" t="s">
        <v>2654</v>
      </c>
      <c r="I910" s="433" t="s">
        <v>2654</v>
      </c>
      <c r="J910" s="433" t="s">
        <v>2654</v>
      </c>
      <c r="K910" s="433" t="s">
        <v>2654</v>
      </c>
      <c r="L910" s="433" t="s">
        <v>2654</v>
      </c>
      <c r="M910" s="433" t="s">
        <v>2654</v>
      </c>
      <c r="N910" s="433" t="s">
        <v>2654</v>
      </c>
      <c r="O910" s="433" t="s">
        <v>2654</v>
      </c>
      <c r="P910" s="433" t="s">
        <v>4078</v>
      </c>
      <c r="Q910" s="431"/>
      <c r="R910" s="431"/>
      <c r="S910" s="426" t="s">
        <v>2778</v>
      </c>
      <c r="T910" s="426" t="s">
        <v>2892</v>
      </c>
      <c r="U910" s="426" t="s">
        <v>2657</v>
      </c>
      <c r="V910" s="426" t="s">
        <v>2657</v>
      </c>
      <c r="W910" s="426" t="s">
        <v>3309</v>
      </c>
      <c r="X910" s="426" t="s">
        <v>3577</v>
      </c>
      <c r="Y910" s="426" t="s">
        <v>3487</v>
      </c>
      <c r="Z910" s="426" t="s">
        <v>2646</v>
      </c>
      <c r="AA910" s="426" t="s">
        <v>2646</v>
      </c>
      <c r="AB910" s="426" t="s">
        <v>2646</v>
      </c>
      <c r="AC910" s="426" t="s">
        <v>2646</v>
      </c>
      <c r="AD910" s="426" t="s">
        <v>2646</v>
      </c>
      <c r="AE910" s="426" t="s">
        <v>2646</v>
      </c>
      <c r="AF910" s="426" t="s">
        <v>2646</v>
      </c>
      <c r="AG910" s="426" t="s">
        <v>2646</v>
      </c>
      <c r="AH910" s="426" t="s">
        <v>2646</v>
      </c>
      <c r="AI910" s="426" t="s">
        <v>2646</v>
      </c>
      <c r="AJ910" s="68" t="s">
        <v>2646</v>
      </c>
    </row>
    <row r="911" spans="1:36" ht="13.5" hidden="1">
      <c r="A911" s="296" t="s">
        <v>2151</v>
      </c>
      <c r="B911" s="427" t="s">
        <v>2651</v>
      </c>
      <c r="C911" s="433" t="s">
        <v>4178</v>
      </c>
      <c r="D911" s="433" t="s">
        <v>2720</v>
      </c>
      <c r="E911" s="433" t="s">
        <v>2654</v>
      </c>
      <c r="F911" s="433" t="s">
        <v>2654</v>
      </c>
      <c r="G911" s="433" t="s">
        <v>2654</v>
      </c>
      <c r="H911" s="433" t="s">
        <v>2654</v>
      </c>
      <c r="I911" s="433" t="s">
        <v>2654</v>
      </c>
      <c r="J911" s="433" t="s">
        <v>2654</v>
      </c>
      <c r="K911" s="433" t="s">
        <v>2654</v>
      </c>
      <c r="L911" s="433" t="s">
        <v>2654</v>
      </c>
      <c r="M911" s="433" t="s">
        <v>2654</v>
      </c>
      <c r="N911" s="433" t="s">
        <v>2654</v>
      </c>
      <c r="O911" s="433" t="s">
        <v>2654</v>
      </c>
      <c r="P911" s="433" t="s">
        <v>4061</v>
      </c>
      <c r="Q911" s="431"/>
      <c r="R911" s="431"/>
      <c r="S911" s="426" t="s">
        <v>3339</v>
      </c>
      <c r="T911" s="426" t="s">
        <v>2646</v>
      </c>
      <c r="U911" s="426" t="s">
        <v>3276</v>
      </c>
      <c r="V911" s="426" t="s">
        <v>3276</v>
      </c>
      <c r="W911" s="426" t="s">
        <v>3296</v>
      </c>
      <c r="X911" s="426" t="s">
        <v>3577</v>
      </c>
      <c r="Y911" s="426" t="s">
        <v>2672</v>
      </c>
      <c r="Z911" s="426" t="s">
        <v>2646</v>
      </c>
      <c r="AA911" s="426" t="s">
        <v>2646</v>
      </c>
      <c r="AB911" s="426" t="s">
        <v>2646</v>
      </c>
      <c r="AC911" s="426" t="s">
        <v>2646</v>
      </c>
      <c r="AD911" s="426" t="s">
        <v>2646</v>
      </c>
      <c r="AE911" s="426" t="s">
        <v>2646</v>
      </c>
      <c r="AF911" s="426" t="s">
        <v>2646</v>
      </c>
      <c r="AG911" s="426" t="s">
        <v>2646</v>
      </c>
      <c r="AH911" s="426" t="s">
        <v>2646</v>
      </c>
      <c r="AI911" s="426" t="s">
        <v>2646</v>
      </c>
      <c r="AJ911" s="68" t="s">
        <v>2646</v>
      </c>
    </row>
    <row r="912" spans="1:36" ht="13.5">
      <c r="A912" s="296" t="s">
        <v>2151</v>
      </c>
      <c r="B912" s="427" t="s">
        <v>48</v>
      </c>
      <c r="C912" s="433" t="s">
        <v>4628</v>
      </c>
      <c r="D912" s="433" t="s">
        <v>3771</v>
      </c>
      <c r="E912" s="433" t="s">
        <v>2654</v>
      </c>
      <c r="F912" s="433" t="s">
        <v>2654</v>
      </c>
      <c r="G912" s="433" t="s">
        <v>2654</v>
      </c>
      <c r="H912" s="433" t="s">
        <v>2654</v>
      </c>
      <c r="I912" s="433" t="s">
        <v>2654</v>
      </c>
      <c r="J912" s="433" t="s">
        <v>2654</v>
      </c>
      <c r="K912" s="433" t="s">
        <v>2654</v>
      </c>
      <c r="L912" s="433" t="s">
        <v>2654</v>
      </c>
      <c r="M912" s="433" t="s">
        <v>2654</v>
      </c>
      <c r="N912" s="433" t="s">
        <v>2654</v>
      </c>
      <c r="O912" s="433" t="s">
        <v>2654</v>
      </c>
      <c r="P912" s="433" t="s">
        <v>2677</v>
      </c>
      <c r="Q912" s="433" t="s">
        <v>2654</v>
      </c>
      <c r="R912" s="433" t="s">
        <v>2654</v>
      </c>
      <c r="S912" s="426"/>
      <c r="T912" s="426"/>
      <c r="U912" s="426"/>
      <c r="V912" s="426"/>
      <c r="W912" s="426"/>
      <c r="X912" s="426"/>
      <c r="Y912" s="426"/>
      <c r="Z912" s="426"/>
      <c r="AA912" s="426"/>
      <c r="AB912" s="426"/>
      <c r="AC912" s="426"/>
      <c r="AD912" s="426"/>
      <c r="AE912" s="426"/>
      <c r="AF912" s="426"/>
      <c r="AG912" s="426"/>
      <c r="AH912" s="426"/>
      <c r="AI912" s="426"/>
    </row>
    <row r="913" spans="1:36" ht="13.5" hidden="1">
      <c r="A913" s="296" t="s">
        <v>2152</v>
      </c>
      <c r="B913" s="427" t="s">
        <v>2647</v>
      </c>
      <c r="C913" s="433" t="s">
        <v>3092</v>
      </c>
      <c r="D913" s="433" t="s">
        <v>3539</v>
      </c>
      <c r="E913" s="433" t="s">
        <v>2654</v>
      </c>
      <c r="F913" s="433" t="s">
        <v>2654</v>
      </c>
      <c r="G913" s="433" t="s">
        <v>2654</v>
      </c>
      <c r="H913" s="433" t="s">
        <v>2654</v>
      </c>
      <c r="I913" s="433" t="s">
        <v>2654</v>
      </c>
      <c r="J913" s="433" t="s">
        <v>2654</v>
      </c>
      <c r="K913" s="433" t="s">
        <v>2654</v>
      </c>
      <c r="L913" s="433" t="s">
        <v>2654</v>
      </c>
      <c r="M913" s="433" t="s">
        <v>2654</v>
      </c>
      <c r="N913" s="433" t="s">
        <v>2654</v>
      </c>
      <c r="O913" s="433" t="s">
        <v>2654</v>
      </c>
      <c r="P913" s="433" t="s">
        <v>4059</v>
      </c>
      <c r="Q913" s="431"/>
      <c r="R913" s="431"/>
      <c r="S913" s="426" t="s">
        <v>2796</v>
      </c>
      <c r="T913" s="426" t="s">
        <v>3528</v>
      </c>
      <c r="U913" s="426" t="s">
        <v>3598</v>
      </c>
      <c r="V913" s="426" t="s">
        <v>3598</v>
      </c>
      <c r="W913" s="426" t="s">
        <v>3309</v>
      </c>
      <c r="X913" s="426" t="s">
        <v>3560</v>
      </c>
      <c r="Y913" s="426" t="s">
        <v>2806</v>
      </c>
      <c r="Z913" s="426" t="s">
        <v>3574</v>
      </c>
      <c r="AA913" s="426" t="s">
        <v>3510</v>
      </c>
      <c r="AB913" s="426" t="s">
        <v>2646</v>
      </c>
      <c r="AC913" s="426" t="s">
        <v>2646</v>
      </c>
      <c r="AD913" s="426" t="s">
        <v>2646</v>
      </c>
      <c r="AE913" s="426" t="s">
        <v>2646</v>
      </c>
      <c r="AF913" s="426" t="s">
        <v>2646</v>
      </c>
      <c r="AG913" s="426" t="s">
        <v>2646</v>
      </c>
      <c r="AH913" s="426" t="s">
        <v>2646</v>
      </c>
      <c r="AI913" s="426" t="s">
        <v>2646</v>
      </c>
      <c r="AJ913" s="68" t="s">
        <v>2646</v>
      </c>
    </row>
    <row r="914" spans="1:36" ht="13.5" hidden="1">
      <c r="A914" s="296" t="s">
        <v>2153</v>
      </c>
      <c r="B914" s="427" t="s">
        <v>2648</v>
      </c>
      <c r="C914" s="433" t="s">
        <v>3858</v>
      </c>
      <c r="D914" s="433" t="s">
        <v>3247</v>
      </c>
      <c r="E914" s="433" t="s">
        <v>2654</v>
      </c>
      <c r="F914" s="433" t="s">
        <v>2654</v>
      </c>
      <c r="G914" s="433" t="s">
        <v>2654</v>
      </c>
      <c r="H914" s="433" t="s">
        <v>2654</v>
      </c>
      <c r="I914" s="433" t="s">
        <v>2654</v>
      </c>
      <c r="J914" s="433" t="s">
        <v>2654</v>
      </c>
      <c r="K914" s="433" t="s">
        <v>2654</v>
      </c>
      <c r="L914" s="433" t="s">
        <v>2654</v>
      </c>
      <c r="M914" s="433" t="s">
        <v>2654</v>
      </c>
      <c r="N914" s="433" t="s">
        <v>2654</v>
      </c>
      <c r="O914" s="433" t="s">
        <v>2654</v>
      </c>
      <c r="P914" s="433" t="s">
        <v>4080</v>
      </c>
      <c r="Q914" s="431"/>
      <c r="R914" s="431"/>
      <c r="S914" s="426" t="s">
        <v>3194</v>
      </c>
      <c r="T914" s="426" t="s">
        <v>2657</v>
      </c>
      <c r="U914" s="426" t="s">
        <v>2657</v>
      </c>
      <c r="V914" s="426" t="s">
        <v>2657</v>
      </c>
      <c r="W914" s="426" t="s">
        <v>3309</v>
      </c>
      <c r="X914" s="426" t="s">
        <v>3560</v>
      </c>
      <c r="Y914" s="426" t="s">
        <v>2806</v>
      </c>
      <c r="Z914" s="426" t="s">
        <v>3398</v>
      </c>
      <c r="AA914" s="426" t="s">
        <v>3510</v>
      </c>
      <c r="AB914" s="426" t="s">
        <v>2646</v>
      </c>
      <c r="AC914" s="426" t="s">
        <v>2646</v>
      </c>
      <c r="AD914" s="426" t="s">
        <v>2646</v>
      </c>
      <c r="AE914" s="426" t="s">
        <v>2646</v>
      </c>
      <c r="AF914" s="426" t="s">
        <v>2646</v>
      </c>
      <c r="AG914" s="426" t="s">
        <v>2646</v>
      </c>
      <c r="AH914" s="426" t="s">
        <v>2646</v>
      </c>
      <c r="AI914" s="426" t="s">
        <v>2646</v>
      </c>
      <c r="AJ914" s="68" t="s">
        <v>2646</v>
      </c>
    </row>
    <row r="915" spans="1:36" ht="13.5" hidden="1">
      <c r="A915" s="296" t="s">
        <v>2154</v>
      </c>
      <c r="B915" s="427" t="s">
        <v>2649</v>
      </c>
      <c r="C915" s="433" t="s">
        <v>4629</v>
      </c>
      <c r="D915" s="433" t="s">
        <v>3539</v>
      </c>
      <c r="E915" s="433" t="s">
        <v>2654</v>
      </c>
      <c r="F915" s="433" t="s">
        <v>2654</v>
      </c>
      <c r="G915" s="433" t="s">
        <v>2654</v>
      </c>
      <c r="H915" s="433" t="s">
        <v>2654</v>
      </c>
      <c r="I915" s="433" t="s">
        <v>2654</v>
      </c>
      <c r="J915" s="433" t="s">
        <v>2654</v>
      </c>
      <c r="K915" s="433" t="s">
        <v>2654</v>
      </c>
      <c r="L915" s="433" t="s">
        <v>2654</v>
      </c>
      <c r="M915" s="433" t="s">
        <v>2654</v>
      </c>
      <c r="N915" s="433" t="s">
        <v>2654</v>
      </c>
      <c r="O915" s="433" t="s">
        <v>2654</v>
      </c>
      <c r="P915" s="433" t="s">
        <v>4083</v>
      </c>
      <c r="Q915" s="431"/>
      <c r="R915" s="431"/>
      <c r="S915" s="426" t="s">
        <v>2660</v>
      </c>
      <c r="T915" s="426" t="s">
        <v>2657</v>
      </c>
      <c r="U915" s="426" t="s">
        <v>2657</v>
      </c>
      <c r="V915" s="426" t="s">
        <v>2657</v>
      </c>
      <c r="W915" s="426" t="s">
        <v>2844</v>
      </c>
      <c r="X915" s="426" t="s">
        <v>3599</v>
      </c>
      <c r="Y915" s="426" t="s">
        <v>3571</v>
      </c>
      <c r="Z915" s="426" t="s">
        <v>3574</v>
      </c>
      <c r="AA915" s="426" t="s">
        <v>3349</v>
      </c>
      <c r="AB915" s="426" t="s">
        <v>2646</v>
      </c>
      <c r="AC915" s="426" t="s">
        <v>2646</v>
      </c>
      <c r="AD915" s="426" t="s">
        <v>2646</v>
      </c>
      <c r="AE915" s="426" t="s">
        <v>2646</v>
      </c>
      <c r="AF915" s="426" t="s">
        <v>2646</v>
      </c>
      <c r="AG915" s="426" t="s">
        <v>2646</v>
      </c>
      <c r="AH915" s="426" t="s">
        <v>2646</v>
      </c>
      <c r="AI915" s="426" t="s">
        <v>2646</v>
      </c>
      <c r="AJ915" s="68" t="s">
        <v>2646</v>
      </c>
    </row>
    <row r="916" spans="1:36" ht="13.5" hidden="1">
      <c r="A916" s="296" t="s">
        <v>2155</v>
      </c>
      <c r="B916" s="427" t="s">
        <v>2650</v>
      </c>
      <c r="C916" s="433" t="s">
        <v>3092</v>
      </c>
      <c r="D916" s="433" t="s">
        <v>3247</v>
      </c>
      <c r="E916" s="433" t="s">
        <v>2654</v>
      </c>
      <c r="F916" s="433" t="s">
        <v>2654</v>
      </c>
      <c r="G916" s="433" t="s">
        <v>2654</v>
      </c>
      <c r="H916" s="433" t="s">
        <v>2654</v>
      </c>
      <c r="I916" s="433" t="s">
        <v>2654</v>
      </c>
      <c r="J916" s="433" t="s">
        <v>2654</v>
      </c>
      <c r="K916" s="433" t="s">
        <v>2654</v>
      </c>
      <c r="L916" s="433" t="s">
        <v>2654</v>
      </c>
      <c r="M916" s="433" t="s">
        <v>2654</v>
      </c>
      <c r="N916" s="433" t="s">
        <v>2654</v>
      </c>
      <c r="O916" s="433" t="s">
        <v>2654</v>
      </c>
      <c r="P916" s="433" t="s">
        <v>4080</v>
      </c>
      <c r="Q916" s="431"/>
      <c r="R916" s="431"/>
      <c r="S916" s="426" t="s">
        <v>2778</v>
      </c>
      <c r="T916" s="426" t="s">
        <v>2657</v>
      </c>
      <c r="U916" s="426" t="s">
        <v>2657</v>
      </c>
      <c r="V916" s="426" t="s">
        <v>2657</v>
      </c>
      <c r="W916" s="426" t="s">
        <v>2844</v>
      </c>
      <c r="X916" s="426" t="s">
        <v>3599</v>
      </c>
      <c r="Y916" s="426" t="s">
        <v>3571</v>
      </c>
      <c r="Z916" s="426" t="s">
        <v>3574</v>
      </c>
      <c r="AA916" s="426" t="s">
        <v>3510</v>
      </c>
      <c r="AB916" s="426" t="s">
        <v>2646</v>
      </c>
      <c r="AC916" s="426" t="s">
        <v>2646</v>
      </c>
      <c r="AD916" s="426" t="s">
        <v>2646</v>
      </c>
      <c r="AE916" s="426" t="s">
        <v>2646</v>
      </c>
      <c r="AF916" s="426" t="s">
        <v>2646</v>
      </c>
      <c r="AG916" s="426" t="s">
        <v>2646</v>
      </c>
      <c r="AH916" s="426" t="s">
        <v>2646</v>
      </c>
      <c r="AI916" s="426" t="s">
        <v>2646</v>
      </c>
      <c r="AJ916" s="68" t="s">
        <v>2646</v>
      </c>
    </row>
    <row r="917" spans="1:36" ht="13.5" hidden="1">
      <c r="A917" s="296" t="s">
        <v>2156</v>
      </c>
      <c r="B917" s="427" t="s">
        <v>2651</v>
      </c>
      <c r="C917" s="433" t="s">
        <v>3676</v>
      </c>
      <c r="D917" s="433" t="s">
        <v>3049</v>
      </c>
      <c r="E917" s="433" t="s">
        <v>2654</v>
      </c>
      <c r="F917" s="433" t="s">
        <v>2654</v>
      </c>
      <c r="G917" s="433" t="s">
        <v>2654</v>
      </c>
      <c r="H917" s="433" t="s">
        <v>2654</v>
      </c>
      <c r="I917" s="433" t="s">
        <v>2654</v>
      </c>
      <c r="J917" s="433" t="s">
        <v>2654</v>
      </c>
      <c r="K917" s="433" t="s">
        <v>2654</v>
      </c>
      <c r="L917" s="433" t="s">
        <v>2654</v>
      </c>
      <c r="M917" s="433" t="s">
        <v>2654</v>
      </c>
      <c r="N917" s="433" t="s">
        <v>2654</v>
      </c>
      <c r="O917" s="433" t="s">
        <v>2654</v>
      </c>
      <c r="P917" s="433" t="s">
        <v>4061</v>
      </c>
      <c r="Q917" s="431"/>
      <c r="R917" s="431"/>
      <c r="S917" s="426" t="s">
        <v>2665</v>
      </c>
      <c r="T917" s="426" t="s">
        <v>3194</v>
      </c>
      <c r="U917" s="426" t="s">
        <v>2660</v>
      </c>
      <c r="V917" s="426" t="s">
        <v>2660</v>
      </c>
      <c r="W917" s="426" t="s">
        <v>3309</v>
      </c>
      <c r="X917" s="426" t="s">
        <v>3560</v>
      </c>
      <c r="Y917" s="426" t="s">
        <v>2806</v>
      </c>
      <c r="Z917" s="426" t="s">
        <v>3398</v>
      </c>
      <c r="AA917" s="426" t="s">
        <v>3349</v>
      </c>
      <c r="AB917" s="426" t="s">
        <v>2646</v>
      </c>
      <c r="AC917" s="426" t="s">
        <v>2646</v>
      </c>
      <c r="AD917" s="426" t="s">
        <v>2646</v>
      </c>
      <c r="AE917" s="426" t="s">
        <v>2646</v>
      </c>
      <c r="AF917" s="426" t="s">
        <v>2646</v>
      </c>
      <c r="AG917" s="426" t="s">
        <v>2646</v>
      </c>
      <c r="AH917" s="426" t="s">
        <v>2646</v>
      </c>
      <c r="AI917" s="426" t="s">
        <v>2646</v>
      </c>
      <c r="AJ917" s="68" t="s">
        <v>2646</v>
      </c>
    </row>
    <row r="918" spans="1:36" ht="13.5">
      <c r="A918" s="296" t="s">
        <v>2156</v>
      </c>
      <c r="B918" s="427" t="s">
        <v>48</v>
      </c>
      <c r="C918" s="433" t="s">
        <v>3861</v>
      </c>
      <c r="D918" s="433" t="s">
        <v>3901</v>
      </c>
      <c r="E918" s="433" t="s">
        <v>2654</v>
      </c>
      <c r="F918" s="433" t="s">
        <v>2654</v>
      </c>
      <c r="G918" s="433" t="s">
        <v>2654</v>
      </c>
      <c r="H918" s="433" t="s">
        <v>2654</v>
      </c>
      <c r="I918" s="433" t="s">
        <v>2654</v>
      </c>
      <c r="J918" s="433" t="s">
        <v>2654</v>
      </c>
      <c r="K918" s="433" t="s">
        <v>2654</v>
      </c>
      <c r="L918" s="433" t="s">
        <v>2654</v>
      </c>
      <c r="M918" s="433" t="s">
        <v>2654</v>
      </c>
      <c r="N918" s="433" t="s">
        <v>2654</v>
      </c>
      <c r="O918" s="433" t="s">
        <v>2654</v>
      </c>
      <c r="P918" s="433" t="s">
        <v>3380</v>
      </c>
      <c r="Q918" s="433" t="s">
        <v>2654</v>
      </c>
      <c r="R918" s="433" t="s">
        <v>2654</v>
      </c>
      <c r="S918" s="426"/>
      <c r="T918" s="426"/>
      <c r="U918" s="426"/>
      <c r="V918" s="426"/>
      <c r="W918" s="426"/>
      <c r="X918" s="426"/>
      <c r="Y918" s="426"/>
      <c r="Z918" s="426"/>
      <c r="AA918" s="426"/>
      <c r="AB918" s="426"/>
      <c r="AC918" s="426"/>
      <c r="AD918" s="426"/>
      <c r="AE918" s="426"/>
      <c r="AF918" s="426"/>
      <c r="AG918" s="426"/>
      <c r="AH918" s="426"/>
      <c r="AI918" s="426"/>
    </row>
    <row r="919" spans="1:36" ht="13.5" hidden="1">
      <c r="A919" s="296" t="s">
        <v>2157</v>
      </c>
      <c r="B919" s="427" t="s">
        <v>2647</v>
      </c>
      <c r="C919" s="433" t="s">
        <v>3968</v>
      </c>
      <c r="D919" s="433" t="s">
        <v>3500</v>
      </c>
      <c r="E919" s="433" t="s">
        <v>2654</v>
      </c>
      <c r="F919" s="433" t="s">
        <v>2654</v>
      </c>
      <c r="G919" s="433" t="s">
        <v>2654</v>
      </c>
      <c r="H919" s="433" t="s">
        <v>2654</v>
      </c>
      <c r="I919" s="433" t="s">
        <v>2654</v>
      </c>
      <c r="J919" s="433" t="s">
        <v>2654</v>
      </c>
      <c r="K919" s="433" t="s">
        <v>2654</v>
      </c>
      <c r="L919" s="433" t="s">
        <v>2654</v>
      </c>
      <c r="M919" s="433" t="s">
        <v>2654</v>
      </c>
      <c r="N919" s="433" t="s">
        <v>2654</v>
      </c>
      <c r="O919" s="433" t="s">
        <v>2654</v>
      </c>
      <c r="P919" s="433" t="s">
        <v>4057</v>
      </c>
      <c r="Q919" s="431"/>
      <c r="R919" s="431"/>
      <c r="S919" s="426" t="s">
        <v>2655</v>
      </c>
      <c r="T919" s="426" t="s">
        <v>3601</v>
      </c>
      <c r="U919" s="426" t="s">
        <v>2657</v>
      </c>
      <c r="V919" s="426" t="s">
        <v>2657</v>
      </c>
      <c r="W919" s="426" t="s">
        <v>3296</v>
      </c>
      <c r="X919" s="426" t="s">
        <v>3595</v>
      </c>
      <c r="Y919" s="426" t="s">
        <v>2728</v>
      </c>
      <c r="Z919" s="426" t="s">
        <v>3574</v>
      </c>
      <c r="AA919" s="426" t="s">
        <v>3398</v>
      </c>
      <c r="AB919" s="426" t="s">
        <v>3510</v>
      </c>
      <c r="AC919" s="426" t="s">
        <v>3349</v>
      </c>
      <c r="AD919" s="426" t="s">
        <v>2646</v>
      </c>
      <c r="AE919" s="426" t="s">
        <v>2646</v>
      </c>
      <c r="AF919" s="426" t="s">
        <v>2646</v>
      </c>
      <c r="AG919" s="426" t="s">
        <v>2646</v>
      </c>
      <c r="AH919" s="426" t="s">
        <v>2646</v>
      </c>
      <c r="AI919" s="426" t="s">
        <v>2646</v>
      </c>
      <c r="AJ919" s="68" t="s">
        <v>2646</v>
      </c>
    </row>
    <row r="920" spans="1:36" ht="13.5" hidden="1">
      <c r="A920" s="296" t="s">
        <v>2158</v>
      </c>
      <c r="B920" s="427" t="s">
        <v>2648</v>
      </c>
      <c r="C920" s="433" t="s">
        <v>4173</v>
      </c>
      <c r="D920" s="433" t="s">
        <v>3409</v>
      </c>
      <c r="E920" s="433" t="s">
        <v>2654</v>
      </c>
      <c r="F920" s="433" t="s">
        <v>2654</v>
      </c>
      <c r="G920" s="433" t="s">
        <v>2654</v>
      </c>
      <c r="H920" s="433" t="s">
        <v>2654</v>
      </c>
      <c r="I920" s="433" t="s">
        <v>2654</v>
      </c>
      <c r="J920" s="433" t="s">
        <v>2654</v>
      </c>
      <c r="K920" s="433" t="s">
        <v>2654</v>
      </c>
      <c r="L920" s="433" t="s">
        <v>2654</v>
      </c>
      <c r="M920" s="433" t="s">
        <v>2654</v>
      </c>
      <c r="N920" s="433" t="s">
        <v>2654</v>
      </c>
      <c r="O920" s="433" t="s">
        <v>2654</v>
      </c>
      <c r="P920" s="433" t="s">
        <v>4059</v>
      </c>
      <c r="Q920" s="431"/>
      <c r="R920" s="431"/>
      <c r="S920" s="426" t="s">
        <v>2657</v>
      </c>
      <c r="T920" s="426" t="s">
        <v>2661</v>
      </c>
      <c r="U920" s="426" t="s">
        <v>2657</v>
      </c>
      <c r="V920" s="426" t="s">
        <v>2657</v>
      </c>
      <c r="W920" s="426" t="s">
        <v>3296</v>
      </c>
      <c r="X920" s="426" t="s">
        <v>3595</v>
      </c>
      <c r="Y920" s="426" t="s">
        <v>2728</v>
      </c>
      <c r="Z920" s="426" t="s">
        <v>3574</v>
      </c>
      <c r="AA920" s="426" t="s">
        <v>3510</v>
      </c>
      <c r="AB920" s="426" t="s">
        <v>3510</v>
      </c>
      <c r="AC920" s="426" t="s">
        <v>3285</v>
      </c>
      <c r="AD920" s="426" t="s">
        <v>2646</v>
      </c>
      <c r="AE920" s="426" t="s">
        <v>2646</v>
      </c>
      <c r="AF920" s="426" t="s">
        <v>2646</v>
      </c>
      <c r="AG920" s="426" t="s">
        <v>2646</v>
      </c>
      <c r="AH920" s="426" t="s">
        <v>2646</v>
      </c>
      <c r="AI920" s="426" t="s">
        <v>2646</v>
      </c>
      <c r="AJ920" s="68" t="s">
        <v>2646</v>
      </c>
    </row>
    <row r="921" spans="1:36" ht="13.5" hidden="1">
      <c r="A921" s="296" t="s">
        <v>2159</v>
      </c>
      <c r="B921" s="427" t="s">
        <v>2649</v>
      </c>
      <c r="C921" s="433" t="s">
        <v>3322</v>
      </c>
      <c r="D921" s="433" t="s">
        <v>3500</v>
      </c>
      <c r="E921" s="433" t="s">
        <v>2654</v>
      </c>
      <c r="F921" s="433" t="s">
        <v>2654</v>
      </c>
      <c r="G921" s="433" t="s">
        <v>2654</v>
      </c>
      <c r="H921" s="433" t="s">
        <v>2654</v>
      </c>
      <c r="I921" s="433" t="s">
        <v>2654</v>
      </c>
      <c r="J921" s="433" t="s">
        <v>2654</v>
      </c>
      <c r="K921" s="433" t="s">
        <v>2654</v>
      </c>
      <c r="L921" s="433" t="s">
        <v>2654</v>
      </c>
      <c r="M921" s="433" t="s">
        <v>2654</v>
      </c>
      <c r="N921" s="433" t="s">
        <v>2654</v>
      </c>
      <c r="O921" s="433" t="s">
        <v>2654</v>
      </c>
      <c r="P921" s="433" t="s">
        <v>4061</v>
      </c>
      <c r="Q921" s="431"/>
      <c r="R921" s="431"/>
      <c r="S921" s="426" t="s">
        <v>3186</v>
      </c>
      <c r="T921" s="426" t="s">
        <v>2657</v>
      </c>
      <c r="U921" s="426" t="s">
        <v>2657</v>
      </c>
      <c r="V921" s="426" t="s">
        <v>2657</v>
      </c>
      <c r="W921" s="426" t="s">
        <v>2844</v>
      </c>
      <c r="X921" s="426" t="s">
        <v>3348</v>
      </c>
      <c r="Y921" s="426" t="s">
        <v>2898</v>
      </c>
      <c r="Z921" s="426" t="s">
        <v>3398</v>
      </c>
      <c r="AA921" s="426" t="s">
        <v>3510</v>
      </c>
      <c r="AB921" s="426" t="s">
        <v>3510</v>
      </c>
      <c r="AC921" s="426" t="s">
        <v>3282</v>
      </c>
      <c r="AD921" s="426" t="s">
        <v>2646</v>
      </c>
      <c r="AE921" s="426" t="s">
        <v>2646</v>
      </c>
      <c r="AF921" s="426" t="s">
        <v>2646</v>
      </c>
      <c r="AG921" s="426" t="s">
        <v>2646</v>
      </c>
      <c r="AH921" s="426" t="s">
        <v>2646</v>
      </c>
      <c r="AI921" s="426" t="s">
        <v>2646</v>
      </c>
      <c r="AJ921" s="68" t="s">
        <v>2646</v>
      </c>
    </row>
    <row r="922" spans="1:36" ht="13.5" hidden="1">
      <c r="A922" s="296" t="s">
        <v>2160</v>
      </c>
      <c r="B922" s="427" t="s">
        <v>2650</v>
      </c>
      <c r="C922" s="433" t="s">
        <v>3971</v>
      </c>
      <c r="D922" s="433" t="s">
        <v>3729</v>
      </c>
      <c r="E922" s="433" t="s">
        <v>2654</v>
      </c>
      <c r="F922" s="433" t="s">
        <v>2654</v>
      </c>
      <c r="G922" s="433" t="s">
        <v>2654</v>
      </c>
      <c r="H922" s="433" t="s">
        <v>2654</v>
      </c>
      <c r="I922" s="433" t="s">
        <v>2654</v>
      </c>
      <c r="J922" s="433" t="s">
        <v>2654</v>
      </c>
      <c r="K922" s="433" t="s">
        <v>2654</v>
      </c>
      <c r="L922" s="433" t="s">
        <v>2654</v>
      </c>
      <c r="M922" s="433" t="s">
        <v>2654</v>
      </c>
      <c r="N922" s="433" t="s">
        <v>2654</v>
      </c>
      <c r="O922" s="433" t="s">
        <v>2654</v>
      </c>
      <c r="P922" s="433" t="s">
        <v>4059</v>
      </c>
      <c r="Q922" s="431"/>
      <c r="R922" s="431"/>
      <c r="S922" s="426" t="s">
        <v>2655</v>
      </c>
      <c r="T922" s="426" t="s">
        <v>2657</v>
      </c>
      <c r="U922" s="426" t="s">
        <v>2657</v>
      </c>
      <c r="V922" s="426" t="s">
        <v>2657</v>
      </c>
      <c r="W922" s="426" t="s">
        <v>2844</v>
      </c>
      <c r="X922" s="426" t="s">
        <v>3348</v>
      </c>
      <c r="Y922" s="426" t="s">
        <v>2898</v>
      </c>
      <c r="Z922" s="426" t="s">
        <v>3574</v>
      </c>
      <c r="AA922" s="426" t="s">
        <v>3398</v>
      </c>
      <c r="AB922" s="426" t="s">
        <v>3510</v>
      </c>
      <c r="AC922" s="426" t="s">
        <v>3349</v>
      </c>
      <c r="AD922" s="426" t="s">
        <v>2646</v>
      </c>
      <c r="AE922" s="426" t="s">
        <v>2646</v>
      </c>
      <c r="AF922" s="426" t="s">
        <v>2646</v>
      </c>
      <c r="AG922" s="426" t="s">
        <v>2646</v>
      </c>
      <c r="AH922" s="426" t="s">
        <v>2646</v>
      </c>
      <c r="AI922" s="426" t="s">
        <v>2646</v>
      </c>
      <c r="AJ922" s="68" t="s">
        <v>2646</v>
      </c>
    </row>
    <row r="923" spans="1:36" ht="13.5" hidden="1">
      <c r="A923" s="296" t="s">
        <v>2161</v>
      </c>
      <c r="B923" s="427" t="s">
        <v>2651</v>
      </c>
      <c r="C923" s="433" t="s">
        <v>3640</v>
      </c>
      <c r="D923" s="433" t="s">
        <v>3729</v>
      </c>
      <c r="E923" s="433" t="s">
        <v>2654</v>
      </c>
      <c r="F923" s="433" t="s">
        <v>2654</v>
      </c>
      <c r="G923" s="433" t="s">
        <v>2654</v>
      </c>
      <c r="H923" s="433" t="s">
        <v>2654</v>
      </c>
      <c r="I923" s="433" t="s">
        <v>2654</v>
      </c>
      <c r="J923" s="433" t="s">
        <v>2654</v>
      </c>
      <c r="K923" s="433" t="s">
        <v>2654</v>
      </c>
      <c r="L923" s="433" t="s">
        <v>2654</v>
      </c>
      <c r="M923" s="433" t="s">
        <v>2654</v>
      </c>
      <c r="N923" s="433" t="s">
        <v>2654</v>
      </c>
      <c r="O923" s="433" t="s">
        <v>2654</v>
      </c>
      <c r="P923" s="433" t="s">
        <v>4080</v>
      </c>
      <c r="Q923" s="431"/>
      <c r="R923" s="431"/>
      <c r="S923" s="426" t="s">
        <v>2655</v>
      </c>
      <c r="T923" s="426" t="s">
        <v>2657</v>
      </c>
      <c r="U923" s="426" t="s">
        <v>2657</v>
      </c>
      <c r="V923" s="426" t="s">
        <v>2657</v>
      </c>
      <c r="W923" s="426" t="s">
        <v>3309</v>
      </c>
      <c r="X923" s="426" t="s">
        <v>3595</v>
      </c>
      <c r="Y923" s="426" t="s">
        <v>3556</v>
      </c>
      <c r="Z923" s="426" t="s">
        <v>3398</v>
      </c>
      <c r="AA923" s="426" t="s">
        <v>3398</v>
      </c>
      <c r="AB923" s="426" t="s">
        <v>3510</v>
      </c>
      <c r="AC923" s="426" t="s">
        <v>2852</v>
      </c>
      <c r="AD923" s="426" t="s">
        <v>2646</v>
      </c>
      <c r="AE923" s="426" t="s">
        <v>2646</v>
      </c>
      <c r="AF923" s="426" t="s">
        <v>2646</v>
      </c>
      <c r="AG923" s="426" t="s">
        <v>2646</v>
      </c>
      <c r="AH923" s="426" t="s">
        <v>2646</v>
      </c>
      <c r="AI923" s="426" t="s">
        <v>2646</v>
      </c>
      <c r="AJ923" s="68" t="s">
        <v>2646</v>
      </c>
    </row>
    <row r="924" spans="1:36" ht="13.5">
      <c r="A924" s="296" t="s">
        <v>2161</v>
      </c>
      <c r="B924" s="427" t="s">
        <v>48</v>
      </c>
      <c r="C924" s="433" t="s">
        <v>4630</v>
      </c>
      <c r="D924" s="433" t="s">
        <v>4045</v>
      </c>
      <c r="E924" s="433" t="s">
        <v>2654</v>
      </c>
      <c r="F924" s="433" t="s">
        <v>2654</v>
      </c>
      <c r="G924" s="433" t="s">
        <v>2654</v>
      </c>
      <c r="H924" s="433" t="s">
        <v>2654</v>
      </c>
      <c r="I924" s="433" t="s">
        <v>2654</v>
      </c>
      <c r="J924" s="433" t="s">
        <v>2654</v>
      </c>
      <c r="K924" s="433" t="s">
        <v>2654</v>
      </c>
      <c r="L924" s="433" t="s">
        <v>2654</v>
      </c>
      <c r="M924" s="433" t="s">
        <v>2654</v>
      </c>
      <c r="N924" s="433" t="s">
        <v>2654</v>
      </c>
      <c r="O924" s="433" t="s">
        <v>2654</v>
      </c>
      <c r="P924" s="433" t="s">
        <v>4024</v>
      </c>
      <c r="Q924" s="433" t="s">
        <v>2654</v>
      </c>
      <c r="R924" s="433" t="s">
        <v>2654</v>
      </c>
      <c r="S924" s="426"/>
      <c r="T924" s="426"/>
      <c r="U924" s="426"/>
      <c r="V924" s="426"/>
      <c r="W924" s="426"/>
      <c r="X924" s="426"/>
      <c r="Y924" s="426"/>
      <c r="Z924" s="426"/>
      <c r="AA924" s="426"/>
      <c r="AB924" s="426"/>
      <c r="AC924" s="426"/>
      <c r="AD924" s="426"/>
      <c r="AE924" s="426"/>
      <c r="AF924" s="426"/>
      <c r="AG924" s="426"/>
      <c r="AH924" s="426"/>
      <c r="AI924" s="426"/>
    </row>
    <row r="925" spans="1:36" ht="13.5" hidden="1">
      <c r="A925" s="296" t="s">
        <v>2162</v>
      </c>
      <c r="B925" s="427" t="s">
        <v>2647</v>
      </c>
      <c r="C925" s="433" t="s">
        <v>3588</v>
      </c>
      <c r="D925" s="433" t="s">
        <v>3788</v>
      </c>
      <c r="E925" s="433" t="s">
        <v>2654</v>
      </c>
      <c r="F925" s="433" t="s">
        <v>2654</v>
      </c>
      <c r="G925" s="433" t="s">
        <v>2654</v>
      </c>
      <c r="H925" s="433" t="s">
        <v>2654</v>
      </c>
      <c r="I925" s="433" t="s">
        <v>2654</v>
      </c>
      <c r="J925" s="433" t="s">
        <v>2654</v>
      </c>
      <c r="K925" s="433" t="s">
        <v>2654</v>
      </c>
      <c r="L925" s="433" t="s">
        <v>2654</v>
      </c>
      <c r="M925" s="433" t="s">
        <v>2654</v>
      </c>
      <c r="N925" s="433" t="s">
        <v>2654</v>
      </c>
      <c r="O925" s="433" t="s">
        <v>2654</v>
      </c>
      <c r="P925" s="433" t="s">
        <v>4061</v>
      </c>
      <c r="Q925" s="431"/>
      <c r="R925" s="431"/>
      <c r="S925" s="426" t="s">
        <v>2665</v>
      </c>
      <c r="T925" s="426" t="s">
        <v>2657</v>
      </c>
      <c r="U925" s="426" t="s">
        <v>2657</v>
      </c>
      <c r="V925" s="426" t="s">
        <v>2657</v>
      </c>
      <c r="W925" s="426" t="s">
        <v>2657</v>
      </c>
      <c r="X925" s="426" t="s">
        <v>2882</v>
      </c>
      <c r="Y925" s="426" t="s">
        <v>3578</v>
      </c>
      <c r="Z925" s="426" t="s">
        <v>3398</v>
      </c>
      <c r="AA925" s="426" t="s">
        <v>3510</v>
      </c>
      <c r="AB925" s="426" t="s">
        <v>3510</v>
      </c>
      <c r="AC925" s="426" t="s">
        <v>3430</v>
      </c>
      <c r="AD925" s="426" t="s">
        <v>2646</v>
      </c>
      <c r="AE925" s="426" t="s">
        <v>2646</v>
      </c>
      <c r="AF925" s="426" t="s">
        <v>2646</v>
      </c>
      <c r="AG925" s="426" t="s">
        <v>2646</v>
      </c>
      <c r="AH925" s="426" t="s">
        <v>2646</v>
      </c>
      <c r="AI925" s="426" t="s">
        <v>2646</v>
      </c>
      <c r="AJ925" s="68" t="s">
        <v>2646</v>
      </c>
    </row>
    <row r="926" spans="1:36" ht="13.5" hidden="1">
      <c r="A926" s="296" t="s">
        <v>2163</v>
      </c>
      <c r="B926" s="427" t="s">
        <v>2648</v>
      </c>
      <c r="C926" s="433" t="s">
        <v>3663</v>
      </c>
      <c r="D926" s="433" t="s">
        <v>3561</v>
      </c>
      <c r="E926" s="433" t="s">
        <v>2654</v>
      </c>
      <c r="F926" s="433" t="s">
        <v>2654</v>
      </c>
      <c r="G926" s="433" t="s">
        <v>2654</v>
      </c>
      <c r="H926" s="433" t="s">
        <v>2654</v>
      </c>
      <c r="I926" s="433" t="s">
        <v>2654</v>
      </c>
      <c r="J926" s="433" t="s">
        <v>2654</v>
      </c>
      <c r="K926" s="433" t="s">
        <v>2654</v>
      </c>
      <c r="L926" s="433" t="s">
        <v>2654</v>
      </c>
      <c r="M926" s="433" t="s">
        <v>2654</v>
      </c>
      <c r="N926" s="433" t="s">
        <v>2654</v>
      </c>
      <c r="O926" s="433" t="s">
        <v>2654</v>
      </c>
      <c r="P926" s="433" t="s">
        <v>4080</v>
      </c>
      <c r="Q926" s="431"/>
      <c r="R926" s="431"/>
      <c r="S926" s="426" t="s">
        <v>2655</v>
      </c>
      <c r="T926" s="426" t="s">
        <v>2657</v>
      </c>
      <c r="U926" s="426" t="s">
        <v>2657</v>
      </c>
      <c r="V926" s="426" t="s">
        <v>2657</v>
      </c>
      <c r="W926" s="426" t="s">
        <v>2657</v>
      </c>
      <c r="X926" s="426" t="s">
        <v>2882</v>
      </c>
      <c r="Y926" s="426" t="s">
        <v>3578</v>
      </c>
      <c r="Z926" s="426" t="s">
        <v>3574</v>
      </c>
      <c r="AA926" s="426" t="s">
        <v>3510</v>
      </c>
      <c r="AB926" s="426" t="s">
        <v>3510</v>
      </c>
      <c r="AC926" s="426" t="s">
        <v>3307</v>
      </c>
      <c r="AD926" s="426" t="s">
        <v>3023</v>
      </c>
      <c r="AE926" s="426" t="s">
        <v>2646</v>
      </c>
      <c r="AF926" s="426" t="s">
        <v>2646</v>
      </c>
      <c r="AG926" s="426" t="s">
        <v>2646</v>
      </c>
      <c r="AH926" s="426" t="s">
        <v>2646</v>
      </c>
      <c r="AI926" s="426" t="s">
        <v>2646</v>
      </c>
      <c r="AJ926" s="68" t="s">
        <v>2646</v>
      </c>
    </row>
    <row r="927" spans="1:36" ht="13.5" hidden="1">
      <c r="A927" s="296" t="s">
        <v>2164</v>
      </c>
      <c r="B927" s="427" t="s">
        <v>2649</v>
      </c>
      <c r="C927" s="433" t="s">
        <v>4631</v>
      </c>
      <c r="D927" s="433" t="s">
        <v>3788</v>
      </c>
      <c r="E927" s="433" t="s">
        <v>2654</v>
      </c>
      <c r="F927" s="433" t="s">
        <v>2654</v>
      </c>
      <c r="G927" s="433" t="s">
        <v>2654</v>
      </c>
      <c r="H927" s="433" t="s">
        <v>2654</v>
      </c>
      <c r="I927" s="433" t="s">
        <v>2654</v>
      </c>
      <c r="J927" s="433" t="s">
        <v>2654</v>
      </c>
      <c r="K927" s="433" t="s">
        <v>2654</v>
      </c>
      <c r="L927" s="433" t="s">
        <v>2654</v>
      </c>
      <c r="M927" s="433" t="s">
        <v>2654</v>
      </c>
      <c r="N927" s="433" t="s">
        <v>2654</v>
      </c>
      <c r="O927" s="433" t="s">
        <v>2654</v>
      </c>
      <c r="P927" s="433" t="s">
        <v>4057</v>
      </c>
      <c r="Q927" s="431"/>
      <c r="R927" s="431"/>
      <c r="S927" s="426" t="s">
        <v>2658</v>
      </c>
      <c r="T927" s="426" t="s">
        <v>2657</v>
      </c>
      <c r="U927" s="426" t="s">
        <v>2657</v>
      </c>
      <c r="V927" s="426" t="s">
        <v>2657</v>
      </c>
      <c r="W927" s="426" t="s">
        <v>2657</v>
      </c>
      <c r="X927" s="426" t="s">
        <v>2882</v>
      </c>
      <c r="Y927" s="426" t="s">
        <v>3578</v>
      </c>
      <c r="Z927" s="426" t="s">
        <v>3398</v>
      </c>
      <c r="AA927" s="426" t="s">
        <v>3510</v>
      </c>
      <c r="AB927" s="426" t="s">
        <v>3510</v>
      </c>
      <c r="AC927" s="426" t="s">
        <v>3307</v>
      </c>
      <c r="AD927" s="426" t="s">
        <v>3205</v>
      </c>
      <c r="AE927" s="426" t="s">
        <v>2646</v>
      </c>
      <c r="AF927" s="426" t="s">
        <v>2646</v>
      </c>
      <c r="AG927" s="426" t="s">
        <v>2646</v>
      </c>
      <c r="AH927" s="426" t="s">
        <v>2646</v>
      </c>
      <c r="AI927" s="426" t="s">
        <v>2646</v>
      </c>
      <c r="AJ927" s="68" t="s">
        <v>2646</v>
      </c>
    </row>
    <row r="928" spans="1:36" ht="13.5" hidden="1">
      <c r="A928" s="296" t="s">
        <v>2165</v>
      </c>
      <c r="B928" s="427" t="s">
        <v>2650</v>
      </c>
      <c r="C928" s="433" t="s">
        <v>3373</v>
      </c>
      <c r="D928" s="433" t="s">
        <v>3788</v>
      </c>
      <c r="E928" s="433" t="s">
        <v>2654</v>
      </c>
      <c r="F928" s="433" t="s">
        <v>2654</v>
      </c>
      <c r="G928" s="433" t="s">
        <v>2654</v>
      </c>
      <c r="H928" s="433" t="s">
        <v>2654</v>
      </c>
      <c r="I928" s="433" t="s">
        <v>2654</v>
      </c>
      <c r="J928" s="433" t="s">
        <v>2654</v>
      </c>
      <c r="K928" s="433" t="s">
        <v>2654</v>
      </c>
      <c r="L928" s="433" t="s">
        <v>2654</v>
      </c>
      <c r="M928" s="433" t="s">
        <v>2654</v>
      </c>
      <c r="N928" s="433" t="s">
        <v>2654</v>
      </c>
      <c r="O928" s="433" t="s">
        <v>2654</v>
      </c>
      <c r="P928" s="433" t="s">
        <v>4059</v>
      </c>
      <c r="Q928" s="431"/>
      <c r="R928" s="431"/>
      <c r="S928" s="426" t="s">
        <v>2673</v>
      </c>
      <c r="T928" s="426" t="s">
        <v>2657</v>
      </c>
      <c r="U928" s="426" t="s">
        <v>2657</v>
      </c>
      <c r="V928" s="426" t="s">
        <v>2657</v>
      </c>
      <c r="W928" s="426" t="s">
        <v>2657</v>
      </c>
      <c r="X928" s="426" t="s">
        <v>2882</v>
      </c>
      <c r="Y928" s="426" t="s">
        <v>3578</v>
      </c>
      <c r="Z928" s="426" t="s">
        <v>3398</v>
      </c>
      <c r="AA928" s="426" t="s">
        <v>3510</v>
      </c>
      <c r="AB928" s="426" t="s">
        <v>3510</v>
      </c>
      <c r="AC928" s="426" t="s">
        <v>3411</v>
      </c>
      <c r="AD928" s="426" t="s">
        <v>2646</v>
      </c>
      <c r="AE928" s="426" t="s">
        <v>2646</v>
      </c>
      <c r="AF928" s="426" t="s">
        <v>2646</v>
      </c>
      <c r="AG928" s="426" t="s">
        <v>2646</v>
      </c>
      <c r="AH928" s="426" t="s">
        <v>2646</v>
      </c>
      <c r="AI928" s="426" t="s">
        <v>2646</v>
      </c>
      <c r="AJ928" s="68" t="s">
        <v>2646</v>
      </c>
    </row>
    <row r="929" spans="1:36" ht="13.5" hidden="1">
      <c r="A929" s="296" t="s">
        <v>2166</v>
      </c>
      <c r="B929" s="427" t="s">
        <v>2651</v>
      </c>
      <c r="C929" s="433" t="s">
        <v>3482</v>
      </c>
      <c r="D929" s="433" t="s">
        <v>3583</v>
      </c>
      <c r="E929" s="433" t="s">
        <v>2654</v>
      </c>
      <c r="F929" s="433" t="s">
        <v>2654</v>
      </c>
      <c r="G929" s="433" t="s">
        <v>2654</v>
      </c>
      <c r="H929" s="433" t="s">
        <v>2654</v>
      </c>
      <c r="I929" s="433" t="s">
        <v>2654</v>
      </c>
      <c r="J929" s="433" t="s">
        <v>2654</v>
      </c>
      <c r="K929" s="433" t="s">
        <v>2654</v>
      </c>
      <c r="L929" s="433" t="s">
        <v>2654</v>
      </c>
      <c r="M929" s="433" t="s">
        <v>2654</v>
      </c>
      <c r="N929" s="433" t="s">
        <v>2654</v>
      </c>
      <c r="O929" s="433" t="s">
        <v>2654</v>
      </c>
      <c r="P929" s="433" t="s">
        <v>4059</v>
      </c>
      <c r="Q929" s="431"/>
      <c r="R929" s="431"/>
      <c r="S929" s="426" t="s">
        <v>2655</v>
      </c>
      <c r="T929" s="426" t="s">
        <v>2657</v>
      </c>
      <c r="U929" s="426" t="s">
        <v>2657</v>
      </c>
      <c r="V929" s="426" t="s">
        <v>2657</v>
      </c>
      <c r="W929" s="426" t="s">
        <v>2657</v>
      </c>
      <c r="X929" s="426" t="s">
        <v>2882</v>
      </c>
      <c r="Y929" s="426" t="s">
        <v>3578</v>
      </c>
      <c r="Z929" s="426" t="s">
        <v>3398</v>
      </c>
      <c r="AA929" s="426" t="s">
        <v>3510</v>
      </c>
      <c r="AB929" s="426" t="s">
        <v>3349</v>
      </c>
      <c r="AC929" s="426" t="s">
        <v>3311</v>
      </c>
      <c r="AD929" s="426" t="s">
        <v>3048</v>
      </c>
      <c r="AE929" s="426" t="s">
        <v>2646</v>
      </c>
      <c r="AF929" s="426" t="s">
        <v>2646</v>
      </c>
      <c r="AG929" s="426" t="s">
        <v>2646</v>
      </c>
      <c r="AH929" s="426" t="s">
        <v>2646</v>
      </c>
      <c r="AI929" s="426" t="s">
        <v>2646</v>
      </c>
      <c r="AJ929" s="68" t="s">
        <v>2646</v>
      </c>
    </row>
    <row r="930" spans="1:36" ht="13.5">
      <c r="A930" s="296" t="s">
        <v>2166</v>
      </c>
      <c r="B930" s="427" t="s">
        <v>48</v>
      </c>
      <c r="C930" s="433" t="s">
        <v>4632</v>
      </c>
      <c r="D930" s="433" t="s">
        <v>3788</v>
      </c>
      <c r="E930" s="433" t="s">
        <v>2654</v>
      </c>
      <c r="F930" s="433" t="s">
        <v>2654</v>
      </c>
      <c r="G930" s="433" t="s">
        <v>2654</v>
      </c>
      <c r="H930" s="433" t="s">
        <v>2654</v>
      </c>
      <c r="I930" s="433" t="s">
        <v>2654</v>
      </c>
      <c r="J930" s="433" t="s">
        <v>2654</v>
      </c>
      <c r="K930" s="433" t="s">
        <v>2654</v>
      </c>
      <c r="L930" s="433" t="s">
        <v>2654</v>
      </c>
      <c r="M930" s="433" t="s">
        <v>2654</v>
      </c>
      <c r="N930" s="433" t="s">
        <v>2654</v>
      </c>
      <c r="O930" s="433" t="s">
        <v>2654</v>
      </c>
      <c r="P930" s="433" t="s">
        <v>4024</v>
      </c>
      <c r="Q930" s="433" t="s">
        <v>2654</v>
      </c>
      <c r="R930" s="433" t="s">
        <v>2654</v>
      </c>
      <c r="S930" s="426"/>
      <c r="T930" s="426"/>
      <c r="U930" s="426"/>
      <c r="V930" s="426"/>
      <c r="W930" s="426"/>
      <c r="X930" s="426"/>
      <c r="Y930" s="426"/>
      <c r="Z930" s="426"/>
      <c r="AA930" s="426"/>
      <c r="AB930" s="426"/>
      <c r="AC930" s="426"/>
      <c r="AD930" s="426"/>
      <c r="AE930" s="426"/>
      <c r="AF930" s="426"/>
      <c r="AG930" s="426"/>
      <c r="AH930" s="426"/>
      <c r="AI930" s="426"/>
    </row>
    <row r="931" spans="1:36" ht="13.5" hidden="1">
      <c r="A931" s="296" t="s">
        <v>2167</v>
      </c>
      <c r="B931" s="427" t="s">
        <v>2647</v>
      </c>
      <c r="C931" s="433" t="s">
        <v>4491</v>
      </c>
      <c r="D931" s="433" t="s">
        <v>3789</v>
      </c>
      <c r="E931" s="433" t="s">
        <v>2654</v>
      </c>
      <c r="F931" s="433" t="s">
        <v>2654</v>
      </c>
      <c r="G931" s="433" t="s">
        <v>2654</v>
      </c>
      <c r="H931" s="433" t="s">
        <v>2654</v>
      </c>
      <c r="I931" s="433" t="s">
        <v>2654</v>
      </c>
      <c r="J931" s="433" t="s">
        <v>2654</v>
      </c>
      <c r="K931" s="433" t="s">
        <v>2654</v>
      </c>
      <c r="L931" s="433" t="s">
        <v>2654</v>
      </c>
      <c r="M931" s="433" t="s">
        <v>2654</v>
      </c>
      <c r="N931" s="433" t="s">
        <v>2654</v>
      </c>
      <c r="O931" s="433" t="s">
        <v>2654</v>
      </c>
      <c r="P931" s="433" t="s">
        <v>4059</v>
      </c>
      <c r="Q931" s="431"/>
      <c r="R931" s="431"/>
      <c r="S931" s="426" t="s">
        <v>3132</v>
      </c>
      <c r="T931" s="426" t="s">
        <v>2669</v>
      </c>
      <c r="U931" s="426" t="s">
        <v>2657</v>
      </c>
      <c r="V931" s="426" t="s">
        <v>2657</v>
      </c>
      <c r="W931" s="426" t="s">
        <v>3309</v>
      </c>
      <c r="X931" s="426" t="s">
        <v>2939</v>
      </c>
      <c r="Y931" s="426" t="s">
        <v>2882</v>
      </c>
      <c r="Z931" s="426" t="s">
        <v>3398</v>
      </c>
      <c r="AA931" s="426" t="s">
        <v>3510</v>
      </c>
      <c r="AB931" s="426" t="s">
        <v>3349</v>
      </c>
      <c r="AC931" s="426" t="s">
        <v>2950</v>
      </c>
      <c r="AD931" s="426" t="s">
        <v>3241</v>
      </c>
      <c r="AE931" s="426" t="s">
        <v>2646</v>
      </c>
      <c r="AF931" s="426" t="s">
        <v>2646</v>
      </c>
      <c r="AG931" s="426" t="s">
        <v>2646</v>
      </c>
      <c r="AH931" s="426" t="s">
        <v>2646</v>
      </c>
      <c r="AI931" s="426" t="s">
        <v>2646</v>
      </c>
      <c r="AJ931" s="68" t="s">
        <v>2646</v>
      </c>
    </row>
    <row r="932" spans="1:36" ht="13.5" hidden="1">
      <c r="A932" s="296" t="s">
        <v>2168</v>
      </c>
      <c r="B932" s="427" t="s">
        <v>2648</v>
      </c>
      <c r="C932" s="433" t="s">
        <v>3785</v>
      </c>
      <c r="D932" s="433" t="s">
        <v>3089</v>
      </c>
      <c r="E932" s="433" t="s">
        <v>2654</v>
      </c>
      <c r="F932" s="433" t="s">
        <v>2654</v>
      </c>
      <c r="G932" s="433" t="s">
        <v>2654</v>
      </c>
      <c r="H932" s="433" t="s">
        <v>2654</v>
      </c>
      <c r="I932" s="433" t="s">
        <v>2654</v>
      </c>
      <c r="J932" s="433" t="s">
        <v>2654</v>
      </c>
      <c r="K932" s="433" t="s">
        <v>2654</v>
      </c>
      <c r="L932" s="433" t="s">
        <v>2654</v>
      </c>
      <c r="M932" s="433" t="s">
        <v>2654</v>
      </c>
      <c r="N932" s="433" t="s">
        <v>2654</v>
      </c>
      <c r="O932" s="433" t="s">
        <v>2654</v>
      </c>
      <c r="P932" s="433" t="s">
        <v>4057</v>
      </c>
      <c r="Q932" s="431"/>
      <c r="R932" s="431"/>
      <c r="S932" s="426" t="s">
        <v>3132</v>
      </c>
      <c r="T932" s="426" t="s">
        <v>2657</v>
      </c>
      <c r="U932" s="426" t="s">
        <v>2657</v>
      </c>
      <c r="V932" s="426" t="s">
        <v>2657</v>
      </c>
      <c r="W932" s="426" t="s">
        <v>3309</v>
      </c>
      <c r="X932" s="426" t="s">
        <v>2939</v>
      </c>
      <c r="Y932" s="426" t="s">
        <v>2882</v>
      </c>
      <c r="Z932" s="426" t="s">
        <v>3398</v>
      </c>
      <c r="AA932" s="426" t="s">
        <v>3510</v>
      </c>
      <c r="AB932" s="426" t="s">
        <v>3349</v>
      </c>
      <c r="AC932" s="426" t="s">
        <v>2945</v>
      </c>
      <c r="AD932" s="426" t="s">
        <v>2646</v>
      </c>
      <c r="AE932" s="426" t="s">
        <v>2646</v>
      </c>
      <c r="AF932" s="426" t="s">
        <v>2646</v>
      </c>
      <c r="AG932" s="426" t="s">
        <v>2646</v>
      </c>
      <c r="AH932" s="426" t="s">
        <v>2646</v>
      </c>
      <c r="AI932" s="426" t="s">
        <v>2646</v>
      </c>
      <c r="AJ932" s="68" t="s">
        <v>2646</v>
      </c>
    </row>
    <row r="933" spans="1:36" ht="13.5" hidden="1">
      <c r="A933" s="296" t="s">
        <v>2169</v>
      </c>
      <c r="B933" s="427" t="s">
        <v>2649</v>
      </c>
      <c r="C933" s="433" t="s">
        <v>3626</v>
      </c>
      <c r="D933" s="433" t="s">
        <v>3670</v>
      </c>
      <c r="E933" s="433" t="s">
        <v>2654</v>
      </c>
      <c r="F933" s="433" t="s">
        <v>2654</v>
      </c>
      <c r="G933" s="433" t="s">
        <v>2654</v>
      </c>
      <c r="H933" s="433" t="s">
        <v>2654</v>
      </c>
      <c r="I933" s="433" t="s">
        <v>2654</v>
      </c>
      <c r="J933" s="433" t="s">
        <v>2654</v>
      </c>
      <c r="K933" s="433" t="s">
        <v>2654</v>
      </c>
      <c r="L933" s="433" t="s">
        <v>2654</v>
      </c>
      <c r="M933" s="433" t="s">
        <v>2654</v>
      </c>
      <c r="N933" s="433" t="s">
        <v>2654</v>
      </c>
      <c r="O933" s="433" t="s">
        <v>2654</v>
      </c>
      <c r="P933" s="433" t="s">
        <v>4061</v>
      </c>
      <c r="Q933" s="431"/>
      <c r="R933" s="431"/>
      <c r="S933" s="426" t="s">
        <v>3137</v>
      </c>
      <c r="T933" s="426" t="s">
        <v>2658</v>
      </c>
      <c r="U933" s="426" t="s">
        <v>2657</v>
      </c>
      <c r="V933" s="426" t="s">
        <v>2657</v>
      </c>
      <c r="W933" s="426" t="s">
        <v>3309</v>
      </c>
      <c r="X933" s="426" t="s">
        <v>2939</v>
      </c>
      <c r="Y933" s="426" t="s">
        <v>2882</v>
      </c>
      <c r="Z933" s="426" t="s">
        <v>3398</v>
      </c>
      <c r="AA933" s="426" t="s">
        <v>3510</v>
      </c>
      <c r="AB933" s="426" t="s">
        <v>3307</v>
      </c>
      <c r="AC933" s="426" t="s">
        <v>3012</v>
      </c>
      <c r="AD933" s="426" t="s">
        <v>2646</v>
      </c>
      <c r="AE933" s="426" t="s">
        <v>2646</v>
      </c>
      <c r="AF933" s="426" t="s">
        <v>2646</v>
      </c>
      <c r="AG933" s="426" t="s">
        <v>2646</v>
      </c>
      <c r="AH933" s="426" t="s">
        <v>2646</v>
      </c>
      <c r="AI933" s="426" t="s">
        <v>2646</v>
      </c>
      <c r="AJ933" s="68" t="s">
        <v>2646</v>
      </c>
    </row>
    <row r="934" spans="1:36" ht="13.5" hidden="1">
      <c r="A934" s="296" t="s">
        <v>2170</v>
      </c>
      <c r="B934" s="427" t="s">
        <v>2650</v>
      </c>
      <c r="C934" s="433" t="s">
        <v>3626</v>
      </c>
      <c r="D934" s="433" t="s">
        <v>3909</v>
      </c>
      <c r="E934" s="433" t="s">
        <v>2654</v>
      </c>
      <c r="F934" s="433" t="s">
        <v>2654</v>
      </c>
      <c r="G934" s="433" t="s">
        <v>2654</v>
      </c>
      <c r="H934" s="433" t="s">
        <v>2654</v>
      </c>
      <c r="I934" s="433" t="s">
        <v>2654</v>
      </c>
      <c r="J934" s="433" t="s">
        <v>2654</v>
      </c>
      <c r="K934" s="433" t="s">
        <v>2654</v>
      </c>
      <c r="L934" s="433" t="s">
        <v>2654</v>
      </c>
      <c r="M934" s="433" t="s">
        <v>2654</v>
      </c>
      <c r="N934" s="433" t="s">
        <v>2654</v>
      </c>
      <c r="O934" s="433" t="s">
        <v>2654</v>
      </c>
      <c r="P934" s="433" t="s">
        <v>4061</v>
      </c>
      <c r="Q934" s="431"/>
      <c r="R934" s="431"/>
      <c r="S934" s="426" t="s">
        <v>3124</v>
      </c>
      <c r="T934" s="426" t="s">
        <v>2657</v>
      </c>
      <c r="U934" s="426" t="s">
        <v>2657</v>
      </c>
      <c r="V934" s="426" t="s">
        <v>2657</v>
      </c>
      <c r="W934" s="426" t="s">
        <v>3309</v>
      </c>
      <c r="X934" s="426" t="s">
        <v>2939</v>
      </c>
      <c r="Y934" s="426" t="s">
        <v>2882</v>
      </c>
      <c r="Z934" s="426" t="s">
        <v>3398</v>
      </c>
      <c r="AA934" s="426" t="s">
        <v>3510</v>
      </c>
      <c r="AB934" s="426" t="s">
        <v>3366</v>
      </c>
      <c r="AC934" s="426" t="s">
        <v>3201</v>
      </c>
      <c r="AD934" s="426" t="s">
        <v>2711</v>
      </c>
      <c r="AE934" s="426" t="s">
        <v>2646</v>
      </c>
      <c r="AF934" s="426" t="s">
        <v>2646</v>
      </c>
      <c r="AG934" s="426" t="s">
        <v>2646</v>
      </c>
      <c r="AH934" s="426" t="s">
        <v>2646</v>
      </c>
      <c r="AI934" s="426" t="s">
        <v>2646</v>
      </c>
      <c r="AJ934" s="68" t="s">
        <v>2646</v>
      </c>
    </row>
    <row r="935" spans="1:36" ht="13.5" hidden="1">
      <c r="A935" s="296" t="s">
        <v>2171</v>
      </c>
      <c r="B935" s="427" t="s">
        <v>2651</v>
      </c>
      <c r="C935" s="433" t="s">
        <v>4112</v>
      </c>
      <c r="D935" s="433" t="s">
        <v>4177</v>
      </c>
      <c r="E935" s="433" t="s">
        <v>2654</v>
      </c>
      <c r="F935" s="433" t="s">
        <v>2654</v>
      </c>
      <c r="G935" s="433" t="s">
        <v>2654</v>
      </c>
      <c r="H935" s="433" t="s">
        <v>2654</v>
      </c>
      <c r="I935" s="433" t="s">
        <v>2654</v>
      </c>
      <c r="J935" s="433" t="s">
        <v>2654</v>
      </c>
      <c r="K935" s="433" t="s">
        <v>2654</v>
      </c>
      <c r="L935" s="433" t="s">
        <v>2654</v>
      </c>
      <c r="M935" s="433" t="s">
        <v>2654</v>
      </c>
      <c r="N935" s="433" t="s">
        <v>2654</v>
      </c>
      <c r="O935" s="433" t="s">
        <v>2654</v>
      </c>
      <c r="P935" s="433" t="s">
        <v>4061</v>
      </c>
      <c r="Q935" s="431"/>
      <c r="R935" s="431"/>
      <c r="S935" s="426" t="s">
        <v>3220</v>
      </c>
      <c r="T935" s="426" t="s">
        <v>2657</v>
      </c>
      <c r="U935" s="426" t="s">
        <v>2657</v>
      </c>
      <c r="V935" s="426" t="s">
        <v>2657</v>
      </c>
      <c r="W935" s="426" t="s">
        <v>3309</v>
      </c>
      <c r="X935" s="426" t="s">
        <v>2939</v>
      </c>
      <c r="Y935" s="426" t="s">
        <v>2882</v>
      </c>
      <c r="Z935" s="426" t="s">
        <v>3398</v>
      </c>
      <c r="AA935" s="426" t="s">
        <v>3510</v>
      </c>
      <c r="AB935" s="426" t="s">
        <v>3285</v>
      </c>
      <c r="AC935" s="426" t="s">
        <v>3242</v>
      </c>
      <c r="AD935" s="426" t="s">
        <v>2646</v>
      </c>
      <c r="AE935" s="426" t="s">
        <v>2646</v>
      </c>
      <c r="AF935" s="426" t="s">
        <v>2646</v>
      </c>
      <c r="AG935" s="426" t="s">
        <v>2646</v>
      </c>
      <c r="AH935" s="426" t="s">
        <v>2646</v>
      </c>
      <c r="AI935" s="426" t="s">
        <v>2646</v>
      </c>
      <c r="AJ935" s="68" t="s">
        <v>2646</v>
      </c>
    </row>
    <row r="936" spans="1:36" ht="13.5">
      <c r="A936" s="296" t="s">
        <v>2171</v>
      </c>
      <c r="B936" s="427" t="s">
        <v>48</v>
      </c>
      <c r="C936" s="433" t="s">
        <v>3651</v>
      </c>
      <c r="D936" s="433" t="s">
        <v>4633</v>
      </c>
      <c r="E936" s="433" t="s">
        <v>2654</v>
      </c>
      <c r="F936" s="433" t="s">
        <v>2654</v>
      </c>
      <c r="G936" s="433" t="s">
        <v>2654</v>
      </c>
      <c r="H936" s="433" t="s">
        <v>2654</v>
      </c>
      <c r="I936" s="433" t="s">
        <v>2654</v>
      </c>
      <c r="J936" s="433" t="s">
        <v>2654</v>
      </c>
      <c r="K936" s="433" t="s">
        <v>2654</v>
      </c>
      <c r="L936" s="433" t="s">
        <v>2654</v>
      </c>
      <c r="M936" s="433" t="s">
        <v>2654</v>
      </c>
      <c r="N936" s="433" t="s">
        <v>2654</v>
      </c>
      <c r="O936" s="433" t="s">
        <v>2654</v>
      </c>
      <c r="P936" s="433" t="s">
        <v>3474</v>
      </c>
      <c r="Q936" s="433" t="s">
        <v>2654</v>
      </c>
      <c r="R936" s="433" t="s">
        <v>2654</v>
      </c>
      <c r="S936" s="426"/>
      <c r="T936" s="426"/>
      <c r="U936" s="426"/>
      <c r="V936" s="426"/>
      <c r="W936" s="426"/>
      <c r="X936" s="426"/>
      <c r="Y936" s="426"/>
      <c r="Z936" s="426"/>
      <c r="AA936" s="426"/>
      <c r="AB936" s="426"/>
      <c r="AC936" s="426"/>
      <c r="AD936" s="426"/>
      <c r="AE936" s="426"/>
      <c r="AF936" s="426"/>
      <c r="AG936" s="426"/>
      <c r="AH936" s="426"/>
      <c r="AI936" s="426"/>
    </row>
    <row r="937" spans="1:36" ht="13.5" hidden="1">
      <c r="A937" s="296" t="s">
        <v>2172</v>
      </c>
      <c r="B937" s="427" t="s">
        <v>2647</v>
      </c>
      <c r="C937" s="433" t="s">
        <v>3737</v>
      </c>
      <c r="D937" s="433" t="s">
        <v>2777</v>
      </c>
      <c r="E937" s="433" t="s">
        <v>2654</v>
      </c>
      <c r="F937" s="433" t="s">
        <v>2654</v>
      </c>
      <c r="G937" s="433" t="s">
        <v>2654</v>
      </c>
      <c r="H937" s="433" t="s">
        <v>2654</v>
      </c>
      <c r="I937" s="433" t="s">
        <v>2654</v>
      </c>
      <c r="J937" s="433" t="s">
        <v>2654</v>
      </c>
      <c r="K937" s="433" t="s">
        <v>2654</v>
      </c>
      <c r="L937" s="433" t="s">
        <v>2654</v>
      </c>
      <c r="M937" s="433" t="s">
        <v>2654</v>
      </c>
      <c r="N937" s="433" t="s">
        <v>2654</v>
      </c>
      <c r="O937" s="433" t="s">
        <v>2654</v>
      </c>
      <c r="P937" s="433" t="s">
        <v>4061</v>
      </c>
      <c r="Q937" s="431"/>
      <c r="R937" s="431"/>
      <c r="S937" s="426" t="s">
        <v>2658</v>
      </c>
      <c r="T937" s="426" t="s">
        <v>2657</v>
      </c>
      <c r="U937" s="426" t="s">
        <v>2657</v>
      </c>
      <c r="V937" s="426" t="s">
        <v>2657</v>
      </c>
      <c r="W937" s="426" t="s">
        <v>2646</v>
      </c>
      <c r="X937" s="426" t="s">
        <v>2646</v>
      </c>
      <c r="Y937" s="426" t="s">
        <v>2646</v>
      </c>
      <c r="Z937" s="426" t="s">
        <v>2646</v>
      </c>
      <c r="AA937" s="426" t="s">
        <v>2646</v>
      </c>
      <c r="AB937" s="426" t="s">
        <v>2646</v>
      </c>
      <c r="AC937" s="426" t="s">
        <v>2646</v>
      </c>
      <c r="AD937" s="426" t="s">
        <v>2646</v>
      </c>
      <c r="AE937" s="426" t="s">
        <v>2646</v>
      </c>
      <c r="AF937" s="426" t="s">
        <v>2646</v>
      </c>
      <c r="AG937" s="426" t="s">
        <v>2646</v>
      </c>
      <c r="AH937" s="426" t="s">
        <v>2646</v>
      </c>
      <c r="AI937" s="426" t="s">
        <v>2646</v>
      </c>
      <c r="AJ937" s="68" t="s">
        <v>2646</v>
      </c>
    </row>
    <row r="938" spans="1:36" ht="13.5" hidden="1">
      <c r="A938" s="296" t="s">
        <v>2173</v>
      </c>
      <c r="B938" s="427" t="s">
        <v>2648</v>
      </c>
      <c r="C938" s="433" t="s">
        <v>3159</v>
      </c>
      <c r="D938" s="433" t="s">
        <v>2777</v>
      </c>
      <c r="E938" s="433" t="s">
        <v>2654</v>
      </c>
      <c r="F938" s="433" t="s">
        <v>2654</v>
      </c>
      <c r="G938" s="433" t="s">
        <v>2654</v>
      </c>
      <c r="H938" s="433" t="s">
        <v>2654</v>
      </c>
      <c r="I938" s="433" t="s">
        <v>2654</v>
      </c>
      <c r="J938" s="433" t="s">
        <v>2654</v>
      </c>
      <c r="K938" s="433" t="s">
        <v>2654</v>
      </c>
      <c r="L938" s="433" t="s">
        <v>2654</v>
      </c>
      <c r="M938" s="433" t="s">
        <v>2654</v>
      </c>
      <c r="N938" s="433" t="s">
        <v>2654</v>
      </c>
      <c r="O938" s="433" t="s">
        <v>2654</v>
      </c>
      <c r="P938" s="433" t="s">
        <v>4083</v>
      </c>
      <c r="Q938" s="431"/>
      <c r="R938" s="431"/>
      <c r="S938" s="426" t="s">
        <v>2844</v>
      </c>
      <c r="T938" s="426" t="s">
        <v>2646</v>
      </c>
      <c r="U938" s="426" t="s">
        <v>2657</v>
      </c>
      <c r="V938" s="426" t="s">
        <v>2657</v>
      </c>
      <c r="W938" s="426" t="s">
        <v>2646</v>
      </c>
      <c r="X938" s="426" t="s">
        <v>2646</v>
      </c>
      <c r="Y938" s="426" t="s">
        <v>2646</v>
      </c>
      <c r="Z938" s="426" t="s">
        <v>2646</v>
      </c>
      <c r="AA938" s="426" t="s">
        <v>2646</v>
      </c>
      <c r="AB938" s="426" t="s">
        <v>2646</v>
      </c>
      <c r="AC938" s="426" t="s">
        <v>2646</v>
      </c>
      <c r="AD938" s="426" t="s">
        <v>2646</v>
      </c>
      <c r="AE938" s="426" t="s">
        <v>2646</v>
      </c>
      <c r="AF938" s="426" t="s">
        <v>2646</v>
      </c>
      <c r="AG938" s="426" t="s">
        <v>2646</v>
      </c>
      <c r="AH938" s="426" t="s">
        <v>2646</v>
      </c>
      <c r="AI938" s="426" t="s">
        <v>2646</v>
      </c>
      <c r="AJ938" s="68" t="s">
        <v>2646</v>
      </c>
    </row>
    <row r="939" spans="1:36" ht="13.5" hidden="1">
      <c r="A939" s="296" t="s">
        <v>2174</v>
      </c>
      <c r="B939" s="427" t="s">
        <v>2649</v>
      </c>
      <c r="C939" s="433" t="s">
        <v>3262</v>
      </c>
      <c r="D939" s="433" t="s">
        <v>2835</v>
      </c>
      <c r="E939" s="433" t="s">
        <v>2654</v>
      </c>
      <c r="F939" s="433" t="s">
        <v>2654</v>
      </c>
      <c r="G939" s="433" t="s">
        <v>2654</v>
      </c>
      <c r="H939" s="433" t="s">
        <v>2654</v>
      </c>
      <c r="I939" s="433" t="s">
        <v>2654</v>
      </c>
      <c r="J939" s="433" t="s">
        <v>2654</v>
      </c>
      <c r="K939" s="433" t="s">
        <v>2654</v>
      </c>
      <c r="L939" s="433" t="s">
        <v>2654</v>
      </c>
      <c r="M939" s="433" t="s">
        <v>2654</v>
      </c>
      <c r="N939" s="433" t="s">
        <v>2654</v>
      </c>
      <c r="O939" s="433" t="s">
        <v>2654</v>
      </c>
      <c r="P939" s="433" t="s">
        <v>4080</v>
      </c>
      <c r="Q939" s="431"/>
      <c r="R939" s="431"/>
      <c r="S939" s="426" t="s">
        <v>3194</v>
      </c>
      <c r="T939" s="426" t="s">
        <v>2657</v>
      </c>
      <c r="U939" s="426" t="s">
        <v>2657</v>
      </c>
      <c r="V939" s="426" t="s">
        <v>2657</v>
      </c>
      <c r="W939" s="426" t="s">
        <v>3137</v>
      </c>
      <c r="X939" s="426" t="s">
        <v>3547</v>
      </c>
      <c r="Y939" s="426" t="s">
        <v>3504</v>
      </c>
      <c r="Z939" s="426" t="s">
        <v>2646</v>
      </c>
      <c r="AA939" s="426" t="s">
        <v>2646</v>
      </c>
      <c r="AB939" s="426" t="s">
        <v>2646</v>
      </c>
      <c r="AC939" s="426" t="s">
        <v>2646</v>
      </c>
      <c r="AD939" s="426" t="s">
        <v>2646</v>
      </c>
      <c r="AE939" s="426" t="s">
        <v>2646</v>
      </c>
      <c r="AF939" s="426" t="s">
        <v>2646</v>
      </c>
      <c r="AG939" s="426" t="s">
        <v>2646</v>
      </c>
      <c r="AH939" s="426" t="s">
        <v>2646</v>
      </c>
      <c r="AI939" s="426" t="s">
        <v>2646</v>
      </c>
      <c r="AJ939" s="68" t="s">
        <v>2646</v>
      </c>
    </row>
    <row r="940" spans="1:36" ht="13.5" hidden="1">
      <c r="A940" s="296" t="s">
        <v>2175</v>
      </c>
      <c r="B940" s="427" t="s">
        <v>2650</v>
      </c>
      <c r="C940" s="433" t="s">
        <v>3728</v>
      </c>
      <c r="D940" s="433" t="s">
        <v>2777</v>
      </c>
      <c r="E940" s="433" t="s">
        <v>2654</v>
      </c>
      <c r="F940" s="433" t="s">
        <v>2654</v>
      </c>
      <c r="G940" s="433" t="s">
        <v>2654</v>
      </c>
      <c r="H940" s="433" t="s">
        <v>2654</v>
      </c>
      <c r="I940" s="433" t="s">
        <v>2654</v>
      </c>
      <c r="J940" s="433" t="s">
        <v>2654</v>
      </c>
      <c r="K940" s="433" t="s">
        <v>2654</v>
      </c>
      <c r="L940" s="433" t="s">
        <v>2654</v>
      </c>
      <c r="M940" s="433" t="s">
        <v>2654</v>
      </c>
      <c r="N940" s="433" t="s">
        <v>2654</v>
      </c>
      <c r="O940" s="433" t="s">
        <v>2654</v>
      </c>
      <c r="P940" s="433" t="s">
        <v>4080</v>
      </c>
      <c r="Q940" s="431"/>
      <c r="R940" s="431"/>
      <c r="S940" s="426" t="s">
        <v>3194</v>
      </c>
      <c r="T940" s="426" t="s">
        <v>2657</v>
      </c>
      <c r="U940" s="426" t="s">
        <v>2657</v>
      </c>
      <c r="V940" s="426" t="s">
        <v>2657</v>
      </c>
      <c r="W940" s="426" t="s">
        <v>2646</v>
      </c>
      <c r="X940" s="426" t="s">
        <v>2646</v>
      </c>
      <c r="Y940" s="426" t="s">
        <v>3507</v>
      </c>
      <c r="Z940" s="426" t="s">
        <v>2646</v>
      </c>
      <c r="AA940" s="426" t="s">
        <v>2646</v>
      </c>
      <c r="AB940" s="426" t="s">
        <v>2646</v>
      </c>
      <c r="AC940" s="426" t="s">
        <v>2646</v>
      </c>
      <c r="AD940" s="426" t="s">
        <v>2646</v>
      </c>
      <c r="AE940" s="426" t="s">
        <v>2646</v>
      </c>
      <c r="AF940" s="426" t="s">
        <v>2646</v>
      </c>
      <c r="AG940" s="426" t="s">
        <v>2646</v>
      </c>
      <c r="AH940" s="426" t="s">
        <v>2646</v>
      </c>
      <c r="AI940" s="426" t="s">
        <v>2646</v>
      </c>
      <c r="AJ940" s="68" t="s">
        <v>2646</v>
      </c>
    </row>
    <row r="941" spans="1:36" ht="13.5" hidden="1">
      <c r="A941" s="296" t="s">
        <v>2176</v>
      </c>
      <c r="B941" s="427" t="s">
        <v>2651</v>
      </c>
      <c r="C941" s="433" t="s">
        <v>3042</v>
      </c>
      <c r="D941" s="433" t="s">
        <v>2835</v>
      </c>
      <c r="E941" s="433" t="s">
        <v>2654</v>
      </c>
      <c r="F941" s="433" t="s">
        <v>2654</v>
      </c>
      <c r="G941" s="433" t="s">
        <v>2654</v>
      </c>
      <c r="H941" s="433" t="s">
        <v>2654</v>
      </c>
      <c r="I941" s="433" t="s">
        <v>2654</v>
      </c>
      <c r="J941" s="433" t="s">
        <v>2654</v>
      </c>
      <c r="K941" s="433" t="s">
        <v>2654</v>
      </c>
      <c r="L941" s="433" t="s">
        <v>2654</v>
      </c>
      <c r="M941" s="433" t="s">
        <v>2654</v>
      </c>
      <c r="N941" s="433" t="s">
        <v>2654</v>
      </c>
      <c r="O941" s="433" t="s">
        <v>2654</v>
      </c>
      <c r="P941" s="433" t="s">
        <v>4061</v>
      </c>
      <c r="Q941" s="431"/>
      <c r="R941" s="431"/>
      <c r="S941" s="426" t="s">
        <v>2778</v>
      </c>
      <c r="T941" s="426" t="s">
        <v>2646</v>
      </c>
      <c r="U941" s="426" t="s">
        <v>2646</v>
      </c>
      <c r="V941" s="426" t="s">
        <v>2646</v>
      </c>
      <c r="W941" s="426" t="s">
        <v>2646</v>
      </c>
      <c r="X941" s="426" t="s">
        <v>2646</v>
      </c>
      <c r="Y941" s="426" t="s">
        <v>2646</v>
      </c>
      <c r="Z941" s="426" t="s">
        <v>2646</v>
      </c>
      <c r="AA941" s="426" t="s">
        <v>2646</v>
      </c>
      <c r="AB941" s="426" t="s">
        <v>2646</v>
      </c>
      <c r="AC941" s="426" t="s">
        <v>2646</v>
      </c>
      <c r="AD941" s="426" t="s">
        <v>2646</v>
      </c>
      <c r="AE941" s="426" t="s">
        <v>2646</v>
      </c>
      <c r="AF941" s="426" t="s">
        <v>2646</v>
      </c>
      <c r="AG941" s="426" t="s">
        <v>2646</v>
      </c>
      <c r="AH941" s="426" t="s">
        <v>2646</v>
      </c>
      <c r="AI941" s="426" t="s">
        <v>2646</v>
      </c>
      <c r="AJ941" s="68" t="s">
        <v>2646</v>
      </c>
    </row>
    <row r="942" spans="1:36" ht="13.5">
      <c r="A942" s="296" t="s">
        <v>2176</v>
      </c>
      <c r="B942" s="427" t="s">
        <v>48</v>
      </c>
      <c r="C942" s="433" t="s">
        <v>3262</v>
      </c>
      <c r="D942" s="433" t="s">
        <v>3255</v>
      </c>
      <c r="E942" s="433" t="s">
        <v>2654</v>
      </c>
      <c r="F942" s="433" t="s">
        <v>2654</v>
      </c>
      <c r="G942" s="433" t="s">
        <v>2654</v>
      </c>
      <c r="H942" s="433" t="s">
        <v>2654</v>
      </c>
      <c r="I942" s="433" t="s">
        <v>2654</v>
      </c>
      <c r="J942" s="433" t="s">
        <v>2654</v>
      </c>
      <c r="K942" s="433" t="s">
        <v>2654</v>
      </c>
      <c r="L942" s="433" t="s">
        <v>2654</v>
      </c>
      <c r="M942" s="433" t="s">
        <v>2654</v>
      </c>
      <c r="N942" s="433" t="s">
        <v>2654</v>
      </c>
      <c r="O942" s="433" t="s">
        <v>2654</v>
      </c>
      <c r="P942" s="433" t="s">
        <v>2677</v>
      </c>
      <c r="Q942" s="433" t="s">
        <v>2654</v>
      </c>
      <c r="R942" s="433" t="s">
        <v>2654</v>
      </c>
      <c r="S942" s="426"/>
      <c r="T942" s="426"/>
      <c r="U942" s="426"/>
      <c r="V942" s="426"/>
      <c r="W942" s="426"/>
      <c r="X942" s="426"/>
      <c r="Y942" s="426"/>
      <c r="Z942" s="426"/>
      <c r="AA942" s="426"/>
      <c r="AB942" s="426"/>
      <c r="AC942" s="426"/>
      <c r="AD942" s="426"/>
      <c r="AE942" s="426"/>
      <c r="AF942" s="426"/>
      <c r="AG942" s="426"/>
      <c r="AH942" s="426"/>
      <c r="AI942" s="426"/>
    </row>
    <row r="943" spans="1:36" ht="13.5" hidden="1">
      <c r="A943" s="296" t="s">
        <v>2177</v>
      </c>
      <c r="B943" s="427" t="s">
        <v>2647</v>
      </c>
      <c r="C943" s="433" t="s">
        <v>3580</v>
      </c>
      <c r="D943" s="433" t="s">
        <v>2720</v>
      </c>
      <c r="E943" s="433" t="s">
        <v>2654</v>
      </c>
      <c r="F943" s="433" t="s">
        <v>2654</v>
      </c>
      <c r="G943" s="433" t="s">
        <v>2654</v>
      </c>
      <c r="H943" s="433" t="s">
        <v>2654</v>
      </c>
      <c r="I943" s="433" t="s">
        <v>2654</v>
      </c>
      <c r="J943" s="433" t="s">
        <v>2654</v>
      </c>
      <c r="K943" s="433" t="s">
        <v>2654</v>
      </c>
      <c r="L943" s="433" t="s">
        <v>2654</v>
      </c>
      <c r="M943" s="433" t="s">
        <v>2654</v>
      </c>
      <c r="N943" s="433" t="s">
        <v>2654</v>
      </c>
      <c r="O943" s="433" t="s">
        <v>2654</v>
      </c>
      <c r="P943" s="433" t="s">
        <v>4061</v>
      </c>
      <c r="Q943" s="431"/>
      <c r="R943" s="431"/>
      <c r="S943" s="426" t="s">
        <v>2786</v>
      </c>
      <c r="T943" s="426" t="s">
        <v>2657</v>
      </c>
      <c r="U943" s="426" t="s">
        <v>2657</v>
      </c>
      <c r="V943" s="426" t="s">
        <v>2657</v>
      </c>
      <c r="W943" s="426" t="s">
        <v>3441</v>
      </c>
      <c r="X943" s="426" t="s">
        <v>3489</v>
      </c>
      <c r="Y943" s="426" t="s">
        <v>2890</v>
      </c>
      <c r="Z943" s="426" t="s">
        <v>2646</v>
      </c>
      <c r="AA943" s="426" t="s">
        <v>2646</v>
      </c>
      <c r="AB943" s="426" t="s">
        <v>2646</v>
      </c>
      <c r="AC943" s="426" t="s">
        <v>2646</v>
      </c>
      <c r="AD943" s="426" t="s">
        <v>2646</v>
      </c>
      <c r="AE943" s="426" t="s">
        <v>2646</v>
      </c>
      <c r="AF943" s="426" t="s">
        <v>2646</v>
      </c>
      <c r="AG943" s="426" t="s">
        <v>2646</v>
      </c>
      <c r="AH943" s="426" t="s">
        <v>2646</v>
      </c>
      <c r="AI943" s="426" t="s">
        <v>2646</v>
      </c>
      <c r="AJ943" s="68" t="s">
        <v>2646</v>
      </c>
    </row>
    <row r="944" spans="1:36" ht="13.5" hidden="1">
      <c r="A944" s="296" t="s">
        <v>2178</v>
      </c>
      <c r="B944" s="427" t="s">
        <v>2648</v>
      </c>
      <c r="C944" s="433" t="s">
        <v>3670</v>
      </c>
      <c r="D944" s="433" t="s">
        <v>2833</v>
      </c>
      <c r="E944" s="433" t="s">
        <v>2654</v>
      </c>
      <c r="F944" s="433" t="s">
        <v>2654</v>
      </c>
      <c r="G944" s="433" t="s">
        <v>2654</v>
      </c>
      <c r="H944" s="433" t="s">
        <v>2654</v>
      </c>
      <c r="I944" s="433" t="s">
        <v>2654</v>
      </c>
      <c r="J944" s="433" t="s">
        <v>2654</v>
      </c>
      <c r="K944" s="433" t="s">
        <v>2654</v>
      </c>
      <c r="L944" s="433" t="s">
        <v>2654</v>
      </c>
      <c r="M944" s="433" t="s">
        <v>2654</v>
      </c>
      <c r="N944" s="433" t="s">
        <v>2654</v>
      </c>
      <c r="O944" s="433" t="s">
        <v>2654</v>
      </c>
      <c r="P944" s="433" t="s">
        <v>4233</v>
      </c>
      <c r="Q944" s="431"/>
      <c r="R944" s="431"/>
      <c r="S944" s="426" t="s">
        <v>2655</v>
      </c>
      <c r="T944" s="426" t="s">
        <v>2657</v>
      </c>
      <c r="U944" s="426" t="s">
        <v>2657</v>
      </c>
      <c r="V944" s="426" t="s">
        <v>2657</v>
      </c>
      <c r="W944" s="426" t="s">
        <v>3605</v>
      </c>
      <c r="X944" s="426" t="s">
        <v>3606</v>
      </c>
      <c r="Y944" s="426" t="s">
        <v>2982</v>
      </c>
      <c r="Z944" s="426" t="s">
        <v>2646</v>
      </c>
      <c r="AA944" s="426" t="s">
        <v>2646</v>
      </c>
      <c r="AB944" s="426" t="s">
        <v>2646</v>
      </c>
      <c r="AC944" s="426" t="s">
        <v>2646</v>
      </c>
      <c r="AD944" s="426" t="s">
        <v>2646</v>
      </c>
      <c r="AE944" s="426" t="s">
        <v>2646</v>
      </c>
      <c r="AF944" s="426" t="s">
        <v>2646</v>
      </c>
      <c r="AG944" s="426" t="s">
        <v>2646</v>
      </c>
      <c r="AH944" s="426" t="s">
        <v>2646</v>
      </c>
      <c r="AI944" s="426" t="s">
        <v>2646</v>
      </c>
      <c r="AJ944" s="68" t="s">
        <v>2646</v>
      </c>
    </row>
    <row r="945" spans="1:36" ht="13.5" hidden="1">
      <c r="A945" s="296" t="s">
        <v>2179</v>
      </c>
      <c r="B945" s="427" t="s">
        <v>2649</v>
      </c>
      <c r="C945" s="433" t="s">
        <v>3521</v>
      </c>
      <c r="D945" s="433" t="s">
        <v>2833</v>
      </c>
      <c r="E945" s="433" t="s">
        <v>2654</v>
      </c>
      <c r="F945" s="433" t="s">
        <v>2654</v>
      </c>
      <c r="G945" s="433" t="s">
        <v>2654</v>
      </c>
      <c r="H945" s="433" t="s">
        <v>2654</v>
      </c>
      <c r="I945" s="433" t="s">
        <v>2654</v>
      </c>
      <c r="J945" s="433" t="s">
        <v>2654</v>
      </c>
      <c r="K945" s="433" t="s">
        <v>2654</v>
      </c>
      <c r="L945" s="433" t="s">
        <v>2654</v>
      </c>
      <c r="M945" s="433" t="s">
        <v>2654</v>
      </c>
      <c r="N945" s="433" t="s">
        <v>2654</v>
      </c>
      <c r="O945" s="433" t="s">
        <v>2654</v>
      </c>
      <c r="P945" s="433" t="s">
        <v>4087</v>
      </c>
      <c r="Q945" s="431"/>
      <c r="R945" s="431"/>
      <c r="S945" s="426" t="s">
        <v>3142</v>
      </c>
      <c r="T945" s="426" t="s">
        <v>2657</v>
      </c>
      <c r="U945" s="426" t="s">
        <v>2657</v>
      </c>
      <c r="V945" s="426" t="s">
        <v>2657</v>
      </c>
      <c r="W945" s="426" t="s">
        <v>3605</v>
      </c>
      <c r="X945" s="426" t="s">
        <v>3606</v>
      </c>
      <c r="Y945" s="426" t="s">
        <v>2982</v>
      </c>
      <c r="Z945" s="426" t="s">
        <v>2646</v>
      </c>
      <c r="AA945" s="426" t="s">
        <v>2646</v>
      </c>
      <c r="AB945" s="426" t="s">
        <v>2646</v>
      </c>
      <c r="AC945" s="426" t="s">
        <v>2646</v>
      </c>
      <c r="AD945" s="426" t="s">
        <v>2646</v>
      </c>
      <c r="AE945" s="426" t="s">
        <v>2646</v>
      </c>
      <c r="AF945" s="426" t="s">
        <v>2646</v>
      </c>
      <c r="AG945" s="426" t="s">
        <v>2646</v>
      </c>
      <c r="AH945" s="426" t="s">
        <v>2646</v>
      </c>
      <c r="AI945" s="426" t="s">
        <v>2646</v>
      </c>
      <c r="AJ945" s="68" t="s">
        <v>2646</v>
      </c>
    </row>
    <row r="946" spans="1:36" ht="13.5" hidden="1">
      <c r="A946" s="296" t="s">
        <v>2180</v>
      </c>
      <c r="B946" s="427" t="s">
        <v>2650</v>
      </c>
      <c r="C946" s="433" t="s">
        <v>3408</v>
      </c>
      <c r="D946" s="433" t="s">
        <v>2720</v>
      </c>
      <c r="E946" s="433" t="s">
        <v>2654</v>
      </c>
      <c r="F946" s="433" t="s">
        <v>2654</v>
      </c>
      <c r="G946" s="433" t="s">
        <v>2654</v>
      </c>
      <c r="H946" s="433" t="s">
        <v>2654</v>
      </c>
      <c r="I946" s="433" t="s">
        <v>2654</v>
      </c>
      <c r="J946" s="433" t="s">
        <v>2654</v>
      </c>
      <c r="K946" s="433" t="s">
        <v>2654</v>
      </c>
      <c r="L946" s="433" t="s">
        <v>2654</v>
      </c>
      <c r="M946" s="433" t="s">
        <v>2654</v>
      </c>
      <c r="N946" s="433" t="s">
        <v>2654</v>
      </c>
      <c r="O946" s="433" t="s">
        <v>2654</v>
      </c>
      <c r="P946" s="433" t="s">
        <v>4080</v>
      </c>
      <c r="Q946" s="431"/>
      <c r="R946" s="431"/>
      <c r="S946" s="426" t="s">
        <v>2778</v>
      </c>
      <c r="T946" s="426" t="s">
        <v>3423</v>
      </c>
      <c r="U946" s="426" t="s">
        <v>2778</v>
      </c>
      <c r="V946" s="426" t="s">
        <v>2778</v>
      </c>
      <c r="W946" s="426" t="s">
        <v>3605</v>
      </c>
      <c r="X946" s="426" t="s">
        <v>3606</v>
      </c>
      <c r="Y946" s="426" t="s">
        <v>2982</v>
      </c>
      <c r="Z946" s="426" t="s">
        <v>2646</v>
      </c>
      <c r="AA946" s="426" t="s">
        <v>2646</v>
      </c>
      <c r="AB946" s="426" t="s">
        <v>2646</v>
      </c>
      <c r="AC946" s="426" t="s">
        <v>2646</v>
      </c>
      <c r="AD946" s="426" t="s">
        <v>2646</v>
      </c>
      <c r="AE946" s="426" t="s">
        <v>2646</v>
      </c>
      <c r="AF946" s="426" t="s">
        <v>2646</v>
      </c>
      <c r="AG946" s="426" t="s">
        <v>2646</v>
      </c>
      <c r="AH946" s="426" t="s">
        <v>2646</v>
      </c>
      <c r="AI946" s="426" t="s">
        <v>2646</v>
      </c>
      <c r="AJ946" s="68" t="s">
        <v>2646</v>
      </c>
    </row>
    <row r="947" spans="1:36" ht="13.5" hidden="1">
      <c r="A947" s="296" t="s">
        <v>2181</v>
      </c>
      <c r="B947" s="427" t="s">
        <v>2651</v>
      </c>
      <c r="C947" s="433" t="s">
        <v>3060</v>
      </c>
      <c r="D947" s="433" t="s">
        <v>2720</v>
      </c>
      <c r="E947" s="433" t="s">
        <v>2654</v>
      </c>
      <c r="F947" s="433" t="s">
        <v>2654</v>
      </c>
      <c r="G947" s="433" t="s">
        <v>2654</v>
      </c>
      <c r="H947" s="433" t="s">
        <v>2654</v>
      </c>
      <c r="I947" s="433" t="s">
        <v>2654</v>
      </c>
      <c r="J947" s="433" t="s">
        <v>2654</v>
      </c>
      <c r="K947" s="433" t="s">
        <v>2654</v>
      </c>
      <c r="L947" s="433" t="s">
        <v>2654</v>
      </c>
      <c r="M947" s="433" t="s">
        <v>2654</v>
      </c>
      <c r="N947" s="433" t="s">
        <v>2654</v>
      </c>
      <c r="O947" s="433" t="s">
        <v>2654</v>
      </c>
      <c r="P947" s="433" t="s">
        <v>4057</v>
      </c>
      <c r="Q947" s="431"/>
      <c r="R947" s="431"/>
      <c r="S947" s="426" t="s">
        <v>2778</v>
      </c>
      <c r="T947" s="426" t="s">
        <v>2657</v>
      </c>
      <c r="U947" s="426" t="s">
        <v>2657</v>
      </c>
      <c r="V947" s="426" t="s">
        <v>2657</v>
      </c>
      <c r="W947" s="426" t="s">
        <v>3605</v>
      </c>
      <c r="X947" s="426" t="s">
        <v>3606</v>
      </c>
      <c r="Y947" s="426" t="s">
        <v>2982</v>
      </c>
      <c r="Z947" s="426" t="s">
        <v>2646</v>
      </c>
      <c r="AA947" s="426" t="s">
        <v>2646</v>
      </c>
      <c r="AB947" s="426" t="s">
        <v>2646</v>
      </c>
      <c r="AC947" s="426" t="s">
        <v>2646</v>
      </c>
      <c r="AD947" s="426" t="s">
        <v>2646</v>
      </c>
      <c r="AE947" s="426" t="s">
        <v>2646</v>
      </c>
      <c r="AF947" s="426" t="s">
        <v>2646</v>
      </c>
      <c r="AG947" s="426" t="s">
        <v>2646</v>
      </c>
      <c r="AH947" s="426" t="s">
        <v>2646</v>
      </c>
      <c r="AI947" s="426" t="s">
        <v>2646</v>
      </c>
      <c r="AJ947" s="68" t="s">
        <v>2646</v>
      </c>
    </row>
    <row r="948" spans="1:36" ht="13.5">
      <c r="A948" s="296" t="s">
        <v>2181</v>
      </c>
      <c r="B948" s="427" t="s">
        <v>48</v>
      </c>
      <c r="C948" s="433" t="s">
        <v>3603</v>
      </c>
      <c r="D948" s="433" t="s">
        <v>3900</v>
      </c>
      <c r="E948" s="433" t="s">
        <v>2654</v>
      </c>
      <c r="F948" s="433" t="s">
        <v>2654</v>
      </c>
      <c r="G948" s="433" t="s">
        <v>2654</v>
      </c>
      <c r="H948" s="433" t="s">
        <v>2654</v>
      </c>
      <c r="I948" s="433" t="s">
        <v>2654</v>
      </c>
      <c r="J948" s="433" t="s">
        <v>2654</v>
      </c>
      <c r="K948" s="433" t="s">
        <v>2654</v>
      </c>
      <c r="L948" s="433" t="s">
        <v>2654</v>
      </c>
      <c r="M948" s="433" t="s">
        <v>2654</v>
      </c>
      <c r="N948" s="433" t="s">
        <v>2654</v>
      </c>
      <c r="O948" s="433" t="s">
        <v>2654</v>
      </c>
      <c r="P948" s="433" t="s">
        <v>3292</v>
      </c>
      <c r="Q948" s="433" t="s">
        <v>2654</v>
      </c>
      <c r="R948" s="433" t="s">
        <v>2654</v>
      </c>
      <c r="S948" s="426"/>
      <c r="T948" s="426"/>
      <c r="U948" s="426"/>
      <c r="V948" s="426"/>
      <c r="W948" s="426"/>
      <c r="X948" s="426"/>
      <c r="Y948" s="426"/>
      <c r="Z948" s="426"/>
      <c r="AA948" s="426"/>
      <c r="AB948" s="426"/>
      <c r="AC948" s="426"/>
      <c r="AD948" s="426"/>
      <c r="AE948" s="426"/>
      <c r="AF948" s="426"/>
      <c r="AG948" s="426"/>
      <c r="AH948" s="426"/>
      <c r="AI948" s="426"/>
    </row>
    <row r="949" spans="1:36" ht="13.5" hidden="1">
      <c r="A949" s="296" t="s">
        <v>2182</v>
      </c>
      <c r="B949" s="427" t="s">
        <v>2647</v>
      </c>
      <c r="C949" s="433" t="s">
        <v>3364</v>
      </c>
      <c r="D949" s="433" t="s">
        <v>3247</v>
      </c>
      <c r="E949" s="433" t="s">
        <v>2654</v>
      </c>
      <c r="F949" s="433" t="s">
        <v>2654</v>
      </c>
      <c r="G949" s="433" t="s">
        <v>2654</v>
      </c>
      <c r="H949" s="433" t="s">
        <v>2654</v>
      </c>
      <c r="I949" s="433" t="s">
        <v>2654</v>
      </c>
      <c r="J949" s="433" t="s">
        <v>2654</v>
      </c>
      <c r="K949" s="433" t="s">
        <v>2654</v>
      </c>
      <c r="L949" s="433" t="s">
        <v>2654</v>
      </c>
      <c r="M949" s="433" t="s">
        <v>2654</v>
      </c>
      <c r="N949" s="433" t="s">
        <v>2654</v>
      </c>
      <c r="O949" s="433" t="s">
        <v>2654</v>
      </c>
      <c r="P949" s="433" t="s">
        <v>4057</v>
      </c>
      <c r="Q949" s="431"/>
      <c r="R949" s="431"/>
      <c r="S949" s="426" t="s">
        <v>2660</v>
      </c>
      <c r="T949" s="426" t="s">
        <v>3194</v>
      </c>
      <c r="U949" s="426" t="s">
        <v>2657</v>
      </c>
      <c r="V949" s="426" t="s">
        <v>2657</v>
      </c>
      <c r="W949" s="426" t="s">
        <v>3605</v>
      </c>
      <c r="X949" s="426" t="s">
        <v>3608</v>
      </c>
      <c r="Y949" s="426" t="s">
        <v>3199</v>
      </c>
      <c r="Z949" s="426" t="s">
        <v>3298</v>
      </c>
      <c r="AA949" s="426" t="s">
        <v>3517</v>
      </c>
      <c r="AB949" s="426" t="s">
        <v>3574</v>
      </c>
      <c r="AC949" s="426" t="s">
        <v>2646</v>
      </c>
      <c r="AD949" s="426" t="s">
        <v>2646</v>
      </c>
      <c r="AE949" s="426" t="s">
        <v>2646</v>
      </c>
      <c r="AF949" s="426" t="s">
        <v>2646</v>
      </c>
      <c r="AG949" s="426" t="s">
        <v>2646</v>
      </c>
      <c r="AH949" s="426" t="s">
        <v>2646</v>
      </c>
      <c r="AI949" s="426" t="s">
        <v>2646</v>
      </c>
      <c r="AJ949" s="68" t="s">
        <v>2646</v>
      </c>
    </row>
    <row r="950" spans="1:36" ht="13.5" hidden="1">
      <c r="A950" s="296" t="s">
        <v>2183</v>
      </c>
      <c r="B950" s="427" t="s">
        <v>2648</v>
      </c>
      <c r="C950" s="433" t="s">
        <v>3858</v>
      </c>
      <c r="D950" s="433" t="s">
        <v>3354</v>
      </c>
      <c r="E950" s="433" t="s">
        <v>2654</v>
      </c>
      <c r="F950" s="433" t="s">
        <v>2654</v>
      </c>
      <c r="G950" s="433" t="s">
        <v>2654</v>
      </c>
      <c r="H950" s="433" t="s">
        <v>2654</v>
      </c>
      <c r="I950" s="433" t="s">
        <v>2654</v>
      </c>
      <c r="J950" s="433" t="s">
        <v>2654</v>
      </c>
      <c r="K950" s="433" t="s">
        <v>2654</v>
      </c>
      <c r="L950" s="433" t="s">
        <v>2654</v>
      </c>
      <c r="M950" s="433" t="s">
        <v>2654</v>
      </c>
      <c r="N950" s="433" t="s">
        <v>2654</v>
      </c>
      <c r="O950" s="433" t="s">
        <v>2654</v>
      </c>
      <c r="P950" s="433" t="s">
        <v>4059</v>
      </c>
      <c r="Q950" s="431"/>
      <c r="R950" s="431"/>
      <c r="S950" s="426" t="s">
        <v>3186</v>
      </c>
      <c r="T950" s="426" t="s">
        <v>2657</v>
      </c>
      <c r="U950" s="426" t="s">
        <v>2657</v>
      </c>
      <c r="V950" s="426" t="s">
        <v>2657</v>
      </c>
      <c r="W950" s="426" t="s">
        <v>3605</v>
      </c>
      <c r="X950" s="426" t="s">
        <v>3608</v>
      </c>
      <c r="Y950" s="426" t="s">
        <v>3199</v>
      </c>
      <c r="Z950" s="426" t="s">
        <v>3412</v>
      </c>
      <c r="AA950" s="426" t="s">
        <v>3517</v>
      </c>
      <c r="AB950" s="426" t="s">
        <v>3574</v>
      </c>
      <c r="AC950" s="426" t="s">
        <v>2646</v>
      </c>
      <c r="AD950" s="426" t="s">
        <v>2646</v>
      </c>
      <c r="AE950" s="426" t="s">
        <v>2646</v>
      </c>
      <c r="AF950" s="426" t="s">
        <v>2646</v>
      </c>
      <c r="AG950" s="426" t="s">
        <v>2646</v>
      </c>
      <c r="AH950" s="426" t="s">
        <v>2646</v>
      </c>
      <c r="AI950" s="426" t="s">
        <v>2646</v>
      </c>
      <c r="AJ950" s="68" t="s">
        <v>2646</v>
      </c>
    </row>
    <row r="951" spans="1:36" ht="13.5" hidden="1">
      <c r="A951" s="296" t="s">
        <v>2184</v>
      </c>
      <c r="B951" s="427" t="s">
        <v>2649</v>
      </c>
      <c r="C951" s="433" t="s">
        <v>3141</v>
      </c>
      <c r="D951" s="433" t="s">
        <v>3262</v>
      </c>
      <c r="E951" s="433" t="s">
        <v>2654</v>
      </c>
      <c r="F951" s="433" t="s">
        <v>2654</v>
      </c>
      <c r="G951" s="433" t="s">
        <v>2654</v>
      </c>
      <c r="H951" s="433" t="s">
        <v>2654</v>
      </c>
      <c r="I951" s="433" t="s">
        <v>2654</v>
      </c>
      <c r="J951" s="433" t="s">
        <v>2654</v>
      </c>
      <c r="K951" s="433" t="s">
        <v>2654</v>
      </c>
      <c r="L951" s="433" t="s">
        <v>2654</v>
      </c>
      <c r="M951" s="433" t="s">
        <v>2654</v>
      </c>
      <c r="N951" s="433" t="s">
        <v>2654</v>
      </c>
      <c r="O951" s="433" t="s">
        <v>2654</v>
      </c>
      <c r="P951" s="433" t="s">
        <v>4080</v>
      </c>
      <c r="Q951" s="431"/>
      <c r="R951" s="431"/>
      <c r="S951" s="426" t="s">
        <v>2673</v>
      </c>
      <c r="T951" s="426" t="s">
        <v>2657</v>
      </c>
      <c r="U951" s="426" t="s">
        <v>2657</v>
      </c>
      <c r="V951" s="426" t="s">
        <v>2657</v>
      </c>
      <c r="W951" s="426" t="s">
        <v>3605</v>
      </c>
      <c r="X951" s="426" t="s">
        <v>3608</v>
      </c>
      <c r="Y951" s="426" t="s">
        <v>3199</v>
      </c>
      <c r="Z951" s="426" t="s">
        <v>3298</v>
      </c>
      <c r="AA951" s="426" t="s">
        <v>3517</v>
      </c>
      <c r="AB951" s="426" t="s">
        <v>3574</v>
      </c>
      <c r="AC951" s="426" t="s">
        <v>2646</v>
      </c>
      <c r="AD951" s="426" t="s">
        <v>2646</v>
      </c>
      <c r="AE951" s="426" t="s">
        <v>2646</v>
      </c>
      <c r="AF951" s="426" t="s">
        <v>2646</v>
      </c>
      <c r="AG951" s="426" t="s">
        <v>2646</v>
      </c>
      <c r="AH951" s="426" t="s">
        <v>2646</v>
      </c>
      <c r="AI951" s="426" t="s">
        <v>2646</v>
      </c>
      <c r="AJ951" s="68" t="s">
        <v>2646</v>
      </c>
    </row>
    <row r="952" spans="1:36" ht="13.5" hidden="1">
      <c r="A952" s="296" t="s">
        <v>2185</v>
      </c>
      <c r="B952" s="427" t="s">
        <v>2650</v>
      </c>
      <c r="C952" s="433" t="s">
        <v>3467</v>
      </c>
      <c r="D952" s="433" t="s">
        <v>3247</v>
      </c>
      <c r="E952" s="433" t="s">
        <v>2654</v>
      </c>
      <c r="F952" s="433" t="s">
        <v>2654</v>
      </c>
      <c r="G952" s="433" t="s">
        <v>2654</v>
      </c>
      <c r="H952" s="433" t="s">
        <v>2654</v>
      </c>
      <c r="I952" s="433" t="s">
        <v>2654</v>
      </c>
      <c r="J952" s="433" t="s">
        <v>2654</v>
      </c>
      <c r="K952" s="433" t="s">
        <v>2654</v>
      </c>
      <c r="L952" s="433" t="s">
        <v>2654</v>
      </c>
      <c r="M952" s="433" t="s">
        <v>2654</v>
      </c>
      <c r="N952" s="433" t="s">
        <v>2654</v>
      </c>
      <c r="O952" s="433" t="s">
        <v>2654</v>
      </c>
      <c r="P952" s="433" t="s">
        <v>4061</v>
      </c>
      <c r="Q952" s="431"/>
      <c r="R952" s="431"/>
      <c r="S952" s="426" t="s">
        <v>2660</v>
      </c>
      <c r="T952" s="426" t="s">
        <v>2655</v>
      </c>
      <c r="U952" s="426" t="s">
        <v>2657</v>
      </c>
      <c r="V952" s="426" t="s">
        <v>2657</v>
      </c>
      <c r="W952" s="426" t="s">
        <v>3605</v>
      </c>
      <c r="X952" s="426" t="s">
        <v>3608</v>
      </c>
      <c r="Y952" s="426" t="s">
        <v>3199</v>
      </c>
      <c r="Z952" s="426" t="s">
        <v>3298</v>
      </c>
      <c r="AA952" s="426" t="s">
        <v>3517</v>
      </c>
      <c r="AB952" s="426" t="s">
        <v>3574</v>
      </c>
      <c r="AC952" s="426" t="s">
        <v>2646</v>
      </c>
      <c r="AD952" s="426" t="s">
        <v>2646</v>
      </c>
      <c r="AE952" s="426" t="s">
        <v>2646</v>
      </c>
      <c r="AF952" s="426" t="s">
        <v>2646</v>
      </c>
      <c r="AG952" s="426" t="s">
        <v>2646</v>
      </c>
      <c r="AH952" s="426" t="s">
        <v>2646</v>
      </c>
      <c r="AI952" s="426" t="s">
        <v>2646</v>
      </c>
      <c r="AJ952" s="68" t="s">
        <v>2646</v>
      </c>
    </row>
    <row r="953" spans="1:36" ht="13.5" hidden="1">
      <c r="A953" s="296" t="s">
        <v>2186</v>
      </c>
      <c r="B953" s="427" t="s">
        <v>2651</v>
      </c>
      <c r="C953" s="433" t="s">
        <v>3676</v>
      </c>
      <c r="D953" s="433" t="s">
        <v>3262</v>
      </c>
      <c r="E953" s="433" t="s">
        <v>2654</v>
      </c>
      <c r="F953" s="433" t="s">
        <v>2654</v>
      </c>
      <c r="G953" s="433" t="s">
        <v>2654</v>
      </c>
      <c r="H953" s="433" t="s">
        <v>2654</v>
      </c>
      <c r="I953" s="433" t="s">
        <v>2654</v>
      </c>
      <c r="J953" s="433" t="s">
        <v>2654</v>
      </c>
      <c r="K953" s="433" t="s">
        <v>2654</v>
      </c>
      <c r="L953" s="433" t="s">
        <v>2654</v>
      </c>
      <c r="M953" s="433" t="s">
        <v>2654</v>
      </c>
      <c r="N953" s="433" t="s">
        <v>2654</v>
      </c>
      <c r="O953" s="433" t="s">
        <v>2654</v>
      </c>
      <c r="P953" s="433" t="s">
        <v>4059</v>
      </c>
      <c r="Q953" s="431"/>
      <c r="R953" s="431"/>
      <c r="S953" s="426" t="s">
        <v>2660</v>
      </c>
      <c r="T953" s="426" t="s">
        <v>2657</v>
      </c>
      <c r="U953" s="426" t="s">
        <v>2657</v>
      </c>
      <c r="V953" s="426" t="s">
        <v>2657</v>
      </c>
      <c r="W953" s="426" t="s">
        <v>3605</v>
      </c>
      <c r="X953" s="426" t="s">
        <v>3608</v>
      </c>
      <c r="Y953" s="426" t="s">
        <v>3199</v>
      </c>
      <c r="Z953" s="426" t="s">
        <v>3484</v>
      </c>
      <c r="AA953" s="426" t="s">
        <v>3517</v>
      </c>
      <c r="AB953" s="426" t="s">
        <v>3574</v>
      </c>
      <c r="AC953" s="426" t="s">
        <v>2646</v>
      </c>
      <c r="AD953" s="426" t="s">
        <v>2646</v>
      </c>
      <c r="AE953" s="426" t="s">
        <v>2646</v>
      </c>
      <c r="AF953" s="426" t="s">
        <v>2646</v>
      </c>
      <c r="AG953" s="426" t="s">
        <v>2646</v>
      </c>
      <c r="AH953" s="426" t="s">
        <v>2646</v>
      </c>
      <c r="AI953" s="426" t="s">
        <v>2646</v>
      </c>
      <c r="AJ953" s="68" t="s">
        <v>2646</v>
      </c>
    </row>
    <row r="954" spans="1:36" ht="13.5">
      <c r="A954" s="296" t="s">
        <v>2186</v>
      </c>
      <c r="B954" s="427" t="s">
        <v>48</v>
      </c>
      <c r="C954" s="433" t="s">
        <v>4634</v>
      </c>
      <c r="D954" s="433" t="s">
        <v>4048</v>
      </c>
      <c r="E954" s="433" t="s">
        <v>2654</v>
      </c>
      <c r="F954" s="433" t="s">
        <v>2654</v>
      </c>
      <c r="G954" s="433" t="s">
        <v>2654</v>
      </c>
      <c r="H954" s="433" t="s">
        <v>2654</v>
      </c>
      <c r="I954" s="433" t="s">
        <v>2654</v>
      </c>
      <c r="J954" s="433" t="s">
        <v>2654</v>
      </c>
      <c r="K954" s="433" t="s">
        <v>2654</v>
      </c>
      <c r="L954" s="433" t="s">
        <v>2654</v>
      </c>
      <c r="M954" s="433" t="s">
        <v>2654</v>
      </c>
      <c r="N954" s="433" t="s">
        <v>2654</v>
      </c>
      <c r="O954" s="433" t="s">
        <v>2654</v>
      </c>
      <c r="P954" s="433" t="s">
        <v>4024</v>
      </c>
      <c r="Q954" s="433" t="s">
        <v>2654</v>
      </c>
      <c r="R954" s="433" t="s">
        <v>2654</v>
      </c>
      <c r="S954" s="426"/>
      <c r="T954" s="426"/>
      <c r="U954" s="426"/>
      <c r="V954" s="426"/>
      <c r="W954" s="426"/>
      <c r="X954" s="426"/>
      <c r="Y954" s="426"/>
      <c r="Z954" s="426"/>
      <c r="AA954" s="426"/>
      <c r="AB954" s="426"/>
      <c r="AC954" s="426"/>
      <c r="AD954" s="426"/>
      <c r="AE954" s="426"/>
      <c r="AF954" s="426"/>
      <c r="AG954" s="426"/>
      <c r="AH954" s="426"/>
      <c r="AI954" s="426"/>
    </row>
    <row r="955" spans="1:36" ht="13.5" hidden="1">
      <c r="A955" s="296" t="s">
        <v>2187</v>
      </c>
      <c r="B955" s="427" t="s">
        <v>2647</v>
      </c>
      <c r="C955" s="433" t="s">
        <v>4155</v>
      </c>
      <c r="D955" s="433" t="s">
        <v>3729</v>
      </c>
      <c r="E955" s="433" t="s">
        <v>2654</v>
      </c>
      <c r="F955" s="433" t="s">
        <v>2654</v>
      </c>
      <c r="G955" s="433" t="s">
        <v>2654</v>
      </c>
      <c r="H955" s="433" t="s">
        <v>2654</v>
      </c>
      <c r="I955" s="433" t="s">
        <v>2654</v>
      </c>
      <c r="J955" s="433" t="s">
        <v>2654</v>
      </c>
      <c r="K955" s="433" t="s">
        <v>2654</v>
      </c>
      <c r="L955" s="433" t="s">
        <v>2654</v>
      </c>
      <c r="M955" s="433" t="s">
        <v>2654</v>
      </c>
      <c r="N955" s="433" t="s">
        <v>2654</v>
      </c>
      <c r="O955" s="433" t="s">
        <v>2654</v>
      </c>
      <c r="P955" s="433" t="s">
        <v>4083</v>
      </c>
      <c r="Q955" s="431"/>
      <c r="R955" s="431"/>
      <c r="S955" s="426" t="s">
        <v>3142</v>
      </c>
      <c r="T955" s="426" t="s">
        <v>2657</v>
      </c>
      <c r="U955" s="426" t="s">
        <v>2657</v>
      </c>
      <c r="V955" s="426" t="s">
        <v>2657</v>
      </c>
      <c r="W955" s="426" t="s">
        <v>3605</v>
      </c>
      <c r="X955" s="426" t="s">
        <v>3609</v>
      </c>
      <c r="Y955" s="426" t="s">
        <v>3331</v>
      </c>
      <c r="Z955" s="426" t="s">
        <v>3484</v>
      </c>
      <c r="AA955" s="426" t="s">
        <v>3392</v>
      </c>
      <c r="AB955" s="426" t="s">
        <v>3574</v>
      </c>
      <c r="AC955" s="426" t="s">
        <v>3574</v>
      </c>
      <c r="AD955" s="426" t="s">
        <v>3398</v>
      </c>
      <c r="AE955" s="426" t="s">
        <v>2646</v>
      </c>
      <c r="AF955" s="426" t="s">
        <v>2646</v>
      </c>
      <c r="AG955" s="426" t="s">
        <v>2646</v>
      </c>
      <c r="AH955" s="426" t="s">
        <v>2646</v>
      </c>
      <c r="AI955" s="426" t="s">
        <v>2646</v>
      </c>
      <c r="AJ955" s="68" t="s">
        <v>2646</v>
      </c>
    </row>
    <row r="956" spans="1:36" ht="13.5" hidden="1">
      <c r="A956" s="296" t="s">
        <v>2188</v>
      </c>
      <c r="B956" s="427" t="s">
        <v>2648</v>
      </c>
      <c r="C956" s="433" t="s">
        <v>3912</v>
      </c>
      <c r="D956" s="433" t="s">
        <v>3500</v>
      </c>
      <c r="E956" s="433" t="s">
        <v>2654</v>
      </c>
      <c r="F956" s="433" t="s">
        <v>2654</v>
      </c>
      <c r="G956" s="433" t="s">
        <v>2654</v>
      </c>
      <c r="H956" s="433" t="s">
        <v>2654</v>
      </c>
      <c r="I956" s="433" t="s">
        <v>2654</v>
      </c>
      <c r="J956" s="433" t="s">
        <v>2654</v>
      </c>
      <c r="K956" s="433" t="s">
        <v>2654</v>
      </c>
      <c r="L956" s="433" t="s">
        <v>2654</v>
      </c>
      <c r="M956" s="433" t="s">
        <v>2654</v>
      </c>
      <c r="N956" s="433" t="s">
        <v>2654</v>
      </c>
      <c r="O956" s="433" t="s">
        <v>2654</v>
      </c>
      <c r="P956" s="433" t="s">
        <v>4083</v>
      </c>
      <c r="Q956" s="431"/>
      <c r="R956" s="431"/>
      <c r="S956" s="426" t="s">
        <v>2669</v>
      </c>
      <c r="T956" s="426" t="s">
        <v>2657</v>
      </c>
      <c r="U956" s="426" t="s">
        <v>2657</v>
      </c>
      <c r="V956" s="426" t="s">
        <v>2657</v>
      </c>
      <c r="W956" s="426" t="s">
        <v>3605</v>
      </c>
      <c r="X956" s="426" t="s">
        <v>3609</v>
      </c>
      <c r="Y956" s="426" t="s">
        <v>3331</v>
      </c>
      <c r="Z956" s="426" t="s">
        <v>3484</v>
      </c>
      <c r="AA956" s="426" t="s">
        <v>3392</v>
      </c>
      <c r="AB956" s="426" t="s">
        <v>3574</v>
      </c>
      <c r="AC956" s="426" t="s">
        <v>3574</v>
      </c>
      <c r="AD956" s="426" t="s">
        <v>3398</v>
      </c>
      <c r="AE956" s="426" t="s">
        <v>2646</v>
      </c>
      <c r="AF956" s="426" t="s">
        <v>2646</v>
      </c>
      <c r="AG956" s="426" t="s">
        <v>2646</v>
      </c>
      <c r="AH956" s="426" t="s">
        <v>2646</v>
      </c>
      <c r="AI956" s="426" t="s">
        <v>2646</v>
      </c>
      <c r="AJ956" s="68" t="s">
        <v>2646</v>
      </c>
    </row>
    <row r="957" spans="1:36" ht="13.5" hidden="1">
      <c r="A957" s="296" t="s">
        <v>2189</v>
      </c>
      <c r="B957" s="427" t="s">
        <v>2649</v>
      </c>
      <c r="C957" s="433" t="s">
        <v>4346</v>
      </c>
      <c r="D957" s="433" t="s">
        <v>3729</v>
      </c>
      <c r="E957" s="433" t="s">
        <v>2654</v>
      </c>
      <c r="F957" s="433" t="s">
        <v>2654</v>
      </c>
      <c r="G957" s="433" t="s">
        <v>2654</v>
      </c>
      <c r="H957" s="433" t="s">
        <v>2654</v>
      </c>
      <c r="I957" s="433" t="s">
        <v>2654</v>
      </c>
      <c r="J957" s="433" t="s">
        <v>2654</v>
      </c>
      <c r="K957" s="433" t="s">
        <v>2654</v>
      </c>
      <c r="L957" s="433" t="s">
        <v>2654</v>
      </c>
      <c r="M957" s="433" t="s">
        <v>2654</v>
      </c>
      <c r="N957" s="433" t="s">
        <v>2654</v>
      </c>
      <c r="O957" s="433" t="s">
        <v>2654</v>
      </c>
      <c r="P957" s="433" t="s">
        <v>4080</v>
      </c>
      <c r="Q957" s="431"/>
      <c r="R957" s="431"/>
      <c r="S957" s="426" t="s">
        <v>2660</v>
      </c>
      <c r="T957" s="426" t="s">
        <v>3142</v>
      </c>
      <c r="U957" s="426" t="s">
        <v>2657</v>
      </c>
      <c r="V957" s="426" t="s">
        <v>2657</v>
      </c>
      <c r="W957" s="426" t="s">
        <v>3605</v>
      </c>
      <c r="X957" s="426" t="s">
        <v>3609</v>
      </c>
      <c r="Y957" s="426" t="s">
        <v>3331</v>
      </c>
      <c r="Z957" s="426" t="s">
        <v>3484</v>
      </c>
      <c r="AA957" s="426" t="s">
        <v>3517</v>
      </c>
      <c r="AB957" s="426" t="s">
        <v>3574</v>
      </c>
      <c r="AC957" s="426" t="s">
        <v>3574</v>
      </c>
      <c r="AD957" s="426" t="s">
        <v>3398</v>
      </c>
      <c r="AE957" s="426" t="s">
        <v>2646</v>
      </c>
      <c r="AF957" s="426" t="s">
        <v>2646</v>
      </c>
      <c r="AG957" s="426" t="s">
        <v>2646</v>
      </c>
      <c r="AH957" s="426" t="s">
        <v>2646</v>
      </c>
      <c r="AI957" s="426" t="s">
        <v>2646</v>
      </c>
      <c r="AJ957" s="68" t="s">
        <v>2646</v>
      </c>
    </row>
    <row r="958" spans="1:36" ht="13.5" hidden="1">
      <c r="A958" s="296" t="s">
        <v>2190</v>
      </c>
      <c r="B958" s="427" t="s">
        <v>2650</v>
      </c>
      <c r="C958" s="433" t="s">
        <v>4346</v>
      </c>
      <c r="D958" s="433" t="s">
        <v>3729</v>
      </c>
      <c r="E958" s="433" t="s">
        <v>2654</v>
      </c>
      <c r="F958" s="433" t="s">
        <v>2654</v>
      </c>
      <c r="G958" s="433" t="s">
        <v>2654</v>
      </c>
      <c r="H958" s="433" t="s">
        <v>2654</v>
      </c>
      <c r="I958" s="433" t="s">
        <v>2654</v>
      </c>
      <c r="J958" s="433" t="s">
        <v>2654</v>
      </c>
      <c r="K958" s="433" t="s">
        <v>2654</v>
      </c>
      <c r="L958" s="433" t="s">
        <v>2654</v>
      </c>
      <c r="M958" s="433" t="s">
        <v>2654</v>
      </c>
      <c r="N958" s="433" t="s">
        <v>2654</v>
      </c>
      <c r="O958" s="433" t="s">
        <v>2654</v>
      </c>
      <c r="P958" s="433" t="s">
        <v>4057</v>
      </c>
      <c r="Q958" s="431"/>
      <c r="R958" s="431"/>
      <c r="S958" s="426" t="s">
        <v>3194</v>
      </c>
      <c r="T958" s="426" t="s">
        <v>3610</v>
      </c>
      <c r="U958" s="426" t="s">
        <v>2661</v>
      </c>
      <c r="V958" s="426" t="s">
        <v>2661</v>
      </c>
      <c r="W958" s="426" t="s">
        <v>3605</v>
      </c>
      <c r="X958" s="426" t="s">
        <v>3609</v>
      </c>
      <c r="Y958" s="426" t="s">
        <v>3331</v>
      </c>
      <c r="Z958" s="426" t="s">
        <v>3484</v>
      </c>
      <c r="AA958" s="426" t="s">
        <v>3392</v>
      </c>
      <c r="AB958" s="426" t="s">
        <v>3517</v>
      </c>
      <c r="AC958" s="426" t="s">
        <v>3574</v>
      </c>
      <c r="AD958" s="426" t="s">
        <v>3398</v>
      </c>
      <c r="AE958" s="426" t="s">
        <v>2646</v>
      </c>
      <c r="AF958" s="426" t="s">
        <v>2646</v>
      </c>
      <c r="AG958" s="426" t="s">
        <v>2646</v>
      </c>
      <c r="AH958" s="426" t="s">
        <v>2646</v>
      </c>
      <c r="AI958" s="426" t="s">
        <v>2646</v>
      </c>
      <c r="AJ958" s="68" t="s">
        <v>2646</v>
      </c>
    </row>
    <row r="959" spans="1:36" ht="13.5" hidden="1">
      <c r="A959" s="296" t="s">
        <v>2191</v>
      </c>
      <c r="B959" s="427" t="s">
        <v>2651</v>
      </c>
      <c r="C959" s="433" t="s">
        <v>3653</v>
      </c>
      <c r="D959" s="433" t="s">
        <v>3500</v>
      </c>
      <c r="E959" s="433" t="s">
        <v>2654</v>
      </c>
      <c r="F959" s="433" t="s">
        <v>2654</v>
      </c>
      <c r="G959" s="433" t="s">
        <v>2654</v>
      </c>
      <c r="H959" s="433" t="s">
        <v>2654</v>
      </c>
      <c r="I959" s="433" t="s">
        <v>2654</v>
      </c>
      <c r="J959" s="433" t="s">
        <v>2654</v>
      </c>
      <c r="K959" s="433" t="s">
        <v>2654</v>
      </c>
      <c r="L959" s="433" t="s">
        <v>2654</v>
      </c>
      <c r="M959" s="433" t="s">
        <v>2654</v>
      </c>
      <c r="N959" s="433" t="s">
        <v>2654</v>
      </c>
      <c r="O959" s="433" t="s">
        <v>2654</v>
      </c>
      <c r="P959" s="433" t="s">
        <v>4059</v>
      </c>
      <c r="Q959" s="431"/>
      <c r="R959" s="431"/>
      <c r="S959" s="426" t="s">
        <v>2655</v>
      </c>
      <c r="T959" s="426" t="s">
        <v>2657</v>
      </c>
      <c r="U959" s="426" t="s">
        <v>2657</v>
      </c>
      <c r="V959" s="426" t="s">
        <v>2657</v>
      </c>
      <c r="W959" s="426" t="s">
        <v>3605</v>
      </c>
      <c r="X959" s="426" t="s">
        <v>3609</v>
      </c>
      <c r="Y959" s="426" t="s">
        <v>3331</v>
      </c>
      <c r="Z959" s="426" t="s">
        <v>3484</v>
      </c>
      <c r="AA959" s="426" t="s">
        <v>3517</v>
      </c>
      <c r="AB959" s="426" t="s">
        <v>3574</v>
      </c>
      <c r="AC959" s="426" t="s">
        <v>3574</v>
      </c>
      <c r="AD959" s="426" t="s">
        <v>3398</v>
      </c>
      <c r="AE959" s="426" t="s">
        <v>2646</v>
      </c>
      <c r="AF959" s="426" t="s">
        <v>2646</v>
      </c>
      <c r="AG959" s="426" t="s">
        <v>2646</v>
      </c>
      <c r="AH959" s="426" t="s">
        <v>2646</v>
      </c>
      <c r="AI959" s="426" t="s">
        <v>2646</v>
      </c>
      <c r="AJ959" s="68" t="s">
        <v>2646</v>
      </c>
    </row>
    <row r="960" spans="1:36" ht="13.5">
      <c r="A960" s="296" t="s">
        <v>2191</v>
      </c>
      <c r="B960" s="427" t="s">
        <v>48</v>
      </c>
      <c r="C960" s="433" t="s">
        <v>4635</v>
      </c>
      <c r="D960" s="433" t="s">
        <v>3897</v>
      </c>
      <c r="E960" s="433" t="s">
        <v>2654</v>
      </c>
      <c r="F960" s="433" t="s">
        <v>2654</v>
      </c>
      <c r="G960" s="433" t="s">
        <v>2654</v>
      </c>
      <c r="H960" s="433" t="s">
        <v>2654</v>
      </c>
      <c r="I960" s="433" t="s">
        <v>2654</v>
      </c>
      <c r="J960" s="433" t="s">
        <v>2654</v>
      </c>
      <c r="K960" s="433" t="s">
        <v>2654</v>
      </c>
      <c r="L960" s="433" t="s">
        <v>2654</v>
      </c>
      <c r="M960" s="433" t="s">
        <v>2654</v>
      </c>
      <c r="N960" s="433" t="s">
        <v>2654</v>
      </c>
      <c r="O960" s="433" t="s">
        <v>2654</v>
      </c>
      <c r="P960" s="433" t="s">
        <v>4004</v>
      </c>
      <c r="Q960" s="433" t="s">
        <v>2654</v>
      </c>
      <c r="R960" s="433" t="s">
        <v>2654</v>
      </c>
      <c r="S960" s="426"/>
      <c r="T960" s="426"/>
      <c r="U960" s="426"/>
      <c r="V960" s="426"/>
      <c r="W960" s="426"/>
      <c r="X960" s="426"/>
      <c r="Y960" s="426"/>
      <c r="Z960" s="426"/>
      <c r="AA960" s="426"/>
      <c r="AB960" s="426"/>
      <c r="AC960" s="426"/>
      <c r="AD960" s="426"/>
      <c r="AE960" s="426"/>
      <c r="AF960" s="426"/>
      <c r="AG960" s="426"/>
      <c r="AH960" s="426"/>
      <c r="AI960" s="426"/>
    </row>
    <row r="961" spans="1:36" ht="13.5" hidden="1">
      <c r="A961" s="296" t="s">
        <v>2192</v>
      </c>
      <c r="B961" s="427" t="s">
        <v>2647</v>
      </c>
      <c r="C961" s="433" t="s">
        <v>3514</v>
      </c>
      <c r="D961" s="433" t="s">
        <v>3561</v>
      </c>
      <c r="E961" s="433" t="s">
        <v>2654</v>
      </c>
      <c r="F961" s="433" t="s">
        <v>2654</v>
      </c>
      <c r="G961" s="433" t="s">
        <v>2654</v>
      </c>
      <c r="H961" s="433" t="s">
        <v>2654</v>
      </c>
      <c r="I961" s="433" t="s">
        <v>2654</v>
      </c>
      <c r="J961" s="433" t="s">
        <v>2654</v>
      </c>
      <c r="K961" s="433" t="s">
        <v>2654</v>
      </c>
      <c r="L961" s="433" t="s">
        <v>2654</v>
      </c>
      <c r="M961" s="433" t="s">
        <v>2654</v>
      </c>
      <c r="N961" s="433" t="s">
        <v>2654</v>
      </c>
      <c r="O961" s="433" t="s">
        <v>2654</v>
      </c>
      <c r="P961" s="433" t="s">
        <v>4057</v>
      </c>
      <c r="Q961" s="431"/>
      <c r="R961" s="431"/>
      <c r="S961" s="426" t="s">
        <v>2660</v>
      </c>
      <c r="T961" s="426" t="s">
        <v>2657</v>
      </c>
      <c r="U961" s="426" t="s">
        <v>2657</v>
      </c>
      <c r="V961" s="426" t="s">
        <v>2657</v>
      </c>
      <c r="W961" s="426" t="s">
        <v>3605</v>
      </c>
      <c r="X961" s="426" t="s">
        <v>3189</v>
      </c>
      <c r="Y961" s="426" t="s">
        <v>3335</v>
      </c>
      <c r="Z961" s="426" t="s">
        <v>3484</v>
      </c>
      <c r="AA961" s="426" t="s">
        <v>3392</v>
      </c>
      <c r="AB961" s="426" t="s">
        <v>3574</v>
      </c>
      <c r="AC961" s="426" t="s">
        <v>3574</v>
      </c>
      <c r="AD961" s="426" t="s">
        <v>3311</v>
      </c>
      <c r="AE961" s="426" t="s">
        <v>2646</v>
      </c>
      <c r="AF961" s="426" t="s">
        <v>2646</v>
      </c>
      <c r="AG961" s="426" t="s">
        <v>2646</v>
      </c>
      <c r="AH961" s="426" t="s">
        <v>2646</v>
      </c>
      <c r="AI961" s="426" t="s">
        <v>2646</v>
      </c>
      <c r="AJ961" s="68" t="s">
        <v>2646</v>
      </c>
    </row>
    <row r="962" spans="1:36" ht="13.5" hidden="1">
      <c r="A962" s="296" t="s">
        <v>2193</v>
      </c>
      <c r="B962" s="427" t="s">
        <v>2648</v>
      </c>
      <c r="C962" s="433" t="s">
        <v>3244</v>
      </c>
      <c r="D962" s="433" t="s">
        <v>3561</v>
      </c>
      <c r="E962" s="433" t="s">
        <v>2654</v>
      </c>
      <c r="F962" s="433" t="s">
        <v>2654</v>
      </c>
      <c r="G962" s="433" t="s">
        <v>2654</v>
      </c>
      <c r="H962" s="433" t="s">
        <v>2654</v>
      </c>
      <c r="I962" s="433" t="s">
        <v>2654</v>
      </c>
      <c r="J962" s="433" t="s">
        <v>2654</v>
      </c>
      <c r="K962" s="433" t="s">
        <v>2654</v>
      </c>
      <c r="L962" s="433" t="s">
        <v>2654</v>
      </c>
      <c r="M962" s="433" t="s">
        <v>2654</v>
      </c>
      <c r="N962" s="433" t="s">
        <v>2654</v>
      </c>
      <c r="O962" s="433" t="s">
        <v>2654</v>
      </c>
      <c r="P962" s="433" t="s">
        <v>4080</v>
      </c>
      <c r="Q962" s="431"/>
      <c r="R962" s="431"/>
      <c r="S962" s="426" t="s">
        <v>2665</v>
      </c>
      <c r="T962" s="426" t="s">
        <v>2657</v>
      </c>
      <c r="U962" s="426" t="s">
        <v>2657</v>
      </c>
      <c r="V962" s="426" t="s">
        <v>2657</v>
      </c>
      <c r="W962" s="426" t="s">
        <v>3605</v>
      </c>
      <c r="X962" s="426" t="s">
        <v>3189</v>
      </c>
      <c r="Y962" s="426" t="s">
        <v>3335</v>
      </c>
      <c r="Z962" s="426" t="s">
        <v>3412</v>
      </c>
      <c r="AA962" s="426" t="s">
        <v>3517</v>
      </c>
      <c r="AB962" s="426" t="s">
        <v>3574</v>
      </c>
      <c r="AC962" s="426" t="s">
        <v>3398</v>
      </c>
      <c r="AD962" s="426" t="s">
        <v>3366</v>
      </c>
      <c r="AE962" s="426" t="s">
        <v>2646</v>
      </c>
      <c r="AF962" s="426" t="s">
        <v>2646</v>
      </c>
      <c r="AG962" s="426" t="s">
        <v>2646</v>
      </c>
      <c r="AH962" s="426" t="s">
        <v>2646</v>
      </c>
      <c r="AI962" s="426" t="s">
        <v>2646</v>
      </c>
      <c r="AJ962" s="68" t="s">
        <v>2646</v>
      </c>
    </row>
    <row r="963" spans="1:36" ht="13.5" hidden="1">
      <c r="A963" s="296" t="s">
        <v>2194</v>
      </c>
      <c r="B963" s="427" t="s">
        <v>2649</v>
      </c>
      <c r="C963" s="433" t="s">
        <v>3954</v>
      </c>
      <c r="D963" s="433" t="s">
        <v>3561</v>
      </c>
      <c r="E963" s="433" t="s">
        <v>2654</v>
      </c>
      <c r="F963" s="433" t="s">
        <v>2654</v>
      </c>
      <c r="G963" s="433" t="s">
        <v>2654</v>
      </c>
      <c r="H963" s="433" t="s">
        <v>2654</v>
      </c>
      <c r="I963" s="433" t="s">
        <v>2654</v>
      </c>
      <c r="J963" s="433" t="s">
        <v>2654</v>
      </c>
      <c r="K963" s="433" t="s">
        <v>2654</v>
      </c>
      <c r="L963" s="433" t="s">
        <v>2654</v>
      </c>
      <c r="M963" s="433" t="s">
        <v>2654</v>
      </c>
      <c r="N963" s="433" t="s">
        <v>2654</v>
      </c>
      <c r="O963" s="433" t="s">
        <v>2654</v>
      </c>
      <c r="P963" s="433" t="s">
        <v>4057</v>
      </c>
      <c r="Q963" s="431"/>
      <c r="R963" s="431"/>
      <c r="S963" s="426" t="s">
        <v>3194</v>
      </c>
      <c r="T963" s="426" t="s">
        <v>3441</v>
      </c>
      <c r="U963" s="426" t="s">
        <v>3186</v>
      </c>
      <c r="V963" s="426" t="s">
        <v>3186</v>
      </c>
      <c r="W963" s="426" t="s">
        <v>3605</v>
      </c>
      <c r="X963" s="426" t="s">
        <v>3189</v>
      </c>
      <c r="Y963" s="426" t="s">
        <v>3335</v>
      </c>
      <c r="Z963" s="426" t="s">
        <v>3484</v>
      </c>
      <c r="AA963" s="426" t="s">
        <v>3392</v>
      </c>
      <c r="AB963" s="426" t="s">
        <v>3574</v>
      </c>
      <c r="AC963" s="426" t="s">
        <v>3398</v>
      </c>
      <c r="AD963" s="426" t="s">
        <v>3311</v>
      </c>
      <c r="AE963" s="426" t="s">
        <v>2646</v>
      </c>
      <c r="AF963" s="426" t="s">
        <v>2646</v>
      </c>
      <c r="AG963" s="426" t="s">
        <v>2646</v>
      </c>
      <c r="AH963" s="426" t="s">
        <v>2646</v>
      </c>
      <c r="AI963" s="426" t="s">
        <v>2646</v>
      </c>
      <c r="AJ963" s="68" t="s">
        <v>2646</v>
      </c>
    </row>
    <row r="964" spans="1:36" ht="13.5" hidden="1">
      <c r="A964" s="296" t="s">
        <v>2195</v>
      </c>
      <c r="B964" s="427" t="s">
        <v>2650</v>
      </c>
      <c r="C964" s="433" t="s">
        <v>3373</v>
      </c>
      <c r="D964" s="433" t="s">
        <v>3788</v>
      </c>
      <c r="E964" s="433" t="s">
        <v>2654</v>
      </c>
      <c r="F964" s="433" t="s">
        <v>2654</v>
      </c>
      <c r="G964" s="433" t="s">
        <v>2654</v>
      </c>
      <c r="H964" s="433" t="s">
        <v>2654</v>
      </c>
      <c r="I964" s="433" t="s">
        <v>2654</v>
      </c>
      <c r="J964" s="433" t="s">
        <v>2654</v>
      </c>
      <c r="K964" s="433" t="s">
        <v>2654</v>
      </c>
      <c r="L964" s="433" t="s">
        <v>2654</v>
      </c>
      <c r="M964" s="433" t="s">
        <v>2654</v>
      </c>
      <c r="N964" s="433" t="s">
        <v>2654</v>
      </c>
      <c r="O964" s="433" t="s">
        <v>2654</v>
      </c>
      <c r="P964" s="433" t="s">
        <v>4083</v>
      </c>
      <c r="Q964" s="431"/>
      <c r="R964" s="431"/>
      <c r="S964" s="426" t="s">
        <v>2665</v>
      </c>
      <c r="T964" s="426" t="s">
        <v>2657</v>
      </c>
      <c r="U964" s="426" t="s">
        <v>2657</v>
      </c>
      <c r="V964" s="426" t="s">
        <v>2657</v>
      </c>
      <c r="W964" s="426" t="s">
        <v>3605</v>
      </c>
      <c r="X964" s="426" t="s">
        <v>3189</v>
      </c>
      <c r="Y964" s="426" t="s">
        <v>3335</v>
      </c>
      <c r="Z964" s="426" t="s">
        <v>3484</v>
      </c>
      <c r="AA964" s="426" t="s">
        <v>3392</v>
      </c>
      <c r="AB964" s="426" t="s">
        <v>3574</v>
      </c>
      <c r="AC964" s="426" t="s">
        <v>3398</v>
      </c>
      <c r="AD964" s="426" t="s">
        <v>3311</v>
      </c>
      <c r="AE964" s="426" t="s">
        <v>2646</v>
      </c>
      <c r="AF964" s="426" t="s">
        <v>2646</v>
      </c>
      <c r="AG964" s="426" t="s">
        <v>2646</v>
      </c>
      <c r="AH964" s="426" t="s">
        <v>2646</v>
      </c>
      <c r="AI964" s="426" t="s">
        <v>2646</v>
      </c>
      <c r="AJ964" s="68" t="s">
        <v>2646</v>
      </c>
    </row>
    <row r="965" spans="1:36" ht="13.5" hidden="1">
      <c r="A965" s="296" t="s">
        <v>2196</v>
      </c>
      <c r="B965" s="427" t="s">
        <v>2651</v>
      </c>
      <c r="C965" s="433" t="s">
        <v>3590</v>
      </c>
      <c r="D965" s="433" t="s">
        <v>3788</v>
      </c>
      <c r="E965" s="433" t="s">
        <v>2654</v>
      </c>
      <c r="F965" s="433" t="s">
        <v>2654</v>
      </c>
      <c r="G965" s="433" t="s">
        <v>2654</v>
      </c>
      <c r="H965" s="433" t="s">
        <v>2654</v>
      </c>
      <c r="I965" s="433" t="s">
        <v>2654</v>
      </c>
      <c r="J965" s="433" t="s">
        <v>2654</v>
      </c>
      <c r="K965" s="433" t="s">
        <v>2654</v>
      </c>
      <c r="L965" s="433" t="s">
        <v>2654</v>
      </c>
      <c r="M965" s="433" t="s">
        <v>2654</v>
      </c>
      <c r="N965" s="433" t="s">
        <v>2654</v>
      </c>
      <c r="O965" s="433" t="s">
        <v>2654</v>
      </c>
      <c r="P965" s="433" t="s">
        <v>4061</v>
      </c>
      <c r="Q965" s="431"/>
      <c r="R965" s="431"/>
      <c r="S965" s="426" t="s">
        <v>3194</v>
      </c>
      <c r="T965" s="426" t="s">
        <v>2657</v>
      </c>
      <c r="U965" s="426" t="s">
        <v>2657</v>
      </c>
      <c r="V965" s="426" t="s">
        <v>2657</v>
      </c>
      <c r="W965" s="426" t="s">
        <v>3605</v>
      </c>
      <c r="X965" s="426" t="s">
        <v>3189</v>
      </c>
      <c r="Y965" s="426" t="s">
        <v>3335</v>
      </c>
      <c r="Z965" s="426" t="s">
        <v>3484</v>
      </c>
      <c r="AA965" s="426" t="s">
        <v>3392</v>
      </c>
      <c r="AB965" s="426" t="s">
        <v>3574</v>
      </c>
      <c r="AC965" s="426" t="s">
        <v>3574</v>
      </c>
      <c r="AD965" s="426" t="s">
        <v>3346</v>
      </c>
      <c r="AE965" s="426" t="s">
        <v>2646</v>
      </c>
      <c r="AF965" s="426" t="s">
        <v>2646</v>
      </c>
      <c r="AG965" s="426" t="s">
        <v>2646</v>
      </c>
      <c r="AH965" s="426" t="s">
        <v>2646</v>
      </c>
      <c r="AI965" s="426" t="s">
        <v>2646</v>
      </c>
      <c r="AJ965" s="68" t="s">
        <v>2646</v>
      </c>
    </row>
    <row r="966" spans="1:36" ht="13.5">
      <c r="A966" s="296" t="s">
        <v>2196</v>
      </c>
      <c r="B966" s="427" t="s">
        <v>48</v>
      </c>
      <c r="C966" s="433" t="s">
        <v>3483</v>
      </c>
      <c r="D966" s="433" t="s">
        <v>3908</v>
      </c>
      <c r="E966" s="433" t="s">
        <v>2654</v>
      </c>
      <c r="F966" s="433" t="s">
        <v>2654</v>
      </c>
      <c r="G966" s="433" t="s">
        <v>2654</v>
      </c>
      <c r="H966" s="433" t="s">
        <v>2654</v>
      </c>
      <c r="I966" s="433" t="s">
        <v>2654</v>
      </c>
      <c r="J966" s="433" t="s">
        <v>2654</v>
      </c>
      <c r="K966" s="433" t="s">
        <v>2654</v>
      </c>
      <c r="L966" s="433" t="s">
        <v>2654</v>
      </c>
      <c r="M966" s="433" t="s">
        <v>2654</v>
      </c>
      <c r="N966" s="433" t="s">
        <v>2654</v>
      </c>
      <c r="O966" s="433" t="s">
        <v>2654</v>
      </c>
      <c r="P966" s="433" t="s">
        <v>2909</v>
      </c>
      <c r="Q966" s="433" t="s">
        <v>2654</v>
      </c>
      <c r="R966" s="433" t="s">
        <v>2654</v>
      </c>
      <c r="S966" s="426"/>
      <c r="T966" s="426"/>
      <c r="U966" s="426"/>
      <c r="V966" s="426"/>
      <c r="W966" s="426"/>
      <c r="X966" s="426"/>
      <c r="Y966" s="426"/>
      <c r="Z966" s="426"/>
      <c r="AA966" s="426"/>
      <c r="AB966" s="426"/>
      <c r="AC966" s="426"/>
      <c r="AD966" s="426"/>
      <c r="AE966" s="426"/>
      <c r="AF966" s="426"/>
      <c r="AG966" s="426"/>
      <c r="AH966" s="426"/>
      <c r="AI966" s="426"/>
    </row>
    <row r="967" spans="1:36" ht="13.5" hidden="1">
      <c r="A967" s="296" t="s">
        <v>2197</v>
      </c>
      <c r="B967" s="427" t="s">
        <v>2647</v>
      </c>
      <c r="C967" s="433" t="s">
        <v>3651</v>
      </c>
      <c r="D967" s="433" t="s">
        <v>3789</v>
      </c>
      <c r="E967" s="433" t="s">
        <v>2654</v>
      </c>
      <c r="F967" s="433" t="s">
        <v>2654</v>
      </c>
      <c r="G967" s="433" t="s">
        <v>2654</v>
      </c>
      <c r="H967" s="433" t="s">
        <v>2654</v>
      </c>
      <c r="I967" s="433" t="s">
        <v>2654</v>
      </c>
      <c r="J967" s="433" t="s">
        <v>2654</v>
      </c>
      <c r="K967" s="433" t="s">
        <v>2654</v>
      </c>
      <c r="L967" s="433" t="s">
        <v>2654</v>
      </c>
      <c r="M967" s="433" t="s">
        <v>2654</v>
      </c>
      <c r="N967" s="433" t="s">
        <v>2654</v>
      </c>
      <c r="O967" s="433" t="s">
        <v>2654</v>
      </c>
      <c r="P967" s="433" t="s">
        <v>2651</v>
      </c>
      <c r="Q967" s="431"/>
      <c r="R967" s="431"/>
      <c r="S967" s="426" t="s">
        <v>3132</v>
      </c>
      <c r="T967" s="426" t="s">
        <v>2778</v>
      </c>
      <c r="U967" s="426" t="s">
        <v>2657</v>
      </c>
      <c r="V967" s="426" t="s">
        <v>2657</v>
      </c>
      <c r="W967" s="426" t="s">
        <v>3605</v>
      </c>
      <c r="X967" s="426" t="s">
        <v>3203</v>
      </c>
      <c r="Y967" s="426" t="s">
        <v>3341</v>
      </c>
      <c r="Z967" s="426" t="s">
        <v>3412</v>
      </c>
      <c r="AA967" s="426" t="s">
        <v>3574</v>
      </c>
      <c r="AB967" s="426" t="s">
        <v>3398</v>
      </c>
      <c r="AC967" s="426" t="s">
        <v>3411</v>
      </c>
      <c r="AD967" s="426" t="s">
        <v>3327</v>
      </c>
      <c r="AE967" s="426" t="s">
        <v>2646</v>
      </c>
      <c r="AF967" s="426" t="s">
        <v>2646</v>
      </c>
      <c r="AG967" s="426" t="s">
        <v>2646</v>
      </c>
      <c r="AH967" s="426" t="s">
        <v>2646</v>
      </c>
      <c r="AI967" s="426" t="s">
        <v>2646</v>
      </c>
      <c r="AJ967" s="68" t="s">
        <v>2646</v>
      </c>
    </row>
    <row r="968" spans="1:36" ht="13.5" hidden="1">
      <c r="A968" s="296" t="s">
        <v>2198</v>
      </c>
      <c r="B968" s="427" t="s">
        <v>2648</v>
      </c>
      <c r="C968" s="433" t="s">
        <v>3785</v>
      </c>
      <c r="D968" s="433" t="s">
        <v>3222</v>
      </c>
      <c r="E968" s="433" t="s">
        <v>2654</v>
      </c>
      <c r="F968" s="433" t="s">
        <v>2654</v>
      </c>
      <c r="G968" s="433" t="s">
        <v>2654</v>
      </c>
      <c r="H968" s="433" t="s">
        <v>2654</v>
      </c>
      <c r="I968" s="433" t="s">
        <v>2654</v>
      </c>
      <c r="J968" s="433" t="s">
        <v>2654</v>
      </c>
      <c r="K968" s="433" t="s">
        <v>2654</v>
      </c>
      <c r="L968" s="433" t="s">
        <v>2654</v>
      </c>
      <c r="M968" s="433" t="s">
        <v>2654</v>
      </c>
      <c r="N968" s="433" t="s">
        <v>2654</v>
      </c>
      <c r="O968" s="433" t="s">
        <v>2654</v>
      </c>
      <c r="P968" s="433" t="s">
        <v>4083</v>
      </c>
      <c r="Q968" s="431"/>
      <c r="R968" s="431"/>
      <c r="S968" s="426" t="s">
        <v>3132</v>
      </c>
      <c r="T968" s="426" t="s">
        <v>2657</v>
      </c>
      <c r="U968" s="426" t="s">
        <v>2657</v>
      </c>
      <c r="V968" s="426" t="s">
        <v>2657</v>
      </c>
      <c r="W968" s="426" t="s">
        <v>3605</v>
      </c>
      <c r="X968" s="426" t="s">
        <v>3203</v>
      </c>
      <c r="Y968" s="426" t="s">
        <v>3341</v>
      </c>
      <c r="Z968" s="426" t="s">
        <v>3412</v>
      </c>
      <c r="AA968" s="426" t="s">
        <v>3517</v>
      </c>
      <c r="AB968" s="426" t="s">
        <v>3574</v>
      </c>
      <c r="AC968" s="426" t="s">
        <v>3285</v>
      </c>
      <c r="AD968" s="426" t="s">
        <v>3191</v>
      </c>
      <c r="AE968" s="426" t="s">
        <v>3229</v>
      </c>
      <c r="AF968" s="426" t="s">
        <v>2646</v>
      </c>
      <c r="AG968" s="426" t="s">
        <v>2646</v>
      </c>
      <c r="AH968" s="426" t="s">
        <v>2646</v>
      </c>
      <c r="AI968" s="426" t="s">
        <v>2646</v>
      </c>
      <c r="AJ968" s="68" t="s">
        <v>2646</v>
      </c>
    </row>
    <row r="969" spans="1:36" ht="13.5" hidden="1">
      <c r="A969" s="296" t="s">
        <v>2199</v>
      </c>
      <c r="B969" s="427" t="s">
        <v>2649</v>
      </c>
      <c r="C969" s="433" t="s">
        <v>3464</v>
      </c>
      <c r="D969" s="433" t="s">
        <v>3089</v>
      </c>
      <c r="E969" s="433" t="s">
        <v>2654</v>
      </c>
      <c r="F969" s="433" t="s">
        <v>2654</v>
      </c>
      <c r="G969" s="433" t="s">
        <v>2654</v>
      </c>
      <c r="H969" s="433" t="s">
        <v>2654</v>
      </c>
      <c r="I969" s="433" t="s">
        <v>2654</v>
      </c>
      <c r="J969" s="433" t="s">
        <v>2654</v>
      </c>
      <c r="K969" s="433" t="s">
        <v>2654</v>
      </c>
      <c r="L969" s="433" t="s">
        <v>2654</v>
      </c>
      <c r="M969" s="433" t="s">
        <v>2654</v>
      </c>
      <c r="N969" s="433" t="s">
        <v>2654</v>
      </c>
      <c r="O969" s="433" t="s">
        <v>2654</v>
      </c>
      <c r="P969" s="433" t="s">
        <v>4057</v>
      </c>
      <c r="Q969" s="431"/>
      <c r="R969" s="431"/>
      <c r="S969" s="426" t="s">
        <v>3132</v>
      </c>
      <c r="T969" s="426" t="s">
        <v>2657</v>
      </c>
      <c r="U969" s="426" t="s">
        <v>2657</v>
      </c>
      <c r="V969" s="426" t="s">
        <v>2657</v>
      </c>
      <c r="W969" s="426" t="s">
        <v>3605</v>
      </c>
      <c r="X969" s="426" t="s">
        <v>3203</v>
      </c>
      <c r="Y969" s="426" t="s">
        <v>3341</v>
      </c>
      <c r="Z969" s="426" t="s">
        <v>3412</v>
      </c>
      <c r="AA969" s="426" t="s">
        <v>3517</v>
      </c>
      <c r="AB969" s="426" t="s">
        <v>3574</v>
      </c>
      <c r="AC969" s="426" t="s">
        <v>3349</v>
      </c>
      <c r="AD969" s="426" t="s">
        <v>3290</v>
      </c>
      <c r="AE969" s="426" t="s">
        <v>2711</v>
      </c>
      <c r="AF969" s="426" t="s">
        <v>2646</v>
      </c>
      <c r="AG969" s="426" t="s">
        <v>2646</v>
      </c>
      <c r="AH969" s="426" t="s">
        <v>2646</v>
      </c>
      <c r="AI969" s="426" t="s">
        <v>2646</v>
      </c>
      <c r="AJ969" s="68" t="s">
        <v>2646</v>
      </c>
    </row>
    <row r="970" spans="1:36" ht="13.5" hidden="1">
      <c r="A970" s="296" t="s">
        <v>2200</v>
      </c>
      <c r="B970" s="427" t="s">
        <v>2650</v>
      </c>
      <c r="C970" s="433" t="s">
        <v>3651</v>
      </c>
      <c r="D970" s="433" t="s">
        <v>3089</v>
      </c>
      <c r="E970" s="433" t="s">
        <v>2654</v>
      </c>
      <c r="F970" s="433" t="s">
        <v>2654</v>
      </c>
      <c r="G970" s="433" t="s">
        <v>2654</v>
      </c>
      <c r="H970" s="433" t="s">
        <v>2654</v>
      </c>
      <c r="I970" s="433" t="s">
        <v>2654</v>
      </c>
      <c r="J970" s="433" t="s">
        <v>2654</v>
      </c>
      <c r="K970" s="433" t="s">
        <v>2654</v>
      </c>
      <c r="L970" s="433" t="s">
        <v>2654</v>
      </c>
      <c r="M970" s="433" t="s">
        <v>2654</v>
      </c>
      <c r="N970" s="433" t="s">
        <v>2654</v>
      </c>
      <c r="O970" s="433" t="s">
        <v>2654</v>
      </c>
      <c r="P970" s="433" t="s">
        <v>4057</v>
      </c>
      <c r="Q970" s="431"/>
      <c r="R970" s="431"/>
      <c r="S970" s="426" t="s">
        <v>3132</v>
      </c>
      <c r="T970" s="426" t="s">
        <v>2658</v>
      </c>
      <c r="U970" s="426" t="s">
        <v>2657</v>
      </c>
      <c r="V970" s="426" t="s">
        <v>2657</v>
      </c>
      <c r="W970" s="426" t="s">
        <v>3605</v>
      </c>
      <c r="X970" s="426" t="s">
        <v>3203</v>
      </c>
      <c r="Y970" s="426" t="s">
        <v>3341</v>
      </c>
      <c r="Z970" s="426" t="s">
        <v>3484</v>
      </c>
      <c r="AA970" s="426" t="s">
        <v>3517</v>
      </c>
      <c r="AB970" s="426" t="s">
        <v>3574</v>
      </c>
      <c r="AC970" s="426" t="s">
        <v>2852</v>
      </c>
      <c r="AD970" s="426" t="s">
        <v>3238</v>
      </c>
      <c r="AE970" s="426" t="s">
        <v>2876</v>
      </c>
      <c r="AF970" s="426" t="s">
        <v>2646</v>
      </c>
      <c r="AG970" s="426" t="s">
        <v>2646</v>
      </c>
      <c r="AH970" s="426" t="s">
        <v>2646</v>
      </c>
      <c r="AI970" s="426" t="s">
        <v>2646</v>
      </c>
      <c r="AJ970" s="68" t="s">
        <v>2646</v>
      </c>
    </row>
    <row r="971" spans="1:36" ht="13.5" hidden="1">
      <c r="A971" s="296" t="s">
        <v>2201</v>
      </c>
      <c r="B971" s="427" t="s">
        <v>2651</v>
      </c>
      <c r="C971" s="433" t="s">
        <v>3591</v>
      </c>
      <c r="D971" s="433" t="s">
        <v>3909</v>
      </c>
      <c r="E971" s="433" t="s">
        <v>2654</v>
      </c>
      <c r="F971" s="433" t="s">
        <v>2654</v>
      </c>
      <c r="G971" s="433" t="s">
        <v>2654</v>
      </c>
      <c r="H971" s="433" t="s">
        <v>2654</v>
      </c>
      <c r="I971" s="433" t="s">
        <v>2654</v>
      </c>
      <c r="J971" s="433" t="s">
        <v>2654</v>
      </c>
      <c r="K971" s="433" t="s">
        <v>2654</v>
      </c>
      <c r="L971" s="433" t="s">
        <v>2654</v>
      </c>
      <c r="M971" s="433" t="s">
        <v>2654</v>
      </c>
      <c r="N971" s="433" t="s">
        <v>2654</v>
      </c>
      <c r="O971" s="433" t="s">
        <v>2654</v>
      </c>
      <c r="P971" s="433" t="s">
        <v>4061</v>
      </c>
      <c r="Q971" s="431"/>
      <c r="R971" s="431"/>
      <c r="S971" s="426" t="s">
        <v>3132</v>
      </c>
      <c r="T971" s="426" t="s">
        <v>2657</v>
      </c>
      <c r="U971" s="426" t="s">
        <v>2657</v>
      </c>
      <c r="V971" s="426" t="s">
        <v>2657</v>
      </c>
      <c r="W971" s="426" t="s">
        <v>3605</v>
      </c>
      <c r="X971" s="426" t="s">
        <v>3203</v>
      </c>
      <c r="Y971" s="426" t="s">
        <v>3341</v>
      </c>
      <c r="Z971" s="426" t="s">
        <v>3412</v>
      </c>
      <c r="AA971" s="426" t="s">
        <v>3517</v>
      </c>
      <c r="AB971" s="426" t="s">
        <v>3574</v>
      </c>
      <c r="AC971" s="426" t="s">
        <v>3314</v>
      </c>
      <c r="AD971" s="426" t="s">
        <v>3288</v>
      </c>
      <c r="AE971" s="426" t="s">
        <v>3013</v>
      </c>
      <c r="AF971" s="426" t="s">
        <v>2646</v>
      </c>
      <c r="AG971" s="426" t="s">
        <v>2646</v>
      </c>
      <c r="AH971" s="426" t="s">
        <v>2646</v>
      </c>
      <c r="AI971" s="426" t="s">
        <v>2646</v>
      </c>
      <c r="AJ971" s="68" t="s">
        <v>2646</v>
      </c>
    </row>
    <row r="972" spans="1:36" ht="13.5">
      <c r="A972" s="296" t="s">
        <v>2201</v>
      </c>
      <c r="B972" s="427" t="s">
        <v>48</v>
      </c>
      <c r="C972" s="433" t="s">
        <v>4549</v>
      </c>
      <c r="D972" s="433" t="s">
        <v>3978</v>
      </c>
      <c r="E972" s="433" t="s">
        <v>2654</v>
      </c>
      <c r="F972" s="433" t="s">
        <v>2654</v>
      </c>
      <c r="G972" s="433" t="s">
        <v>2654</v>
      </c>
      <c r="H972" s="433" t="s">
        <v>2654</v>
      </c>
      <c r="I972" s="433" t="s">
        <v>2654</v>
      </c>
      <c r="J972" s="433" t="s">
        <v>2654</v>
      </c>
      <c r="K972" s="433" t="s">
        <v>2654</v>
      </c>
      <c r="L972" s="433" t="s">
        <v>2654</v>
      </c>
      <c r="M972" s="433" t="s">
        <v>2654</v>
      </c>
      <c r="N972" s="433" t="s">
        <v>2654</v>
      </c>
      <c r="O972" s="433" t="s">
        <v>2654</v>
      </c>
      <c r="P972" s="433" t="s">
        <v>3058</v>
      </c>
      <c r="Q972" s="433" t="s">
        <v>2654</v>
      </c>
      <c r="R972" s="433" t="s">
        <v>2654</v>
      </c>
      <c r="S972" s="426"/>
      <c r="T972" s="426"/>
      <c r="U972" s="426"/>
      <c r="V972" s="426"/>
      <c r="W972" s="426"/>
      <c r="X972" s="426"/>
      <c r="Y972" s="426"/>
      <c r="Z972" s="426"/>
      <c r="AA972" s="426"/>
      <c r="AB972" s="426"/>
      <c r="AC972" s="426"/>
      <c r="AD972" s="426"/>
      <c r="AE972" s="426"/>
      <c r="AF972" s="426"/>
      <c r="AG972" s="426"/>
      <c r="AH972" s="426"/>
      <c r="AI972" s="426"/>
    </row>
    <row r="973" spans="1:36" ht="13.5" hidden="1">
      <c r="A973" s="296" t="s">
        <v>2202</v>
      </c>
      <c r="B973" s="427" t="s">
        <v>2647</v>
      </c>
      <c r="C973" s="433" t="s">
        <v>3725</v>
      </c>
      <c r="D973" s="433" t="s">
        <v>2777</v>
      </c>
      <c r="E973" s="433" t="s">
        <v>2654</v>
      </c>
      <c r="F973" s="433" t="s">
        <v>2654</v>
      </c>
      <c r="G973" s="433" t="s">
        <v>2654</v>
      </c>
      <c r="H973" s="433" t="s">
        <v>2654</v>
      </c>
      <c r="I973" s="433" t="s">
        <v>2654</v>
      </c>
      <c r="J973" s="433" t="s">
        <v>2654</v>
      </c>
      <c r="K973" s="433" t="s">
        <v>2654</v>
      </c>
      <c r="L973" s="433" t="s">
        <v>2654</v>
      </c>
      <c r="M973" s="433" t="s">
        <v>2654</v>
      </c>
      <c r="N973" s="433" t="s">
        <v>2654</v>
      </c>
      <c r="O973" s="433" t="s">
        <v>2654</v>
      </c>
      <c r="P973" s="433" t="s">
        <v>4057</v>
      </c>
      <c r="Q973" s="431"/>
      <c r="R973" s="431"/>
      <c r="S973" s="426" t="s">
        <v>2844</v>
      </c>
      <c r="T973" s="426" t="s">
        <v>2657</v>
      </c>
      <c r="U973" s="426" t="s">
        <v>2657</v>
      </c>
      <c r="V973" s="426" t="s">
        <v>2657</v>
      </c>
      <c r="W973" s="426" t="s">
        <v>2646</v>
      </c>
      <c r="X973" s="426" t="s">
        <v>2646</v>
      </c>
      <c r="Y973" s="426" t="s">
        <v>2646</v>
      </c>
      <c r="Z973" s="426" t="s">
        <v>2646</v>
      </c>
      <c r="AA973" s="426" t="s">
        <v>2646</v>
      </c>
      <c r="AB973" s="426" t="s">
        <v>2646</v>
      </c>
      <c r="AC973" s="426" t="s">
        <v>2646</v>
      </c>
      <c r="AD973" s="426" t="s">
        <v>2646</v>
      </c>
      <c r="AE973" s="426" t="s">
        <v>2646</v>
      </c>
      <c r="AF973" s="426" t="s">
        <v>2646</v>
      </c>
      <c r="AG973" s="426" t="s">
        <v>2646</v>
      </c>
      <c r="AH973" s="426" t="s">
        <v>2646</v>
      </c>
      <c r="AI973" s="426" t="s">
        <v>2646</v>
      </c>
      <c r="AJ973" s="68" t="s">
        <v>2646</v>
      </c>
    </row>
    <row r="974" spans="1:36" ht="13.5" hidden="1">
      <c r="A974" s="296" t="s">
        <v>2203</v>
      </c>
      <c r="B974" s="427" t="s">
        <v>2648</v>
      </c>
      <c r="C974" s="433" t="s">
        <v>3247</v>
      </c>
      <c r="D974" s="433" t="s">
        <v>2676</v>
      </c>
      <c r="E974" s="433" t="s">
        <v>2654</v>
      </c>
      <c r="F974" s="433" t="s">
        <v>2654</v>
      </c>
      <c r="G974" s="433" t="s">
        <v>2654</v>
      </c>
      <c r="H974" s="433" t="s">
        <v>2654</v>
      </c>
      <c r="I974" s="433" t="s">
        <v>2654</v>
      </c>
      <c r="J974" s="433" t="s">
        <v>2654</v>
      </c>
      <c r="K974" s="433" t="s">
        <v>2654</v>
      </c>
      <c r="L974" s="433" t="s">
        <v>2654</v>
      </c>
      <c r="M974" s="433" t="s">
        <v>2654</v>
      </c>
      <c r="N974" s="433" t="s">
        <v>2654</v>
      </c>
      <c r="O974" s="433" t="s">
        <v>2654</v>
      </c>
      <c r="P974" s="433" t="s">
        <v>4061</v>
      </c>
      <c r="Q974" s="431"/>
      <c r="R974" s="431"/>
      <c r="S974" s="426" t="s">
        <v>2688</v>
      </c>
      <c r="T974" s="426" t="s">
        <v>2669</v>
      </c>
      <c r="U974" s="426" t="s">
        <v>2657</v>
      </c>
      <c r="V974" s="426" t="s">
        <v>2657</v>
      </c>
      <c r="W974" s="426" t="s">
        <v>2646</v>
      </c>
      <c r="X974" s="426" t="s">
        <v>2646</v>
      </c>
      <c r="Y974" s="426" t="s">
        <v>3504</v>
      </c>
      <c r="Z974" s="426" t="s">
        <v>2646</v>
      </c>
      <c r="AA974" s="426" t="s">
        <v>2646</v>
      </c>
      <c r="AB974" s="426" t="s">
        <v>2646</v>
      </c>
      <c r="AC974" s="426" t="s">
        <v>2646</v>
      </c>
      <c r="AD974" s="426" t="s">
        <v>2646</v>
      </c>
      <c r="AE974" s="426" t="s">
        <v>2646</v>
      </c>
      <c r="AF974" s="426" t="s">
        <v>2646</v>
      </c>
      <c r="AG974" s="426" t="s">
        <v>2646</v>
      </c>
      <c r="AH974" s="426" t="s">
        <v>2646</v>
      </c>
      <c r="AI974" s="426" t="s">
        <v>2646</v>
      </c>
      <c r="AJ974" s="68" t="s">
        <v>2646</v>
      </c>
    </row>
    <row r="975" spans="1:36" ht="13.5" hidden="1">
      <c r="A975" s="296" t="s">
        <v>2204</v>
      </c>
      <c r="B975" s="427" t="s">
        <v>2649</v>
      </c>
      <c r="C975" s="433" t="s">
        <v>3728</v>
      </c>
      <c r="D975" s="433" t="s">
        <v>2676</v>
      </c>
      <c r="E975" s="433" t="s">
        <v>2654</v>
      </c>
      <c r="F975" s="433" t="s">
        <v>2654</v>
      </c>
      <c r="G975" s="433" t="s">
        <v>2654</v>
      </c>
      <c r="H975" s="433" t="s">
        <v>2654</v>
      </c>
      <c r="I975" s="433" t="s">
        <v>2654</v>
      </c>
      <c r="J975" s="433" t="s">
        <v>2654</v>
      </c>
      <c r="K975" s="433" t="s">
        <v>2654</v>
      </c>
      <c r="L975" s="433" t="s">
        <v>2654</v>
      </c>
      <c r="M975" s="433" t="s">
        <v>2654</v>
      </c>
      <c r="N975" s="433" t="s">
        <v>2654</v>
      </c>
      <c r="O975" s="433" t="s">
        <v>2654</v>
      </c>
      <c r="P975" s="433" t="s">
        <v>4061</v>
      </c>
      <c r="Q975" s="431"/>
      <c r="R975" s="431"/>
      <c r="S975" s="426" t="s">
        <v>3612</v>
      </c>
      <c r="T975" s="426" t="s">
        <v>2657</v>
      </c>
      <c r="U975" s="426" t="s">
        <v>2657</v>
      </c>
      <c r="V975" s="426" t="s">
        <v>2657</v>
      </c>
      <c r="W975" s="426" t="s">
        <v>2646</v>
      </c>
      <c r="X975" s="426" t="s">
        <v>2646</v>
      </c>
      <c r="Y975" s="426" t="s">
        <v>3504</v>
      </c>
      <c r="Z975" s="426" t="s">
        <v>2646</v>
      </c>
      <c r="AA975" s="426" t="s">
        <v>2646</v>
      </c>
      <c r="AB975" s="426" t="s">
        <v>2646</v>
      </c>
      <c r="AC975" s="426" t="s">
        <v>2646</v>
      </c>
      <c r="AD975" s="426" t="s">
        <v>2646</v>
      </c>
      <c r="AE975" s="426" t="s">
        <v>2646</v>
      </c>
      <c r="AF975" s="426" t="s">
        <v>2646</v>
      </c>
      <c r="AG975" s="426" t="s">
        <v>2646</v>
      </c>
      <c r="AH975" s="426" t="s">
        <v>2646</v>
      </c>
      <c r="AI975" s="426" t="s">
        <v>2646</v>
      </c>
      <c r="AJ975" s="68" t="s">
        <v>2646</v>
      </c>
    </row>
    <row r="976" spans="1:36" ht="13.5" hidden="1">
      <c r="A976" s="296" t="s">
        <v>2205</v>
      </c>
      <c r="B976" s="427" t="s">
        <v>2650</v>
      </c>
      <c r="C976" s="433" t="s">
        <v>3728</v>
      </c>
      <c r="D976" s="433" t="s">
        <v>2835</v>
      </c>
      <c r="E976" s="433" t="s">
        <v>2654</v>
      </c>
      <c r="F976" s="433" t="s">
        <v>2654</v>
      </c>
      <c r="G976" s="433" t="s">
        <v>2654</v>
      </c>
      <c r="H976" s="433" t="s">
        <v>2654</v>
      </c>
      <c r="I976" s="433" t="s">
        <v>2654</v>
      </c>
      <c r="J976" s="433" t="s">
        <v>2654</v>
      </c>
      <c r="K976" s="433" t="s">
        <v>2654</v>
      </c>
      <c r="L976" s="433" t="s">
        <v>2654</v>
      </c>
      <c r="M976" s="433" t="s">
        <v>2654</v>
      </c>
      <c r="N976" s="433" t="s">
        <v>2654</v>
      </c>
      <c r="O976" s="433" t="s">
        <v>2654</v>
      </c>
      <c r="P976" s="433" t="s">
        <v>4059</v>
      </c>
      <c r="Q976" s="431"/>
      <c r="R976" s="431"/>
      <c r="S976" s="426" t="s">
        <v>2785</v>
      </c>
      <c r="T976" s="426" t="s">
        <v>2657</v>
      </c>
      <c r="U976" s="426" t="s">
        <v>2657</v>
      </c>
      <c r="V976" s="426" t="s">
        <v>2657</v>
      </c>
      <c r="W976" s="426" t="s">
        <v>2646</v>
      </c>
      <c r="X976" s="426" t="s">
        <v>2646</v>
      </c>
      <c r="Y976" s="426" t="s">
        <v>3504</v>
      </c>
      <c r="Z976" s="426" t="s">
        <v>2646</v>
      </c>
      <c r="AA976" s="426" t="s">
        <v>2646</v>
      </c>
      <c r="AB976" s="426" t="s">
        <v>2646</v>
      </c>
      <c r="AC976" s="426" t="s">
        <v>2646</v>
      </c>
      <c r="AD976" s="426" t="s">
        <v>2646</v>
      </c>
      <c r="AE976" s="426" t="s">
        <v>2646</v>
      </c>
      <c r="AF976" s="426" t="s">
        <v>2646</v>
      </c>
      <c r="AG976" s="426" t="s">
        <v>2646</v>
      </c>
      <c r="AH976" s="426" t="s">
        <v>2646</v>
      </c>
      <c r="AI976" s="426" t="s">
        <v>2646</v>
      </c>
      <c r="AJ976" s="68" t="s">
        <v>2646</v>
      </c>
    </row>
    <row r="977" spans="1:36" ht="13.5" hidden="1">
      <c r="A977" s="296" t="s">
        <v>2206</v>
      </c>
      <c r="B977" s="427" t="s">
        <v>2651</v>
      </c>
      <c r="C977" s="433" t="s">
        <v>3737</v>
      </c>
      <c r="D977" s="433" t="s">
        <v>2777</v>
      </c>
      <c r="E977" s="433" t="s">
        <v>2654</v>
      </c>
      <c r="F977" s="433" t="s">
        <v>2654</v>
      </c>
      <c r="G977" s="433" t="s">
        <v>2654</v>
      </c>
      <c r="H977" s="433" t="s">
        <v>2654</v>
      </c>
      <c r="I977" s="433" t="s">
        <v>2654</v>
      </c>
      <c r="J977" s="433" t="s">
        <v>2654</v>
      </c>
      <c r="K977" s="433" t="s">
        <v>2654</v>
      </c>
      <c r="L977" s="433" t="s">
        <v>2654</v>
      </c>
      <c r="M977" s="433" t="s">
        <v>2654</v>
      </c>
      <c r="N977" s="433" t="s">
        <v>2654</v>
      </c>
      <c r="O977" s="433" t="s">
        <v>2654</v>
      </c>
      <c r="P977" s="433" t="s">
        <v>2651</v>
      </c>
      <c r="Q977" s="431"/>
      <c r="R977" s="431"/>
      <c r="S977" s="426" t="s">
        <v>2657</v>
      </c>
      <c r="T977" s="426" t="s">
        <v>2657</v>
      </c>
      <c r="U977" s="426" t="s">
        <v>2657</v>
      </c>
      <c r="V977" s="426" t="s">
        <v>2657</v>
      </c>
      <c r="W977" s="426" t="s">
        <v>2646</v>
      </c>
      <c r="X977" s="426" t="s">
        <v>2646</v>
      </c>
      <c r="Y977" s="426" t="s">
        <v>3504</v>
      </c>
      <c r="Z977" s="426" t="s">
        <v>2646</v>
      </c>
      <c r="AA977" s="426" t="s">
        <v>2646</v>
      </c>
      <c r="AB977" s="426" t="s">
        <v>2646</v>
      </c>
      <c r="AC977" s="426" t="s">
        <v>2646</v>
      </c>
      <c r="AD977" s="426" t="s">
        <v>2646</v>
      </c>
      <c r="AE977" s="426" t="s">
        <v>2646</v>
      </c>
      <c r="AF977" s="426" t="s">
        <v>2646</v>
      </c>
      <c r="AG977" s="426" t="s">
        <v>2646</v>
      </c>
      <c r="AH977" s="426" t="s">
        <v>2646</v>
      </c>
      <c r="AI977" s="426" t="s">
        <v>2646</v>
      </c>
      <c r="AJ977" s="68" t="s">
        <v>2646</v>
      </c>
    </row>
    <row r="978" spans="1:36" ht="13.5">
      <c r="A978" s="296" t="s">
        <v>2206</v>
      </c>
      <c r="B978" s="427" t="s">
        <v>48</v>
      </c>
      <c r="C978" s="433" t="s">
        <v>4171</v>
      </c>
      <c r="D978" s="433" t="s">
        <v>3255</v>
      </c>
      <c r="E978" s="433" t="s">
        <v>2654</v>
      </c>
      <c r="F978" s="433" t="s">
        <v>2654</v>
      </c>
      <c r="G978" s="433" t="s">
        <v>2654</v>
      </c>
      <c r="H978" s="433" t="s">
        <v>2654</v>
      </c>
      <c r="I978" s="433" t="s">
        <v>2654</v>
      </c>
      <c r="J978" s="433" t="s">
        <v>2654</v>
      </c>
      <c r="K978" s="433" t="s">
        <v>2654</v>
      </c>
      <c r="L978" s="433" t="s">
        <v>2654</v>
      </c>
      <c r="M978" s="433" t="s">
        <v>2654</v>
      </c>
      <c r="N978" s="433" t="s">
        <v>2654</v>
      </c>
      <c r="O978" s="433" t="s">
        <v>2654</v>
      </c>
      <c r="P978" s="433" t="s">
        <v>4004</v>
      </c>
      <c r="Q978" s="433" t="s">
        <v>2654</v>
      </c>
      <c r="R978" s="433" t="s">
        <v>2654</v>
      </c>
      <c r="S978" s="426"/>
      <c r="T978" s="426"/>
      <c r="U978" s="426"/>
      <c r="V978" s="426"/>
      <c r="W978" s="426"/>
      <c r="X978" s="426"/>
      <c r="Y978" s="426"/>
      <c r="Z978" s="426"/>
      <c r="AA978" s="426"/>
      <c r="AB978" s="426"/>
      <c r="AC978" s="426"/>
      <c r="AD978" s="426"/>
      <c r="AE978" s="426"/>
      <c r="AF978" s="426"/>
      <c r="AG978" s="426"/>
      <c r="AH978" s="426"/>
      <c r="AI978" s="426"/>
    </row>
    <row r="979" spans="1:36" ht="13.5" hidden="1">
      <c r="A979" s="296" t="s">
        <v>2207</v>
      </c>
      <c r="B979" s="427" t="s">
        <v>2647</v>
      </c>
      <c r="C979" s="433" t="s">
        <v>3983</v>
      </c>
      <c r="D979" s="433" t="s">
        <v>2729</v>
      </c>
      <c r="E979" s="433" t="s">
        <v>2654</v>
      </c>
      <c r="F979" s="433" t="s">
        <v>2654</v>
      </c>
      <c r="G979" s="433" t="s">
        <v>2654</v>
      </c>
      <c r="H979" s="433" t="s">
        <v>2654</v>
      </c>
      <c r="I979" s="433" t="s">
        <v>2654</v>
      </c>
      <c r="J979" s="433" t="s">
        <v>2654</v>
      </c>
      <c r="K979" s="433" t="s">
        <v>2654</v>
      </c>
      <c r="L979" s="433" t="s">
        <v>2654</v>
      </c>
      <c r="M979" s="433" t="s">
        <v>2654</v>
      </c>
      <c r="N979" s="433" t="s">
        <v>2654</v>
      </c>
      <c r="O979" s="433" t="s">
        <v>2654</v>
      </c>
      <c r="P979" s="433" t="s">
        <v>4080</v>
      </c>
      <c r="Q979" s="431"/>
      <c r="R979" s="431"/>
      <c r="S979" s="426" t="s">
        <v>3194</v>
      </c>
      <c r="T979" s="426" t="s">
        <v>2646</v>
      </c>
      <c r="U979" s="426" t="s">
        <v>2658</v>
      </c>
      <c r="V979" s="426" t="s">
        <v>2658</v>
      </c>
      <c r="W979" s="426" t="s">
        <v>2829</v>
      </c>
      <c r="X979" s="426" t="s">
        <v>3542</v>
      </c>
      <c r="Y979" s="426" t="s">
        <v>2975</v>
      </c>
      <c r="Z979" s="426" t="s">
        <v>2646</v>
      </c>
      <c r="AA979" s="426" t="s">
        <v>2646</v>
      </c>
      <c r="AB979" s="426" t="s">
        <v>2646</v>
      </c>
      <c r="AC979" s="426" t="s">
        <v>2646</v>
      </c>
      <c r="AD979" s="426" t="s">
        <v>2646</v>
      </c>
      <c r="AE979" s="426" t="s">
        <v>2646</v>
      </c>
      <c r="AF979" s="426" t="s">
        <v>2646</v>
      </c>
      <c r="AG979" s="426" t="s">
        <v>2646</v>
      </c>
      <c r="AH979" s="426" t="s">
        <v>2646</v>
      </c>
      <c r="AI979" s="426" t="s">
        <v>2646</v>
      </c>
      <c r="AJ979" s="68" t="s">
        <v>2646</v>
      </c>
    </row>
    <row r="980" spans="1:36" ht="13.5" hidden="1">
      <c r="A980" s="296" t="s">
        <v>2208</v>
      </c>
      <c r="B980" s="427" t="s">
        <v>2648</v>
      </c>
      <c r="C980" s="433" t="s">
        <v>3896</v>
      </c>
      <c r="D980" s="433" t="s">
        <v>2720</v>
      </c>
      <c r="E980" s="433" t="s">
        <v>2654</v>
      </c>
      <c r="F980" s="433" t="s">
        <v>2654</v>
      </c>
      <c r="G980" s="433" t="s">
        <v>2654</v>
      </c>
      <c r="H980" s="433" t="s">
        <v>2654</v>
      </c>
      <c r="I980" s="433" t="s">
        <v>2654</v>
      </c>
      <c r="J980" s="433" t="s">
        <v>2654</v>
      </c>
      <c r="K980" s="433" t="s">
        <v>2654</v>
      </c>
      <c r="L980" s="433" t="s">
        <v>2654</v>
      </c>
      <c r="M980" s="433" t="s">
        <v>2654</v>
      </c>
      <c r="N980" s="433" t="s">
        <v>2654</v>
      </c>
      <c r="O980" s="433" t="s">
        <v>2654</v>
      </c>
      <c r="P980" s="433" t="s">
        <v>4080</v>
      </c>
      <c r="Q980" s="431"/>
      <c r="R980" s="431"/>
      <c r="S980" s="426" t="s">
        <v>3194</v>
      </c>
      <c r="T980" s="426" t="s">
        <v>2657</v>
      </c>
      <c r="U980" s="426" t="s">
        <v>2657</v>
      </c>
      <c r="V980" s="426" t="s">
        <v>2657</v>
      </c>
      <c r="W980" s="426" t="s">
        <v>2787</v>
      </c>
      <c r="X980" s="426" t="s">
        <v>3542</v>
      </c>
      <c r="Y980" s="426" t="s">
        <v>2788</v>
      </c>
      <c r="Z980" s="426" t="s">
        <v>2646</v>
      </c>
      <c r="AA980" s="426" t="s">
        <v>2646</v>
      </c>
      <c r="AB980" s="426" t="s">
        <v>2646</v>
      </c>
      <c r="AC980" s="426" t="s">
        <v>2646</v>
      </c>
      <c r="AD980" s="426" t="s">
        <v>2646</v>
      </c>
      <c r="AE980" s="426" t="s">
        <v>2646</v>
      </c>
      <c r="AF980" s="426" t="s">
        <v>2646</v>
      </c>
      <c r="AG980" s="426" t="s">
        <v>2646</v>
      </c>
      <c r="AH980" s="426" t="s">
        <v>2646</v>
      </c>
      <c r="AI980" s="426" t="s">
        <v>2646</v>
      </c>
      <c r="AJ980" s="68" t="s">
        <v>2646</v>
      </c>
    </row>
    <row r="981" spans="1:36" ht="13.5" hidden="1">
      <c r="A981" s="296" t="s">
        <v>2209</v>
      </c>
      <c r="B981" s="427" t="s">
        <v>2649</v>
      </c>
      <c r="C981" s="433" t="s">
        <v>4178</v>
      </c>
      <c r="D981" s="433" t="s">
        <v>3018</v>
      </c>
      <c r="E981" s="433" t="s">
        <v>2654</v>
      </c>
      <c r="F981" s="433" t="s">
        <v>2654</v>
      </c>
      <c r="G981" s="433" t="s">
        <v>2654</v>
      </c>
      <c r="H981" s="433" t="s">
        <v>2654</v>
      </c>
      <c r="I981" s="433" t="s">
        <v>2654</v>
      </c>
      <c r="J981" s="433" t="s">
        <v>2654</v>
      </c>
      <c r="K981" s="433" t="s">
        <v>2654</v>
      </c>
      <c r="L981" s="433" t="s">
        <v>2654</v>
      </c>
      <c r="M981" s="433" t="s">
        <v>2654</v>
      </c>
      <c r="N981" s="433" t="s">
        <v>2654</v>
      </c>
      <c r="O981" s="433" t="s">
        <v>2654</v>
      </c>
      <c r="P981" s="433" t="s">
        <v>4233</v>
      </c>
      <c r="Q981" s="431"/>
      <c r="R981" s="431"/>
      <c r="S981" s="426" t="s">
        <v>2665</v>
      </c>
      <c r="T981" s="426" t="s">
        <v>2657</v>
      </c>
      <c r="U981" s="426" t="s">
        <v>2657</v>
      </c>
      <c r="V981" s="426" t="s">
        <v>2657</v>
      </c>
      <c r="W981" s="426" t="s">
        <v>2787</v>
      </c>
      <c r="X981" s="426" t="s">
        <v>3542</v>
      </c>
      <c r="Y981" s="426" t="s">
        <v>2788</v>
      </c>
      <c r="Z981" s="426" t="s">
        <v>2646</v>
      </c>
      <c r="AA981" s="426" t="s">
        <v>2646</v>
      </c>
      <c r="AB981" s="426" t="s">
        <v>2646</v>
      </c>
      <c r="AC981" s="426" t="s">
        <v>2646</v>
      </c>
      <c r="AD981" s="426" t="s">
        <v>2646</v>
      </c>
      <c r="AE981" s="426" t="s">
        <v>2646</v>
      </c>
      <c r="AF981" s="426" t="s">
        <v>2646</v>
      </c>
      <c r="AG981" s="426" t="s">
        <v>2646</v>
      </c>
      <c r="AH981" s="426" t="s">
        <v>2646</v>
      </c>
      <c r="AI981" s="426" t="s">
        <v>2646</v>
      </c>
      <c r="AJ981" s="68" t="s">
        <v>2646</v>
      </c>
    </row>
    <row r="982" spans="1:36" hidden="1">
      <c r="A982" s="68" t="s">
        <v>2210</v>
      </c>
      <c r="B982" s="427" t="s">
        <v>2650</v>
      </c>
      <c r="C982" s="433" t="s">
        <v>3521</v>
      </c>
      <c r="D982" s="433" t="s">
        <v>2720</v>
      </c>
      <c r="E982" s="433" t="s">
        <v>2654</v>
      </c>
      <c r="F982" s="433" t="s">
        <v>2654</v>
      </c>
      <c r="G982" s="433" t="s">
        <v>2654</v>
      </c>
      <c r="H982" s="433" t="s">
        <v>2654</v>
      </c>
      <c r="I982" s="433" t="s">
        <v>2654</v>
      </c>
      <c r="J982" s="433" t="s">
        <v>2654</v>
      </c>
      <c r="K982" s="433" t="s">
        <v>2654</v>
      </c>
      <c r="L982" s="433" t="s">
        <v>2654</v>
      </c>
      <c r="M982" s="433" t="s">
        <v>2654</v>
      </c>
      <c r="N982" s="433" t="s">
        <v>2654</v>
      </c>
      <c r="O982" s="433" t="s">
        <v>2654</v>
      </c>
      <c r="P982" s="433" t="s">
        <v>2651</v>
      </c>
      <c r="Q982" s="431"/>
      <c r="R982" s="431"/>
      <c r="S982" s="426" t="s">
        <v>2660</v>
      </c>
      <c r="T982" s="426" t="s">
        <v>2657</v>
      </c>
      <c r="U982" s="426" t="s">
        <v>2657</v>
      </c>
      <c r="V982" s="426" t="s">
        <v>2657</v>
      </c>
      <c r="W982" s="426" t="s">
        <v>3124</v>
      </c>
      <c r="X982" s="426" t="s">
        <v>3614</v>
      </c>
      <c r="Y982" s="426" t="s">
        <v>2890</v>
      </c>
      <c r="Z982" s="426" t="s">
        <v>2646</v>
      </c>
      <c r="AA982" s="426" t="s">
        <v>2646</v>
      </c>
      <c r="AB982" s="426" t="s">
        <v>2646</v>
      </c>
      <c r="AC982" s="426" t="s">
        <v>2646</v>
      </c>
      <c r="AD982" s="426" t="s">
        <v>2646</v>
      </c>
      <c r="AE982" s="426" t="s">
        <v>2646</v>
      </c>
      <c r="AF982" s="426" t="s">
        <v>2646</v>
      </c>
      <c r="AG982" s="426" t="s">
        <v>2646</v>
      </c>
      <c r="AH982" s="426" t="s">
        <v>2646</v>
      </c>
      <c r="AI982" s="426" t="s">
        <v>2646</v>
      </c>
      <c r="AJ982" s="68" t="s">
        <v>2646</v>
      </c>
    </row>
    <row r="983" spans="1:36" hidden="1">
      <c r="A983" s="68" t="s">
        <v>2211</v>
      </c>
      <c r="B983" s="427" t="s">
        <v>2651</v>
      </c>
      <c r="C983" s="433" t="s">
        <v>3408</v>
      </c>
      <c r="D983" s="433" t="s">
        <v>2720</v>
      </c>
      <c r="E983" s="433" t="s">
        <v>2654</v>
      </c>
      <c r="F983" s="433" t="s">
        <v>2654</v>
      </c>
      <c r="G983" s="433" t="s">
        <v>2654</v>
      </c>
      <c r="H983" s="433" t="s">
        <v>2654</v>
      </c>
      <c r="I983" s="433" t="s">
        <v>2654</v>
      </c>
      <c r="J983" s="433" t="s">
        <v>2654</v>
      </c>
      <c r="K983" s="433" t="s">
        <v>2654</v>
      </c>
      <c r="L983" s="433" t="s">
        <v>2654</v>
      </c>
      <c r="M983" s="433" t="s">
        <v>2654</v>
      </c>
      <c r="N983" s="433" t="s">
        <v>2654</v>
      </c>
      <c r="O983" s="433" t="s">
        <v>2654</v>
      </c>
      <c r="P983" s="433" t="s">
        <v>4083</v>
      </c>
      <c r="Q983" s="431"/>
      <c r="R983" s="431"/>
      <c r="S983" s="426" t="s">
        <v>2655</v>
      </c>
      <c r="T983" s="426" t="s">
        <v>2657</v>
      </c>
      <c r="U983" s="426" t="s">
        <v>2657</v>
      </c>
      <c r="V983" s="426" t="s">
        <v>2657</v>
      </c>
      <c r="W983" s="426" t="s">
        <v>2787</v>
      </c>
      <c r="X983" s="426" t="s">
        <v>3542</v>
      </c>
      <c r="Y983" s="426" t="s">
        <v>2788</v>
      </c>
      <c r="Z983" s="426" t="s">
        <v>2646</v>
      </c>
      <c r="AA983" s="426" t="s">
        <v>2646</v>
      </c>
      <c r="AB983" s="426" t="s">
        <v>2646</v>
      </c>
      <c r="AC983" s="426" t="s">
        <v>2646</v>
      </c>
      <c r="AD983" s="426" t="s">
        <v>2646</v>
      </c>
      <c r="AE983" s="426" t="s">
        <v>2646</v>
      </c>
      <c r="AF983" s="426" t="s">
        <v>2646</v>
      </c>
      <c r="AG983" s="426" t="s">
        <v>2646</v>
      </c>
      <c r="AH983" s="426" t="s">
        <v>2646</v>
      </c>
      <c r="AI983" s="426" t="s">
        <v>2646</v>
      </c>
      <c r="AJ983" s="68" t="s">
        <v>2646</v>
      </c>
    </row>
    <row r="984" spans="1:36">
      <c r="A984" s="68" t="s">
        <v>2211</v>
      </c>
      <c r="B984" s="427" t="s">
        <v>48</v>
      </c>
      <c r="C984" s="433" t="s">
        <v>3408</v>
      </c>
      <c r="D984" s="433" t="s">
        <v>3906</v>
      </c>
      <c r="E984" s="433" t="s">
        <v>2654</v>
      </c>
      <c r="F984" s="433" t="s">
        <v>2654</v>
      </c>
      <c r="G984" s="433" t="s">
        <v>2654</v>
      </c>
      <c r="H984" s="433" t="s">
        <v>2654</v>
      </c>
      <c r="I984" s="433" t="s">
        <v>2654</v>
      </c>
      <c r="J984" s="433" t="s">
        <v>2654</v>
      </c>
      <c r="K984" s="433" t="s">
        <v>2654</v>
      </c>
      <c r="L984" s="433" t="s">
        <v>2654</v>
      </c>
      <c r="M984" s="433" t="s">
        <v>2654</v>
      </c>
      <c r="N984" s="433" t="s">
        <v>2654</v>
      </c>
      <c r="O984" s="433" t="s">
        <v>2654</v>
      </c>
      <c r="P984" s="433" t="s">
        <v>3707</v>
      </c>
      <c r="Q984" s="433" t="s">
        <v>2654</v>
      </c>
      <c r="R984" s="433" t="s">
        <v>2654</v>
      </c>
      <c r="S984" s="426"/>
      <c r="T984" s="426"/>
      <c r="U984" s="426"/>
      <c r="V984" s="426"/>
      <c r="W984" s="426"/>
      <c r="X984" s="426"/>
      <c r="Y984" s="426"/>
      <c r="Z984" s="426"/>
      <c r="AA984" s="426"/>
      <c r="AB984" s="426"/>
      <c r="AC984" s="426"/>
      <c r="AD984" s="426"/>
      <c r="AE984" s="426"/>
      <c r="AF984" s="426"/>
      <c r="AG984" s="426"/>
      <c r="AH984" s="426"/>
      <c r="AI984" s="426"/>
    </row>
    <row r="985" spans="1:36" hidden="1">
      <c r="A985" s="68" t="s">
        <v>2212</v>
      </c>
      <c r="B985" s="427" t="s">
        <v>2647</v>
      </c>
      <c r="C985" s="433" t="s">
        <v>3916</v>
      </c>
      <c r="D985" s="433" t="s">
        <v>3247</v>
      </c>
      <c r="E985" s="433" t="s">
        <v>2654</v>
      </c>
      <c r="F985" s="433" t="s">
        <v>2654</v>
      </c>
      <c r="G985" s="433" t="s">
        <v>2654</v>
      </c>
      <c r="H985" s="433" t="s">
        <v>2654</v>
      </c>
      <c r="I985" s="433" t="s">
        <v>2654</v>
      </c>
      <c r="J985" s="433" t="s">
        <v>2654</v>
      </c>
      <c r="K985" s="433" t="s">
        <v>2654</v>
      </c>
      <c r="L985" s="433" t="s">
        <v>2654</v>
      </c>
      <c r="M985" s="433" t="s">
        <v>2654</v>
      </c>
      <c r="N985" s="433" t="s">
        <v>2654</v>
      </c>
      <c r="O985" s="433" t="s">
        <v>2654</v>
      </c>
      <c r="P985" s="433" t="s">
        <v>4080</v>
      </c>
      <c r="Q985" s="431"/>
      <c r="R985" s="431"/>
      <c r="S985" s="426" t="s">
        <v>3186</v>
      </c>
      <c r="T985" s="426" t="s">
        <v>3484</v>
      </c>
      <c r="U985" s="426" t="s">
        <v>2669</v>
      </c>
      <c r="V985" s="426" t="s">
        <v>2657</v>
      </c>
      <c r="W985" s="426" t="s">
        <v>2787</v>
      </c>
      <c r="X985" s="426" t="s">
        <v>2926</v>
      </c>
      <c r="Y985" s="426" t="s">
        <v>2798</v>
      </c>
      <c r="Z985" s="426" t="s">
        <v>3320</v>
      </c>
      <c r="AA985" s="426" t="s">
        <v>2646</v>
      </c>
      <c r="AB985" s="426" t="s">
        <v>2646</v>
      </c>
      <c r="AC985" s="426" t="s">
        <v>2646</v>
      </c>
      <c r="AD985" s="426" t="s">
        <v>2646</v>
      </c>
      <c r="AE985" s="426" t="s">
        <v>2646</v>
      </c>
      <c r="AF985" s="426" t="s">
        <v>2646</v>
      </c>
      <c r="AG985" s="426" t="s">
        <v>2646</v>
      </c>
      <c r="AH985" s="426" t="s">
        <v>2646</v>
      </c>
      <c r="AI985" s="426" t="s">
        <v>2646</v>
      </c>
      <c r="AJ985" s="68" t="s">
        <v>2646</v>
      </c>
    </row>
    <row r="986" spans="1:36" hidden="1">
      <c r="A986" s="68" t="s">
        <v>2213</v>
      </c>
      <c r="B986" s="427" t="s">
        <v>2648</v>
      </c>
      <c r="C986" s="433" t="s">
        <v>3216</v>
      </c>
      <c r="D986" s="433" t="s">
        <v>3049</v>
      </c>
      <c r="E986" s="433" t="s">
        <v>2654</v>
      </c>
      <c r="F986" s="433" t="s">
        <v>2654</v>
      </c>
      <c r="G986" s="433" t="s">
        <v>2654</v>
      </c>
      <c r="H986" s="433" t="s">
        <v>2654</v>
      </c>
      <c r="I986" s="433" t="s">
        <v>2654</v>
      </c>
      <c r="J986" s="433" t="s">
        <v>2654</v>
      </c>
      <c r="K986" s="433" t="s">
        <v>2654</v>
      </c>
      <c r="L986" s="433" t="s">
        <v>2654</v>
      </c>
      <c r="M986" s="433" t="s">
        <v>2654</v>
      </c>
      <c r="N986" s="433" t="s">
        <v>2654</v>
      </c>
      <c r="O986" s="433" t="s">
        <v>2654</v>
      </c>
      <c r="P986" s="433" t="s">
        <v>2650</v>
      </c>
      <c r="Q986" s="431"/>
      <c r="R986" s="431"/>
      <c r="S986" s="426" t="s">
        <v>3194</v>
      </c>
      <c r="T986" s="426" t="s">
        <v>3538</v>
      </c>
      <c r="U986" s="426" t="s">
        <v>2660</v>
      </c>
      <c r="V986" s="426" t="s">
        <v>2660</v>
      </c>
      <c r="W986" s="426" t="s">
        <v>2787</v>
      </c>
      <c r="X986" s="426" t="s">
        <v>2926</v>
      </c>
      <c r="Y986" s="426" t="s">
        <v>2798</v>
      </c>
      <c r="Z986" s="426" t="s">
        <v>3320</v>
      </c>
      <c r="AA986" s="426" t="s">
        <v>2646</v>
      </c>
      <c r="AB986" s="426" t="s">
        <v>2646</v>
      </c>
      <c r="AC986" s="426" t="s">
        <v>2646</v>
      </c>
      <c r="AD986" s="426" t="s">
        <v>2646</v>
      </c>
      <c r="AE986" s="426" t="s">
        <v>2646</v>
      </c>
      <c r="AF986" s="426" t="s">
        <v>2646</v>
      </c>
      <c r="AG986" s="426" t="s">
        <v>2646</v>
      </c>
      <c r="AH986" s="426" t="s">
        <v>2646</v>
      </c>
      <c r="AI986" s="426" t="s">
        <v>2646</v>
      </c>
      <c r="AJ986" s="68" t="s">
        <v>2646</v>
      </c>
    </row>
    <row r="987" spans="1:36" hidden="1">
      <c r="A987" s="68" t="s">
        <v>2214</v>
      </c>
      <c r="B987" s="427" t="s">
        <v>2649</v>
      </c>
      <c r="C987" s="433" t="s">
        <v>3141</v>
      </c>
      <c r="D987" s="433" t="s">
        <v>3049</v>
      </c>
      <c r="E987" s="433" t="s">
        <v>2654</v>
      </c>
      <c r="F987" s="433" t="s">
        <v>2654</v>
      </c>
      <c r="G987" s="433" t="s">
        <v>2654</v>
      </c>
      <c r="H987" s="433" t="s">
        <v>2654</v>
      </c>
      <c r="I987" s="433" t="s">
        <v>2654</v>
      </c>
      <c r="J987" s="433" t="s">
        <v>2654</v>
      </c>
      <c r="K987" s="433" t="s">
        <v>2654</v>
      </c>
      <c r="L987" s="433" t="s">
        <v>2654</v>
      </c>
      <c r="M987" s="433" t="s">
        <v>2654</v>
      </c>
      <c r="N987" s="433" t="s">
        <v>2654</v>
      </c>
      <c r="O987" s="433" t="s">
        <v>2654</v>
      </c>
      <c r="P987" s="433" t="s">
        <v>4080</v>
      </c>
      <c r="Q987" s="431"/>
      <c r="R987" s="431"/>
      <c r="S987" s="426" t="s">
        <v>2660</v>
      </c>
      <c r="T987" s="426" t="s">
        <v>2657</v>
      </c>
      <c r="U987" s="426" t="s">
        <v>2657</v>
      </c>
      <c r="V987" s="426" t="s">
        <v>2657</v>
      </c>
      <c r="W987" s="426" t="s">
        <v>2805</v>
      </c>
      <c r="X987" s="426" t="s">
        <v>2926</v>
      </c>
      <c r="Y987" s="426" t="s">
        <v>2887</v>
      </c>
      <c r="Z987" s="426" t="s">
        <v>2958</v>
      </c>
      <c r="AA987" s="426" t="s">
        <v>2646</v>
      </c>
      <c r="AB987" s="426" t="s">
        <v>2646</v>
      </c>
      <c r="AC987" s="426" t="s">
        <v>2646</v>
      </c>
      <c r="AD987" s="426" t="s">
        <v>2646</v>
      </c>
      <c r="AE987" s="426" t="s">
        <v>2646</v>
      </c>
      <c r="AF987" s="426" t="s">
        <v>2646</v>
      </c>
      <c r="AG987" s="426" t="s">
        <v>2646</v>
      </c>
      <c r="AH987" s="426" t="s">
        <v>2646</v>
      </c>
      <c r="AI987" s="426" t="s">
        <v>2646</v>
      </c>
      <c r="AJ987" s="68" t="s">
        <v>2646</v>
      </c>
    </row>
    <row r="988" spans="1:36" hidden="1">
      <c r="A988" s="68" t="s">
        <v>2215</v>
      </c>
      <c r="B988" s="427" t="s">
        <v>2650</v>
      </c>
      <c r="C988" s="433" t="s">
        <v>3541</v>
      </c>
      <c r="D988" s="433" t="s">
        <v>3262</v>
      </c>
      <c r="E988" s="433" t="s">
        <v>2654</v>
      </c>
      <c r="F988" s="433" t="s">
        <v>2654</v>
      </c>
      <c r="G988" s="433" t="s">
        <v>2654</v>
      </c>
      <c r="H988" s="433" t="s">
        <v>2654</v>
      </c>
      <c r="I988" s="433" t="s">
        <v>2654</v>
      </c>
      <c r="J988" s="433" t="s">
        <v>2654</v>
      </c>
      <c r="K988" s="433" t="s">
        <v>2654</v>
      </c>
      <c r="L988" s="433" t="s">
        <v>2654</v>
      </c>
      <c r="M988" s="433" t="s">
        <v>2654</v>
      </c>
      <c r="N988" s="433" t="s">
        <v>2654</v>
      </c>
      <c r="O988" s="433" t="s">
        <v>2654</v>
      </c>
      <c r="P988" s="433" t="s">
        <v>4059</v>
      </c>
      <c r="Q988" s="431"/>
      <c r="R988" s="431"/>
      <c r="S988" s="426" t="s">
        <v>2778</v>
      </c>
      <c r="T988" s="426" t="s">
        <v>3194</v>
      </c>
      <c r="U988" s="426" t="s">
        <v>2657</v>
      </c>
      <c r="V988" s="426" t="s">
        <v>2657</v>
      </c>
      <c r="W988" s="426" t="s">
        <v>3440</v>
      </c>
      <c r="X988" s="426" t="s">
        <v>2926</v>
      </c>
      <c r="Y988" s="426" t="s">
        <v>3508</v>
      </c>
      <c r="Z988" s="426" t="s">
        <v>3320</v>
      </c>
      <c r="AA988" s="426" t="s">
        <v>2646</v>
      </c>
      <c r="AB988" s="426" t="s">
        <v>2646</v>
      </c>
      <c r="AC988" s="426" t="s">
        <v>2646</v>
      </c>
      <c r="AD988" s="426" t="s">
        <v>2646</v>
      </c>
      <c r="AE988" s="426" t="s">
        <v>2646</v>
      </c>
      <c r="AF988" s="426" t="s">
        <v>2646</v>
      </c>
      <c r="AG988" s="426" t="s">
        <v>2646</v>
      </c>
      <c r="AH988" s="426" t="s">
        <v>2646</v>
      </c>
      <c r="AI988" s="426" t="s">
        <v>2646</v>
      </c>
      <c r="AJ988" s="68" t="s">
        <v>2646</v>
      </c>
    </row>
    <row r="989" spans="1:36" hidden="1">
      <c r="A989" s="68" t="s">
        <v>2216</v>
      </c>
      <c r="B989" s="427" t="s">
        <v>2651</v>
      </c>
      <c r="C989" s="433" t="s">
        <v>3448</v>
      </c>
      <c r="D989" s="433" t="s">
        <v>3049</v>
      </c>
      <c r="E989" s="433" t="s">
        <v>2654</v>
      </c>
      <c r="F989" s="433" t="s">
        <v>2654</v>
      </c>
      <c r="G989" s="433" t="s">
        <v>2654</v>
      </c>
      <c r="H989" s="433" t="s">
        <v>2654</v>
      </c>
      <c r="I989" s="433" t="s">
        <v>2654</v>
      </c>
      <c r="J989" s="433" t="s">
        <v>2654</v>
      </c>
      <c r="K989" s="433" t="s">
        <v>2654</v>
      </c>
      <c r="L989" s="433" t="s">
        <v>2654</v>
      </c>
      <c r="M989" s="433" t="s">
        <v>2654</v>
      </c>
      <c r="N989" s="433" t="s">
        <v>2654</v>
      </c>
      <c r="O989" s="433" t="s">
        <v>2654</v>
      </c>
      <c r="P989" s="433" t="s">
        <v>4126</v>
      </c>
      <c r="Q989" s="431"/>
      <c r="R989" s="431"/>
      <c r="S989" s="426" t="s">
        <v>3339</v>
      </c>
      <c r="T989" s="426" t="s">
        <v>3132</v>
      </c>
      <c r="U989" s="426" t="s">
        <v>2657</v>
      </c>
      <c r="V989" s="426" t="s">
        <v>2657</v>
      </c>
      <c r="W989" s="426" t="s">
        <v>2787</v>
      </c>
      <c r="X989" s="426" t="s">
        <v>2926</v>
      </c>
      <c r="Y989" s="426" t="s">
        <v>2798</v>
      </c>
      <c r="Z989" s="426" t="s">
        <v>3320</v>
      </c>
      <c r="AA989" s="426" t="s">
        <v>2646</v>
      </c>
      <c r="AB989" s="426" t="s">
        <v>2646</v>
      </c>
      <c r="AC989" s="426" t="s">
        <v>2646</v>
      </c>
      <c r="AD989" s="426" t="s">
        <v>2646</v>
      </c>
      <c r="AE989" s="426" t="s">
        <v>2646</v>
      </c>
      <c r="AF989" s="426" t="s">
        <v>2646</v>
      </c>
      <c r="AG989" s="426" t="s">
        <v>2646</v>
      </c>
      <c r="AH989" s="426" t="s">
        <v>2646</v>
      </c>
      <c r="AI989" s="426" t="s">
        <v>2646</v>
      </c>
      <c r="AJ989" s="68" t="s">
        <v>2646</v>
      </c>
    </row>
    <row r="990" spans="1:36">
      <c r="A990" s="68" t="s">
        <v>2216</v>
      </c>
      <c r="B990" s="427" t="s">
        <v>48</v>
      </c>
      <c r="C990" s="433" t="s">
        <v>3451</v>
      </c>
      <c r="D990" s="433" t="s">
        <v>3049</v>
      </c>
      <c r="E990" s="433" t="s">
        <v>2654</v>
      </c>
      <c r="F990" s="433" t="s">
        <v>2654</v>
      </c>
      <c r="G990" s="433" t="s">
        <v>2654</v>
      </c>
      <c r="H990" s="433" t="s">
        <v>2654</v>
      </c>
      <c r="I990" s="433" t="s">
        <v>2654</v>
      </c>
      <c r="J990" s="433" t="s">
        <v>2654</v>
      </c>
      <c r="K990" s="433" t="s">
        <v>2654</v>
      </c>
      <c r="L990" s="433" t="s">
        <v>2654</v>
      </c>
      <c r="M990" s="433" t="s">
        <v>2654</v>
      </c>
      <c r="N990" s="433" t="s">
        <v>2654</v>
      </c>
      <c r="O990" s="433" t="s">
        <v>2654</v>
      </c>
      <c r="P990" s="433" t="s">
        <v>4025</v>
      </c>
      <c r="Q990" s="433" t="s">
        <v>2654</v>
      </c>
      <c r="R990" s="433" t="s">
        <v>2654</v>
      </c>
      <c r="S990" s="426"/>
      <c r="T990" s="426"/>
      <c r="U990" s="426"/>
      <c r="V990" s="426"/>
      <c r="W990" s="426"/>
      <c r="X990" s="426"/>
      <c r="Y990" s="426"/>
      <c r="Z990" s="426"/>
      <c r="AA990" s="426"/>
      <c r="AB990" s="426"/>
      <c r="AC990" s="426"/>
      <c r="AD990" s="426"/>
      <c r="AE990" s="426"/>
      <c r="AF990" s="426"/>
      <c r="AG990" s="426"/>
      <c r="AH990" s="426"/>
      <c r="AI990" s="426"/>
    </row>
    <row r="991" spans="1:36" hidden="1">
      <c r="A991" s="68" t="s">
        <v>2217</v>
      </c>
      <c r="B991" s="427" t="s">
        <v>2647</v>
      </c>
      <c r="C991" s="433" t="s">
        <v>3648</v>
      </c>
      <c r="D991" s="433" t="s">
        <v>3409</v>
      </c>
      <c r="E991" s="433" t="s">
        <v>2654</v>
      </c>
      <c r="F991" s="433" t="s">
        <v>2654</v>
      </c>
      <c r="G991" s="433" t="s">
        <v>2654</v>
      </c>
      <c r="H991" s="433" t="s">
        <v>2654</v>
      </c>
      <c r="I991" s="433" t="s">
        <v>2654</v>
      </c>
      <c r="J991" s="433" t="s">
        <v>2654</v>
      </c>
      <c r="K991" s="433" t="s">
        <v>2654</v>
      </c>
      <c r="L991" s="433" t="s">
        <v>2654</v>
      </c>
      <c r="M991" s="433" t="s">
        <v>2654</v>
      </c>
      <c r="N991" s="433" t="s">
        <v>2654</v>
      </c>
      <c r="O991" s="433" t="s">
        <v>2654</v>
      </c>
      <c r="P991" s="433" t="s">
        <v>4078</v>
      </c>
      <c r="Q991" s="431"/>
      <c r="R991" s="431"/>
      <c r="S991" s="426" t="s">
        <v>2655</v>
      </c>
      <c r="T991" s="426" t="s">
        <v>2657</v>
      </c>
      <c r="U991" s="426" t="s">
        <v>2657</v>
      </c>
      <c r="V991" s="426" t="s">
        <v>2657</v>
      </c>
      <c r="W991" s="426" t="s">
        <v>3440</v>
      </c>
      <c r="X991" s="426" t="s">
        <v>2939</v>
      </c>
      <c r="Y991" s="426" t="s">
        <v>3571</v>
      </c>
      <c r="Z991" s="426" t="s">
        <v>3320</v>
      </c>
      <c r="AA991" s="426" t="s">
        <v>3205</v>
      </c>
      <c r="AB991" s="426" t="s">
        <v>3242</v>
      </c>
      <c r="AC991" s="426" t="s">
        <v>2646</v>
      </c>
      <c r="AD991" s="426" t="s">
        <v>2646</v>
      </c>
      <c r="AE991" s="426" t="s">
        <v>2646</v>
      </c>
      <c r="AF991" s="426" t="s">
        <v>2646</v>
      </c>
      <c r="AG991" s="426" t="s">
        <v>2646</v>
      </c>
      <c r="AH991" s="426" t="s">
        <v>2646</v>
      </c>
      <c r="AI991" s="426" t="s">
        <v>2646</v>
      </c>
      <c r="AJ991" s="68" t="s">
        <v>2646</v>
      </c>
    </row>
    <row r="992" spans="1:36" hidden="1">
      <c r="A992" s="68" t="s">
        <v>2218</v>
      </c>
      <c r="B992" s="427" t="s">
        <v>2648</v>
      </c>
      <c r="C992" s="433" t="s">
        <v>3629</v>
      </c>
      <c r="D992" s="433" t="s">
        <v>3500</v>
      </c>
      <c r="E992" s="433" t="s">
        <v>2654</v>
      </c>
      <c r="F992" s="433" t="s">
        <v>2654</v>
      </c>
      <c r="G992" s="433" t="s">
        <v>2654</v>
      </c>
      <c r="H992" s="433" t="s">
        <v>2654</v>
      </c>
      <c r="I992" s="433" t="s">
        <v>2654</v>
      </c>
      <c r="J992" s="433" t="s">
        <v>2654</v>
      </c>
      <c r="K992" s="433" t="s">
        <v>2654</v>
      </c>
      <c r="L992" s="433" t="s">
        <v>2654</v>
      </c>
      <c r="M992" s="433" t="s">
        <v>2654</v>
      </c>
      <c r="N992" s="433" t="s">
        <v>2654</v>
      </c>
      <c r="O992" s="433" t="s">
        <v>2654</v>
      </c>
      <c r="P992" s="433" t="s">
        <v>4059</v>
      </c>
      <c r="Q992" s="431"/>
      <c r="R992" s="431"/>
      <c r="S992" s="426" t="s">
        <v>2669</v>
      </c>
      <c r="T992" s="426" t="s">
        <v>2657</v>
      </c>
      <c r="U992" s="426" t="s">
        <v>2657</v>
      </c>
      <c r="V992" s="426" t="s">
        <v>2657</v>
      </c>
      <c r="W992" s="426" t="s">
        <v>3440</v>
      </c>
      <c r="X992" s="426" t="s">
        <v>2939</v>
      </c>
      <c r="Y992" s="426" t="s">
        <v>3571</v>
      </c>
      <c r="Z992" s="426" t="s">
        <v>2938</v>
      </c>
      <c r="AA992" s="426" t="s">
        <v>3205</v>
      </c>
      <c r="AB992" s="426" t="s">
        <v>2646</v>
      </c>
      <c r="AC992" s="426" t="s">
        <v>2646</v>
      </c>
      <c r="AD992" s="426" t="s">
        <v>2646</v>
      </c>
      <c r="AE992" s="426" t="s">
        <v>2646</v>
      </c>
      <c r="AF992" s="426" t="s">
        <v>2646</v>
      </c>
      <c r="AG992" s="426" t="s">
        <v>2646</v>
      </c>
      <c r="AH992" s="426" t="s">
        <v>2646</v>
      </c>
      <c r="AI992" s="426" t="s">
        <v>2646</v>
      </c>
      <c r="AJ992" s="68" t="s">
        <v>2646</v>
      </c>
    </row>
    <row r="993" spans="1:36" hidden="1">
      <c r="A993" s="68" t="s">
        <v>2219</v>
      </c>
      <c r="B993" s="427" t="s">
        <v>2649</v>
      </c>
      <c r="C993" s="433" t="s">
        <v>3974</v>
      </c>
      <c r="D993" s="433" t="s">
        <v>3409</v>
      </c>
      <c r="E993" s="433" t="s">
        <v>2654</v>
      </c>
      <c r="F993" s="433" t="s">
        <v>2654</v>
      </c>
      <c r="G993" s="433" t="s">
        <v>2654</v>
      </c>
      <c r="H993" s="433" t="s">
        <v>2654</v>
      </c>
      <c r="I993" s="433" t="s">
        <v>2654</v>
      </c>
      <c r="J993" s="433" t="s">
        <v>2654</v>
      </c>
      <c r="K993" s="433" t="s">
        <v>2654</v>
      </c>
      <c r="L993" s="433" t="s">
        <v>2654</v>
      </c>
      <c r="M993" s="433" t="s">
        <v>2654</v>
      </c>
      <c r="N993" s="433" t="s">
        <v>2654</v>
      </c>
      <c r="O993" s="433" t="s">
        <v>2654</v>
      </c>
      <c r="P993" s="433" t="s">
        <v>4061</v>
      </c>
      <c r="Q993" s="431"/>
      <c r="R993" s="431"/>
      <c r="S993" s="426" t="s">
        <v>2778</v>
      </c>
      <c r="T993" s="426" t="s">
        <v>2657</v>
      </c>
      <c r="U993" s="426" t="s">
        <v>2657</v>
      </c>
      <c r="V993" s="426" t="s">
        <v>2657</v>
      </c>
      <c r="W993" s="426" t="s">
        <v>2787</v>
      </c>
      <c r="X993" s="426" t="s">
        <v>2939</v>
      </c>
      <c r="Y993" s="426" t="s">
        <v>2989</v>
      </c>
      <c r="Z993" s="426" t="s">
        <v>2938</v>
      </c>
      <c r="AA993" s="426" t="s">
        <v>3205</v>
      </c>
      <c r="AB993" s="426" t="s">
        <v>3053</v>
      </c>
      <c r="AC993" s="426" t="s">
        <v>2646</v>
      </c>
      <c r="AD993" s="426" t="s">
        <v>2646</v>
      </c>
      <c r="AE993" s="426" t="s">
        <v>2646</v>
      </c>
      <c r="AF993" s="426" t="s">
        <v>2646</v>
      </c>
      <c r="AG993" s="426" t="s">
        <v>2646</v>
      </c>
      <c r="AH993" s="426" t="s">
        <v>2646</v>
      </c>
      <c r="AI993" s="426" t="s">
        <v>2646</v>
      </c>
      <c r="AJ993" s="68" t="s">
        <v>2646</v>
      </c>
    </row>
    <row r="994" spans="1:36" hidden="1">
      <c r="A994" s="68" t="s">
        <v>2220</v>
      </c>
      <c r="B994" s="427" t="s">
        <v>2650</v>
      </c>
      <c r="C994" s="433" t="s">
        <v>4436</v>
      </c>
      <c r="D994" s="433" t="s">
        <v>3729</v>
      </c>
      <c r="E994" s="433" t="s">
        <v>2654</v>
      </c>
      <c r="F994" s="433" t="s">
        <v>2654</v>
      </c>
      <c r="G994" s="433" t="s">
        <v>2654</v>
      </c>
      <c r="H994" s="433" t="s">
        <v>2654</v>
      </c>
      <c r="I994" s="433" t="s">
        <v>2654</v>
      </c>
      <c r="J994" s="433" t="s">
        <v>2654</v>
      </c>
      <c r="K994" s="433" t="s">
        <v>2654</v>
      </c>
      <c r="L994" s="433" t="s">
        <v>2654</v>
      </c>
      <c r="M994" s="433" t="s">
        <v>2654</v>
      </c>
      <c r="N994" s="433" t="s">
        <v>2654</v>
      </c>
      <c r="O994" s="433" t="s">
        <v>2654</v>
      </c>
      <c r="P994" s="433" t="s">
        <v>4061</v>
      </c>
      <c r="Q994" s="431"/>
      <c r="R994" s="431"/>
      <c r="S994" s="426" t="s">
        <v>2660</v>
      </c>
      <c r="T994" s="426" t="s">
        <v>2657</v>
      </c>
      <c r="U994" s="426" t="s">
        <v>2657</v>
      </c>
      <c r="V994" s="426" t="s">
        <v>2657</v>
      </c>
      <c r="W994" s="426" t="s">
        <v>3440</v>
      </c>
      <c r="X994" s="426" t="s">
        <v>2939</v>
      </c>
      <c r="Y994" s="426" t="s">
        <v>3571</v>
      </c>
      <c r="Z994" s="426" t="s">
        <v>2950</v>
      </c>
      <c r="AA994" s="426" t="s">
        <v>3205</v>
      </c>
      <c r="AB994" s="426" t="s">
        <v>2646</v>
      </c>
      <c r="AC994" s="426" t="s">
        <v>2646</v>
      </c>
      <c r="AD994" s="426" t="s">
        <v>2646</v>
      </c>
      <c r="AE994" s="426" t="s">
        <v>2646</v>
      </c>
      <c r="AF994" s="426" t="s">
        <v>2646</v>
      </c>
      <c r="AG994" s="426" t="s">
        <v>2646</v>
      </c>
      <c r="AH994" s="426" t="s">
        <v>2646</v>
      </c>
      <c r="AI994" s="426" t="s">
        <v>2646</v>
      </c>
      <c r="AJ994" s="68" t="s">
        <v>2646</v>
      </c>
    </row>
    <row r="995" spans="1:36" hidden="1">
      <c r="A995" s="68" t="s">
        <v>2221</v>
      </c>
      <c r="B995" s="427" t="s">
        <v>2651</v>
      </c>
      <c r="C995" s="433" t="s">
        <v>3968</v>
      </c>
      <c r="D995" s="433" t="s">
        <v>3729</v>
      </c>
      <c r="E995" s="433" t="s">
        <v>2654</v>
      </c>
      <c r="F995" s="433" t="s">
        <v>2654</v>
      </c>
      <c r="G995" s="433" t="s">
        <v>2654</v>
      </c>
      <c r="H995" s="433" t="s">
        <v>2654</v>
      </c>
      <c r="I995" s="433" t="s">
        <v>2654</v>
      </c>
      <c r="J995" s="433" t="s">
        <v>2654</v>
      </c>
      <c r="K995" s="433" t="s">
        <v>2654</v>
      </c>
      <c r="L995" s="433" t="s">
        <v>2654</v>
      </c>
      <c r="M995" s="433" t="s">
        <v>2654</v>
      </c>
      <c r="N995" s="433" t="s">
        <v>2654</v>
      </c>
      <c r="O995" s="433" t="s">
        <v>2654</v>
      </c>
      <c r="P995" s="433" t="s">
        <v>4057</v>
      </c>
      <c r="Q995" s="431"/>
      <c r="R995" s="431"/>
      <c r="S995" s="426" t="s">
        <v>2901</v>
      </c>
      <c r="T995" s="426" t="s">
        <v>2658</v>
      </c>
      <c r="U995" s="426" t="s">
        <v>2657</v>
      </c>
      <c r="V995" s="426" t="s">
        <v>2657</v>
      </c>
      <c r="W995" s="426" t="s">
        <v>2787</v>
      </c>
      <c r="X995" s="426" t="s">
        <v>2939</v>
      </c>
      <c r="Y995" s="426" t="s">
        <v>2989</v>
      </c>
      <c r="Z995" s="426" t="s">
        <v>2938</v>
      </c>
      <c r="AA995" s="426" t="s">
        <v>3524</v>
      </c>
      <c r="AB995" s="426" t="s">
        <v>3023</v>
      </c>
      <c r="AC995" s="426" t="s">
        <v>2646</v>
      </c>
      <c r="AD995" s="426" t="s">
        <v>2646</v>
      </c>
      <c r="AE995" s="426" t="s">
        <v>2646</v>
      </c>
      <c r="AF995" s="426" t="s">
        <v>2646</v>
      </c>
      <c r="AG995" s="426" t="s">
        <v>2646</v>
      </c>
      <c r="AH995" s="426" t="s">
        <v>2646</v>
      </c>
      <c r="AI995" s="426" t="s">
        <v>2646</v>
      </c>
      <c r="AJ995" s="68" t="s">
        <v>2646</v>
      </c>
    </row>
    <row r="996" spans="1:36">
      <c r="A996" s="68" t="s">
        <v>2221</v>
      </c>
      <c r="B996" s="427" t="s">
        <v>48</v>
      </c>
      <c r="C996" s="433" t="s">
        <v>4636</v>
      </c>
      <c r="D996" s="433" t="s">
        <v>3500</v>
      </c>
      <c r="E996" s="433" t="s">
        <v>2654</v>
      </c>
      <c r="F996" s="433" t="s">
        <v>2654</v>
      </c>
      <c r="G996" s="433" t="s">
        <v>2654</v>
      </c>
      <c r="H996" s="433" t="s">
        <v>2654</v>
      </c>
      <c r="I996" s="433" t="s">
        <v>2654</v>
      </c>
      <c r="J996" s="433" t="s">
        <v>2654</v>
      </c>
      <c r="K996" s="433" t="s">
        <v>2654</v>
      </c>
      <c r="L996" s="433" t="s">
        <v>2654</v>
      </c>
      <c r="M996" s="433" t="s">
        <v>2654</v>
      </c>
      <c r="N996" s="433" t="s">
        <v>2654</v>
      </c>
      <c r="O996" s="433" t="s">
        <v>2654</v>
      </c>
      <c r="P996" s="433" t="s">
        <v>4024</v>
      </c>
      <c r="Q996" s="433" t="s">
        <v>2654</v>
      </c>
      <c r="R996" s="433" t="s">
        <v>2654</v>
      </c>
      <c r="S996" s="426"/>
      <c r="T996" s="426"/>
      <c r="U996" s="426"/>
      <c r="V996" s="426"/>
      <c r="W996" s="426"/>
      <c r="X996" s="426"/>
      <c r="Y996" s="426"/>
      <c r="Z996" s="426"/>
      <c r="AA996" s="426"/>
      <c r="AB996" s="426"/>
      <c r="AC996" s="426"/>
      <c r="AD996" s="426"/>
      <c r="AE996" s="426"/>
      <c r="AF996" s="426"/>
      <c r="AG996" s="426"/>
      <c r="AH996" s="426"/>
      <c r="AI996" s="426"/>
    </row>
    <row r="997" spans="1:36" hidden="1">
      <c r="A997" s="68" t="s">
        <v>2222</v>
      </c>
      <c r="B997" s="427" t="s">
        <v>2647</v>
      </c>
      <c r="C997" s="433" t="s">
        <v>3954</v>
      </c>
      <c r="D997" s="433" t="s">
        <v>3561</v>
      </c>
      <c r="E997" s="433" t="s">
        <v>2654</v>
      </c>
      <c r="F997" s="433" t="s">
        <v>2654</v>
      </c>
      <c r="G997" s="433" t="s">
        <v>2654</v>
      </c>
      <c r="H997" s="433" t="s">
        <v>2654</v>
      </c>
      <c r="I997" s="433" t="s">
        <v>2654</v>
      </c>
      <c r="J997" s="433" t="s">
        <v>2654</v>
      </c>
      <c r="K997" s="433" t="s">
        <v>2654</v>
      </c>
      <c r="L997" s="433" t="s">
        <v>2654</v>
      </c>
      <c r="M997" s="433" t="s">
        <v>2654</v>
      </c>
      <c r="N997" s="433" t="s">
        <v>2654</v>
      </c>
      <c r="O997" s="433" t="s">
        <v>2654</v>
      </c>
      <c r="P997" s="433" t="s">
        <v>4083</v>
      </c>
      <c r="Q997" s="431"/>
      <c r="R997" s="431"/>
      <c r="S997" s="426" t="s">
        <v>3186</v>
      </c>
      <c r="T997" s="426" t="s">
        <v>2657</v>
      </c>
      <c r="U997" s="426" t="s">
        <v>2657</v>
      </c>
      <c r="V997" s="426" t="s">
        <v>2657</v>
      </c>
      <c r="W997" s="426" t="s">
        <v>2787</v>
      </c>
      <c r="X997" s="426" t="s">
        <v>2939</v>
      </c>
      <c r="Y997" s="426" t="s">
        <v>2951</v>
      </c>
      <c r="Z997" s="426" t="s">
        <v>3587</v>
      </c>
      <c r="AA997" s="426" t="s">
        <v>3205</v>
      </c>
      <c r="AB997" s="426" t="s">
        <v>3012</v>
      </c>
      <c r="AC997" s="426" t="s">
        <v>2646</v>
      </c>
      <c r="AD997" s="426" t="s">
        <v>2646</v>
      </c>
      <c r="AE997" s="426" t="s">
        <v>2646</v>
      </c>
      <c r="AF997" s="426" t="s">
        <v>2646</v>
      </c>
      <c r="AG997" s="426" t="s">
        <v>2646</v>
      </c>
      <c r="AH997" s="426" t="s">
        <v>2646</v>
      </c>
      <c r="AI997" s="426" t="s">
        <v>2646</v>
      </c>
      <c r="AJ997" s="68" t="s">
        <v>2646</v>
      </c>
    </row>
    <row r="998" spans="1:36" hidden="1">
      <c r="A998" s="68" t="s">
        <v>2223</v>
      </c>
      <c r="B998" s="427" t="s">
        <v>2648</v>
      </c>
      <c r="C998" s="433" t="s">
        <v>3232</v>
      </c>
      <c r="D998" s="433" t="s">
        <v>3561</v>
      </c>
      <c r="E998" s="433" t="s">
        <v>2654</v>
      </c>
      <c r="F998" s="433" t="s">
        <v>2654</v>
      </c>
      <c r="G998" s="433" t="s">
        <v>2654</v>
      </c>
      <c r="H998" s="433" t="s">
        <v>2654</v>
      </c>
      <c r="I998" s="433" t="s">
        <v>2654</v>
      </c>
      <c r="J998" s="433" t="s">
        <v>2654</v>
      </c>
      <c r="K998" s="433" t="s">
        <v>2654</v>
      </c>
      <c r="L998" s="433" t="s">
        <v>2654</v>
      </c>
      <c r="M998" s="433" t="s">
        <v>2654</v>
      </c>
      <c r="N998" s="433" t="s">
        <v>2654</v>
      </c>
      <c r="O998" s="433" t="s">
        <v>2654</v>
      </c>
      <c r="P998" s="433" t="s">
        <v>2650</v>
      </c>
      <c r="Q998" s="431"/>
      <c r="R998" s="431"/>
      <c r="S998" s="426" t="s">
        <v>2778</v>
      </c>
      <c r="T998" s="426" t="s">
        <v>2657</v>
      </c>
      <c r="U998" s="426" t="s">
        <v>2657</v>
      </c>
      <c r="V998" s="426" t="s">
        <v>2657</v>
      </c>
      <c r="W998" s="426" t="s">
        <v>3132</v>
      </c>
      <c r="X998" s="426" t="s">
        <v>3195</v>
      </c>
      <c r="Y998" s="426" t="s">
        <v>3578</v>
      </c>
      <c r="Z998" s="426" t="s">
        <v>3587</v>
      </c>
      <c r="AA998" s="426" t="s">
        <v>3205</v>
      </c>
      <c r="AB998" s="426" t="s">
        <v>3067</v>
      </c>
      <c r="AC998" s="426" t="s">
        <v>2646</v>
      </c>
      <c r="AD998" s="426" t="s">
        <v>2646</v>
      </c>
      <c r="AE998" s="426" t="s">
        <v>2646</v>
      </c>
      <c r="AF998" s="426" t="s">
        <v>2646</v>
      </c>
      <c r="AG998" s="426" t="s">
        <v>2646</v>
      </c>
      <c r="AH998" s="426" t="s">
        <v>2646</v>
      </c>
      <c r="AI998" s="426" t="s">
        <v>2646</v>
      </c>
      <c r="AJ998" s="68" t="s">
        <v>2646</v>
      </c>
    </row>
    <row r="999" spans="1:36" hidden="1">
      <c r="A999" s="68" t="s">
        <v>2224</v>
      </c>
      <c r="B999" s="427" t="s">
        <v>2649</v>
      </c>
      <c r="C999" s="433" t="s">
        <v>3786</v>
      </c>
      <c r="D999" s="433" t="s">
        <v>3788</v>
      </c>
      <c r="E999" s="433" t="s">
        <v>2654</v>
      </c>
      <c r="F999" s="433" t="s">
        <v>2654</v>
      </c>
      <c r="G999" s="433" t="s">
        <v>2654</v>
      </c>
      <c r="H999" s="433" t="s">
        <v>2654</v>
      </c>
      <c r="I999" s="433" t="s">
        <v>2654</v>
      </c>
      <c r="J999" s="433" t="s">
        <v>2654</v>
      </c>
      <c r="K999" s="433" t="s">
        <v>2654</v>
      </c>
      <c r="L999" s="433" t="s">
        <v>2654</v>
      </c>
      <c r="M999" s="433" t="s">
        <v>2654</v>
      </c>
      <c r="N999" s="433" t="s">
        <v>2654</v>
      </c>
      <c r="O999" s="433" t="s">
        <v>2654</v>
      </c>
      <c r="P999" s="433" t="s">
        <v>4249</v>
      </c>
      <c r="Q999" s="431"/>
      <c r="R999" s="431"/>
      <c r="S999" s="426" t="s">
        <v>3194</v>
      </c>
      <c r="T999" s="426" t="s">
        <v>3334</v>
      </c>
      <c r="U999" s="426" t="s">
        <v>3220</v>
      </c>
      <c r="V999" s="426" t="s">
        <v>3220</v>
      </c>
      <c r="W999" s="426" t="s">
        <v>2805</v>
      </c>
      <c r="X999" s="426" t="s">
        <v>2939</v>
      </c>
      <c r="Y999" s="426" t="s">
        <v>2900</v>
      </c>
      <c r="Z999" s="426" t="s">
        <v>3207</v>
      </c>
      <c r="AA999" s="426" t="s">
        <v>3205</v>
      </c>
      <c r="AB999" s="426" t="s">
        <v>3469</v>
      </c>
      <c r="AC999" s="426" t="s">
        <v>2646</v>
      </c>
      <c r="AD999" s="426" t="s">
        <v>2646</v>
      </c>
      <c r="AE999" s="426" t="s">
        <v>2646</v>
      </c>
      <c r="AF999" s="426" t="s">
        <v>2646</v>
      </c>
      <c r="AG999" s="426" t="s">
        <v>2646</v>
      </c>
      <c r="AH999" s="426" t="s">
        <v>2646</v>
      </c>
      <c r="AI999" s="426" t="s">
        <v>2646</v>
      </c>
      <c r="AJ999" s="68" t="s">
        <v>2646</v>
      </c>
    </row>
    <row r="1000" spans="1:36" hidden="1">
      <c r="A1000" s="68" t="s">
        <v>2225</v>
      </c>
      <c r="B1000" s="427" t="s">
        <v>2650</v>
      </c>
      <c r="C1000" s="433" t="s">
        <v>3463</v>
      </c>
      <c r="D1000" s="433" t="s">
        <v>3521</v>
      </c>
      <c r="E1000" s="433" t="s">
        <v>2654</v>
      </c>
      <c r="F1000" s="433" t="s">
        <v>2654</v>
      </c>
      <c r="G1000" s="433" t="s">
        <v>2654</v>
      </c>
      <c r="H1000" s="433" t="s">
        <v>2654</v>
      </c>
      <c r="I1000" s="433" t="s">
        <v>2654</v>
      </c>
      <c r="J1000" s="433" t="s">
        <v>2654</v>
      </c>
      <c r="K1000" s="433" t="s">
        <v>2654</v>
      </c>
      <c r="L1000" s="433" t="s">
        <v>2654</v>
      </c>
      <c r="M1000" s="433" t="s">
        <v>2654</v>
      </c>
      <c r="N1000" s="433" t="s">
        <v>2654</v>
      </c>
      <c r="O1000" s="433" t="s">
        <v>2654</v>
      </c>
      <c r="P1000" s="433" t="s">
        <v>4059</v>
      </c>
      <c r="Q1000" s="431"/>
      <c r="R1000" s="431"/>
      <c r="S1000" s="426" t="s">
        <v>2665</v>
      </c>
      <c r="T1000" s="426" t="s">
        <v>2657</v>
      </c>
      <c r="U1000" s="426" t="s">
        <v>2657</v>
      </c>
      <c r="V1000" s="426" t="s">
        <v>2657</v>
      </c>
      <c r="W1000" s="426" t="s">
        <v>2787</v>
      </c>
      <c r="X1000" s="426" t="s">
        <v>2939</v>
      </c>
      <c r="Y1000" s="426" t="s">
        <v>2951</v>
      </c>
      <c r="Z1000" s="426" t="s">
        <v>3207</v>
      </c>
      <c r="AA1000" s="426" t="s">
        <v>3205</v>
      </c>
      <c r="AB1000" s="426" t="s">
        <v>3238</v>
      </c>
      <c r="AC1000" s="426" t="s">
        <v>2646</v>
      </c>
      <c r="AD1000" s="426" t="s">
        <v>2646</v>
      </c>
      <c r="AE1000" s="426" t="s">
        <v>2646</v>
      </c>
      <c r="AF1000" s="426" t="s">
        <v>2646</v>
      </c>
      <c r="AG1000" s="426" t="s">
        <v>2646</v>
      </c>
      <c r="AH1000" s="426" t="s">
        <v>2646</v>
      </c>
      <c r="AI1000" s="426" t="s">
        <v>2646</v>
      </c>
      <c r="AJ1000" s="68" t="s">
        <v>2646</v>
      </c>
    </row>
    <row r="1001" spans="1:36" hidden="1">
      <c r="A1001" s="68" t="s">
        <v>2226</v>
      </c>
      <c r="B1001" s="427" t="s">
        <v>2651</v>
      </c>
      <c r="C1001" s="433" t="s">
        <v>3483</v>
      </c>
      <c r="D1001" s="433" t="s">
        <v>3561</v>
      </c>
      <c r="E1001" s="433" t="s">
        <v>2654</v>
      </c>
      <c r="F1001" s="433" t="s">
        <v>2654</v>
      </c>
      <c r="G1001" s="433" t="s">
        <v>2654</v>
      </c>
      <c r="H1001" s="433" t="s">
        <v>2654</v>
      </c>
      <c r="I1001" s="433" t="s">
        <v>2654</v>
      </c>
      <c r="J1001" s="433" t="s">
        <v>2654</v>
      </c>
      <c r="K1001" s="433" t="s">
        <v>2654</v>
      </c>
      <c r="L1001" s="433" t="s">
        <v>2654</v>
      </c>
      <c r="M1001" s="433" t="s">
        <v>2654</v>
      </c>
      <c r="N1001" s="433" t="s">
        <v>2654</v>
      </c>
      <c r="O1001" s="433" t="s">
        <v>2654</v>
      </c>
      <c r="P1001" s="433" t="s">
        <v>4059</v>
      </c>
      <c r="Q1001" s="431"/>
      <c r="R1001" s="431"/>
      <c r="S1001" s="426" t="s">
        <v>2665</v>
      </c>
      <c r="T1001" s="426" t="s">
        <v>2657</v>
      </c>
      <c r="U1001" s="426" t="s">
        <v>2657</v>
      </c>
      <c r="V1001" s="426" t="s">
        <v>2657</v>
      </c>
      <c r="W1001" s="426" t="s">
        <v>2805</v>
      </c>
      <c r="X1001" s="426" t="s">
        <v>2939</v>
      </c>
      <c r="Y1001" s="426" t="s">
        <v>2900</v>
      </c>
      <c r="Z1001" s="426" t="s">
        <v>3207</v>
      </c>
      <c r="AA1001" s="426" t="s">
        <v>3205</v>
      </c>
      <c r="AB1001" s="426" t="s">
        <v>3030</v>
      </c>
      <c r="AC1001" s="426" t="s">
        <v>2646</v>
      </c>
      <c r="AD1001" s="426" t="s">
        <v>2646</v>
      </c>
      <c r="AE1001" s="426" t="s">
        <v>2646</v>
      </c>
      <c r="AF1001" s="426" t="s">
        <v>2646</v>
      </c>
      <c r="AG1001" s="426" t="s">
        <v>2646</v>
      </c>
      <c r="AH1001" s="426" t="s">
        <v>2646</v>
      </c>
      <c r="AI1001" s="426" t="s">
        <v>2646</v>
      </c>
      <c r="AJ1001" s="68" t="s">
        <v>2646</v>
      </c>
    </row>
    <row r="1002" spans="1:36">
      <c r="A1002" s="68" t="s">
        <v>2226</v>
      </c>
      <c r="B1002" s="427" t="s">
        <v>48</v>
      </c>
      <c r="C1002" s="433" t="s">
        <v>3483</v>
      </c>
      <c r="D1002" s="433" t="s">
        <v>4167</v>
      </c>
      <c r="E1002" s="433" t="s">
        <v>2654</v>
      </c>
      <c r="F1002" s="433" t="s">
        <v>2654</v>
      </c>
      <c r="G1002" s="433" t="s">
        <v>2654</v>
      </c>
      <c r="H1002" s="433" t="s">
        <v>2654</v>
      </c>
      <c r="I1002" s="433" t="s">
        <v>2654</v>
      </c>
      <c r="J1002" s="433" t="s">
        <v>2654</v>
      </c>
      <c r="K1002" s="433" t="s">
        <v>2654</v>
      </c>
      <c r="L1002" s="433" t="s">
        <v>2654</v>
      </c>
      <c r="M1002" s="433" t="s">
        <v>2654</v>
      </c>
      <c r="N1002" s="433" t="s">
        <v>2654</v>
      </c>
      <c r="O1002" s="433" t="s">
        <v>2654</v>
      </c>
      <c r="P1002" s="433" t="s">
        <v>3934</v>
      </c>
      <c r="Q1002" s="433" t="s">
        <v>2654</v>
      </c>
      <c r="R1002" s="433" t="s">
        <v>2654</v>
      </c>
      <c r="S1002" s="426"/>
      <c r="T1002" s="426"/>
      <c r="U1002" s="426"/>
      <c r="V1002" s="426"/>
      <c r="W1002" s="426"/>
      <c r="X1002" s="426"/>
      <c r="Y1002" s="426"/>
      <c r="Z1002" s="426"/>
      <c r="AA1002" s="426"/>
      <c r="AB1002" s="426"/>
      <c r="AC1002" s="426"/>
      <c r="AD1002" s="426"/>
      <c r="AE1002" s="426"/>
      <c r="AF1002" s="426"/>
      <c r="AG1002" s="426"/>
      <c r="AH1002" s="426"/>
      <c r="AI1002" s="426"/>
    </row>
    <row r="1003" spans="1:36" hidden="1">
      <c r="A1003" s="68" t="s">
        <v>2227</v>
      </c>
      <c r="B1003" s="427" t="s">
        <v>2647</v>
      </c>
      <c r="C1003" s="433" t="s">
        <v>3709</v>
      </c>
      <c r="D1003" s="433" t="s">
        <v>3222</v>
      </c>
      <c r="E1003" s="433" t="s">
        <v>2654</v>
      </c>
      <c r="F1003" s="433" t="s">
        <v>2654</v>
      </c>
      <c r="G1003" s="433" t="s">
        <v>2654</v>
      </c>
      <c r="H1003" s="433" t="s">
        <v>2654</v>
      </c>
      <c r="I1003" s="433" t="s">
        <v>2654</v>
      </c>
      <c r="J1003" s="433" t="s">
        <v>2654</v>
      </c>
      <c r="K1003" s="433" t="s">
        <v>2654</v>
      </c>
      <c r="L1003" s="433" t="s">
        <v>2654</v>
      </c>
      <c r="M1003" s="433" t="s">
        <v>2654</v>
      </c>
      <c r="N1003" s="433" t="s">
        <v>2654</v>
      </c>
      <c r="O1003" s="433" t="s">
        <v>2654</v>
      </c>
      <c r="P1003" s="433" t="s">
        <v>4087</v>
      </c>
      <c r="Q1003" s="431"/>
      <c r="R1003" s="431"/>
      <c r="S1003" s="426" t="s">
        <v>3132</v>
      </c>
      <c r="T1003" s="426" t="s">
        <v>2657</v>
      </c>
      <c r="U1003" s="426" t="s">
        <v>2657</v>
      </c>
      <c r="V1003" s="426" t="s">
        <v>2657</v>
      </c>
      <c r="W1003" s="426" t="s">
        <v>2829</v>
      </c>
      <c r="X1003" s="426" t="s">
        <v>2939</v>
      </c>
      <c r="Y1003" s="426" t="s">
        <v>3005</v>
      </c>
      <c r="Z1003" s="426" t="s">
        <v>3207</v>
      </c>
      <c r="AA1003" s="426" t="s">
        <v>3205</v>
      </c>
      <c r="AB1003" s="426" t="s">
        <v>3075</v>
      </c>
      <c r="AC1003" s="426" t="s">
        <v>2646</v>
      </c>
      <c r="AD1003" s="426" t="s">
        <v>2646</v>
      </c>
      <c r="AE1003" s="426" t="s">
        <v>2646</v>
      </c>
      <c r="AF1003" s="426" t="s">
        <v>2646</v>
      </c>
      <c r="AG1003" s="426" t="s">
        <v>2646</v>
      </c>
      <c r="AH1003" s="426" t="s">
        <v>2646</v>
      </c>
      <c r="AI1003" s="426" t="s">
        <v>2646</v>
      </c>
      <c r="AJ1003" s="68" t="s">
        <v>2646</v>
      </c>
    </row>
    <row r="1004" spans="1:36" hidden="1">
      <c r="A1004" s="68" t="s">
        <v>2228</v>
      </c>
      <c r="B1004" s="427" t="s">
        <v>2648</v>
      </c>
      <c r="C1004" s="433" t="s">
        <v>3625</v>
      </c>
      <c r="D1004" s="433" t="s">
        <v>3734</v>
      </c>
      <c r="E1004" s="433" t="s">
        <v>2654</v>
      </c>
      <c r="F1004" s="433" t="s">
        <v>2654</v>
      </c>
      <c r="G1004" s="433" t="s">
        <v>2654</v>
      </c>
      <c r="H1004" s="433" t="s">
        <v>2654</v>
      </c>
      <c r="I1004" s="433" t="s">
        <v>2654</v>
      </c>
      <c r="J1004" s="433" t="s">
        <v>2654</v>
      </c>
      <c r="K1004" s="433" t="s">
        <v>2654</v>
      </c>
      <c r="L1004" s="433" t="s">
        <v>2654</v>
      </c>
      <c r="M1004" s="433" t="s">
        <v>2654</v>
      </c>
      <c r="N1004" s="433" t="s">
        <v>2654</v>
      </c>
      <c r="O1004" s="433" t="s">
        <v>2654</v>
      </c>
      <c r="P1004" s="433" t="s">
        <v>4093</v>
      </c>
      <c r="Q1004" s="431"/>
      <c r="R1004" s="431"/>
      <c r="S1004" s="426" t="s">
        <v>3132</v>
      </c>
      <c r="T1004" s="426" t="s">
        <v>2657</v>
      </c>
      <c r="U1004" s="426" t="s">
        <v>2657</v>
      </c>
      <c r="V1004" s="426" t="s">
        <v>2657</v>
      </c>
      <c r="W1004" s="426" t="s">
        <v>2829</v>
      </c>
      <c r="X1004" s="426" t="s">
        <v>2939</v>
      </c>
      <c r="Y1004" s="426" t="s">
        <v>3005</v>
      </c>
      <c r="Z1004" s="426" t="s">
        <v>3524</v>
      </c>
      <c r="AA1004" s="426" t="s">
        <v>2958</v>
      </c>
      <c r="AB1004" s="426" t="s">
        <v>3231</v>
      </c>
      <c r="AC1004" s="426" t="s">
        <v>2646</v>
      </c>
      <c r="AD1004" s="426" t="s">
        <v>2646</v>
      </c>
      <c r="AE1004" s="426" t="s">
        <v>2646</v>
      </c>
      <c r="AF1004" s="426" t="s">
        <v>2646</v>
      </c>
      <c r="AG1004" s="426" t="s">
        <v>2646</v>
      </c>
      <c r="AH1004" s="426" t="s">
        <v>2646</v>
      </c>
      <c r="AI1004" s="426" t="s">
        <v>2646</v>
      </c>
      <c r="AJ1004" s="68" t="s">
        <v>2646</v>
      </c>
    </row>
    <row r="1005" spans="1:36" hidden="1">
      <c r="A1005" s="68" t="s">
        <v>2229</v>
      </c>
      <c r="B1005" s="427" t="s">
        <v>2649</v>
      </c>
      <c r="C1005" s="433" t="s">
        <v>3591</v>
      </c>
      <c r="D1005" s="433" t="s">
        <v>3734</v>
      </c>
      <c r="E1005" s="433" t="s">
        <v>2654</v>
      </c>
      <c r="F1005" s="433" t="s">
        <v>2654</v>
      </c>
      <c r="G1005" s="433" t="s">
        <v>2654</v>
      </c>
      <c r="H1005" s="433" t="s">
        <v>2654</v>
      </c>
      <c r="I1005" s="433" t="s">
        <v>2654</v>
      </c>
      <c r="J1005" s="433" t="s">
        <v>2654</v>
      </c>
      <c r="K1005" s="433" t="s">
        <v>2654</v>
      </c>
      <c r="L1005" s="433" t="s">
        <v>2654</v>
      </c>
      <c r="M1005" s="433" t="s">
        <v>2654</v>
      </c>
      <c r="N1005" s="433" t="s">
        <v>2654</v>
      </c>
      <c r="O1005" s="433" t="s">
        <v>2654</v>
      </c>
      <c r="P1005" s="433" t="s">
        <v>4080</v>
      </c>
      <c r="Q1005" s="431"/>
      <c r="R1005" s="431"/>
      <c r="S1005" s="426" t="s">
        <v>3132</v>
      </c>
      <c r="T1005" s="426" t="s">
        <v>3109</v>
      </c>
      <c r="U1005" s="426" t="s">
        <v>2657</v>
      </c>
      <c r="V1005" s="426" t="s">
        <v>2657</v>
      </c>
      <c r="W1005" s="426" t="s">
        <v>2805</v>
      </c>
      <c r="X1005" s="426" t="s">
        <v>2939</v>
      </c>
      <c r="Y1005" s="426" t="s">
        <v>2906</v>
      </c>
      <c r="Z1005" s="426" t="s">
        <v>3524</v>
      </c>
      <c r="AA1005" s="426" t="s">
        <v>2958</v>
      </c>
      <c r="AB1005" s="426" t="s">
        <v>3355</v>
      </c>
      <c r="AC1005" s="426" t="s">
        <v>2646</v>
      </c>
      <c r="AD1005" s="426" t="s">
        <v>2646</v>
      </c>
      <c r="AE1005" s="426" t="s">
        <v>2646</v>
      </c>
      <c r="AF1005" s="426" t="s">
        <v>2646</v>
      </c>
      <c r="AG1005" s="426" t="s">
        <v>2646</v>
      </c>
      <c r="AH1005" s="426" t="s">
        <v>2646</v>
      </c>
      <c r="AI1005" s="426" t="s">
        <v>2646</v>
      </c>
      <c r="AJ1005" s="68" t="s">
        <v>2646</v>
      </c>
    </row>
    <row r="1006" spans="1:36" hidden="1">
      <c r="A1006" s="68" t="s">
        <v>2230</v>
      </c>
      <c r="B1006" s="427" t="s">
        <v>2650</v>
      </c>
      <c r="C1006" s="433" t="s">
        <v>3696</v>
      </c>
      <c r="D1006" s="433" t="s">
        <v>3734</v>
      </c>
      <c r="E1006" s="433" t="s">
        <v>2654</v>
      </c>
      <c r="F1006" s="433" t="s">
        <v>2654</v>
      </c>
      <c r="G1006" s="433" t="s">
        <v>2654</v>
      </c>
      <c r="H1006" s="433" t="s">
        <v>2654</v>
      </c>
      <c r="I1006" s="433" t="s">
        <v>2654</v>
      </c>
      <c r="J1006" s="433" t="s">
        <v>2654</v>
      </c>
      <c r="K1006" s="433" t="s">
        <v>2654</v>
      </c>
      <c r="L1006" s="433" t="s">
        <v>2654</v>
      </c>
      <c r="M1006" s="433" t="s">
        <v>2654</v>
      </c>
      <c r="N1006" s="433" t="s">
        <v>2654</v>
      </c>
      <c r="O1006" s="433" t="s">
        <v>2654</v>
      </c>
      <c r="P1006" s="433" t="s">
        <v>4057</v>
      </c>
      <c r="Q1006" s="431"/>
      <c r="R1006" s="431"/>
      <c r="S1006" s="426" t="s">
        <v>3132</v>
      </c>
      <c r="T1006" s="426" t="s">
        <v>2655</v>
      </c>
      <c r="U1006" s="426" t="s">
        <v>2657</v>
      </c>
      <c r="V1006" s="426" t="s">
        <v>2657</v>
      </c>
      <c r="W1006" s="426" t="s">
        <v>2787</v>
      </c>
      <c r="X1006" s="426" t="s">
        <v>2939</v>
      </c>
      <c r="Y1006" s="426" t="s">
        <v>2874</v>
      </c>
      <c r="Z1006" s="426" t="s">
        <v>2945</v>
      </c>
      <c r="AA1006" s="426" t="s">
        <v>3201</v>
      </c>
      <c r="AB1006" s="426" t="s">
        <v>3067</v>
      </c>
      <c r="AC1006" s="426" t="s">
        <v>2646</v>
      </c>
      <c r="AD1006" s="426" t="s">
        <v>2646</v>
      </c>
      <c r="AE1006" s="426" t="s">
        <v>2646</v>
      </c>
      <c r="AF1006" s="426" t="s">
        <v>2646</v>
      </c>
      <c r="AG1006" s="426" t="s">
        <v>2646</v>
      </c>
      <c r="AH1006" s="426" t="s">
        <v>2646</v>
      </c>
      <c r="AI1006" s="426" t="s">
        <v>2646</v>
      </c>
      <c r="AJ1006" s="68" t="s">
        <v>2646</v>
      </c>
    </row>
    <row r="1007" spans="1:36" hidden="1">
      <c r="A1007" s="68" t="s">
        <v>2231</v>
      </c>
      <c r="B1007" s="427" t="s">
        <v>2651</v>
      </c>
      <c r="C1007" s="433" t="s">
        <v>3758</v>
      </c>
      <c r="D1007" s="433" t="s">
        <v>3089</v>
      </c>
      <c r="E1007" s="433" t="s">
        <v>2654</v>
      </c>
      <c r="F1007" s="433" t="s">
        <v>2654</v>
      </c>
      <c r="G1007" s="433" t="s">
        <v>2654</v>
      </c>
      <c r="H1007" s="433" t="s">
        <v>2654</v>
      </c>
      <c r="I1007" s="433" t="s">
        <v>2654</v>
      </c>
      <c r="J1007" s="433" t="s">
        <v>2654</v>
      </c>
      <c r="K1007" s="433" t="s">
        <v>2654</v>
      </c>
      <c r="L1007" s="433" t="s">
        <v>2654</v>
      </c>
      <c r="M1007" s="433" t="s">
        <v>2654</v>
      </c>
      <c r="N1007" s="433" t="s">
        <v>2654</v>
      </c>
      <c r="O1007" s="433" t="s">
        <v>2654</v>
      </c>
      <c r="P1007" s="433" t="s">
        <v>4061</v>
      </c>
      <c r="Q1007" s="431"/>
      <c r="R1007" s="431"/>
      <c r="S1007" s="426" t="s">
        <v>3132</v>
      </c>
      <c r="T1007" s="426" t="s">
        <v>2657</v>
      </c>
      <c r="U1007" s="426" t="s">
        <v>2657</v>
      </c>
      <c r="V1007" s="426" t="s">
        <v>2657</v>
      </c>
      <c r="W1007" s="426" t="s">
        <v>3220</v>
      </c>
      <c r="X1007" s="426" t="s">
        <v>2939</v>
      </c>
      <c r="Y1007" s="426" t="s">
        <v>3523</v>
      </c>
      <c r="Z1007" s="426" t="s">
        <v>3524</v>
      </c>
      <c r="AA1007" s="426" t="s">
        <v>2958</v>
      </c>
      <c r="AB1007" s="426" t="s">
        <v>3286</v>
      </c>
      <c r="AC1007" s="426" t="s">
        <v>2646</v>
      </c>
      <c r="AD1007" s="426" t="s">
        <v>2646</v>
      </c>
      <c r="AE1007" s="426" t="s">
        <v>2646</v>
      </c>
      <c r="AF1007" s="426" t="s">
        <v>2646</v>
      </c>
      <c r="AG1007" s="426" t="s">
        <v>2646</v>
      </c>
      <c r="AH1007" s="426" t="s">
        <v>2646</v>
      </c>
      <c r="AI1007" s="426" t="s">
        <v>2646</v>
      </c>
      <c r="AJ1007" s="68" t="s">
        <v>2646</v>
      </c>
    </row>
    <row r="1008" spans="1:36">
      <c r="A1008" s="68" t="s">
        <v>2231</v>
      </c>
      <c r="B1008" s="427" t="s">
        <v>48</v>
      </c>
      <c r="C1008" s="433" t="s">
        <v>3785</v>
      </c>
      <c r="D1008" s="433" t="s">
        <v>3734</v>
      </c>
      <c r="E1008" s="433" t="s">
        <v>2654</v>
      </c>
      <c r="F1008" s="433" t="s">
        <v>2654</v>
      </c>
      <c r="G1008" s="433" t="s">
        <v>2654</v>
      </c>
      <c r="H1008" s="433" t="s">
        <v>2654</v>
      </c>
      <c r="I1008" s="433" t="s">
        <v>2654</v>
      </c>
      <c r="J1008" s="433" t="s">
        <v>2654</v>
      </c>
      <c r="K1008" s="433" t="s">
        <v>2654</v>
      </c>
      <c r="L1008" s="433" t="s">
        <v>2654</v>
      </c>
      <c r="M1008" s="433" t="s">
        <v>2654</v>
      </c>
      <c r="N1008" s="433" t="s">
        <v>2654</v>
      </c>
      <c r="O1008" s="433" t="s">
        <v>2654</v>
      </c>
      <c r="P1008" s="433" t="s">
        <v>2993</v>
      </c>
      <c r="Q1008" s="433" t="s">
        <v>2654</v>
      </c>
      <c r="R1008" s="433" t="s">
        <v>2654</v>
      </c>
      <c r="S1008" s="426"/>
      <c r="T1008" s="426"/>
      <c r="U1008" s="426"/>
      <c r="V1008" s="426"/>
      <c r="W1008" s="426"/>
      <c r="X1008" s="426"/>
      <c r="Y1008" s="426"/>
      <c r="Z1008" s="426"/>
      <c r="AA1008" s="426"/>
      <c r="AB1008" s="426"/>
      <c r="AC1008" s="426"/>
      <c r="AD1008" s="426"/>
      <c r="AE1008" s="426"/>
      <c r="AF1008" s="426"/>
      <c r="AG1008" s="426"/>
      <c r="AH1008" s="426"/>
      <c r="AI1008" s="426"/>
    </row>
    <row r="1009" spans="1:36" hidden="1">
      <c r="A1009" s="68" t="s">
        <v>2232</v>
      </c>
      <c r="B1009" s="427" t="s">
        <v>2647</v>
      </c>
      <c r="C1009" s="433" t="s">
        <v>3159</v>
      </c>
      <c r="D1009" s="433" t="s">
        <v>2777</v>
      </c>
      <c r="E1009" s="433" t="s">
        <v>2654</v>
      </c>
      <c r="F1009" s="433" t="s">
        <v>2654</v>
      </c>
      <c r="G1009" s="433" t="s">
        <v>2654</v>
      </c>
      <c r="H1009" s="433" t="s">
        <v>2654</v>
      </c>
      <c r="I1009" s="433" t="s">
        <v>2654</v>
      </c>
      <c r="J1009" s="433" t="s">
        <v>2654</v>
      </c>
      <c r="K1009" s="433" t="s">
        <v>2654</v>
      </c>
      <c r="L1009" s="433" t="s">
        <v>2654</v>
      </c>
      <c r="M1009" s="433" t="s">
        <v>2654</v>
      </c>
      <c r="N1009" s="433" t="s">
        <v>2654</v>
      </c>
      <c r="O1009" s="433" t="s">
        <v>2654</v>
      </c>
      <c r="P1009" s="433" t="s">
        <v>4080</v>
      </c>
      <c r="Q1009" s="431"/>
      <c r="R1009" s="431"/>
      <c r="S1009" s="426" t="s">
        <v>2768</v>
      </c>
      <c r="T1009" s="426" t="s">
        <v>2657</v>
      </c>
      <c r="U1009" s="426" t="s">
        <v>2657</v>
      </c>
      <c r="V1009" s="426" t="s">
        <v>2657</v>
      </c>
      <c r="W1009" s="426" t="s">
        <v>2646</v>
      </c>
      <c r="X1009" s="426" t="s">
        <v>2646</v>
      </c>
      <c r="Y1009" s="426" t="s">
        <v>2646</v>
      </c>
      <c r="Z1009" s="426" t="s">
        <v>2646</v>
      </c>
      <c r="AA1009" s="426" t="s">
        <v>2646</v>
      </c>
      <c r="AB1009" s="426" t="s">
        <v>2646</v>
      </c>
      <c r="AC1009" s="426" t="s">
        <v>2646</v>
      </c>
      <c r="AD1009" s="426" t="s">
        <v>2646</v>
      </c>
      <c r="AE1009" s="426" t="s">
        <v>2646</v>
      </c>
      <c r="AF1009" s="426" t="s">
        <v>2646</v>
      </c>
      <c r="AG1009" s="426" t="s">
        <v>2646</v>
      </c>
      <c r="AH1009" s="426" t="s">
        <v>2646</v>
      </c>
      <c r="AI1009" s="426" t="s">
        <v>2646</v>
      </c>
      <c r="AJ1009" s="68" t="s">
        <v>2646</v>
      </c>
    </row>
    <row r="1010" spans="1:36" hidden="1">
      <c r="A1010" s="68" t="s">
        <v>2233</v>
      </c>
      <c r="B1010" s="427" t="s">
        <v>2648</v>
      </c>
      <c r="C1010" s="433" t="s">
        <v>3247</v>
      </c>
      <c r="D1010" s="433" t="s">
        <v>2676</v>
      </c>
      <c r="E1010" s="433" t="s">
        <v>2654</v>
      </c>
      <c r="F1010" s="433" t="s">
        <v>2654</v>
      </c>
      <c r="G1010" s="433" t="s">
        <v>2654</v>
      </c>
      <c r="H1010" s="433" t="s">
        <v>2654</v>
      </c>
      <c r="I1010" s="433" t="s">
        <v>2654</v>
      </c>
      <c r="J1010" s="433" t="s">
        <v>2654</v>
      </c>
      <c r="K1010" s="433" t="s">
        <v>2654</v>
      </c>
      <c r="L1010" s="433" t="s">
        <v>2654</v>
      </c>
      <c r="M1010" s="433" t="s">
        <v>2654</v>
      </c>
      <c r="N1010" s="433" t="s">
        <v>2654</v>
      </c>
      <c r="O1010" s="433" t="s">
        <v>2654</v>
      </c>
      <c r="P1010" s="433" t="s">
        <v>4083</v>
      </c>
      <c r="Q1010" s="431"/>
      <c r="R1010" s="431"/>
      <c r="S1010" s="426" t="s">
        <v>2768</v>
      </c>
      <c r="T1010" s="426" t="s">
        <v>2657</v>
      </c>
      <c r="U1010" s="426" t="s">
        <v>2657</v>
      </c>
      <c r="V1010" s="426" t="s">
        <v>2657</v>
      </c>
      <c r="W1010" s="426" t="s">
        <v>2646</v>
      </c>
      <c r="X1010" s="426" t="s">
        <v>2646</v>
      </c>
      <c r="Y1010" s="426" t="s">
        <v>3504</v>
      </c>
      <c r="Z1010" s="426" t="s">
        <v>2646</v>
      </c>
      <c r="AA1010" s="426" t="s">
        <v>2646</v>
      </c>
      <c r="AB1010" s="426" t="s">
        <v>2646</v>
      </c>
      <c r="AC1010" s="426" t="s">
        <v>2646</v>
      </c>
      <c r="AD1010" s="426" t="s">
        <v>2646</v>
      </c>
      <c r="AE1010" s="426" t="s">
        <v>2646</v>
      </c>
      <c r="AF1010" s="426" t="s">
        <v>2646</v>
      </c>
      <c r="AG1010" s="426" t="s">
        <v>2646</v>
      </c>
      <c r="AH1010" s="426" t="s">
        <v>2646</v>
      </c>
      <c r="AI1010" s="426" t="s">
        <v>2646</v>
      </c>
      <c r="AJ1010" s="68" t="s">
        <v>2646</v>
      </c>
    </row>
    <row r="1011" spans="1:36" hidden="1">
      <c r="A1011" s="68" t="s">
        <v>2234</v>
      </c>
      <c r="B1011" s="427" t="s">
        <v>2649</v>
      </c>
      <c r="C1011" s="433" t="s">
        <v>3317</v>
      </c>
      <c r="D1011" s="433" t="s">
        <v>2835</v>
      </c>
      <c r="E1011" s="433" t="s">
        <v>2654</v>
      </c>
      <c r="F1011" s="433" t="s">
        <v>2654</v>
      </c>
      <c r="G1011" s="433" t="s">
        <v>2654</v>
      </c>
      <c r="H1011" s="433" t="s">
        <v>2654</v>
      </c>
      <c r="I1011" s="433" t="s">
        <v>2654</v>
      </c>
      <c r="J1011" s="433" t="s">
        <v>2654</v>
      </c>
      <c r="K1011" s="433" t="s">
        <v>2654</v>
      </c>
      <c r="L1011" s="433" t="s">
        <v>2654</v>
      </c>
      <c r="M1011" s="433" t="s">
        <v>2654</v>
      </c>
      <c r="N1011" s="433" t="s">
        <v>2654</v>
      </c>
      <c r="O1011" s="433" t="s">
        <v>2654</v>
      </c>
      <c r="P1011" s="433" t="s">
        <v>4080</v>
      </c>
      <c r="Q1011" s="431"/>
      <c r="R1011" s="431"/>
      <c r="S1011" s="426" t="s">
        <v>3187</v>
      </c>
      <c r="T1011" s="426" t="s">
        <v>2657</v>
      </c>
      <c r="U1011" s="426" t="s">
        <v>2657</v>
      </c>
      <c r="V1011" s="426" t="s">
        <v>2657</v>
      </c>
      <c r="W1011" s="426" t="s">
        <v>2646</v>
      </c>
      <c r="X1011" s="426" t="s">
        <v>2646</v>
      </c>
      <c r="Y1011" s="426" t="s">
        <v>3504</v>
      </c>
      <c r="Z1011" s="426" t="s">
        <v>2646</v>
      </c>
      <c r="AA1011" s="426" t="s">
        <v>2646</v>
      </c>
      <c r="AB1011" s="426" t="s">
        <v>2646</v>
      </c>
      <c r="AC1011" s="426" t="s">
        <v>2646</v>
      </c>
      <c r="AD1011" s="426" t="s">
        <v>2646</v>
      </c>
      <c r="AE1011" s="426" t="s">
        <v>2646</v>
      </c>
      <c r="AF1011" s="426" t="s">
        <v>2646</v>
      </c>
      <c r="AG1011" s="426" t="s">
        <v>2646</v>
      </c>
      <c r="AH1011" s="426" t="s">
        <v>2646</v>
      </c>
      <c r="AI1011" s="426" t="s">
        <v>2646</v>
      </c>
      <c r="AJ1011" s="68" t="s">
        <v>2646</v>
      </c>
    </row>
    <row r="1012" spans="1:36" hidden="1">
      <c r="A1012" s="68" t="s">
        <v>2235</v>
      </c>
      <c r="B1012" s="427" t="s">
        <v>2650</v>
      </c>
      <c r="C1012" s="433" t="s">
        <v>3421</v>
      </c>
      <c r="D1012" s="433" t="s">
        <v>2777</v>
      </c>
      <c r="E1012" s="433" t="s">
        <v>2654</v>
      </c>
      <c r="F1012" s="433" t="s">
        <v>2654</v>
      </c>
      <c r="G1012" s="433" t="s">
        <v>2654</v>
      </c>
      <c r="H1012" s="433" t="s">
        <v>2654</v>
      </c>
      <c r="I1012" s="433" t="s">
        <v>2654</v>
      </c>
      <c r="J1012" s="433" t="s">
        <v>2654</v>
      </c>
      <c r="K1012" s="433" t="s">
        <v>2654</v>
      </c>
      <c r="L1012" s="433" t="s">
        <v>2654</v>
      </c>
      <c r="M1012" s="433" t="s">
        <v>2654</v>
      </c>
      <c r="N1012" s="433" t="s">
        <v>2654</v>
      </c>
      <c r="O1012" s="433" t="s">
        <v>2654</v>
      </c>
      <c r="P1012" s="433" t="s">
        <v>4057</v>
      </c>
      <c r="Q1012" s="431"/>
      <c r="R1012" s="431"/>
      <c r="S1012" s="426" t="s">
        <v>3194</v>
      </c>
      <c r="T1012" s="426" t="s">
        <v>2646</v>
      </c>
      <c r="U1012" s="426" t="s">
        <v>2646</v>
      </c>
      <c r="V1012" s="426" t="s">
        <v>2646</v>
      </c>
      <c r="W1012" s="426" t="s">
        <v>2646</v>
      </c>
      <c r="X1012" s="426" t="s">
        <v>2646</v>
      </c>
      <c r="Y1012" s="426" t="s">
        <v>2646</v>
      </c>
      <c r="Z1012" s="426" t="s">
        <v>2646</v>
      </c>
      <c r="AA1012" s="426" t="s">
        <v>2646</v>
      </c>
      <c r="AB1012" s="426" t="s">
        <v>2646</v>
      </c>
      <c r="AC1012" s="426" t="s">
        <v>2646</v>
      </c>
      <c r="AD1012" s="426" t="s">
        <v>2646</v>
      </c>
      <c r="AE1012" s="426" t="s">
        <v>2646</v>
      </c>
      <c r="AF1012" s="426" t="s">
        <v>2646</v>
      </c>
      <c r="AG1012" s="426" t="s">
        <v>2646</v>
      </c>
      <c r="AH1012" s="426" t="s">
        <v>2646</v>
      </c>
      <c r="AI1012" s="426" t="s">
        <v>2646</v>
      </c>
      <c r="AJ1012" s="68" t="s">
        <v>2646</v>
      </c>
    </row>
    <row r="1013" spans="1:36" hidden="1">
      <c r="A1013" s="68" t="s">
        <v>2236</v>
      </c>
      <c r="B1013" s="427" t="s">
        <v>2651</v>
      </c>
      <c r="C1013" s="433" t="s">
        <v>3461</v>
      </c>
      <c r="D1013" s="433" t="s">
        <v>2676</v>
      </c>
      <c r="E1013" s="433" t="s">
        <v>2654</v>
      </c>
      <c r="F1013" s="433" t="s">
        <v>2654</v>
      </c>
      <c r="G1013" s="433" t="s">
        <v>2654</v>
      </c>
      <c r="H1013" s="433" t="s">
        <v>2654</v>
      </c>
      <c r="I1013" s="433" t="s">
        <v>2654</v>
      </c>
      <c r="J1013" s="433" t="s">
        <v>2654</v>
      </c>
      <c r="K1013" s="433" t="s">
        <v>2654</v>
      </c>
      <c r="L1013" s="433" t="s">
        <v>2654</v>
      </c>
      <c r="M1013" s="433" t="s">
        <v>2654</v>
      </c>
      <c r="N1013" s="433" t="s">
        <v>2654</v>
      </c>
      <c r="O1013" s="433" t="s">
        <v>2654</v>
      </c>
      <c r="P1013" s="433" t="s">
        <v>4061</v>
      </c>
      <c r="Q1013" s="431"/>
      <c r="R1013" s="431"/>
      <c r="S1013" s="426" t="s">
        <v>2669</v>
      </c>
      <c r="T1013" s="426" t="s">
        <v>2646</v>
      </c>
      <c r="U1013" s="426" t="s">
        <v>2646</v>
      </c>
      <c r="V1013" s="426" t="s">
        <v>2646</v>
      </c>
      <c r="W1013" s="426" t="s">
        <v>2646</v>
      </c>
      <c r="X1013" s="426" t="s">
        <v>2646</v>
      </c>
      <c r="Y1013" s="426" t="s">
        <v>2646</v>
      </c>
      <c r="Z1013" s="426" t="s">
        <v>2646</v>
      </c>
      <c r="AA1013" s="426" t="s">
        <v>2646</v>
      </c>
      <c r="AB1013" s="426" t="s">
        <v>2646</v>
      </c>
      <c r="AC1013" s="426" t="s">
        <v>2646</v>
      </c>
      <c r="AD1013" s="426" t="s">
        <v>2646</v>
      </c>
      <c r="AE1013" s="426" t="s">
        <v>2646</v>
      </c>
      <c r="AF1013" s="426" t="s">
        <v>2646</v>
      </c>
      <c r="AG1013" s="426" t="s">
        <v>2646</v>
      </c>
      <c r="AH1013" s="426" t="s">
        <v>2646</v>
      </c>
      <c r="AI1013" s="426" t="s">
        <v>2646</v>
      </c>
      <c r="AJ1013" s="68" t="s">
        <v>2646</v>
      </c>
    </row>
    <row r="1014" spans="1:36">
      <c r="A1014" s="68" t="s">
        <v>2236</v>
      </c>
      <c r="B1014" s="427" t="s">
        <v>48</v>
      </c>
      <c r="C1014" s="433" t="s">
        <v>4519</v>
      </c>
      <c r="D1014" s="433" t="s">
        <v>3255</v>
      </c>
      <c r="E1014" s="433" t="s">
        <v>2654</v>
      </c>
      <c r="F1014" s="433" t="s">
        <v>2654</v>
      </c>
      <c r="G1014" s="433" t="s">
        <v>2654</v>
      </c>
      <c r="H1014" s="433" t="s">
        <v>2654</v>
      </c>
      <c r="I1014" s="433" t="s">
        <v>2654</v>
      </c>
      <c r="J1014" s="433" t="s">
        <v>2654</v>
      </c>
      <c r="K1014" s="433" t="s">
        <v>2654</v>
      </c>
      <c r="L1014" s="433" t="s">
        <v>2654</v>
      </c>
      <c r="M1014" s="433" t="s">
        <v>2654</v>
      </c>
      <c r="N1014" s="433" t="s">
        <v>2654</v>
      </c>
      <c r="O1014" s="433" t="s">
        <v>2654</v>
      </c>
      <c r="P1014" s="433" t="s">
        <v>3183</v>
      </c>
      <c r="Q1014" s="433" t="s">
        <v>2654</v>
      </c>
      <c r="R1014" s="433" t="s">
        <v>2654</v>
      </c>
      <c r="S1014" s="426"/>
      <c r="T1014" s="426"/>
      <c r="U1014" s="426"/>
      <c r="V1014" s="426"/>
      <c r="W1014" s="426"/>
      <c r="X1014" s="426"/>
      <c r="Y1014" s="426"/>
      <c r="Z1014" s="426"/>
      <c r="AA1014" s="426"/>
      <c r="AB1014" s="426"/>
      <c r="AC1014" s="426"/>
      <c r="AD1014" s="426"/>
      <c r="AE1014" s="426"/>
      <c r="AF1014" s="426"/>
      <c r="AG1014" s="426"/>
      <c r="AH1014" s="426"/>
      <c r="AI1014" s="426"/>
    </row>
    <row r="1015" spans="1:36" hidden="1">
      <c r="A1015" s="68" t="s">
        <v>2237</v>
      </c>
      <c r="B1015" s="427" t="s">
        <v>2647</v>
      </c>
      <c r="C1015" s="433" t="s">
        <v>3896</v>
      </c>
      <c r="D1015" s="433" t="s">
        <v>2720</v>
      </c>
      <c r="E1015" s="433" t="s">
        <v>2654</v>
      </c>
      <c r="F1015" s="433" t="s">
        <v>2654</v>
      </c>
      <c r="G1015" s="433" t="s">
        <v>2654</v>
      </c>
      <c r="H1015" s="433" t="s">
        <v>2654</v>
      </c>
      <c r="I1015" s="433" t="s">
        <v>2654</v>
      </c>
      <c r="J1015" s="433" t="s">
        <v>2654</v>
      </c>
      <c r="K1015" s="433" t="s">
        <v>2654</v>
      </c>
      <c r="L1015" s="433" t="s">
        <v>2654</v>
      </c>
      <c r="M1015" s="433" t="s">
        <v>2654</v>
      </c>
      <c r="N1015" s="433" t="s">
        <v>2654</v>
      </c>
      <c r="O1015" s="433" t="s">
        <v>2654</v>
      </c>
      <c r="P1015" s="433" t="s">
        <v>4057</v>
      </c>
      <c r="Q1015" s="431"/>
      <c r="R1015" s="431"/>
      <c r="S1015" s="426" t="s">
        <v>2655</v>
      </c>
      <c r="T1015" s="426" t="s">
        <v>2669</v>
      </c>
      <c r="U1015" s="426" t="s">
        <v>2657</v>
      </c>
      <c r="V1015" s="426" t="s">
        <v>2657</v>
      </c>
      <c r="W1015" s="426" t="s">
        <v>2646</v>
      </c>
      <c r="X1015" s="426" t="s">
        <v>2646</v>
      </c>
      <c r="Y1015" s="426" t="s">
        <v>2646</v>
      </c>
      <c r="Z1015" s="426" t="s">
        <v>2646</v>
      </c>
      <c r="AA1015" s="426" t="s">
        <v>2646</v>
      </c>
      <c r="AB1015" s="426" t="s">
        <v>2646</v>
      </c>
      <c r="AC1015" s="426" t="s">
        <v>2646</v>
      </c>
      <c r="AD1015" s="426" t="s">
        <v>2646</v>
      </c>
      <c r="AE1015" s="426" t="s">
        <v>2646</v>
      </c>
      <c r="AF1015" s="426" t="s">
        <v>2646</v>
      </c>
      <c r="AG1015" s="426" t="s">
        <v>2646</v>
      </c>
      <c r="AH1015" s="426" t="s">
        <v>2646</v>
      </c>
      <c r="AI1015" s="426" t="s">
        <v>2646</v>
      </c>
      <c r="AJ1015" s="68" t="s">
        <v>2646</v>
      </c>
    </row>
    <row r="1016" spans="1:36" hidden="1">
      <c r="A1016" s="68" t="s">
        <v>2238</v>
      </c>
      <c r="B1016" s="427" t="s">
        <v>2648</v>
      </c>
      <c r="C1016" s="433" t="s">
        <v>3896</v>
      </c>
      <c r="D1016" s="433" t="s">
        <v>2833</v>
      </c>
      <c r="E1016" s="433" t="s">
        <v>2654</v>
      </c>
      <c r="F1016" s="433" t="s">
        <v>2654</v>
      </c>
      <c r="G1016" s="433" t="s">
        <v>2654</v>
      </c>
      <c r="H1016" s="433" t="s">
        <v>2654</v>
      </c>
      <c r="I1016" s="433" t="s">
        <v>2654</v>
      </c>
      <c r="J1016" s="433" t="s">
        <v>2654</v>
      </c>
      <c r="K1016" s="433" t="s">
        <v>2654</v>
      </c>
      <c r="L1016" s="433" t="s">
        <v>2654</v>
      </c>
      <c r="M1016" s="433" t="s">
        <v>2654</v>
      </c>
      <c r="N1016" s="433" t="s">
        <v>2654</v>
      </c>
      <c r="O1016" s="433" t="s">
        <v>2654</v>
      </c>
      <c r="P1016" s="433" t="s">
        <v>2650</v>
      </c>
      <c r="Q1016" s="431"/>
      <c r="R1016" s="431"/>
      <c r="S1016" s="426" t="s">
        <v>2778</v>
      </c>
      <c r="T1016" s="426" t="s">
        <v>2657</v>
      </c>
      <c r="U1016" s="426" t="s">
        <v>2657</v>
      </c>
      <c r="V1016" s="426" t="s">
        <v>2657</v>
      </c>
      <c r="W1016" s="426" t="s">
        <v>2646</v>
      </c>
      <c r="X1016" s="426" t="s">
        <v>2646</v>
      </c>
      <c r="Y1016" s="426" t="s">
        <v>2890</v>
      </c>
      <c r="Z1016" s="426" t="s">
        <v>2646</v>
      </c>
      <c r="AA1016" s="426" t="s">
        <v>2646</v>
      </c>
      <c r="AB1016" s="426" t="s">
        <v>2646</v>
      </c>
      <c r="AC1016" s="426" t="s">
        <v>2646</v>
      </c>
      <c r="AD1016" s="426" t="s">
        <v>2646</v>
      </c>
      <c r="AE1016" s="426" t="s">
        <v>2646</v>
      </c>
      <c r="AF1016" s="426" t="s">
        <v>2646</v>
      </c>
      <c r="AG1016" s="426" t="s">
        <v>2646</v>
      </c>
      <c r="AH1016" s="426" t="s">
        <v>2646</v>
      </c>
      <c r="AI1016" s="426" t="s">
        <v>2646</v>
      </c>
      <c r="AJ1016" s="68" t="s">
        <v>2646</v>
      </c>
    </row>
    <row r="1017" spans="1:36" hidden="1">
      <c r="A1017" s="68" t="s">
        <v>2239</v>
      </c>
      <c r="B1017" s="427" t="s">
        <v>2649</v>
      </c>
      <c r="C1017" s="433" t="s">
        <v>3896</v>
      </c>
      <c r="D1017" s="433" t="s">
        <v>2833</v>
      </c>
      <c r="E1017" s="433" t="s">
        <v>2654</v>
      </c>
      <c r="F1017" s="433" t="s">
        <v>2654</v>
      </c>
      <c r="G1017" s="433" t="s">
        <v>2654</v>
      </c>
      <c r="H1017" s="433" t="s">
        <v>2654</v>
      </c>
      <c r="I1017" s="433" t="s">
        <v>2654</v>
      </c>
      <c r="J1017" s="433" t="s">
        <v>2654</v>
      </c>
      <c r="K1017" s="433" t="s">
        <v>2654</v>
      </c>
      <c r="L1017" s="433" t="s">
        <v>2654</v>
      </c>
      <c r="M1017" s="433" t="s">
        <v>2654</v>
      </c>
      <c r="N1017" s="433" t="s">
        <v>2654</v>
      </c>
      <c r="O1017" s="433" t="s">
        <v>2654</v>
      </c>
      <c r="P1017" s="433" t="s">
        <v>2650</v>
      </c>
      <c r="Q1017" s="431"/>
      <c r="R1017" s="431"/>
      <c r="S1017" s="426" t="s">
        <v>2660</v>
      </c>
      <c r="T1017" s="426" t="s">
        <v>2646</v>
      </c>
      <c r="U1017" s="426" t="s">
        <v>2657</v>
      </c>
      <c r="V1017" s="426" t="s">
        <v>2657</v>
      </c>
      <c r="W1017" s="426" t="s">
        <v>2646</v>
      </c>
      <c r="X1017" s="426" t="s">
        <v>2646</v>
      </c>
      <c r="Y1017" s="426" t="s">
        <v>2890</v>
      </c>
      <c r="Z1017" s="426" t="s">
        <v>2646</v>
      </c>
      <c r="AA1017" s="426" t="s">
        <v>2646</v>
      </c>
      <c r="AB1017" s="426" t="s">
        <v>2646</v>
      </c>
      <c r="AC1017" s="426" t="s">
        <v>2646</v>
      </c>
      <c r="AD1017" s="426" t="s">
        <v>2646</v>
      </c>
      <c r="AE1017" s="426" t="s">
        <v>2646</v>
      </c>
      <c r="AF1017" s="426" t="s">
        <v>2646</v>
      </c>
      <c r="AG1017" s="426" t="s">
        <v>2646</v>
      </c>
      <c r="AH1017" s="426" t="s">
        <v>2646</v>
      </c>
      <c r="AI1017" s="426" t="s">
        <v>2646</v>
      </c>
      <c r="AJ1017" s="68" t="s">
        <v>2646</v>
      </c>
    </row>
    <row r="1018" spans="1:36" hidden="1">
      <c r="A1018" s="68" t="s">
        <v>2240</v>
      </c>
      <c r="B1018" s="427" t="s">
        <v>2650</v>
      </c>
      <c r="C1018" s="433" t="s">
        <v>3896</v>
      </c>
      <c r="D1018" s="433" t="s">
        <v>3233</v>
      </c>
      <c r="E1018" s="433" t="s">
        <v>2654</v>
      </c>
      <c r="F1018" s="433" t="s">
        <v>2654</v>
      </c>
      <c r="G1018" s="433" t="s">
        <v>2654</v>
      </c>
      <c r="H1018" s="433" t="s">
        <v>2654</v>
      </c>
      <c r="I1018" s="433" t="s">
        <v>2654</v>
      </c>
      <c r="J1018" s="433" t="s">
        <v>2654</v>
      </c>
      <c r="K1018" s="433" t="s">
        <v>2654</v>
      </c>
      <c r="L1018" s="433" t="s">
        <v>2654</v>
      </c>
      <c r="M1018" s="433" t="s">
        <v>2654</v>
      </c>
      <c r="N1018" s="433" t="s">
        <v>2654</v>
      </c>
      <c r="O1018" s="433" t="s">
        <v>2654</v>
      </c>
      <c r="P1018" s="433" t="s">
        <v>2649</v>
      </c>
      <c r="Q1018" s="431"/>
      <c r="R1018" s="431"/>
      <c r="S1018" s="426" t="s">
        <v>2660</v>
      </c>
      <c r="T1018" s="426" t="s">
        <v>2657</v>
      </c>
      <c r="U1018" s="426" t="s">
        <v>2657</v>
      </c>
      <c r="V1018" s="426" t="s">
        <v>2657</v>
      </c>
      <c r="W1018" s="426" t="s">
        <v>2646</v>
      </c>
      <c r="X1018" s="426" t="s">
        <v>2646</v>
      </c>
      <c r="Y1018" s="426" t="s">
        <v>2890</v>
      </c>
      <c r="Z1018" s="426" t="s">
        <v>2646</v>
      </c>
      <c r="AA1018" s="426" t="s">
        <v>2646</v>
      </c>
      <c r="AB1018" s="426" t="s">
        <v>2646</v>
      </c>
      <c r="AC1018" s="426" t="s">
        <v>2646</v>
      </c>
      <c r="AD1018" s="426" t="s">
        <v>2646</v>
      </c>
      <c r="AE1018" s="426" t="s">
        <v>2646</v>
      </c>
      <c r="AF1018" s="426" t="s">
        <v>2646</v>
      </c>
      <c r="AG1018" s="426" t="s">
        <v>2646</v>
      </c>
      <c r="AH1018" s="426" t="s">
        <v>2646</v>
      </c>
      <c r="AI1018" s="426" t="s">
        <v>2646</v>
      </c>
      <c r="AJ1018" s="68" t="s">
        <v>2646</v>
      </c>
    </row>
    <row r="1019" spans="1:36" hidden="1">
      <c r="A1019" s="68" t="s">
        <v>2241</v>
      </c>
      <c r="B1019" s="427" t="s">
        <v>2651</v>
      </c>
      <c r="C1019" s="433" t="s">
        <v>3561</v>
      </c>
      <c r="D1019" s="433" t="s">
        <v>2883</v>
      </c>
      <c r="E1019" s="433" t="s">
        <v>2654</v>
      </c>
      <c r="F1019" s="433" t="s">
        <v>2654</v>
      </c>
      <c r="G1019" s="433" t="s">
        <v>2654</v>
      </c>
      <c r="H1019" s="433" t="s">
        <v>2654</v>
      </c>
      <c r="I1019" s="433" t="s">
        <v>2654</v>
      </c>
      <c r="J1019" s="433" t="s">
        <v>2654</v>
      </c>
      <c r="K1019" s="433" t="s">
        <v>2654</v>
      </c>
      <c r="L1019" s="433" t="s">
        <v>2654</v>
      </c>
      <c r="M1019" s="433" t="s">
        <v>2654</v>
      </c>
      <c r="N1019" s="433" t="s">
        <v>2654</v>
      </c>
      <c r="O1019" s="433" t="s">
        <v>2654</v>
      </c>
      <c r="P1019" s="433" t="s">
        <v>4059</v>
      </c>
      <c r="Q1019" s="431"/>
      <c r="R1019" s="431"/>
      <c r="S1019" s="426" t="s">
        <v>2655</v>
      </c>
      <c r="T1019" s="426" t="s">
        <v>3219</v>
      </c>
      <c r="U1019" s="426" t="s">
        <v>2655</v>
      </c>
      <c r="V1019" s="426" t="s">
        <v>2655</v>
      </c>
      <c r="W1019" s="426" t="s">
        <v>2646</v>
      </c>
      <c r="X1019" s="426" t="s">
        <v>2646</v>
      </c>
      <c r="Y1019" s="426" t="s">
        <v>2890</v>
      </c>
      <c r="Z1019" s="426" t="s">
        <v>2646</v>
      </c>
      <c r="AA1019" s="426" t="s">
        <v>2646</v>
      </c>
      <c r="AB1019" s="426" t="s">
        <v>2646</v>
      </c>
      <c r="AC1019" s="426" t="s">
        <v>2646</v>
      </c>
      <c r="AD1019" s="426" t="s">
        <v>2646</v>
      </c>
      <c r="AE1019" s="426" t="s">
        <v>2646</v>
      </c>
      <c r="AF1019" s="426" t="s">
        <v>2646</v>
      </c>
      <c r="AG1019" s="426" t="s">
        <v>2646</v>
      </c>
      <c r="AH1019" s="426" t="s">
        <v>2646</v>
      </c>
      <c r="AI1019" s="426" t="s">
        <v>2646</v>
      </c>
      <c r="AJ1019" s="68" t="s">
        <v>2646</v>
      </c>
    </row>
    <row r="1020" spans="1:36">
      <c r="A1020" s="68" t="s">
        <v>2241</v>
      </c>
      <c r="B1020" s="427" t="s">
        <v>48</v>
      </c>
      <c r="C1020" s="433" t="s">
        <v>4637</v>
      </c>
      <c r="D1020" s="433" t="s">
        <v>3771</v>
      </c>
      <c r="E1020" s="433" t="s">
        <v>2654</v>
      </c>
      <c r="F1020" s="433" t="s">
        <v>2654</v>
      </c>
      <c r="G1020" s="433" t="s">
        <v>2654</v>
      </c>
      <c r="H1020" s="433" t="s">
        <v>2654</v>
      </c>
      <c r="I1020" s="433" t="s">
        <v>2654</v>
      </c>
      <c r="J1020" s="433" t="s">
        <v>2654</v>
      </c>
      <c r="K1020" s="433" t="s">
        <v>2654</v>
      </c>
      <c r="L1020" s="433" t="s">
        <v>2654</v>
      </c>
      <c r="M1020" s="433" t="s">
        <v>2654</v>
      </c>
      <c r="N1020" s="433" t="s">
        <v>2654</v>
      </c>
      <c r="O1020" s="433" t="s">
        <v>2654</v>
      </c>
      <c r="P1020" s="433" t="s">
        <v>2912</v>
      </c>
      <c r="Q1020" s="433" t="s">
        <v>2654</v>
      </c>
      <c r="R1020" s="433" t="s">
        <v>2654</v>
      </c>
      <c r="S1020" s="426"/>
      <c r="T1020" s="426"/>
      <c r="U1020" s="426"/>
      <c r="V1020" s="426"/>
      <c r="W1020" s="426"/>
      <c r="X1020" s="426"/>
      <c r="Y1020" s="426"/>
      <c r="Z1020" s="426"/>
      <c r="AA1020" s="426"/>
      <c r="AB1020" s="426"/>
      <c r="AC1020" s="426"/>
      <c r="AD1020" s="426"/>
      <c r="AE1020" s="426"/>
      <c r="AF1020" s="426"/>
      <c r="AG1020" s="426"/>
      <c r="AH1020" s="426"/>
      <c r="AI1020" s="426"/>
    </row>
    <row r="1021" spans="1:36" hidden="1">
      <c r="A1021" s="68" t="s">
        <v>2242</v>
      </c>
      <c r="B1021" s="427" t="s">
        <v>2647</v>
      </c>
      <c r="C1021" s="433" t="s">
        <v>3916</v>
      </c>
      <c r="D1021" s="433" t="s">
        <v>3262</v>
      </c>
      <c r="E1021" s="433" t="s">
        <v>2654</v>
      </c>
      <c r="F1021" s="433" t="s">
        <v>2654</v>
      </c>
      <c r="G1021" s="433" t="s">
        <v>2654</v>
      </c>
      <c r="H1021" s="433" t="s">
        <v>2654</v>
      </c>
      <c r="I1021" s="433" t="s">
        <v>2654</v>
      </c>
      <c r="J1021" s="433" t="s">
        <v>2654</v>
      </c>
      <c r="K1021" s="433" t="s">
        <v>2654</v>
      </c>
      <c r="L1021" s="433" t="s">
        <v>2654</v>
      </c>
      <c r="M1021" s="433" t="s">
        <v>2654</v>
      </c>
      <c r="N1021" s="433" t="s">
        <v>2654</v>
      </c>
      <c r="O1021" s="433" t="s">
        <v>2654</v>
      </c>
      <c r="P1021" s="433" t="s">
        <v>4080</v>
      </c>
      <c r="Q1021" s="431"/>
      <c r="R1021" s="431"/>
      <c r="S1021" s="426" t="s">
        <v>2664</v>
      </c>
      <c r="T1021" s="426" t="s">
        <v>2657</v>
      </c>
      <c r="U1021" s="426" t="s">
        <v>2657</v>
      </c>
      <c r="V1021" s="426" t="s">
        <v>2657</v>
      </c>
      <c r="W1021" s="426" t="s">
        <v>2646</v>
      </c>
      <c r="X1021" s="426" t="s">
        <v>2646</v>
      </c>
      <c r="Y1021" s="426" t="s">
        <v>2646</v>
      </c>
      <c r="Z1021" s="426" t="s">
        <v>2646</v>
      </c>
      <c r="AA1021" s="426" t="s">
        <v>2646</v>
      </c>
      <c r="AB1021" s="426" t="s">
        <v>2646</v>
      </c>
      <c r="AC1021" s="426" t="s">
        <v>2646</v>
      </c>
      <c r="AD1021" s="426" t="s">
        <v>2646</v>
      </c>
      <c r="AE1021" s="426" t="s">
        <v>2646</v>
      </c>
      <c r="AF1021" s="426" t="s">
        <v>2646</v>
      </c>
      <c r="AG1021" s="426" t="s">
        <v>2646</v>
      </c>
      <c r="AH1021" s="426" t="s">
        <v>2646</v>
      </c>
      <c r="AI1021" s="426" t="s">
        <v>2646</v>
      </c>
      <c r="AJ1021" s="68" t="s">
        <v>2646</v>
      </c>
    </row>
    <row r="1022" spans="1:36" hidden="1">
      <c r="A1022" s="68" t="s">
        <v>2243</v>
      </c>
      <c r="B1022" s="427" t="s">
        <v>2648</v>
      </c>
      <c r="C1022" s="433" t="s">
        <v>3541</v>
      </c>
      <c r="D1022" s="433" t="s">
        <v>3049</v>
      </c>
      <c r="E1022" s="433" t="s">
        <v>2654</v>
      </c>
      <c r="F1022" s="433" t="s">
        <v>2654</v>
      </c>
      <c r="G1022" s="433" t="s">
        <v>2654</v>
      </c>
      <c r="H1022" s="433" t="s">
        <v>2654</v>
      </c>
      <c r="I1022" s="433" t="s">
        <v>2654</v>
      </c>
      <c r="J1022" s="433" t="s">
        <v>2654</v>
      </c>
      <c r="K1022" s="433" t="s">
        <v>2654</v>
      </c>
      <c r="L1022" s="433" t="s">
        <v>2654</v>
      </c>
      <c r="M1022" s="433" t="s">
        <v>2654</v>
      </c>
      <c r="N1022" s="433" t="s">
        <v>2654</v>
      </c>
      <c r="O1022" s="433" t="s">
        <v>2654</v>
      </c>
      <c r="P1022" s="433" t="s">
        <v>4085</v>
      </c>
      <c r="Q1022" s="431"/>
      <c r="R1022" s="431"/>
      <c r="S1022" s="426" t="s">
        <v>2778</v>
      </c>
      <c r="T1022" s="426" t="s">
        <v>2657</v>
      </c>
      <c r="U1022" s="426" t="s">
        <v>2657</v>
      </c>
      <c r="V1022" s="426" t="s">
        <v>2657</v>
      </c>
      <c r="W1022" s="426" t="s">
        <v>2646</v>
      </c>
      <c r="X1022" s="426" t="s">
        <v>2646</v>
      </c>
      <c r="Y1022" s="426" t="s">
        <v>3515</v>
      </c>
      <c r="Z1022" s="426" t="s">
        <v>2646</v>
      </c>
      <c r="AA1022" s="426" t="s">
        <v>2646</v>
      </c>
      <c r="AB1022" s="426" t="s">
        <v>2646</v>
      </c>
      <c r="AC1022" s="426" t="s">
        <v>2646</v>
      </c>
      <c r="AD1022" s="426" t="s">
        <v>2646</v>
      </c>
      <c r="AE1022" s="426" t="s">
        <v>2646</v>
      </c>
      <c r="AF1022" s="426" t="s">
        <v>2646</v>
      </c>
      <c r="AG1022" s="426" t="s">
        <v>2646</v>
      </c>
      <c r="AH1022" s="426" t="s">
        <v>2646</v>
      </c>
      <c r="AI1022" s="426" t="s">
        <v>2646</v>
      </c>
      <c r="AJ1022" s="68" t="s">
        <v>2646</v>
      </c>
    </row>
    <row r="1023" spans="1:36" hidden="1">
      <c r="A1023" s="68" t="s">
        <v>2244</v>
      </c>
      <c r="B1023" s="427" t="s">
        <v>2649</v>
      </c>
      <c r="C1023" s="433" t="s">
        <v>3676</v>
      </c>
      <c r="D1023" s="433" t="s">
        <v>3049</v>
      </c>
      <c r="E1023" s="433" t="s">
        <v>2654</v>
      </c>
      <c r="F1023" s="433" t="s">
        <v>2654</v>
      </c>
      <c r="G1023" s="433" t="s">
        <v>2654</v>
      </c>
      <c r="H1023" s="433" t="s">
        <v>2654</v>
      </c>
      <c r="I1023" s="433" t="s">
        <v>2654</v>
      </c>
      <c r="J1023" s="433" t="s">
        <v>2654</v>
      </c>
      <c r="K1023" s="433" t="s">
        <v>2654</v>
      </c>
      <c r="L1023" s="433" t="s">
        <v>2654</v>
      </c>
      <c r="M1023" s="433" t="s">
        <v>2654</v>
      </c>
      <c r="N1023" s="433" t="s">
        <v>2654</v>
      </c>
      <c r="O1023" s="433" t="s">
        <v>2654</v>
      </c>
      <c r="P1023" s="433" t="s">
        <v>4057</v>
      </c>
      <c r="Q1023" s="431"/>
      <c r="R1023" s="431"/>
      <c r="S1023" s="426" t="s">
        <v>2660</v>
      </c>
      <c r="T1023" s="426" t="s">
        <v>2657</v>
      </c>
      <c r="U1023" s="426" t="s">
        <v>2657</v>
      </c>
      <c r="V1023" s="426" t="s">
        <v>2657</v>
      </c>
      <c r="W1023" s="426" t="s">
        <v>2646</v>
      </c>
      <c r="X1023" s="426" t="s">
        <v>2646</v>
      </c>
      <c r="Y1023" s="426" t="s">
        <v>3515</v>
      </c>
      <c r="Z1023" s="426" t="s">
        <v>2646</v>
      </c>
      <c r="AA1023" s="426" t="s">
        <v>2646</v>
      </c>
      <c r="AB1023" s="426" t="s">
        <v>2646</v>
      </c>
      <c r="AC1023" s="426" t="s">
        <v>2646</v>
      </c>
      <c r="AD1023" s="426" t="s">
        <v>2646</v>
      </c>
      <c r="AE1023" s="426" t="s">
        <v>2646</v>
      </c>
      <c r="AF1023" s="426" t="s">
        <v>2646</v>
      </c>
      <c r="AG1023" s="426" t="s">
        <v>2646</v>
      </c>
      <c r="AH1023" s="426" t="s">
        <v>2646</v>
      </c>
      <c r="AI1023" s="426" t="s">
        <v>2646</v>
      </c>
      <c r="AJ1023" s="68" t="s">
        <v>2646</v>
      </c>
    </row>
    <row r="1024" spans="1:36" hidden="1">
      <c r="A1024" s="68" t="s">
        <v>2245</v>
      </c>
      <c r="B1024" s="427" t="s">
        <v>2650</v>
      </c>
      <c r="C1024" s="433" t="s">
        <v>4372</v>
      </c>
      <c r="D1024" s="433" t="s">
        <v>3049</v>
      </c>
      <c r="E1024" s="433" t="s">
        <v>2654</v>
      </c>
      <c r="F1024" s="433" t="s">
        <v>2654</v>
      </c>
      <c r="G1024" s="433" t="s">
        <v>2654</v>
      </c>
      <c r="H1024" s="433" t="s">
        <v>2654</v>
      </c>
      <c r="I1024" s="433" t="s">
        <v>2654</v>
      </c>
      <c r="J1024" s="433" t="s">
        <v>2654</v>
      </c>
      <c r="K1024" s="433" t="s">
        <v>2654</v>
      </c>
      <c r="L1024" s="433" t="s">
        <v>2654</v>
      </c>
      <c r="M1024" s="433" t="s">
        <v>2654</v>
      </c>
      <c r="N1024" s="433" t="s">
        <v>2654</v>
      </c>
      <c r="O1024" s="433" t="s">
        <v>2654</v>
      </c>
      <c r="P1024" s="433" t="s">
        <v>4078</v>
      </c>
      <c r="Q1024" s="431"/>
      <c r="R1024" s="431"/>
      <c r="S1024" s="426" t="s">
        <v>2660</v>
      </c>
      <c r="T1024" s="426" t="s">
        <v>2657</v>
      </c>
      <c r="U1024" s="426" t="s">
        <v>2657</v>
      </c>
      <c r="V1024" s="426" t="s">
        <v>2657</v>
      </c>
      <c r="W1024" s="426" t="s">
        <v>2646</v>
      </c>
      <c r="X1024" s="426" t="s">
        <v>2646</v>
      </c>
      <c r="Y1024" s="426" t="s">
        <v>3515</v>
      </c>
      <c r="Z1024" s="426" t="s">
        <v>2646</v>
      </c>
      <c r="AA1024" s="426" t="s">
        <v>2646</v>
      </c>
      <c r="AB1024" s="426" t="s">
        <v>2646</v>
      </c>
      <c r="AC1024" s="426" t="s">
        <v>2646</v>
      </c>
      <c r="AD1024" s="426" t="s">
        <v>2646</v>
      </c>
      <c r="AE1024" s="426" t="s">
        <v>2646</v>
      </c>
      <c r="AF1024" s="426" t="s">
        <v>2646</v>
      </c>
      <c r="AG1024" s="426" t="s">
        <v>2646</v>
      </c>
      <c r="AH1024" s="426" t="s">
        <v>2646</v>
      </c>
      <c r="AI1024" s="426" t="s">
        <v>2646</v>
      </c>
      <c r="AJ1024" s="68" t="s">
        <v>2646</v>
      </c>
    </row>
    <row r="1025" spans="1:36" hidden="1">
      <c r="A1025" s="68" t="s">
        <v>2246</v>
      </c>
      <c r="B1025" s="427" t="s">
        <v>2651</v>
      </c>
      <c r="C1025" s="433" t="s">
        <v>4357</v>
      </c>
      <c r="D1025" s="433" t="s">
        <v>3539</v>
      </c>
      <c r="E1025" s="433" t="s">
        <v>2654</v>
      </c>
      <c r="F1025" s="433" t="s">
        <v>2654</v>
      </c>
      <c r="G1025" s="433" t="s">
        <v>2654</v>
      </c>
      <c r="H1025" s="433" t="s">
        <v>2654</v>
      </c>
      <c r="I1025" s="433" t="s">
        <v>2654</v>
      </c>
      <c r="J1025" s="433" t="s">
        <v>2654</v>
      </c>
      <c r="K1025" s="433" t="s">
        <v>2654</v>
      </c>
      <c r="L1025" s="433" t="s">
        <v>2654</v>
      </c>
      <c r="M1025" s="433" t="s">
        <v>2654</v>
      </c>
      <c r="N1025" s="433" t="s">
        <v>2654</v>
      </c>
      <c r="O1025" s="433" t="s">
        <v>2654</v>
      </c>
      <c r="P1025" s="433" t="s">
        <v>4061</v>
      </c>
      <c r="Q1025" s="431"/>
      <c r="R1025" s="431"/>
      <c r="S1025" s="426" t="s">
        <v>2658</v>
      </c>
      <c r="T1025" s="426" t="s">
        <v>2657</v>
      </c>
      <c r="U1025" s="426" t="s">
        <v>2657</v>
      </c>
      <c r="V1025" s="426" t="s">
        <v>2657</v>
      </c>
      <c r="W1025" s="426" t="s">
        <v>2646</v>
      </c>
      <c r="X1025" s="426" t="s">
        <v>2646</v>
      </c>
      <c r="Y1025" s="426" t="s">
        <v>3515</v>
      </c>
      <c r="Z1025" s="426" t="s">
        <v>2646</v>
      </c>
      <c r="AA1025" s="426" t="s">
        <v>2646</v>
      </c>
      <c r="AB1025" s="426" t="s">
        <v>2646</v>
      </c>
      <c r="AC1025" s="426" t="s">
        <v>2646</v>
      </c>
      <c r="AD1025" s="426" t="s">
        <v>2646</v>
      </c>
      <c r="AE1025" s="426" t="s">
        <v>2646</v>
      </c>
      <c r="AF1025" s="426" t="s">
        <v>2646</v>
      </c>
      <c r="AG1025" s="426" t="s">
        <v>2646</v>
      </c>
      <c r="AH1025" s="426" t="s">
        <v>2646</v>
      </c>
      <c r="AI1025" s="426" t="s">
        <v>2646</v>
      </c>
      <c r="AJ1025" s="68" t="s">
        <v>2646</v>
      </c>
    </row>
    <row r="1026" spans="1:36">
      <c r="A1026" s="68" t="s">
        <v>2246</v>
      </c>
      <c r="B1026" s="427" t="s">
        <v>48</v>
      </c>
      <c r="C1026" s="433" t="s">
        <v>3874</v>
      </c>
      <c r="D1026" s="433" t="s">
        <v>3989</v>
      </c>
      <c r="E1026" s="433" t="s">
        <v>2654</v>
      </c>
      <c r="F1026" s="433" t="s">
        <v>2654</v>
      </c>
      <c r="G1026" s="433" t="s">
        <v>2654</v>
      </c>
      <c r="H1026" s="433" t="s">
        <v>2654</v>
      </c>
      <c r="I1026" s="433" t="s">
        <v>2654</v>
      </c>
      <c r="J1026" s="433" t="s">
        <v>2654</v>
      </c>
      <c r="K1026" s="433" t="s">
        <v>2654</v>
      </c>
      <c r="L1026" s="433" t="s">
        <v>2654</v>
      </c>
      <c r="M1026" s="433" t="s">
        <v>2654</v>
      </c>
      <c r="N1026" s="433" t="s">
        <v>2654</v>
      </c>
      <c r="O1026" s="433" t="s">
        <v>2654</v>
      </c>
      <c r="P1026" s="433" t="s">
        <v>4589</v>
      </c>
      <c r="Q1026" s="433" t="s">
        <v>2654</v>
      </c>
      <c r="R1026" s="433" t="s">
        <v>2654</v>
      </c>
      <c r="S1026" s="426"/>
      <c r="T1026" s="426"/>
      <c r="U1026" s="426"/>
      <c r="V1026" s="426"/>
      <c r="W1026" s="426"/>
      <c r="X1026" s="426"/>
      <c r="Y1026" s="426"/>
      <c r="Z1026" s="426"/>
      <c r="AA1026" s="426"/>
      <c r="AB1026" s="426"/>
      <c r="AC1026" s="426"/>
      <c r="AD1026" s="426"/>
      <c r="AE1026" s="426"/>
      <c r="AF1026" s="426"/>
      <c r="AG1026" s="426"/>
      <c r="AH1026" s="426"/>
      <c r="AI1026" s="426"/>
    </row>
    <row r="1027" spans="1:36" hidden="1">
      <c r="A1027" s="68" t="s">
        <v>2247</v>
      </c>
      <c r="B1027" s="427" t="s">
        <v>2647</v>
      </c>
      <c r="C1027" s="433" t="s">
        <v>3655</v>
      </c>
      <c r="D1027" s="433" t="s">
        <v>3729</v>
      </c>
      <c r="E1027" s="433" t="s">
        <v>2654</v>
      </c>
      <c r="F1027" s="433" t="s">
        <v>2654</v>
      </c>
      <c r="G1027" s="433" t="s">
        <v>2654</v>
      </c>
      <c r="H1027" s="433" t="s">
        <v>2654</v>
      </c>
      <c r="I1027" s="433" t="s">
        <v>2654</v>
      </c>
      <c r="J1027" s="433" t="s">
        <v>2654</v>
      </c>
      <c r="K1027" s="433" t="s">
        <v>2654</v>
      </c>
      <c r="L1027" s="433" t="s">
        <v>2654</v>
      </c>
      <c r="M1027" s="433" t="s">
        <v>2654</v>
      </c>
      <c r="N1027" s="433" t="s">
        <v>2654</v>
      </c>
      <c r="O1027" s="433" t="s">
        <v>2654</v>
      </c>
      <c r="P1027" s="433" t="s">
        <v>4080</v>
      </c>
      <c r="Q1027" s="431"/>
      <c r="R1027" s="431"/>
      <c r="S1027" s="426" t="s">
        <v>3109</v>
      </c>
      <c r="T1027" s="426" t="s">
        <v>2646</v>
      </c>
      <c r="U1027" s="426" t="s">
        <v>2657</v>
      </c>
      <c r="V1027" s="426" t="s">
        <v>2657</v>
      </c>
      <c r="W1027" s="426" t="s">
        <v>2646</v>
      </c>
      <c r="X1027" s="426" t="s">
        <v>2646</v>
      </c>
      <c r="Y1027" s="426" t="s">
        <v>2646</v>
      </c>
      <c r="Z1027" s="426" t="s">
        <v>2646</v>
      </c>
      <c r="AA1027" s="426" t="s">
        <v>2646</v>
      </c>
      <c r="AB1027" s="426" t="s">
        <v>2646</v>
      </c>
      <c r="AC1027" s="426" t="s">
        <v>2646</v>
      </c>
      <c r="AD1027" s="426" t="s">
        <v>2646</v>
      </c>
      <c r="AE1027" s="426" t="s">
        <v>2646</v>
      </c>
      <c r="AF1027" s="426" t="s">
        <v>2646</v>
      </c>
      <c r="AG1027" s="426" t="s">
        <v>2646</v>
      </c>
      <c r="AH1027" s="426" t="s">
        <v>2646</v>
      </c>
      <c r="AI1027" s="426" t="s">
        <v>2646</v>
      </c>
      <c r="AJ1027" s="68" t="s">
        <v>2646</v>
      </c>
    </row>
    <row r="1028" spans="1:36" hidden="1">
      <c r="A1028" s="68" t="s">
        <v>2248</v>
      </c>
      <c r="B1028" s="427" t="s">
        <v>2648</v>
      </c>
      <c r="C1028" s="433" t="s">
        <v>3618</v>
      </c>
      <c r="D1028" s="433" t="s">
        <v>3519</v>
      </c>
      <c r="E1028" s="433" t="s">
        <v>2654</v>
      </c>
      <c r="F1028" s="433" t="s">
        <v>2654</v>
      </c>
      <c r="G1028" s="433" t="s">
        <v>2654</v>
      </c>
      <c r="H1028" s="433" t="s">
        <v>2654</v>
      </c>
      <c r="I1028" s="433" t="s">
        <v>2654</v>
      </c>
      <c r="J1028" s="433" t="s">
        <v>2654</v>
      </c>
      <c r="K1028" s="433" t="s">
        <v>2654</v>
      </c>
      <c r="L1028" s="433" t="s">
        <v>2654</v>
      </c>
      <c r="M1028" s="433" t="s">
        <v>2654</v>
      </c>
      <c r="N1028" s="433" t="s">
        <v>2654</v>
      </c>
      <c r="O1028" s="433" t="s">
        <v>2654</v>
      </c>
      <c r="P1028" s="433" t="s">
        <v>4078</v>
      </c>
      <c r="Q1028" s="431"/>
      <c r="R1028" s="431"/>
      <c r="S1028" s="426" t="s">
        <v>3186</v>
      </c>
      <c r="T1028" s="426" t="s">
        <v>3142</v>
      </c>
      <c r="U1028" s="426" t="s">
        <v>2657</v>
      </c>
      <c r="V1028" s="426" t="s">
        <v>2657</v>
      </c>
      <c r="W1028" s="426" t="s">
        <v>2646</v>
      </c>
      <c r="X1028" s="426" t="s">
        <v>2646</v>
      </c>
      <c r="Y1028" s="426" t="s">
        <v>3002</v>
      </c>
      <c r="Z1028" s="426" t="s">
        <v>2646</v>
      </c>
      <c r="AA1028" s="426" t="s">
        <v>2646</v>
      </c>
      <c r="AB1028" s="426" t="s">
        <v>2646</v>
      </c>
      <c r="AC1028" s="426" t="s">
        <v>2646</v>
      </c>
      <c r="AD1028" s="426" t="s">
        <v>2646</v>
      </c>
      <c r="AE1028" s="426" t="s">
        <v>2646</v>
      </c>
      <c r="AF1028" s="426" t="s">
        <v>2646</v>
      </c>
      <c r="AG1028" s="426" t="s">
        <v>2646</v>
      </c>
      <c r="AH1028" s="426" t="s">
        <v>2646</v>
      </c>
      <c r="AI1028" s="426" t="s">
        <v>2646</v>
      </c>
      <c r="AJ1028" s="68" t="s">
        <v>2646</v>
      </c>
    </row>
    <row r="1029" spans="1:36" hidden="1">
      <c r="A1029" s="68" t="s">
        <v>2249</v>
      </c>
      <c r="B1029" s="427" t="s">
        <v>2649</v>
      </c>
      <c r="C1029" s="433" t="s">
        <v>3655</v>
      </c>
      <c r="D1029" s="433" t="s">
        <v>3409</v>
      </c>
      <c r="E1029" s="433" t="s">
        <v>2654</v>
      </c>
      <c r="F1029" s="433" t="s">
        <v>2654</v>
      </c>
      <c r="G1029" s="433" t="s">
        <v>2654</v>
      </c>
      <c r="H1029" s="433" t="s">
        <v>2654</v>
      </c>
      <c r="I1029" s="433" t="s">
        <v>2654</v>
      </c>
      <c r="J1029" s="433" t="s">
        <v>2654</v>
      </c>
      <c r="K1029" s="433" t="s">
        <v>2654</v>
      </c>
      <c r="L1029" s="433" t="s">
        <v>2654</v>
      </c>
      <c r="M1029" s="433" t="s">
        <v>2654</v>
      </c>
      <c r="N1029" s="433" t="s">
        <v>2654</v>
      </c>
      <c r="O1029" s="433" t="s">
        <v>2654</v>
      </c>
      <c r="P1029" s="433" t="s">
        <v>4061</v>
      </c>
      <c r="Q1029" s="431"/>
      <c r="R1029" s="431"/>
      <c r="S1029" s="426" t="s">
        <v>2655</v>
      </c>
      <c r="T1029" s="426" t="s">
        <v>2646</v>
      </c>
      <c r="U1029" s="426" t="s">
        <v>3109</v>
      </c>
      <c r="V1029" s="426" t="s">
        <v>3109</v>
      </c>
      <c r="W1029" s="426" t="s">
        <v>2646</v>
      </c>
      <c r="X1029" s="426" t="s">
        <v>2646</v>
      </c>
      <c r="Y1029" s="426" t="s">
        <v>3002</v>
      </c>
      <c r="Z1029" s="426" t="s">
        <v>2646</v>
      </c>
      <c r="AA1029" s="426" t="s">
        <v>2646</v>
      </c>
      <c r="AB1029" s="426" t="s">
        <v>2646</v>
      </c>
      <c r="AC1029" s="426" t="s">
        <v>2646</v>
      </c>
      <c r="AD1029" s="426" t="s">
        <v>2646</v>
      </c>
      <c r="AE1029" s="426" t="s">
        <v>2646</v>
      </c>
      <c r="AF1029" s="426" t="s">
        <v>2646</v>
      </c>
      <c r="AG1029" s="426" t="s">
        <v>2646</v>
      </c>
      <c r="AH1029" s="426" t="s">
        <v>2646</v>
      </c>
      <c r="AI1029" s="426" t="s">
        <v>2646</v>
      </c>
      <c r="AJ1029" s="68" t="s">
        <v>2646</v>
      </c>
    </row>
    <row r="1030" spans="1:36" hidden="1">
      <c r="A1030" s="68" t="s">
        <v>2250</v>
      </c>
      <c r="B1030" s="427" t="s">
        <v>2650</v>
      </c>
      <c r="C1030" s="433" t="s">
        <v>3623</v>
      </c>
      <c r="D1030" s="433" t="s">
        <v>3729</v>
      </c>
      <c r="E1030" s="433" t="s">
        <v>2654</v>
      </c>
      <c r="F1030" s="433" t="s">
        <v>2654</v>
      </c>
      <c r="G1030" s="433" t="s">
        <v>2654</v>
      </c>
      <c r="H1030" s="433" t="s">
        <v>2654</v>
      </c>
      <c r="I1030" s="433" t="s">
        <v>2654</v>
      </c>
      <c r="J1030" s="433" t="s">
        <v>2654</v>
      </c>
      <c r="K1030" s="433" t="s">
        <v>2654</v>
      </c>
      <c r="L1030" s="433" t="s">
        <v>2654</v>
      </c>
      <c r="M1030" s="433" t="s">
        <v>2654</v>
      </c>
      <c r="N1030" s="433" t="s">
        <v>2654</v>
      </c>
      <c r="O1030" s="433" t="s">
        <v>2654</v>
      </c>
      <c r="P1030" s="433" t="s">
        <v>2651</v>
      </c>
      <c r="Q1030" s="431"/>
      <c r="R1030" s="431"/>
      <c r="S1030" s="426" t="s">
        <v>3186</v>
      </c>
      <c r="T1030" s="426" t="s">
        <v>2657</v>
      </c>
      <c r="U1030" s="426" t="s">
        <v>2657</v>
      </c>
      <c r="V1030" s="426" t="s">
        <v>2657</v>
      </c>
      <c r="W1030" s="426" t="s">
        <v>2646</v>
      </c>
      <c r="X1030" s="426" t="s">
        <v>2646</v>
      </c>
      <c r="Y1030" s="426" t="s">
        <v>3002</v>
      </c>
      <c r="Z1030" s="426" t="s">
        <v>2646</v>
      </c>
      <c r="AA1030" s="426" t="s">
        <v>2646</v>
      </c>
      <c r="AB1030" s="426" t="s">
        <v>2646</v>
      </c>
      <c r="AC1030" s="426" t="s">
        <v>2646</v>
      </c>
      <c r="AD1030" s="426" t="s">
        <v>2646</v>
      </c>
      <c r="AE1030" s="426" t="s">
        <v>2646</v>
      </c>
      <c r="AF1030" s="426" t="s">
        <v>2646</v>
      </c>
      <c r="AG1030" s="426" t="s">
        <v>2646</v>
      </c>
      <c r="AH1030" s="426" t="s">
        <v>2646</v>
      </c>
      <c r="AI1030" s="426" t="s">
        <v>2646</v>
      </c>
      <c r="AJ1030" s="68" t="s">
        <v>2646</v>
      </c>
    </row>
    <row r="1031" spans="1:36" hidden="1">
      <c r="A1031" s="68" t="s">
        <v>2251</v>
      </c>
      <c r="B1031" s="427" t="s">
        <v>2651</v>
      </c>
      <c r="C1031" s="433" t="s">
        <v>3611</v>
      </c>
      <c r="D1031" s="433" t="s">
        <v>3409</v>
      </c>
      <c r="E1031" s="433" t="s">
        <v>2654</v>
      </c>
      <c r="F1031" s="433" t="s">
        <v>2654</v>
      </c>
      <c r="G1031" s="433" t="s">
        <v>2654</v>
      </c>
      <c r="H1031" s="433" t="s">
        <v>2654</v>
      </c>
      <c r="I1031" s="433" t="s">
        <v>2654</v>
      </c>
      <c r="J1031" s="433" t="s">
        <v>2654</v>
      </c>
      <c r="K1031" s="433" t="s">
        <v>2654</v>
      </c>
      <c r="L1031" s="433" t="s">
        <v>2654</v>
      </c>
      <c r="M1031" s="433" t="s">
        <v>2654</v>
      </c>
      <c r="N1031" s="433" t="s">
        <v>2654</v>
      </c>
      <c r="O1031" s="433" t="s">
        <v>2654</v>
      </c>
      <c r="P1031" s="433" t="s">
        <v>4080</v>
      </c>
      <c r="Q1031" s="431"/>
      <c r="R1031" s="431"/>
      <c r="S1031" s="426" t="s">
        <v>3219</v>
      </c>
      <c r="T1031" s="426" t="s">
        <v>2657</v>
      </c>
      <c r="U1031" s="426" t="s">
        <v>2657</v>
      </c>
      <c r="V1031" s="426" t="s">
        <v>2657</v>
      </c>
      <c r="W1031" s="426" t="s">
        <v>2646</v>
      </c>
      <c r="X1031" s="426" t="s">
        <v>2646</v>
      </c>
      <c r="Y1031" s="426" t="s">
        <v>3002</v>
      </c>
      <c r="Z1031" s="426" t="s">
        <v>2646</v>
      </c>
      <c r="AA1031" s="426" t="s">
        <v>2646</v>
      </c>
      <c r="AB1031" s="426" t="s">
        <v>2646</v>
      </c>
      <c r="AC1031" s="426" t="s">
        <v>2646</v>
      </c>
      <c r="AD1031" s="426" t="s">
        <v>2646</v>
      </c>
      <c r="AE1031" s="426" t="s">
        <v>2646</v>
      </c>
      <c r="AF1031" s="426" t="s">
        <v>2646</v>
      </c>
      <c r="AG1031" s="426" t="s">
        <v>2646</v>
      </c>
      <c r="AH1031" s="426" t="s">
        <v>2646</v>
      </c>
      <c r="AI1031" s="426" t="s">
        <v>2646</v>
      </c>
      <c r="AJ1031" s="68" t="s">
        <v>2646</v>
      </c>
    </row>
    <row r="1032" spans="1:36">
      <c r="A1032" s="68" t="s">
        <v>2251</v>
      </c>
      <c r="B1032" s="427" t="s">
        <v>48</v>
      </c>
      <c r="C1032" s="433" t="s">
        <v>4638</v>
      </c>
      <c r="D1032" s="433" t="s">
        <v>3918</v>
      </c>
      <c r="E1032" s="433" t="s">
        <v>2654</v>
      </c>
      <c r="F1032" s="433" t="s">
        <v>2654</v>
      </c>
      <c r="G1032" s="433" t="s">
        <v>2654</v>
      </c>
      <c r="H1032" s="433" t="s">
        <v>2654</v>
      </c>
      <c r="I1032" s="433" t="s">
        <v>2654</v>
      </c>
      <c r="J1032" s="433" t="s">
        <v>2654</v>
      </c>
      <c r="K1032" s="433" t="s">
        <v>2654</v>
      </c>
      <c r="L1032" s="433" t="s">
        <v>2654</v>
      </c>
      <c r="M1032" s="433" t="s">
        <v>2654</v>
      </c>
      <c r="N1032" s="433" t="s">
        <v>2654</v>
      </c>
      <c r="O1032" s="433" t="s">
        <v>2654</v>
      </c>
      <c r="P1032" s="433" t="s">
        <v>3380</v>
      </c>
      <c r="Q1032" s="433" t="s">
        <v>2654</v>
      </c>
      <c r="R1032" s="433" t="s">
        <v>2654</v>
      </c>
      <c r="S1032" s="426"/>
      <c r="T1032" s="426"/>
      <c r="U1032" s="426"/>
      <c r="V1032" s="426"/>
      <c r="W1032" s="426"/>
      <c r="X1032" s="426"/>
      <c r="Y1032" s="426"/>
      <c r="Z1032" s="426"/>
      <c r="AA1032" s="426"/>
      <c r="AB1032" s="426"/>
      <c r="AC1032" s="426"/>
      <c r="AD1032" s="426"/>
      <c r="AE1032" s="426"/>
      <c r="AF1032" s="426"/>
      <c r="AG1032" s="426"/>
      <c r="AH1032" s="426"/>
      <c r="AI1032" s="426"/>
    </row>
    <row r="1033" spans="1:36" hidden="1">
      <c r="A1033" s="68" t="s">
        <v>2252</v>
      </c>
      <c r="B1033" s="427" t="s">
        <v>2647</v>
      </c>
      <c r="C1033" s="433" t="s">
        <v>3659</v>
      </c>
      <c r="D1033" s="433" t="s">
        <v>3561</v>
      </c>
      <c r="E1033" s="433" t="s">
        <v>2654</v>
      </c>
      <c r="F1033" s="433" t="s">
        <v>2654</v>
      </c>
      <c r="G1033" s="433" t="s">
        <v>2654</v>
      </c>
      <c r="H1033" s="433" t="s">
        <v>2654</v>
      </c>
      <c r="I1033" s="433" t="s">
        <v>2654</v>
      </c>
      <c r="J1033" s="433" t="s">
        <v>2654</v>
      </c>
      <c r="K1033" s="433" t="s">
        <v>2654</v>
      </c>
      <c r="L1033" s="433" t="s">
        <v>2654</v>
      </c>
      <c r="M1033" s="433" t="s">
        <v>2654</v>
      </c>
      <c r="N1033" s="433" t="s">
        <v>2654</v>
      </c>
      <c r="O1033" s="433" t="s">
        <v>2654</v>
      </c>
      <c r="P1033" s="433" t="s">
        <v>4311</v>
      </c>
      <c r="Q1033" s="431"/>
      <c r="R1033" s="431"/>
      <c r="S1033" s="426" t="s">
        <v>3109</v>
      </c>
      <c r="T1033" s="426" t="s">
        <v>2655</v>
      </c>
      <c r="U1033" s="426" t="s">
        <v>2657</v>
      </c>
      <c r="V1033" s="426" t="s">
        <v>2657</v>
      </c>
      <c r="W1033" s="426" t="s">
        <v>2646</v>
      </c>
      <c r="X1033" s="426" t="s">
        <v>2646</v>
      </c>
      <c r="Y1033" s="426" t="s">
        <v>2646</v>
      </c>
      <c r="Z1033" s="426" t="s">
        <v>2646</v>
      </c>
      <c r="AA1033" s="426" t="s">
        <v>2646</v>
      </c>
      <c r="AB1033" s="426" t="s">
        <v>2646</v>
      </c>
      <c r="AC1033" s="426" t="s">
        <v>2646</v>
      </c>
      <c r="AD1033" s="426" t="s">
        <v>2646</v>
      </c>
      <c r="AE1033" s="426" t="s">
        <v>2646</v>
      </c>
      <c r="AF1033" s="426" t="s">
        <v>2646</v>
      </c>
      <c r="AG1033" s="426" t="s">
        <v>2646</v>
      </c>
      <c r="AH1033" s="426" t="s">
        <v>2646</v>
      </c>
      <c r="AI1033" s="426" t="s">
        <v>2646</v>
      </c>
      <c r="AJ1033" s="68" t="s">
        <v>2646</v>
      </c>
    </row>
    <row r="1034" spans="1:36" hidden="1">
      <c r="A1034" s="68" t="s">
        <v>2253</v>
      </c>
      <c r="B1034" s="427" t="s">
        <v>2648</v>
      </c>
      <c r="C1034" s="433" t="s">
        <v>3774</v>
      </c>
      <c r="D1034" s="433" t="s">
        <v>3788</v>
      </c>
      <c r="E1034" s="433" t="s">
        <v>2654</v>
      </c>
      <c r="F1034" s="433" t="s">
        <v>2654</v>
      </c>
      <c r="G1034" s="433" t="s">
        <v>2654</v>
      </c>
      <c r="H1034" s="433" t="s">
        <v>2654</v>
      </c>
      <c r="I1034" s="433" t="s">
        <v>2654</v>
      </c>
      <c r="J1034" s="433" t="s">
        <v>2654</v>
      </c>
      <c r="K1034" s="433" t="s">
        <v>2654</v>
      </c>
      <c r="L1034" s="433" t="s">
        <v>2654</v>
      </c>
      <c r="M1034" s="433" t="s">
        <v>2654</v>
      </c>
      <c r="N1034" s="433" t="s">
        <v>2654</v>
      </c>
      <c r="O1034" s="433" t="s">
        <v>2654</v>
      </c>
      <c r="P1034" s="433" t="s">
        <v>4059</v>
      </c>
      <c r="Q1034" s="431"/>
      <c r="R1034" s="431"/>
      <c r="S1034" s="426" t="s">
        <v>3194</v>
      </c>
      <c r="T1034" s="426" t="s">
        <v>2657</v>
      </c>
      <c r="U1034" s="426" t="s">
        <v>2657</v>
      </c>
      <c r="V1034" s="426" t="s">
        <v>2657</v>
      </c>
      <c r="W1034" s="426" t="s">
        <v>2658</v>
      </c>
      <c r="X1034" s="426" t="s">
        <v>2840</v>
      </c>
      <c r="Y1034" s="426" t="s">
        <v>3578</v>
      </c>
      <c r="Z1034" s="426" t="s">
        <v>2646</v>
      </c>
      <c r="AA1034" s="426" t="s">
        <v>2646</v>
      </c>
      <c r="AB1034" s="426" t="s">
        <v>2646</v>
      </c>
      <c r="AC1034" s="426" t="s">
        <v>2646</v>
      </c>
      <c r="AD1034" s="426" t="s">
        <v>2646</v>
      </c>
      <c r="AE1034" s="426" t="s">
        <v>2646</v>
      </c>
      <c r="AF1034" s="426" t="s">
        <v>2646</v>
      </c>
      <c r="AG1034" s="426" t="s">
        <v>2646</v>
      </c>
      <c r="AH1034" s="426" t="s">
        <v>2646</v>
      </c>
      <c r="AI1034" s="426" t="s">
        <v>2646</v>
      </c>
      <c r="AJ1034" s="68" t="s">
        <v>2646</v>
      </c>
    </row>
    <row r="1035" spans="1:36" hidden="1">
      <c r="A1035" s="68" t="s">
        <v>2254</v>
      </c>
      <c r="B1035" s="427" t="s">
        <v>2649</v>
      </c>
      <c r="C1035" s="433" t="s">
        <v>4631</v>
      </c>
      <c r="D1035" s="433" t="s">
        <v>3561</v>
      </c>
      <c r="E1035" s="433" t="s">
        <v>2654</v>
      </c>
      <c r="F1035" s="433" t="s">
        <v>2654</v>
      </c>
      <c r="G1035" s="433" t="s">
        <v>2654</v>
      </c>
      <c r="H1035" s="433" t="s">
        <v>2654</v>
      </c>
      <c r="I1035" s="433" t="s">
        <v>2654</v>
      </c>
      <c r="J1035" s="433" t="s">
        <v>2654</v>
      </c>
      <c r="K1035" s="433" t="s">
        <v>2654</v>
      </c>
      <c r="L1035" s="433" t="s">
        <v>2654</v>
      </c>
      <c r="M1035" s="433" t="s">
        <v>2654</v>
      </c>
      <c r="N1035" s="433" t="s">
        <v>2654</v>
      </c>
      <c r="O1035" s="433" t="s">
        <v>2654</v>
      </c>
      <c r="P1035" s="433" t="s">
        <v>2651</v>
      </c>
      <c r="Q1035" s="431"/>
      <c r="R1035" s="431"/>
      <c r="S1035" s="426" t="s">
        <v>2655</v>
      </c>
      <c r="T1035" s="426" t="s">
        <v>2657</v>
      </c>
      <c r="U1035" s="426" t="s">
        <v>2657</v>
      </c>
      <c r="V1035" s="426" t="s">
        <v>2657</v>
      </c>
      <c r="W1035" s="426" t="s">
        <v>2658</v>
      </c>
      <c r="X1035" s="426" t="s">
        <v>2840</v>
      </c>
      <c r="Y1035" s="426" t="s">
        <v>3578</v>
      </c>
      <c r="Z1035" s="426" t="s">
        <v>2646</v>
      </c>
      <c r="AA1035" s="426" t="s">
        <v>2646</v>
      </c>
      <c r="AB1035" s="426" t="s">
        <v>2646</v>
      </c>
      <c r="AC1035" s="426" t="s">
        <v>2646</v>
      </c>
      <c r="AD1035" s="426" t="s">
        <v>2646</v>
      </c>
      <c r="AE1035" s="426" t="s">
        <v>2646</v>
      </c>
      <c r="AF1035" s="426" t="s">
        <v>2646</v>
      </c>
      <c r="AG1035" s="426" t="s">
        <v>2646</v>
      </c>
      <c r="AH1035" s="426" t="s">
        <v>2646</v>
      </c>
      <c r="AI1035" s="426" t="s">
        <v>2646</v>
      </c>
      <c r="AJ1035" s="68" t="s">
        <v>2646</v>
      </c>
    </row>
    <row r="1036" spans="1:36" hidden="1">
      <c r="A1036" s="68" t="s">
        <v>2255</v>
      </c>
      <c r="B1036" s="427" t="s">
        <v>2650</v>
      </c>
      <c r="C1036" s="433" t="s">
        <v>3514</v>
      </c>
      <c r="D1036" s="433" t="s">
        <v>3561</v>
      </c>
      <c r="E1036" s="433" t="s">
        <v>2654</v>
      </c>
      <c r="F1036" s="433" t="s">
        <v>2654</v>
      </c>
      <c r="G1036" s="433" t="s">
        <v>2654</v>
      </c>
      <c r="H1036" s="433" t="s">
        <v>2654</v>
      </c>
      <c r="I1036" s="433" t="s">
        <v>2654</v>
      </c>
      <c r="J1036" s="433" t="s">
        <v>2654</v>
      </c>
      <c r="K1036" s="433" t="s">
        <v>2654</v>
      </c>
      <c r="L1036" s="433" t="s">
        <v>2654</v>
      </c>
      <c r="M1036" s="433" t="s">
        <v>2654</v>
      </c>
      <c r="N1036" s="433" t="s">
        <v>2654</v>
      </c>
      <c r="O1036" s="433" t="s">
        <v>2654</v>
      </c>
      <c r="P1036" s="433" t="s">
        <v>4059</v>
      </c>
      <c r="Q1036" s="431"/>
      <c r="R1036" s="431"/>
      <c r="S1036" s="426" t="s">
        <v>2658</v>
      </c>
      <c r="T1036" s="426" t="s">
        <v>2646</v>
      </c>
      <c r="U1036" s="426" t="s">
        <v>2657</v>
      </c>
      <c r="V1036" s="426" t="s">
        <v>2657</v>
      </c>
      <c r="W1036" s="426" t="s">
        <v>2646</v>
      </c>
      <c r="X1036" s="426" t="s">
        <v>2646</v>
      </c>
      <c r="Y1036" s="426" t="s">
        <v>3127</v>
      </c>
      <c r="Z1036" s="426" t="s">
        <v>2646</v>
      </c>
      <c r="AA1036" s="426" t="s">
        <v>2646</v>
      </c>
      <c r="AB1036" s="426" t="s">
        <v>2646</v>
      </c>
      <c r="AC1036" s="426" t="s">
        <v>2646</v>
      </c>
      <c r="AD1036" s="426" t="s">
        <v>2646</v>
      </c>
      <c r="AE1036" s="426" t="s">
        <v>2646</v>
      </c>
      <c r="AF1036" s="426" t="s">
        <v>2646</v>
      </c>
      <c r="AG1036" s="426" t="s">
        <v>2646</v>
      </c>
      <c r="AH1036" s="426" t="s">
        <v>2646</v>
      </c>
      <c r="AI1036" s="426" t="s">
        <v>2646</v>
      </c>
      <c r="AJ1036" s="68" t="s">
        <v>2646</v>
      </c>
    </row>
    <row r="1037" spans="1:36" hidden="1">
      <c r="A1037" s="68" t="s">
        <v>2256</v>
      </c>
      <c r="B1037" s="427" t="s">
        <v>2651</v>
      </c>
      <c r="C1037" s="433" t="s">
        <v>4341</v>
      </c>
      <c r="D1037" s="433" t="s">
        <v>3788</v>
      </c>
      <c r="E1037" s="433" t="s">
        <v>2654</v>
      </c>
      <c r="F1037" s="433" t="s">
        <v>2654</v>
      </c>
      <c r="G1037" s="433" t="s">
        <v>2654</v>
      </c>
      <c r="H1037" s="433" t="s">
        <v>2654</v>
      </c>
      <c r="I1037" s="433" t="s">
        <v>2654</v>
      </c>
      <c r="J1037" s="433" t="s">
        <v>2654</v>
      </c>
      <c r="K1037" s="433" t="s">
        <v>2654</v>
      </c>
      <c r="L1037" s="433" t="s">
        <v>2654</v>
      </c>
      <c r="M1037" s="433" t="s">
        <v>2654</v>
      </c>
      <c r="N1037" s="433" t="s">
        <v>2654</v>
      </c>
      <c r="O1037" s="433" t="s">
        <v>2654</v>
      </c>
      <c r="P1037" s="433" t="s">
        <v>4059</v>
      </c>
      <c r="Q1037" s="431"/>
      <c r="R1037" s="431"/>
      <c r="S1037" s="426" t="s">
        <v>2655</v>
      </c>
      <c r="T1037" s="426" t="s">
        <v>2658</v>
      </c>
      <c r="U1037" s="426" t="s">
        <v>2657</v>
      </c>
      <c r="V1037" s="426" t="s">
        <v>2657</v>
      </c>
      <c r="W1037" s="426" t="s">
        <v>2658</v>
      </c>
      <c r="X1037" s="426" t="s">
        <v>2840</v>
      </c>
      <c r="Y1037" s="426" t="s">
        <v>3578</v>
      </c>
      <c r="Z1037" s="426" t="s">
        <v>2646</v>
      </c>
      <c r="AA1037" s="426" t="s">
        <v>2646</v>
      </c>
      <c r="AB1037" s="426" t="s">
        <v>2646</v>
      </c>
      <c r="AC1037" s="426" t="s">
        <v>2646</v>
      </c>
      <c r="AD1037" s="426" t="s">
        <v>2646</v>
      </c>
      <c r="AE1037" s="426" t="s">
        <v>2646</v>
      </c>
      <c r="AF1037" s="426" t="s">
        <v>2646</v>
      </c>
      <c r="AG1037" s="426" t="s">
        <v>2646</v>
      </c>
      <c r="AH1037" s="426" t="s">
        <v>2646</v>
      </c>
      <c r="AI1037" s="426" t="s">
        <v>2646</v>
      </c>
      <c r="AJ1037" s="68" t="s">
        <v>2646</v>
      </c>
    </row>
    <row r="1038" spans="1:36">
      <c r="A1038" s="68" t="s">
        <v>2256</v>
      </c>
      <c r="B1038" s="427" t="s">
        <v>48</v>
      </c>
      <c r="C1038" s="433" t="s">
        <v>4639</v>
      </c>
      <c r="D1038" s="433" t="s">
        <v>3908</v>
      </c>
      <c r="E1038" s="433" t="s">
        <v>2654</v>
      </c>
      <c r="F1038" s="433" t="s">
        <v>2654</v>
      </c>
      <c r="G1038" s="433" t="s">
        <v>2654</v>
      </c>
      <c r="H1038" s="433" t="s">
        <v>2654</v>
      </c>
      <c r="I1038" s="433" t="s">
        <v>2654</v>
      </c>
      <c r="J1038" s="433" t="s">
        <v>2654</v>
      </c>
      <c r="K1038" s="433" t="s">
        <v>2654</v>
      </c>
      <c r="L1038" s="433" t="s">
        <v>2654</v>
      </c>
      <c r="M1038" s="433" t="s">
        <v>2654</v>
      </c>
      <c r="N1038" s="433" t="s">
        <v>2654</v>
      </c>
      <c r="O1038" s="433" t="s">
        <v>2654</v>
      </c>
      <c r="P1038" s="433" t="s">
        <v>3707</v>
      </c>
      <c r="Q1038" s="433" t="s">
        <v>2654</v>
      </c>
      <c r="R1038" s="433" t="s">
        <v>2654</v>
      </c>
      <c r="S1038" s="426"/>
      <c r="T1038" s="426"/>
      <c r="U1038" s="426"/>
      <c r="V1038" s="426"/>
      <c r="W1038" s="426"/>
      <c r="X1038" s="426"/>
      <c r="Y1038" s="426"/>
      <c r="Z1038" s="426"/>
      <c r="AA1038" s="426"/>
      <c r="AB1038" s="426"/>
      <c r="AC1038" s="426"/>
      <c r="AD1038" s="426"/>
      <c r="AE1038" s="426"/>
      <c r="AF1038" s="426"/>
      <c r="AG1038" s="426"/>
      <c r="AH1038" s="426"/>
      <c r="AI1038" s="426"/>
    </row>
    <row r="1039" spans="1:36" hidden="1">
      <c r="A1039" s="68" t="s">
        <v>2257</v>
      </c>
      <c r="B1039" s="427" t="s">
        <v>2647</v>
      </c>
      <c r="C1039" s="433" t="s">
        <v>3904</v>
      </c>
      <c r="D1039" s="433" t="s">
        <v>3789</v>
      </c>
      <c r="E1039" s="433" t="s">
        <v>2654</v>
      </c>
      <c r="F1039" s="433" t="s">
        <v>2654</v>
      </c>
      <c r="G1039" s="433" t="s">
        <v>2654</v>
      </c>
      <c r="H1039" s="433" t="s">
        <v>2654</v>
      </c>
      <c r="I1039" s="433" t="s">
        <v>2654</v>
      </c>
      <c r="J1039" s="433" t="s">
        <v>2654</v>
      </c>
      <c r="K1039" s="433" t="s">
        <v>2654</v>
      </c>
      <c r="L1039" s="433" t="s">
        <v>2654</v>
      </c>
      <c r="M1039" s="433" t="s">
        <v>2654</v>
      </c>
      <c r="N1039" s="433" t="s">
        <v>2654</v>
      </c>
      <c r="O1039" s="433" t="s">
        <v>2654</v>
      </c>
      <c r="P1039" s="433" t="s">
        <v>4061</v>
      </c>
      <c r="Q1039" s="431"/>
      <c r="R1039" s="431"/>
      <c r="S1039" s="426" t="s">
        <v>3124</v>
      </c>
      <c r="T1039" s="426" t="s">
        <v>2646</v>
      </c>
      <c r="U1039" s="426" t="s">
        <v>2657</v>
      </c>
      <c r="V1039" s="426" t="s">
        <v>2657</v>
      </c>
      <c r="W1039" s="426" t="s">
        <v>2646</v>
      </c>
      <c r="X1039" s="426" t="s">
        <v>2646</v>
      </c>
      <c r="Y1039" s="426" t="s">
        <v>2646</v>
      </c>
      <c r="Z1039" s="426" t="s">
        <v>2646</v>
      </c>
      <c r="AA1039" s="426" t="s">
        <v>2646</v>
      </c>
      <c r="AB1039" s="426" t="s">
        <v>2646</v>
      </c>
      <c r="AC1039" s="426" t="s">
        <v>2646</v>
      </c>
      <c r="AD1039" s="426" t="s">
        <v>2646</v>
      </c>
      <c r="AE1039" s="426" t="s">
        <v>2646</v>
      </c>
      <c r="AF1039" s="426" t="s">
        <v>2646</v>
      </c>
      <c r="AG1039" s="426" t="s">
        <v>2646</v>
      </c>
      <c r="AH1039" s="426" t="s">
        <v>2646</v>
      </c>
      <c r="AI1039" s="426" t="s">
        <v>2646</v>
      </c>
      <c r="AJ1039" s="68" t="s">
        <v>2646</v>
      </c>
    </row>
    <row r="1040" spans="1:36" hidden="1">
      <c r="A1040" s="68" t="s">
        <v>2258</v>
      </c>
      <c r="B1040" s="427" t="s">
        <v>2648</v>
      </c>
      <c r="C1040" s="433" t="s">
        <v>3256</v>
      </c>
      <c r="D1040" s="433" t="s">
        <v>3734</v>
      </c>
      <c r="E1040" s="433" t="s">
        <v>2654</v>
      </c>
      <c r="F1040" s="433" t="s">
        <v>2654</v>
      </c>
      <c r="G1040" s="433" t="s">
        <v>2654</v>
      </c>
      <c r="H1040" s="433" t="s">
        <v>2654</v>
      </c>
      <c r="I1040" s="433" t="s">
        <v>2654</v>
      </c>
      <c r="J1040" s="433" t="s">
        <v>2654</v>
      </c>
      <c r="K1040" s="433" t="s">
        <v>2654</v>
      </c>
      <c r="L1040" s="433" t="s">
        <v>2654</v>
      </c>
      <c r="M1040" s="433" t="s">
        <v>2654</v>
      </c>
      <c r="N1040" s="433" t="s">
        <v>2654</v>
      </c>
      <c r="O1040" s="433" t="s">
        <v>2654</v>
      </c>
      <c r="P1040" s="433" t="s">
        <v>4061</v>
      </c>
      <c r="Q1040" s="431"/>
      <c r="R1040" s="431"/>
      <c r="S1040" s="426" t="s">
        <v>3132</v>
      </c>
      <c r="T1040" s="426" t="s">
        <v>2669</v>
      </c>
      <c r="U1040" s="426" t="s">
        <v>2657</v>
      </c>
      <c r="V1040" s="426" t="s">
        <v>2657</v>
      </c>
      <c r="W1040" s="426" t="s">
        <v>2646</v>
      </c>
      <c r="X1040" s="426" t="s">
        <v>2646</v>
      </c>
      <c r="Y1040" s="426" t="s">
        <v>3620</v>
      </c>
      <c r="Z1040" s="426" t="s">
        <v>2646</v>
      </c>
      <c r="AA1040" s="426" t="s">
        <v>2646</v>
      </c>
      <c r="AB1040" s="426" t="s">
        <v>2646</v>
      </c>
      <c r="AC1040" s="426" t="s">
        <v>2646</v>
      </c>
      <c r="AD1040" s="426" t="s">
        <v>2646</v>
      </c>
      <c r="AE1040" s="426" t="s">
        <v>2646</v>
      </c>
      <c r="AF1040" s="426" t="s">
        <v>2646</v>
      </c>
      <c r="AG1040" s="426" t="s">
        <v>2646</v>
      </c>
      <c r="AH1040" s="426" t="s">
        <v>2646</v>
      </c>
      <c r="AI1040" s="426" t="s">
        <v>2646</v>
      </c>
      <c r="AJ1040" s="68" t="s">
        <v>2646</v>
      </c>
    </row>
    <row r="1041" spans="1:36" hidden="1">
      <c r="A1041" s="68" t="s">
        <v>2259</v>
      </c>
      <c r="B1041" s="427" t="s">
        <v>2649</v>
      </c>
      <c r="C1041" s="433" t="s">
        <v>3704</v>
      </c>
      <c r="D1041" s="433" t="s">
        <v>3909</v>
      </c>
      <c r="E1041" s="433" t="s">
        <v>2654</v>
      </c>
      <c r="F1041" s="433" t="s">
        <v>2654</v>
      </c>
      <c r="G1041" s="433" t="s">
        <v>2654</v>
      </c>
      <c r="H1041" s="433" t="s">
        <v>2654</v>
      </c>
      <c r="I1041" s="433" t="s">
        <v>2654</v>
      </c>
      <c r="J1041" s="433" t="s">
        <v>2654</v>
      </c>
      <c r="K1041" s="433" t="s">
        <v>2654</v>
      </c>
      <c r="L1041" s="433" t="s">
        <v>2654</v>
      </c>
      <c r="M1041" s="433" t="s">
        <v>2654</v>
      </c>
      <c r="N1041" s="433" t="s">
        <v>2654</v>
      </c>
      <c r="O1041" s="433" t="s">
        <v>2654</v>
      </c>
      <c r="P1041" s="433" t="s">
        <v>4059</v>
      </c>
      <c r="Q1041" s="431"/>
      <c r="R1041" s="431"/>
      <c r="S1041" s="426" t="s">
        <v>3132</v>
      </c>
      <c r="T1041" s="426" t="s">
        <v>2657</v>
      </c>
      <c r="U1041" s="426" t="s">
        <v>2657</v>
      </c>
      <c r="V1041" s="426" t="s">
        <v>2657</v>
      </c>
      <c r="W1041" s="426" t="s">
        <v>2646</v>
      </c>
      <c r="X1041" s="426" t="s">
        <v>2646</v>
      </c>
      <c r="Y1041" s="426" t="s">
        <v>3316</v>
      </c>
      <c r="Z1041" s="426" t="s">
        <v>2646</v>
      </c>
      <c r="AA1041" s="426" t="s">
        <v>2646</v>
      </c>
      <c r="AB1041" s="426" t="s">
        <v>2646</v>
      </c>
      <c r="AC1041" s="426" t="s">
        <v>2646</v>
      </c>
      <c r="AD1041" s="426" t="s">
        <v>2646</v>
      </c>
      <c r="AE1041" s="426" t="s">
        <v>2646</v>
      </c>
      <c r="AF1041" s="426" t="s">
        <v>2646</v>
      </c>
      <c r="AG1041" s="426" t="s">
        <v>2646</v>
      </c>
      <c r="AH1041" s="426" t="s">
        <v>2646</v>
      </c>
      <c r="AI1041" s="426" t="s">
        <v>2646</v>
      </c>
      <c r="AJ1041" s="68" t="s">
        <v>2646</v>
      </c>
    </row>
    <row r="1042" spans="1:36" hidden="1">
      <c r="A1042" s="68" t="s">
        <v>2260</v>
      </c>
      <c r="B1042" s="427" t="s">
        <v>2650</v>
      </c>
      <c r="C1042" s="433" t="s">
        <v>3626</v>
      </c>
      <c r="D1042" s="433" t="s">
        <v>3089</v>
      </c>
      <c r="E1042" s="433" t="s">
        <v>2654</v>
      </c>
      <c r="F1042" s="433" t="s">
        <v>2654</v>
      </c>
      <c r="G1042" s="433" t="s">
        <v>2654</v>
      </c>
      <c r="H1042" s="433" t="s">
        <v>2654</v>
      </c>
      <c r="I1042" s="433" t="s">
        <v>2654</v>
      </c>
      <c r="J1042" s="433" t="s">
        <v>2654</v>
      </c>
      <c r="K1042" s="433" t="s">
        <v>2654</v>
      </c>
      <c r="L1042" s="433" t="s">
        <v>2654</v>
      </c>
      <c r="M1042" s="433" t="s">
        <v>2654</v>
      </c>
      <c r="N1042" s="433" t="s">
        <v>2654</v>
      </c>
      <c r="O1042" s="433" t="s">
        <v>2654</v>
      </c>
      <c r="P1042" s="433" t="s">
        <v>4087</v>
      </c>
      <c r="Q1042" s="431"/>
      <c r="R1042" s="431"/>
      <c r="S1042" s="426" t="s">
        <v>3132</v>
      </c>
      <c r="T1042" s="426" t="s">
        <v>2657</v>
      </c>
      <c r="U1042" s="426" t="s">
        <v>2657</v>
      </c>
      <c r="V1042" s="426" t="s">
        <v>2657</v>
      </c>
      <c r="W1042" s="426" t="s">
        <v>2646</v>
      </c>
      <c r="X1042" s="426" t="s">
        <v>2646</v>
      </c>
      <c r="Y1042" s="426" t="s">
        <v>3621</v>
      </c>
      <c r="Z1042" s="426" t="s">
        <v>2646</v>
      </c>
      <c r="AA1042" s="426" t="s">
        <v>2646</v>
      </c>
      <c r="AB1042" s="426" t="s">
        <v>2646</v>
      </c>
      <c r="AC1042" s="426" t="s">
        <v>2646</v>
      </c>
      <c r="AD1042" s="426" t="s">
        <v>2646</v>
      </c>
      <c r="AE1042" s="426" t="s">
        <v>2646</v>
      </c>
      <c r="AF1042" s="426" t="s">
        <v>2646</v>
      </c>
      <c r="AG1042" s="426" t="s">
        <v>2646</v>
      </c>
      <c r="AH1042" s="426" t="s">
        <v>2646</v>
      </c>
      <c r="AI1042" s="426" t="s">
        <v>2646</v>
      </c>
      <c r="AJ1042" s="68" t="s">
        <v>2646</v>
      </c>
    </row>
    <row r="1043" spans="1:36" hidden="1">
      <c r="A1043" s="68" t="s">
        <v>2261</v>
      </c>
      <c r="B1043" s="427" t="s">
        <v>2651</v>
      </c>
      <c r="C1043" s="433" t="s">
        <v>4491</v>
      </c>
      <c r="D1043" s="433" t="s">
        <v>3222</v>
      </c>
      <c r="E1043" s="433" t="s">
        <v>2654</v>
      </c>
      <c r="F1043" s="433" t="s">
        <v>2654</v>
      </c>
      <c r="G1043" s="433" t="s">
        <v>2654</v>
      </c>
      <c r="H1043" s="433" t="s">
        <v>2654</v>
      </c>
      <c r="I1043" s="433" t="s">
        <v>2654</v>
      </c>
      <c r="J1043" s="433" t="s">
        <v>2654</v>
      </c>
      <c r="K1043" s="433" t="s">
        <v>2654</v>
      </c>
      <c r="L1043" s="433" t="s">
        <v>2654</v>
      </c>
      <c r="M1043" s="433" t="s">
        <v>2654</v>
      </c>
      <c r="N1043" s="433" t="s">
        <v>2654</v>
      </c>
      <c r="O1043" s="433" t="s">
        <v>2654</v>
      </c>
      <c r="P1043" s="433" t="s">
        <v>4061</v>
      </c>
      <c r="Q1043" s="431"/>
      <c r="R1043" s="431"/>
      <c r="S1043" s="426" t="s">
        <v>3132</v>
      </c>
      <c r="T1043" s="426" t="s">
        <v>2657</v>
      </c>
      <c r="U1043" s="426" t="s">
        <v>2657</v>
      </c>
      <c r="V1043" s="426" t="s">
        <v>2657</v>
      </c>
      <c r="W1043" s="426" t="s">
        <v>2646</v>
      </c>
      <c r="X1043" s="426" t="s">
        <v>2646</v>
      </c>
      <c r="Y1043" s="426" t="s">
        <v>3621</v>
      </c>
      <c r="Z1043" s="426" t="s">
        <v>2646</v>
      </c>
      <c r="AA1043" s="426" t="s">
        <v>2646</v>
      </c>
      <c r="AB1043" s="426" t="s">
        <v>2646</v>
      </c>
      <c r="AC1043" s="426" t="s">
        <v>2646</v>
      </c>
      <c r="AD1043" s="426" t="s">
        <v>2646</v>
      </c>
      <c r="AE1043" s="426" t="s">
        <v>2646</v>
      </c>
      <c r="AF1043" s="426" t="s">
        <v>2646</v>
      </c>
      <c r="AG1043" s="426" t="s">
        <v>2646</v>
      </c>
      <c r="AH1043" s="426" t="s">
        <v>2646</v>
      </c>
      <c r="AI1043" s="426" t="s">
        <v>2646</v>
      </c>
      <c r="AJ1043" s="68" t="s">
        <v>2646</v>
      </c>
    </row>
    <row r="1044" spans="1:36">
      <c r="A1044" s="68" t="s">
        <v>2261</v>
      </c>
      <c r="B1044" s="427" t="s">
        <v>48</v>
      </c>
      <c r="C1044" s="433" t="s">
        <v>4640</v>
      </c>
      <c r="D1044" s="433" t="s">
        <v>3089</v>
      </c>
      <c r="E1044" s="433" t="s">
        <v>2654</v>
      </c>
      <c r="F1044" s="433" t="s">
        <v>2654</v>
      </c>
      <c r="G1044" s="433" t="s">
        <v>2654</v>
      </c>
      <c r="H1044" s="433" t="s">
        <v>2654</v>
      </c>
      <c r="I1044" s="433" t="s">
        <v>2654</v>
      </c>
      <c r="J1044" s="433" t="s">
        <v>2654</v>
      </c>
      <c r="K1044" s="433" t="s">
        <v>2654</v>
      </c>
      <c r="L1044" s="433" t="s">
        <v>2654</v>
      </c>
      <c r="M1044" s="433" t="s">
        <v>2654</v>
      </c>
      <c r="N1044" s="433" t="s">
        <v>2654</v>
      </c>
      <c r="O1044" s="433" t="s">
        <v>2654</v>
      </c>
      <c r="P1044" s="433" t="s">
        <v>2902</v>
      </c>
      <c r="Q1044" s="433" t="s">
        <v>2654</v>
      </c>
      <c r="R1044" s="433" t="s">
        <v>2654</v>
      </c>
      <c r="S1044" s="426"/>
      <c r="T1044" s="426"/>
      <c r="U1044" s="426"/>
      <c r="V1044" s="426"/>
      <c r="W1044" s="426"/>
      <c r="X1044" s="426"/>
      <c r="Y1044" s="426"/>
      <c r="Z1044" s="426"/>
      <c r="AA1044" s="426"/>
      <c r="AB1044" s="426"/>
      <c r="AC1044" s="426"/>
      <c r="AD1044" s="426"/>
      <c r="AE1044" s="426"/>
      <c r="AF1044" s="426"/>
      <c r="AG1044" s="426"/>
      <c r="AH1044" s="426"/>
      <c r="AI1044" s="426"/>
    </row>
    <row r="1045" spans="1:36" hidden="1">
      <c r="A1045" s="68" t="s">
        <v>2262</v>
      </c>
      <c r="B1045" s="427" t="s">
        <v>2647</v>
      </c>
      <c r="C1045" s="433" t="s">
        <v>3728</v>
      </c>
      <c r="D1045" s="433" t="s">
        <v>2676</v>
      </c>
      <c r="E1045" s="433" t="s">
        <v>2654</v>
      </c>
      <c r="F1045" s="433" t="s">
        <v>2654</v>
      </c>
      <c r="G1045" s="433" t="s">
        <v>2654</v>
      </c>
      <c r="H1045" s="433" t="s">
        <v>2654</v>
      </c>
      <c r="I1045" s="433" t="s">
        <v>2654</v>
      </c>
      <c r="J1045" s="433" t="s">
        <v>2654</v>
      </c>
      <c r="K1045" s="433" t="s">
        <v>2654</v>
      </c>
      <c r="L1045" s="433" t="s">
        <v>2654</v>
      </c>
      <c r="M1045" s="433" t="s">
        <v>2654</v>
      </c>
      <c r="N1045" s="433" t="s">
        <v>2654</v>
      </c>
      <c r="O1045" s="433" t="s">
        <v>2654</v>
      </c>
      <c r="P1045" s="433" t="s">
        <v>4061</v>
      </c>
      <c r="Q1045" s="431"/>
      <c r="R1045" s="431"/>
      <c r="S1045" s="426" t="s">
        <v>2778</v>
      </c>
      <c r="T1045" s="426" t="s">
        <v>2657</v>
      </c>
      <c r="U1045" s="426" t="s">
        <v>2657</v>
      </c>
      <c r="V1045" s="426" t="s">
        <v>2657</v>
      </c>
      <c r="W1045" s="426" t="s">
        <v>2646</v>
      </c>
      <c r="X1045" s="426" t="s">
        <v>2646</v>
      </c>
      <c r="Y1045" s="426" t="s">
        <v>2646</v>
      </c>
      <c r="Z1045" s="426" t="s">
        <v>2646</v>
      </c>
      <c r="AA1045" s="426" t="s">
        <v>2646</v>
      </c>
      <c r="AB1045" s="426" t="s">
        <v>2646</v>
      </c>
      <c r="AC1045" s="426" t="s">
        <v>2646</v>
      </c>
      <c r="AD1045" s="426" t="s">
        <v>2646</v>
      </c>
      <c r="AE1045" s="426" t="s">
        <v>2646</v>
      </c>
      <c r="AF1045" s="426" t="s">
        <v>2646</v>
      </c>
      <c r="AG1045" s="426" t="s">
        <v>2646</v>
      </c>
      <c r="AH1045" s="426" t="s">
        <v>2646</v>
      </c>
      <c r="AI1045" s="426" t="s">
        <v>2646</v>
      </c>
      <c r="AJ1045" s="68" t="s">
        <v>2646</v>
      </c>
    </row>
    <row r="1046" spans="1:36" hidden="1">
      <c r="A1046" s="68" t="s">
        <v>2263</v>
      </c>
      <c r="B1046" s="427" t="s">
        <v>2648</v>
      </c>
      <c r="C1046" s="433" t="s">
        <v>3725</v>
      </c>
      <c r="D1046" s="433" t="s">
        <v>2777</v>
      </c>
      <c r="E1046" s="433" t="s">
        <v>2654</v>
      </c>
      <c r="F1046" s="433" t="s">
        <v>2654</v>
      </c>
      <c r="G1046" s="433" t="s">
        <v>2654</v>
      </c>
      <c r="H1046" s="433" t="s">
        <v>2654</v>
      </c>
      <c r="I1046" s="433" t="s">
        <v>2654</v>
      </c>
      <c r="J1046" s="433" t="s">
        <v>2654</v>
      </c>
      <c r="K1046" s="433" t="s">
        <v>2654</v>
      </c>
      <c r="L1046" s="433" t="s">
        <v>2654</v>
      </c>
      <c r="M1046" s="433" t="s">
        <v>2654</v>
      </c>
      <c r="N1046" s="433" t="s">
        <v>2654</v>
      </c>
      <c r="O1046" s="433" t="s">
        <v>2654</v>
      </c>
      <c r="P1046" s="433" t="s">
        <v>4080</v>
      </c>
      <c r="Q1046" s="431"/>
      <c r="R1046" s="431"/>
      <c r="S1046" s="426" t="s">
        <v>2660</v>
      </c>
      <c r="T1046" s="426" t="s">
        <v>3622</v>
      </c>
      <c r="U1046" s="426" t="s">
        <v>2657</v>
      </c>
      <c r="V1046" s="426" t="s">
        <v>2657</v>
      </c>
      <c r="W1046" s="426" t="s">
        <v>2646</v>
      </c>
      <c r="X1046" s="426" t="s">
        <v>2646</v>
      </c>
      <c r="Y1046" s="426" t="s">
        <v>3504</v>
      </c>
      <c r="Z1046" s="426" t="s">
        <v>2646</v>
      </c>
      <c r="AA1046" s="426" t="s">
        <v>2646</v>
      </c>
      <c r="AB1046" s="426" t="s">
        <v>2646</v>
      </c>
      <c r="AC1046" s="426" t="s">
        <v>2646</v>
      </c>
      <c r="AD1046" s="426" t="s">
        <v>2646</v>
      </c>
      <c r="AE1046" s="426" t="s">
        <v>2646</v>
      </c>
      <c r="AF1046" s="426" t="s">
        <v>2646</v>
      </c>
      <c r="AG1046" s="426" t="s">
        <v>2646</v>
      </c>
      <c r="AH1046" s="426" t="s">
        <v>2646</v>
      </c>
      <c r="AI1046" s="426" t="s">
        <v>2646</v>
      </c>
      <c r="AJ1046" s="68" t="s">
        <v>2646</v>
      </c>
    </row>
    <row r="1047" spans="1:36" hidden="1">
      <c r="A1047" s="68" t="s">
        <v>2264</v>
      </c>
      <c r="B1047" s="427" t="s">
        <v>2649</v>
      </c>
      <c r="C1047" s="433" t="s">
        <v>3421</v>
      </c>
      <c r="D1047" s="433" t="s">
        <v>2676</v>
      </c>
      <c r="E1047" s="433" t="s">
        <v>2654</v>
      </c>
      <c r="F1047" s="433" t="s">
        <v>2654</v>
      </c>
      <c r="G1047" s="433" t="s">
        <v>2654</v>
      </c>
      <c r="H1047" s="433" t="s">
        <v>2654</v>
      </c>
      <c r="I1047" s="433" t="s">
        <v>2654</v>
      </c>
      <c r="J1047" s="433" t="s">
        <v>2654</v>
      </c>
      <c r="K1047" s="433" t="s">
        <v>2654</v>
      </c>
      <c r="L1047" s="433" t="s">
        <v>2654</v>
      </c>
      <c r="M1047" s="433" t="s">
        <v>2654</v>
      </c>
      <c r="N1047" s="433" t="s">
        <v>2654</v>
      </c>
      <c r="O1047" s="433" t="s">
        <v>2654</v>
      </c>
      <c r="P1047" s="433" t="s">
        <v>4080</v>
      </c>
      <c r="Q1047" s="431"/>
      <c r="R1047" s="431"/>
      <c r="S1047" s="426" t="s">
        <v>2669</v>
      </c>
      <c r="T1047" s="426" t="s">
        <v>2657</v>
      </c>
      <c r="U1047" s="426" t="s">
        <v>2657</v>
      </c>
      <c r="V1047" s="426" t="s">
        <v>2657</v>
      </c>
      <c r="W1047" s="426" t="s">
        <v>2646</v>
      </c>
      <c r="X1047" s="426" t="s">
        <v>2646</v>
      </c>
      <c r="Y1047" s="426" t="s">
        <v>3504</v>
      </c>
      <c r="Z1047" s="426" t="s">
        <v>2646</v>
      </c>
      <c r="AA1047" s="426" t="s">
        <v>2646</v>
      </c>
      <c r="AB1047" s="426" t="s">
        <v>2646</v>
      </c>
      <c r="AC1047" s="426" t="s">
        <v>2646</v>
      </c>
      <c r="AD1047" s="426" t="s">
        <v>2646</v>
      </c>
      <c r="AE1047" s="426" t="s">
        <v>2646</v>
      </c>
      <c r="AF1047" s="426" t="s">
        <v>2646</v>
      </c>
      <c r="AG1047" s="426" t="s">
        <v>2646</v>
      </c>
      <c r="AH1047" s="426" t="s">
        <v>2646</v>
      </c>
      <c r="AI1047" s="426" t="s">
        <v>2646</v>
      </c>
      <c r="AJ1047" s="68" t="s">
        <v>2646</v>
      </c>
    </row>
    <row r="1048" spans="1:36" hidden="1">
      <c r="A1048" s="68" t="s">
        <v>2265</v>
      </c>
      <c r="B1048" s="427" t="s">
        <v>2650</v>
      </c>
      <c r="C1048" s="433" t="s">
        <v>3728</v>
      </c>
      <c r="D1048" s="433" t="s">
        <v>2777</v>
      </c>
      <c r="E1048" s="433" t="s">
        <v>2654</v>
      </c>
      <c r="F1048" s="433" t="s">
        <v>2654</v>
      </c>
      <c r="G1048" s="433" t="s">
        <v>2654</v>
      </c>
      <c r="H1048" s="433" t="s">
        <v>2654</v>
      </c>
      <c r="I1048" s="433" t="s">
        <v>2654</v>
      </c>
      <c r="J1048" s="433" t="s">
        <v>2654</v>
      </c>
      <c r="K1048" s="433" t="s">
        <v>2654</v>
      </c>
      <c r="L1048" s="433" t="s">
        <v>2654</v>
      </c>
      <c r="M1048" s="433" t="s">
        <v>2654</v>
      </c>
      <c r="N1048" s="433" t="s">
        <v>2654</v>
      </c>
      <c r="O1048" s="433" t="s">
        <v>2654</v>
      </c>
      <c r="P1048" s="433" t="s">
        <v>4080</v>
      </c>
      <c r="Q1048" s="431"/>
      <c r="R1048" s="431"/>
      <c r="S1048" s="426" t="s">
        <v>2673</v>
      </c>
      <c r="T1048" s="426" t="s">
        <v>2657</v>
      </c>
      <c r="U1048" s="426" t="s">
        <v>2657</v>
      </c>
      <c r="V1048" s="426" t="s">
        <v>2657</v>
      </c>
      <c r="W1048" s="426" t="s">
        <v>2646</v>
      </c>
      <c r="X1048" s="426" t="s">
        <v>2646</v>
      </c>
      <c r="Y1048" s="426" t="s">
        <v>3504</v>
      </c>
      <c r="Z1048" s="426" t="s">
        <v>2646</v>
      </c>
      <c r="AA1048" s="426" t="s">
        <v>2646</v>
      </c>
      <c r="AB1048" s="426" t="s">
        <v>2646</v>
      </c>
      <c r="AC1048" s="426" t="s">
        <v>2646</v>
      </c>
      <c r="AD1048" s="426" t="s">
        <v>2646</v>
      </c>
      <c r="AE1048" s="426" t="s">
        <v>2646</v>
      </c>
      <c r="AF1048" s="426" t="s">
        <v>2646</v>
      </c>
      <c r="AG1048" s="426" t="s">
        <v>2646</v>
      </c>
      <c r="AH1048" s="426" t="s">
        <v>2646</v>
      </c>
      <c r="AI1048" s="426" t="s">
        <v>2646</v>
      </c>
      <c r="AJ1048" s="68" t="s">
        <v>2646</v>
      </c>
    </row>
    <row r="1049" spans="1:36" hidden="1">
      <c r="A1049" s="68" t="s">
        <v>2266</v>
      </c>
      <c r="B1049" s="427" t="s">
        <v>2651</v>
      </c>
      <c r="C1049" s="433" t="s">
        <v>3728</v>
      </c>
      <c r="D1049" s="433" t="s">
        <v>2777</v>
      </c>
      <c r="E1049" s="433" t="s">
        <v>2654</v>
      </c>
      <c r="F1049" s="433" t="s">
        <v>2654</v>
      </c>
      <c r="G1049" s="433" t="s">
        <v>2654</v>
      </c>
      <c r="H1049" s="433" t="s">
        <v>2654</v>
      </c>
      <c r="I1049" s="433" t="s">
        <v>2654</v>
      </c>
      <c r="J1049" s="433" t="s">
        <v>2654</v>
      </c>
      <c r="K1049" s="433" t="s">
        <v>2654</v>
      </c>
      <c r="L1049" s="433" t="s">
        <v>2654</v>
      </c>
      <c r="M1049" s="433" t="s">
        <v>2654</v>
      </c>
      <c r="N1049" s="433" t="s">
        <v>2654</v>
      </c>
      <c r="O1049" s="433" t="s">
        <v>2654</v>
      </c>
      <c r="P1049" s="433" t="s">
        <v>4080</v>
      </c>
      <c r="Q1049" s="431"/>
      <c r="R1049" s="431"/>
      <c r="S1049" s="426" t="s">
        <v>2709</v>
      </c>
      <c r="T1049" s="426" t="s">
        <v>2657</v>
      </c>
      <c r="U1049" s="426" t="s">
        <v>2657</v>
      </c>
      <c r="V1049" s="426" t="s">
        <v>2657</v>
      </c>
      <c r="W1049" s="426" t="s">
        <v>2646</v>
      </c>
      <c r="X1049" s="426" t="s">
        <v>2646</v>
      </c>
      <c r="Y1049" s="426" t="s">
        <v>3504</v>
      </c>
      <c r="Z1049" s="426" t="s">
        <v>2646</v>
      </c>
      <c r="AA1049" s="426" t="s">
        <v>2646</v>
      </c>
      <c r="AB1049" s="426" t="s">
        <v>2646</v>
      </c>
      <c r="AC1049" s="426" t="s">
        <v>2646</v>
      </c>
      <c r="AD1049" s="426" t="s">
        <v>2646</v>
      </c>
      <c r="AE1049" s="426" t="s">
        <v>2646</v>
      </c>
      <c r="AF1049" s="426" t="s">
        <v>2646</v>
      </c>
      <c r="AG1049" s="426" t="s">
        <v>2646</v>
      </c>
      <c r="AH1049" s="426" t="s">
        <v>2646</v>
      </c>
      <c r="AI1049" s="426" t="s">
        <v>2646</v>
      </c>
      <c r="AJ1049" s="68" t="s">
        <v>2646</v>
      </c>
    </row>
    <row r="1050" spans="1:36">
      <c r="A1050" s="68" t="s">
        <v>2266</v>
      </c>
      <c r="B1050" s="427" t="s">
        <v>48</v>
      </c>
      <c r="C1050" s="433" t="s">
        <v>3746</v>
      </c>
      <c r="D1050" s="433" t="s">
        <v>3604</v>
      </c>
      <c r="E1050" s="433" t="s">
        <v>2654</v>
      </c>
      <c r="F1050" s="433" t="s">
        <v>2654</v>
      </c>
      <c r="G1050" s="433" t="s">
        <v>2654</v>
      </c>
      <c r="H1050" s="433" t="s">
        <v>2654</v>
      </c>
      <c r="I1050" s="433" t="s">
        <v>2654</v>
      </c>
      <c r="J1050" s="433" t="s">
        <v>2654</v>
      </c>
      <c r="K1050" s="433" t="s">
        <v>2654</v>
      </c>
      <c r="L1050" s="433" t="s">
        <v>2654</v>
      </c>
      <c r="M1050" s="433" t="s">
        <v>2654</v>
      </c>
      <c r="N1050" s="433" t="s">
        <v>2654</v>
      </c>
      <c r="O1050" s="433" t="s">
        <v>2654</v>
      </c>
      <c r="P1050" s="433" t="s">
        <v>4024</v>
      </c>
      <c r="Q1050" s="433" t="s">
        <v>2654</v>
      </c>
      <c r="R1050" s="433" t="s">
        <v>2654</v>
      </c>
      <c r="S1050" s="426"/>
      <c r="T1050" s="426"/>
      <c r="U1050" s="426"/>
      <c r="V1050" s="426"/>
      <c r="W1050" s="426"/>
      <c r="X1050" s="426"/>
      <c r="Y1050" s="426"/>
      <c r="Z1050" s="426"/>
      <c r="AA1050" s="426"/>
      <c r="AB1050" s="426"/>
      <c r="AC1050" s="426"/>
      <c r="AD1050" s="426"/>
      <c r="AE1050" s="426"/>
      <c r="AF1050" s="426"/>
      <c r="AG1050" s="426"/>
      <c r="AH1050" s="426"/>
      <c r="AI1050" s="426"/>
    </row>
    <row r="1051" spans="1:36" hidden="1">
      <c r="A1051" s="68" t="s">
        <v>2267</v>
      </c>
      <c r="B1051" s="427" t="s">
        <v>2647</v>
      </c>
      <c r="C1051" s="433" t="s">
        <v>4178</v>
      </c>
      <c r="D1051" s="433" t="s">
        <v>2833</v>
      </c>
      <c r="E1051" s="433" t="s">
        <v>2654</v>
      </c>
      <c r="F1051" s="433" t="s">
        <v>2654</v>
      </c>
      <c r="G1051" s="433" t="s">
        <v>2654</v>
      </c>
      <c r="H1051" s="433" t="s">
        <v>2654</v>
      </c>
      <c r="I1051" s="433" t="s">
        <v>2654</v>
      </c>
      <c r="J1051" s="433" t="s">
        <v>2654</v>
      </c>
      <c r="K1051" s="433" t="s">
        <v>2654</v>
      </c>
      <c r="L1051" s="433" t="s">
        <v>2654</v>
      </c>
      <c r="M1051" s="433" t="s">
        <v>2654</v>
      </c>
      <c r="N1051" s="433" t="s">
        <v>2654</v>
      </c>
      <c r="O1051" s="433" t="s">
        <v>2654</v>
      </c>
      <c r="P1051" s="433" t="s">
        <v>2651</v>
      </c>
      <c r="Q1051" s="431"/>
      <c r="R1051" s="431"/>
      <c r="S1051" s="426" t="s">
        <v>2657</v>
      </c>
      <c r="T1051" s="426" t="s">
        <v>2657</v>
      </c>
      <c r="U1051" s="426" t="s">
        <v>2657</v>
      </c>
      <c r="V1051" s="426" t="s">
        <v>2657</v>
      </c>
      <c r="W1051" s="426" t="s">
        <v>2646</v>
      </c>
      <c r="X1051" s="426" t="s">
        <v>2646</v>
      </c>
      <c r="Y1051" s="426" t="s">
        <v>2646</v>
      </c>
      <c r="Z1051" s="426" t="s">
        <v>2646</v>
      </c>
      <c r="AA1051" s="426" t="s">
        <v>2646</v>
      </c>
      <c r="AB1051" s="426" t="s">
        <v>2646</v>
      </c>
      <c r="AC1051" s="426" t="s">
        <v>2646</v>
      </c>
      <c r="AD1051" s="426" t="s">
        <v>2646</v>
      </c>
      <c r="AE1051" s="426" t="s">
        <v>2646</v>
      </c>
      <c r="AF1051" s="426" t="s">
        <v>2646</v>
      </c>
      <c r="AG1051" s="426" t="s">
        <v>2646</v>
      </c>
      <c r="AH1051" s="426" t="s">
        <v>2646</v>
      </c>
      <c r="AI1051" s="426" t="s">
        <v>2646</v>
      </c>
      <c r="AJ1051" s="68" t="s">
        <v>2646</v>
      </c>
    </row>
    <row r="1052" spans="1:36" hidden="1">
      <c r="A1052" s="68" t="s">
        <v>2268</v>
      </c>
      <c r="B1052" s="427" t="s">
        <v>2648</v>
      </c>
      <c r="C1052" s="433" t="s">
        <v>3603</v>
      </c>
      <c r="D1052" s="433" t="s">
        <v>2720</v>
      </c>
      <c r="E1052" s="433" t="s">
        <v>2654</v>
      </c>
      <c r="F1052" s="433" t="s">
        <v>2654</v>
      </c>
      <c r="G1052" s="433" t="s">
        <v>2654</v>
      </c>
      <c r="H1052" s="433" t="s">
        <v>2654</v>
      </c>
      <c r="I1052" s="433" t="s">
        <v>2654</v>
      </c>
      <c r="J1052" s="433" t="s">
        <v>2654</v>
      </c>
      <c r="K1052" s="433" t="s">
        <v>2654</v>
      </c>
      <c r="L1052" s="433" t="s">
        <v>2654</v>
      </c>
      <c r="M1052" s="433" t="s">
        <v>2654</v>
      </c>
      <c r="N1052" s="433" t="s">
        <v>2654</v>
      </c>
      <c r="O1052" s="433" t="s">
        <v>2654</v>
      </c>
      <c r="P1052" s="433" t="s">
        <v>4061</v>
      </c>
      <c r="Q1052" s="431"/>
      <c r="R1052" s="431"/>
      <c r="S1052" s="426" t="s">
        <v>2660</v>
      </c>
      <c r="T1052" s="426" t="s">
        <v>2646</v>
      </c>
      <c r="U1052" s="426" t="s">
        <v>2646</v>
      </c>
      <c r="V1052" s="426" t="s">
        <v>2646</v>
      </c>
      <c r="W1052" s="426" t="s">
        <v>2646</v>
      </c>
      <c r="X1052" s="426" t="s">
        <v>2646</v>
      </c>
      <c r="Y1052" s="426" t="s">
        <v>2890</v>
      </c>
      <c r="Z1052" s="426" t="s">
        <v>2646</v>
      </c>
      <c r="AA1052" s="426" t="s">
        <v>2646</v>
      </c>
      <c r="AB1052" s="426" t="s">
        <v>2646</v>
      </c>
      <c r="AC1052" s="426" t="s">
        <v>2646</v>
      </c>
      <c r="AD1052" s="426" t="s">
        <v>2646</v>
      </c>
      <c r="AE1052" s="426" t="s">
        <v>2646</v>
      </c>
      <c r="AF1052" s="426" t="s">
        <v>2646</v>
      </c>
      <c r="AG1052" s="426" t="s">
        <v>2646</v>
      </c>
      <c r="AH1052" s="426" t="s">
        <v>2646</v>
      </c>
      <c r="AI1052" s="426" t="s">
        <v>2646</v>
      </c>
      <c r="AJ1052" s="68" t="s">
        <v>2646</v>
      </c>
    </row>
    <row r="1053" spans="1:36" hidden="1">
      <c r="A1053" s="68" t="s">
        <v>2269</v>
      </c>
      <c r="B1053" s="427" t="s">
        <v>2649</v>
      </c>
      <c r="C1053" s="433" t="s">
        <v>3899</v>
      </c>
      <c r="D1053" s="433" t="s">
        <v>2833</v>
      </c>
      <c r="E1053" s="433" t="s">
        <v>2654</v>
      </c>
      <c r="F1053" s="433" t="s">
        <v>2654</v>
      </c>
      <c r="G1053" s="433" t="s">
        <v>2654</v>
      </c>
      <c r="H1053" s="433" t="s">
        <v>2654</v>
      </c>
      <c r="I1053" s="433" t="s">
        <v>2654</v>
      </c>
      <c r="J1053" s="433" t="s">
        <v>2654</v>
      </c>
      <c r="K1053" s="433" t="s">
        <v>2654</v>
      </c>
      <c r="L1053" s="433" t="s">
        <v>2654</v>
      </c>
      <c r="M1053" s="433" t="s">
        <v>2654</v>
      </c>
      <c r="N1053" s="433" t="s">
        <v>2654</v>
      </c>
      <c r="O1053" s="433" t="s">
        <v>2654</v>
      </c>
      <c r="P1053" s="433" t="s">
        <v>4057</v>
      </c>
      <c r="Q1053" s="431"/>
      <c r="R1053" s="431"/>
      <c r="S1053" s="426" t="s">
        <v>2669</v>
      </c>
      <c r="T1053" s="426" t="s">
        <v>2646</v>
      </c>
      <c r="U1053" s="426" t="s">
        <v>2657</v>
      </c>
      <c r="V1053" s="426" t="s">
        <v>2657</v>
      </c>
      <c r="W1053" s="426" t="s">
        <v>2646</v>
      </c>
      <c r="X1053" s="426" t="s">
        <v>2646</v>
      </c>
      <c r="Y1053" s="426" t="s">
        <v>2890</v>
      </c>
      <c r="Z1053" s="426" t="s">
        <v>2646</v>
      </c>
      <c r="AA1053" s="426" t="s">
        <v>2646</v>
      </c>
      <c r="AB1053" s="426" t="s">
        <v>2646</v>
      </c>
      <c r="AC1053" s="426" t="s">
        <v>2646</v>
      </c>
      <c r="AD1053" s="426" t="s">
        <v>2646</v>
      </c>
      <c r="AE1053" s="426" t="s">
        <v>2646</v>
      </c>
      <c r="AF1053" s="426" t="s">
        <v>2646</v>
      </c>
      <c r="AG1053" s="426" t="s">
        <v>2646</v>
      </c>
      <c r="AH1053" s="426" t="s">
        <v>2646</v>
      </c>
      <c r="AI1053" s="426" t="s">
        <v>2646</v>
      </c>
      <c r="AJ1053" s="68" t="s">
        <v>2646</v>
      </c>
    </row>
    <row r="1054" spans="1:36" hidden="1">
      <c r="A1054" s="68" t="s">
        <v>2270</v>
      </c>
      <c r="B1054" s="427" t="s">
        <v>2650</v>
      </c>
      <c r="C1054" s="433" t="s">
        <v>3468</v>
      </c>
      <c r="D1054" s="433" t="s">
        <v>2833</v>
      </c>
      <c r="E1054" s="433" t="s">
        <v>2654</v>
      </c>
      <c r="F1054" s="433" t="s">
        <v>2654</v>
      </c>
      <c r="G1054" s="433" t="s">
        <v>2654</v>
      </c>
      <c r="H1054" s="433" t="s">
        <v>2654</v>
      </c>
      <c r="I1054" s="433" t="s">
        <v>2654</v>
      </c>
      <c r="J1054" s="433" t="s">
        <v>2654</v>
      </c>
      <c r="K1054" s="433" t="s">
        <v>2654</v>
      </c>
      <c r="L1054" s="433" t="s">
        <v>2654</v>
      </c>
      <c r="M1054" s="433" t="s">
        <v>2654</v>
      </c>
      <c r="N1054" s="433" t="s">
        <v>2654</v>
      </c>
      <c r="O1054" s="433" t="s">
        <v>2654</v>
      </c>
      <c r="P1054" s="433" t="s">
        <v>4083</v>
      </c>
      <c r="Q1054" s="431"/>
      <c r="R1054" s="431"/>
      <c r="S1054" s="426" t="s">
        <v>2658</v>
      </c>
      <c r="T1054" s="426" t="s">
        <v>2657</v>
      </c>
      <c r="U1054" s="426" t="s">
        <v>2657</v>
      </c>
      <c r="V1054" s="426" t="s">
        <v>2657</v>
      </c>
      <c r="W1054" s="426" t="s">
        <v>2646</v>
      </c>
      <c r="X1054" s="426" t="s">
        <v>2646</v>
      </c>
      <c r="Y1054" s="426" t="s">
        <v>2890</v>
      </c>
      <c r="Z1054" s="426" t="s">
        <v>2646</v>
      </c>
      <c r="AA1054" s="426" t="s">
        <v>2646</v>
      </c>
      <c r="AB1054" s="426" t="s">
        <v>2646</v>
      </c>
      <c r="AC1054" s="426" t="s">
        <v>2646</v>
      </c>
      <c r="AD1054" s="426" t="s">
        <v>2646</v>
      </c>
      <c r="AE1054" s="426" t="s">
        <v>2646</v>
      </c>
      <c r="AF1054" s="426" t="s">
        <v>2646</v>
      </c>
      <c r="AG1054" s="426" t="s">
        <v>2646</v>
      </c>
      <c r="AH1054" s="426" t="s">
        <v>2646</v>
      </c>
      <c r="AI1054" s="426" t="s">
        <v>2646</v>
      </c>
      <c r="AJ1054" s="68" t="s">
        <v>2646</v>
      </c>
    </row>
    <row r="1055" spans="1:36" hidden="1">
      <c r="A1055" s="68" t="s">
        <v>2271</v>
      </c>
      <c r="B1055" s="427" t="s">
        <v>2651</v>
      </c>
      <c r="C1055" s="433" t="s">
        <v>3671</v>
      </c>
      <c r="D1055" s="433" t="s">
        <v>3018</v>
      </c>
      <c r="E1055" s="433" t="s">
        <v>2654</v>
      </c>
      <c r="F1055" s="433" t="s">
        <v>2654</v>
      </c>
      <c r="G1055" s="433" t="s">
        <v>2654</v>
      </c>
      <c r="H1055" s="433" t="s">
        <v>2654</v>
      </c>
      <c r="I1055" s="433" t="s">
        <v>2654</v>
      </c>
      <c r="J1055" s="433" t="s">
        <v>2654</v>
      </c>
      <c r="K1055" s="433" t="s">
        <v>2654</v>
      </c>
      <c r="L1055" s="433" t="s">
        <v>2654</v>
      </c>
      <c r="M1055" s="433" t="s">
        <v>2654</v>
      </c>
      <c r="N1055" s="433" t="s">
        <v>2654</v>
      </c>
      <c r="O1055" s="433" t="s">
        <v>2654</v>
      </c>
      <c r="P1055" s="433" t="s">
        <v>4061</v>
      </c>
      <c r="Q1055" s="431"/>
      <c r="R1055" s="431"/>
      <c r="S1055" s="426" t="s">
        <v>3268</v>
      </c>
      <c r="T1055" s="426" t="s">
        <v>2657</v>
      </c>
      <c r="U1055" s="426" t="s">
        <v>2657</v>
      </c>
      <c r="V1055" s="426" t="s">
        <v>2657</v>
      </c>
      <c r="W1055" s="426" t="s">
        <v>2646</v>
      </c>
      <c r="X1055" s="426" t="s">
        <v>2646</v>
      </c>
      <c r="Y1055" s="426" t="s">
        <v>2890</v>
      </c>
      <c r="Z1055" s="426" t="s">
        <v>2646</v>
      </c>
      <c r="AA1055" s="426" t="s">
        <v>2646</v>
      </c>
      <c r="AB1055" s="426" t="s">
        <v>2646</v>
      </c>
      <c r="AC1055" s="426" t="s">
        <v>2646</v>
      </c>
      <c r="AD1055" s="426" t="s">
        <v>2646</v>
      </c>
      <c r="AE1055" s="426" t="s">
        <v>2646</v>
      </c>
      <c r="AF1055" s="426" t="s">
        <v>2646</v>
      </c>
      <c r="AG1055" s="426" t="s">
        <v>2646</v>
      </c>
      <c r="AH1055" s="426" t="s">
        <v>2646</v>
      </c>
      <c r="AI1055" s="426" t="s">
        <v>2646</v>
      </c>
      <c r="AJ1055" s="68" t="s">
        <v>2646</v>
      </c>
    </row>
    <row r="1056" spans="1:36">
      <c r="A1056" s="68" t="s">
        <v>2271</v>
      </c>
      <c r="B1056" s="427" t="s">
        <v>48</v>
      </c>
      <c r="C1056" s="433" t="s">
        <v>4044</v>
      </c>
      <c r="D1056" s="433" t="s">
        <v>2833</v>
      </c>
      <c r="E1056" s="433" t="s">
        <v>2654</v>
      </c>
      <c r="F1056" s="433" t="s">
        <v>2654</v>
      </c>
      <c r="G1056" s="433" t="s">
        <v>2654</v>
      </c>
      <c r="H1056" s="433" t="s">
        <v>2654</v>
      </c>
      <c r="I1056" s="433" t="s">
        <v>2654</v>
      </c>
      <c r="J1056" s="433" t="s">
        <v>2654</v>
      </c>
      <c r="K1056" s="433" t="s">
        <v>2654</v>
      </c>
      <c r="L1056" s="433" t="s">
        <v>2654</v>
      </c>
      <c r="M1056" s="433" t="s">
        <v>2654</v>
      </c>
      <c r="N1056" s="433" t="s">
        <v>2654</v>
      </c>
      <c r="O1056" s="433" t="s">
        <v>2654</v>
      </c>
      <c r="P1056" s="433" t="s">
        <v>3628</v>
      </c>
      <c r="Q1056" s="433" t="s">
        <v>2654</v>
      </c>
      <c r="R1056" s="433" t="s">
        <v>2654</v>
      </c>
      <c r="S1056" s="426"/>
      <c r="T1056" s="426"/>
      <c r="U1056" s="426"/>
      <c r="V1056" s="426"/>
      <c r="W1056" s="426"/>
      <c r="X1056" s="426"/>
      <c r="Y1056" s="426"/>
      <c r="Z1056" s="426"/>
      <c r="AA1056" s="426"/>
      <c r="AB1056" s="426"/>
      <c r="AC1056" s="426"/>
      <c r="AD1056" s="426"/>
      <c r="AE1056" s="426"/>
      <c r="AF1056" s="426"/>
      <c r="AG1056" s="426"/>
      <c r="AH1056" s="426"/>
      <c r="AI1056" s="426"/>
    </row>
    <row r="1057" spans="1:36" hidden="1">
      <c r="A1057" s="68" t="s">
        <v>2272</v>
      </c>
      <c r="B1057" s="427" t="s">
        <v>2647</v>
      </c>
      <c r="C1057" s="433" t="s">
        <v>3613</v>
      </c>
      <c r="D1057" s="433" t="s">
        <v>3262</v>
      </c>
      <c r="E1057" s="433" t="s">
        <v>2654</v>
      </c>
      <c r="F1057" s="433" t="s">
        <v>2654</v>
      </c>
      <c r="G1057" s="433" t="s">
        <v>2654</v>
      </c>
      <c r="H1057" s="433" t="s">
        <v>2654</v>
      </c>
      <c r="I1057" s="433" t="s">
        <v>2654</v>
      </c>
      <c r="J1057" s="433" t="s">
        <v>2654</v>
      </c>
      <c r="K1057" s="433" t="s">
        <v>2654</v>
      </c>
      <c r="L1057" s="433" t="s">
        <v>2654</v>
      </c>
      <c r="M1057" s="433" t="s">
        <v>2654</v>
      </c>
      <c r="N1057" s="433" t="s">
        <v>2654</v>
      </c>
      <c r="O1057" s="433" t="s">
        <v>2654</v>
      </c>
      <c r="P1057" s="433" t="s">
        <v>4059</v>
      </c>
      <c r="Q1057" s="431"/>
      <c r="R1057" s="431"/>
      <c r="S1057" s="426" t="s">
        <v>2669</v>
      </c>
      <c r="T1057" s="426" t="s">
        <v>2657</v>
      </c>
      <c r="U1057" s="426" t="s">
        <v>2657</v>
      </c>
      <c r="V1057" s="426" t="s">
        <v>2657</v>
      </c>
      <c r="W1057" s="426" t="s">
        <v>2646</v>
      </c>
      <c r="X1057" s="426" t="s">
        <v>2646</v>
      </c>
      <c r="Y1057" s="426" t="s">
        <v>2646</v>
      </c>
      <c r="Z1057" s="426" t="s">
        <v>2646</v>
      </c>
      <c r="AA1057" s="426" t="s">
        <v>2646</v>
      </c>
      <c r="AB1057" s="426" t="s">
        <v>2646</v>
      </c>
      <c r="AC1057" s="426" t="s">
        <v>2646</v>
      </c>
      <c r="AD1057" s="426" t="s">
        <v>2646</v>
      </c>
      <c r="AE1057" s="426" t="s">
        <v>2646</v>
      </c>
      <c r="AF1057" s="426" t="s">
        <v>2646</v>
      </c>
      <c r="AG1057" s="426" t="s">
        <v>2646</v>
      </c>
      <c r="AH1057" s="426" t="s">
        <v>2646</v>
      </c>
      <c r="AI1057" s="426" t="s">
        <v>2646</v>
      </c>
      <c r="AJ1057" s="68" t="s">
        <v>2646</v>
      </c>
    </row>
    <row r="1058" spans="1:36" hidden="1">
      <c r="A1058" s="68" t="s">
        <v>2273</v>
      </c>
      <c r="B1058" s="427" t="s">
        <v>2648</v>
      </c>
      <c r="C1058" s="433" t="s">
        <v>3662</v>
      </c>
      <c r="D1058" s="433" t="s">
        <v>3247</v>
      </c>
      <c r="E1058" s="433" t="s">
        <v>2654</v>
      </c>
      <c r="F1058" s="433" t="s">
        <v>2654</v>
      </c>
      <c r="G1058" s="433" t="s">
        <v>2654</v>
      </c>
      <c r="H1058" s="433" t="s">
        <v>2654</v>
      </c>
      <c r="I1058" s="433" t="s">
        <v>2654</v>
      </c>
      <c r="J1058" s="433" t="s">
        <v>2654</v>
      </c>
      <c r="K1058" s="433" t="s">
        <v>2654</v>
      </c>
      <c r="L1058" s="433" t="s">
        <v>2654</v>
      </c>
      <c r="M1058" s="433" t="s">
        <v>2654</v>
      </c>
      <c r="N1058" s="433" t="s">
        <v>2654</v>
      </c>
      <c r="O1058" s="433" t="s">
        <v>2654</v>
      </c>
      <c r="P1058" s="433" t="s">
        <v>4057</v>
      </c>
      <c r="Q1058" s="431"/>
      <c r="R1058" s="431"/>
      <c r="S1058" s="426" t="s">
        <v>3219</v>
      </c>
      <c r="T1058" s="426" t="s">
        <v>2657</v>
      </c>
      <c r="U1058" s="426" t="s">
        <v>2657</v>
      </c>
      <c r="V1058" s="426" t="s">
        <v>2657</v>
      </c>
      <c r="W1058" s="426" t="s">
        <v>2673</v>
      </c>
      <c r="X1058" s="426" t="s">
        <v>2671</v>
      </c>
      <c r="Y1058" s="426" t="s">
        <v>3571</v>
      </c>
      <c r="Z1058" s="426" t="s">
        <v>2646</v>
      </c>
      <c r="AA1058" s="426" t="s">
        <v>2646</v>
      </c>
      <c r="AB1058" s="426" t="s">
        <v>2646</v>
      </c>
      <c r="AC1058" s="426" t="s">
        <v>2646</v>
      </c>
      <c r="AD1058" s="426" t="s">
        <v>2646</v>
      </c>
      <c r="AE1058" s="426" t="s">
        <v>2646</v>
      </c>
      <c r="AF1058" s="426" t="s">
        <v>2646</v>
      </c>
      <c r="AG1058" s="426" t="s">
        <v>2646</v>
      </c>
      <c r="AH1058" s="426" t="s">
        <v>2646</v>
      </c>
      <c r="AI1058" s="426" t="s">
        <v>2646</v>
      </c>
      <c r="AJ1058" s="68" t="s">
        <v>2646</v>
      </c>
    </row>
    <row r="1059" spans="1:36" hidden="1">
      <c r="A1059" s="68" t="s">
        <v>2274</v>
      </c>
      <c r="B1059" s="427" t="s">
        <v>2649</v>
      </c>
      <c r="C1059" s="433" t="s">
        <v>4356</v>
      </c>
      <c r="D1059" s="433" t="s">
        <v>3728</v>
      </c>
      <c r="E1059" s="433" t="s">
        <v>2654</v>
      </c>
      <c r="F1059" s="433" t="s">
        <v>2654</v>
      </c>
      <c r="G1059" s="433" t="s">
        <v>2654</v>
      </c>
      <c r="H1059" s="433" t="s">
        <v>2654</v>
      </c>
      <c r="I1059" s="433" t="s">
        <v>2654</v>
      </c>
      <c r="J1059" s="433" t="s">
        <v>2654</v>
      </c>
      <c r="K1059" s="433" t="s">
        <v>2654</v>
      </c>
      <c r="L1059" s="433" t="s">
        <v>2654</v>
      </c>
      <c r="M1059" s="433" t="s">
        <v>2654</v>
      </c>
      <c r="N1059" s="433" t="s">
        <v>2654</v>
      </c>
      <c r="O1059" s="433" t="s">
        <v>2654</v>
      </c>
      <c r="P1059" s="433" t="s">
        <v>4083</v>
      </c>
      <c r="Q1059" s="431"/>
      <c r="R1059" s="431"/>
      <c r="S1059" s="426" t="s">
        <v>2655</v>
      </c>
      <c r="T1059" s="426" t="s">
        <v>2646</v>
      </c>
      <c r="U1059" s="426" t="s">
        <v>2646</v>
      </c>
      <c r="V1059" s="426" t="s">
        <v>2646</v>
      </c>
      <c r="W1059" s="426" t="s">
        <v>2646</v>
      </c>
      <c r="X1059" s="426" t="s">
        <v>2646</v>
      </c>
      <c r="Y1059" s="426" t="s">
        <v>3515</v>
      </c>
      <c r="Z1059" s="426" t="s">
        <v>2646</v>
      </c>
      <c r="AA1059" s="426" t="s">
        <v>2646</v>
      </c>
      <c r="AB1059" s="426" t="s">
        <v>2646</v>
      </c>
      <c r="AC1059" s="426" t="s">
        <v>2646</v>
      </c>
      <c r="AD1059" s="426" t="s">
        <v>2646</v>
      </c>
      <c r="AE1059" s="426" t="s">
        <v>2646</v>
      </c>
      <c r="AF1059" s="426" t="s">
        <v>2646</v>
      </c>
      <c r="AG1059" s="426" t="s">
        <v>2646</v>
      </c>
      <c r="AH1059" s="426" t="s">
        <v>2646</v>
      </c>
      <c r="AI1059" s="426" t="s">
        <v>2646</v>
      </c>
      <c r="AJ1059" s="68" t="s">
        <v>2646</v>
      </c>
    </row>
    <row r="1060" spans="1:36" hidden="1">
      <c r="A1060" s="68" t="s">
        <v>2275</v>
      </c>
      <c r="B1060" s="427" t="s">
        <v>2650</v>
      </c>
      <c r="C1060" s="433" t="s">
        <v>4629</v>
      </c>
      <c r="D1060" s="433" t="s">
        <v>3049</v>
      </c>
      <c r="E1060" s="433" t="s">
        <v>2654</v>
      </c>
      <c r="F1060" s="433" t="s">
        <v>2654</v>
      </c>
      <c r="G1060" s="433" t="s">
        <v>2654</v>
      </c>
      <c r="H1060" s="433" t="s">
        <v>2654</v>
      </c>
      <c r="I1060" s="433" t="s">
        <v>2654</v>
      </c>
      <c r="J1060" s="433" t="s">
        <v>2654</v>
      </c>
      <c r="K1060" s="433" t="s">
        <v>2654</v>
      </c>
      <c r="L1060" s="433" t="s">
        <v>2654</v>
      </c>
      <c r="M1060" s="433" t="s">
        <v>2654</v>
      </c>
      <c r="N1060" s="433" t="s">
        <v>2654</v>
      </c>
      <c r="O1060" s="433" t="s">
        <v>2654</v>
      </c>
      <c r="P1060" s="433" t="s">
        <v>4061</v>
      </c>
      <c r="Q1060" s="431"/>
      <c r="R1060" s="431"/>
      <c r="S1060" s="426" t="s">
        <v>2658</v>
      </c>
      <c r="T1060" s="426" t="s">
        <v>2657</v>
      </c>
      <c r="U1060" s="426" t="s">
        <v>2657</v>
      </c>
      <c r="V1060" s="426" t="s">
        <v>2657</v>
      </c>
      <c r="W1060" s="426" t="s">
        <v>2673</v>
      </c>
      <c r="X1060" s="426" t="s">
        <v>2671</v>
      </c>
      <c r="Y1060" s="426" t="s">
        <v>3571</v>
      </c>
      <c r="Z1060" s="426" t="s">
        <v>2646</v>
      </c>
      <c r="AA1060" s="426" t="s">
        <v>2646</v>
      </c>
      <c r="AB1060" s="426" t="s">
        <v>2646</v>
      </c>
      <c r="AC1060" s="426" t="s">
        <v>2646</v>
      </c>
      <c r="AD1060" s="426" t="s">
        <v>2646</v>
      </c>
      <c r="AE1060" s="426" t="s">
        <v>2646</v>
      </c>
      <c r="AF1060" s="426" t="s">
        <v>2646</v>
      </c>
      <c r="AG1060" s="426" t="s">
        <v>2646</v>
      </c>
      <c r="AH1060" s="426" t="s">
        <v>2646</v>
      </c>
      <c r="AI1060" s="426" t="s">
        <v>2646</v>
      </c>
      <c r="AJ1060" s="68" t="s">
        <v>2646</v>
      </c>
    </row>
    <row r="1061" spans="1:36" hidden="1">
      <c r="A1061" s="68" t="s">
        <v>2276</v>
      </c>
      <c r="B1061" s="427" t="s">
        <v>2651</v>
      </c>
      <c r="C1061" s="433" t="s">
        <v>3451</v>
      </c>
      <c r="D1061" s="433" t="s">
        <v>3247</v>
      </c>
      <c r="E1061" s="433" t="s">
        <v>2654</v>
      </c>
      <c r="F1061" s="433" t="s">
        <v>2654</v>
      </c>
      <c r="G1061" s="433" t="s">
        <v>2654</v>
      </c>
      <c r="H1061" s="433" t="s">
        <v>2654</v>
      </c>
      <c r="I1061" s="433" t="s">
        <v>2654</v>
      </c>
      <c r="J1061" s="433" t="s">
        <v>2654</v>
      </c>
      <c r="K1061" s="433" t="s">
        <v>2654</v>
      </c>
      <c r="L1061" s="433" t="s">
        <v>2654</v>
      </c>
      <c r="M1061" s="433" t="s">
        <v>2654</v>
      </c>
      <c r="N1061" s="433" t="s">
        <v>2654</v>
      </c>
      <c r="O1061" s="433" t="s">
        <v>2654</v>
      </c>
      <c r="P1061" s="433" t="s">
        <v>4080</v>
      </c>
      <c r="Q1061" s="431"/>
      <c r="R1061" s="431"/>
      <c r="S1061" s="426" t="s">
        <v>3194</v>
      </c>
      <c r="T1061" s="426" t="s">
        <v>2657</v>
      </c>
      <c r="U1061" s="426" t="s">
        <v>2657</v>
      </c>
      <c r="V1061" s="426" t="s">
        <v>2657</v>
      </c>
      <c r="W1061" s="426" t="s">
        <v>2673</v>
      </c>
      <c r="X1061" s="426" t="s">
        <v>2671</v>
      </c>
      <c r="Y1061" s="426" t="s">
        <v>3571</v>
      </c>
      <c r="Z1061" s="426" t="s">
        <v>2646</v>
      </c>
      <c r="AA1061" s="426" t="s">
        <v>2646</v>
      </c>
      <c r="AB1061" s="426" t="s">
        <v>2646</v>
      </c>
      <c r="AC1061" s="426" t="s">
        <v>2646</v>
      </c>
      <c r="AD1061" s="426" t="s">
        <v>2646</v>
      </c>
      <c r="AE1061" s="426" t="s">
        <v>2646</v>
      </c>
      <c r="AF1061" s="426" t="s">
        <v>2646</v>
      </c>
      <c r="AG1061" s="426" t="s">
        <v>2646</v>
      </c>
      <c r="AH1061" s="426" t="s">
        <v>2646</v>
      </c>
      <c r="AI1061" s="426" t="s">
        <v>2646</v>
      </c>
      <c r="AJ1061" s="68" t="s">
        <v>2646</v>
      </c>
    </row>
    <row r="1062" spans="1:36">
      <c r="A1062" s="68" t="s">
        <v>2276</v>
      </c>
      <c r="B1062" s="427" t="s">
        <v>48</v>
      </c>
      <c r="C1062" s="433" t="s">
        <v>4641</v>
      </c>
      <c r="D1062" s="433" t="s">
        <v>3901</v>
      </c>
      <c r="E1062" s="433" t="s">
        <v>2654</v>
      </c>
      <c r="F1062" s="433" t="s">
        <v>2654</v>
      </c>
      <c r="G1062" s="433" t="s">
        <v>2654</v>
      </c>
      <c r="H1062" s="433" t="s">
        <v>2654</v>
      </c>
      <c r="I1062" s="433" t="s">
        <v>2654</v>
      </c>
      <c r="J1062" s="433" t="s">
        <v>2654</v>
      </c>
      <c r="K1062" s="433" t="s">
        <v>2654</v>
      </c>
      <c r="L1062" s="433" t="s">
        <v>2654</v>
      </c>
      <c r="M1062" s="433" t="s">
        <v>2654</v>
      </c>
      <c r="N1062" s="433" t="s">
        <v>2654</v>
      </c>
      <c r="O1062" s="433" t="s">
        <v>2654</v>
      </c>
      <c r="P1062" s="433" t="s">
        <v>2677</v>
      </c>
      <c r="Q1062" s="433" t="s">
        <v>2654</v>
      </c>
      <c r="R1062" s="433" t="s">
        <v>2654</v>
      </c>
      <c r="S1062" s="426"/>
      <c r="T1062" s="426"/>
      <c r="U1062" s="426"/>
      <c r="V1062" s="426"/>
      <c r="W1062" s="426"/>
      <c r="X1062" s="426"/>
      <c r="Y1062" s="426"/>
      <c r="Z1062" s="426"/>
      <c r="AA1062" s="426"/>
      <c r="AB1062" s="426"/>
      <c r="AC1062" s="426"/>
      <c r="AD1062" s="426"/>
      <c r="AE1062" s="426"/>
      <c r="AF1062" s="426"/>
      <c r="AG1062" s="426"/>
      <c r="AH1062" s="426"/>
      <c r="AI1062" s="426"/>
    </row>
    <row r="1063" spans="1:36" hidden="1">
      <c r="A1063" s="68" t="s">
        <v>2277</v>
      </c>
      <c r="B1063" s="427" t="s">
        <v>2647</v>
      </c>
      <c r="C1063" s="433" t="s">
        <v>4642</v>
      </c>
      <c r="D1063" s="433" t="s">
        <v>3500</v>
      </c>
      <c r="E1063" s="433" t="s">
        <v>2654</v>
      </c>
      <c r="F1063" s="433" t="s">
        <v>2654</v>
      </c>
      <c r="G1063" s="433" t="s">
        <v>2654</v>
      </c>
      <c r="H1063" s="433" t="s">
        <v>2654</v>
      </c>
      <c r="I1063" s="433" t="s">
        <v>2654</v>
      </c>
      <c r="J1063" s="433" t="s">
        <v>2654</v>
      </c>
      <c r="K1063" s="433" t="s">
        <v>2654</v>
      </c>
      <c r="L1063" s="433" t="s">
        <v>2654</v>
      </c>
      <c r="M1063" s="433" t="s">
        <v>2654</v>
      </c>
      <c r="N1063" s="433" t="s">
        <v>2654</v>
      </c>
      <c r="O1063" s="433" t="s">
        <v>2654</v>
      </c>
      <c r="P1063" s="433" t="s">
        <v>4078</v>
      </c>
      <c r="Q1063" s="431"/>
      <c r="R1063" s="431"/>
      <c r="S1063" s="426" t="s">
        <v>2657</v>
      </c>
      <c r="T1063" s="426" t="s">
        <v>2657</v>
      </c>
      <c r="U1063" s="426" t="s">
        <v>2657</v>
      </c>
      <c r="V1063" s="426" t="s">
        <v>2657</v>
      </c>
      <c r="W1063" s="426" t="s">
        <v>2673</v>
      </c>
      <c r="X1063" s="426" t="s">
        <v>2813</v>
      </c>
      <c r="Y1063" s="426" t="s">
        <v>2898</v>
      </c>
      <c r="Z1063" s="426" t="s">
        <v>2646</v>
      </c>
      <c r="AA1063" s="426" t="s">
        <v>2646</v>
      </c>
      <c r="AB1063" s="426" t="s">
        <v>2646</v>
      </c>
      <c r="AC1063" s="426" t="s">
        <v>2646</v>
      </c>
      <c r="AD1063" s="426" t="s">
        <v>2646</v>
      </c>
      <c r="AE1063" s="426" t="s">
        <v>2646</v>
      </c>
      <c r="AF1063" s="426" t="s">
        <v>2646</v>
      </c>
      <c r="AG1063" s="426" t="s">
        <v>2646</v>
      </c>
      <c r="AH1063" s="426" t="s">
        <v>2646</v>
      </c>
      <c r="AI1063" s="426" t="s">
        <v>2646</v>
      </c>
      <c r="AJ1063" s="68" t="s">
        <v>2646</v>
      </c>
    </row>
    <row r="1064" spans="1:36" hidden="1">
      <c r="A1064" s="68" t="s">
        <v>2278</v>
      </c>
      <c r="B1064" s="427" t="s">
        <v>2648</v>
      </c>
      <c r="C1064" s="433" t="s">
        <v>4360</v>
      </c>
      <c r="D1064" s="433" t="s">
        <v>3729</v>
      </c>
      <c r="E1064" s="433" t="s">
        <v>2654</v>
      </c>
      <c r="F1064" s="433" t="s">
        <v>2654</v>
      </c>
      <c r="G1064" s="433" t="s">
        <v>2654</v>
      </c>
      <c r="H1064" s="433" t="s">
        <v>2654</v>
      </c>
      <c r="I1064" s="433" t="s">
        <v>2654</v>
      </c>
      <c r="J1064" s="433" t="s">
        <v>2654</v>
      </c>
      <c r="K1064" s="433" t="s">
        <v>2654</v>
      </c>
      <c r="L1064" s="433" t="s">
        <v>2654</v>
      </c>
      <c r="M1064" s="433" t="s">
        <v>2654</v>
      </c>
      <c r="N1064" s="433" t="s">
        <v>2654</v>
      </c>
      <c r="O1064" s="433" t="s">
        <v>2654</v>
      </c>
      <c r="P1064" s="433" t="s">
        <v>4059</v>
      </c>
      <c r="Q1064" s="431"/>
      <c r="R1064" s="431"/>
      <c r="S1064" s="426" t="s">
        <v>2655</v>
      </c>
      <c r="T1064" s="426" t="s">
        <v>2657</v>
      </c>
      <c r="U1064" s="426" t="s">
        <v>2657</v>
      </c>
      <c r="V1064" s="426" t="s">
        <v>2657</v>
      </c>
      <c r="W1064" s="426" t="s">
        <v>2673</v>
      </c>
      <c r="X1064" s="426" t="s">
        <v>2813</v>
      </c>
      <c r="Y1064" s="426" t="s">
        <v>2898</v>
      </c>
      <c r="Z1064" s="426" t="s">
        <v>2646</v>
      </c>
      <c r="AA1064" s="426" t="s">
        <v>2646</v>
      </c>
      <c r="AB1064" s="426" t="s">
        <v>2646</v>
      </c>
      <c r="AC1064" s="426" t="s">
        <v>2646</v>
      </c>
      <c r="AD1064" s="426" t="s">
        <v>2646</v>
      </c>
      <c r="AE1064" s="426" t="s">
        <v>2646</v>
      </c>
      <c r="AF1064" s="426" t="s">
        <v>2646</v>
      </c>
      <c r="AG1064" s="426" t="s">
        <v>2646</v>
      </c>
      <c r="AH1064" s="426" t="s">
        <v>2646</v>
      </c>
      <c r="AI1064" s="426" t="s">
        <v>2646</v>
      </c>
      <c r="AJ1064" s="68" t="s">
        <v>2646</v>
      </c>
    </row>
    <row r="1065" spans="1:36" hidden="1">
      <c r="A1065" s="68" t="s">
        <v>2279</v>
      </c>
      <c r="B1065" s="427" t="s">
        <v>2649</v>
      </c>
      <c r="C1065" s="433" t="s">
        <v>3623</v>
      </c>
      <c r="D1065" s="433" t="s">
        <v>3729</v>
      </c>
      <c r="E1065" s="433" t="s">
        <v>2654</v>
      </c>
      <c r="F1065" s="433" t="s">
        <v>2654</v>
      </c>
      <c r="G1065" s="433" t="s">
        <v>2654</v>
      </c>
      <c r="H1065" s="433" t="s">
        <v>2654</v>
      </c>
      <c r="I1065" s="433" t="s">
        <v>2654</v>
      </c>
      <c r="J1065" s="433" t="s">
        <v>2654</v>
      </c>
      <c r="K1065" s="433" t="s">
        <v>2654</v>
      </c>
      <c r="L1065" s="433" t="s">
        <v>2654</v>
      </c>
      <c r="M1065" s="433" t="s">
        <v>2654</v>
      </c>
      <c r="N1065" s="433" t="s">
        <v>2654</v>
      </c>
      <c r="O1065" s="433" t="s">
        <v>2654</v>
      </c>
      <c r="P1065" s="433" t="s">
        <v>4057</v>
      </c>
      <c r="Q1065" s="431"/>
      <c r="R1065" s="431"/>
      <c r="S1065" s="426" t="s">
        <v>2660</v>
      </c>
      <c r="T1065" s="426" t="s">
        <v>3444</v>
      </c>
      <c r="U1065" s="426" t="s">
        <v>3570</v>
      </c>
      <c r="V1065" s="426" t="s">
        <v>3570</v>
      </c>
      <c r="W1065" s="426" t="s">
        <v>2646</v>
      </c>
      <c r="X1065" s="426" t="s">
        <v>2646</v>
      </c>
      <c r="Y1065" s="426" t="s">
        <v>3002</v>
      </c>
      <c r="Z1065" s="426" t="s">
        <v>2646</v>
      </c>
      <c r="AA1065" s="426" t="s">
        <v>2646</v>
      </c>
      <c r="AB1065" s="426" t="s">
        <v>2646</v>
      </c>
      <c r="AC1065" s="426" t="s">
        <v>2646</v>
      </c>
      <c r="AD1065" s="426" t="s">
        <v>2646</v>
      </c>
      <c r="AE1065" s="426" t="s">
        <v>2646</v>
      </c>
      <c r="AF1065" s="426" t="s">
        <v>2646</v>
      </c>
      <c r="AG1065" s="426" t="s">
        <v>2646</v>
      </c>
      <c r="AH1065" s="426" t="s">
        <v>2646</v>
      </c>
      <c r="AI1065" s="426" t="s">
        <v>2646</v>
      </c>
      <c r="AJ1065" s="68" t="s">
        <v>2646</v>
      </c>
    </row>
    <row r="1066" spans="1:36" hidden="1">
      <c r="A1066" s="68" t="s">
        <v>2280</v>
      </c>
      <c r="B1066" s="427" t="s">
        <v>2650</v>
      </c>
      <c r="C1066" s="433" t="s">
        <v>3974</v>
      </c>
      <c r="D1066" s="433" t="s">
        <v>3729</v>
      </c>
      <c r="E1066" s="433" t="s">
        <v>2654</v>
      </c>
      <c r="F1066" s="433" t="s">
        <v>2654</v>
      </c>
      <c r="G1066" s="433" t="s">
        <v>2654</v>
      </c>
      <c r="H1066" s="433" t="s">
        <v>2654</v>
      </c>
      <c r="I1066" s="433" t="s">
        <v>2654</v>
      </c>
      <c r="J1066" s="433" t="s">
        <v>2654</v>
      </c>
      <c r="K1066" s="433" t="s">
        <v>2654</v>
      </c>
      <c r="L1066" s="433" t="s">
        <v>2654</v>
      </c>
      <c r="M1066" s="433" t="s">
        <v>2654</v>
      </c>
      <c r="N1066" s="433" t="s">
        <v>2654</v>
      </c>
      <c r="O1066" s="433" t="s">
        <v>2654</v>
      </c>
      <c r="P1066" s="433" t="s">
        <v>4061</v>
      </c>
      <c r="Q1066" s="431"/>
      <c r="R1066" s="431"/>
      <c r="S1066" s="426" t="s">
        <v>2786</v>
      </c>
      <c r="T1066" s="426" t="s">
        <v>2669</v>
      </c>
      <c r="U1066" s="426" t="s">
        <v>2657</v>
      </c>
      <c r="V1066" s="426" t="s">
        <v>2657</v>
      </c>
      <c r="W1066" s="426" t="s">
        <v>2646</v>
      </c>
      <c r="X1066" s="426" t="s">
        <v>2646</v>
      </c>
      <c r="Y1066" s="426" t="s">
        <v>3002</v>
      </c>
      <c r="Z1066" s="426" t="s">
        <v>2646</v>
      </c>
      <c r="AA1066" s="426" t="s">
        <v>2646</v>
      </c>
      <c r="AB1066" s="426" t="s">
        <v>2646</v>
      </c>
      <c r="AC1066" s="426" t="s">
        <v>2646</v>
      </c>
      <c r="AD1066" s="426" t="s">
        <v>2646</v>
      </c>
      <c r="AE1066" s="426" t="s">
        <v>2646</v>
      </c>
      <c r="AF1066" s="426" t="s">
        <v>2646</v>
      </c>
      <c r="AG1066" s="426" t="s">
        <v>2646</v>
      </c>
      <c r="AH1066" s="426" t="s">
        <v>2646</v>
      </c>
      <c r="AI1066" s="426" t="s">
        <v>2646</v>
      </c>
      <c r="AJ1066" s="68" t="s">
        <v>2646</v>
      </c>
    </row>
    <row r="1067" spans="1:36" hidden="1">
      <c r="A1067" s="68" t="s">
        <v>2281</v>
      </c>
      <c r="B1067" s="427" t="s">
        <v>2651</v>
      </c>
      <c r="C1067" s="433" t="s">
        <v>4643</v>
      </c>
      <c r="D1067" s="433" t="s">
        <v>3729</v>
      </c>
      <c r="E1067" s="433" t="s">
        <v>2654</v>
      </c>
      <c r="F1067" s="433" t="s">
        <v>2654</v>
      </c>
      <c r="G1067" s="433" t="s">
        <v>2654</v>
      </c>
      <c r="H1067" s="433" t="s">
        <v>2654</v>
      </c>
      <c r="I1067" s="433" t="s">
        <v>2654</v>
      </c>
      <c r="J1067" s="433" t="s">
        <v>2654</v>
      </c>
      <c r="K1067" s="433" t="s">
        <v>2654</v>
      </c>
      <c r="L1067" s="433" t="s">
        <v>2654</v>
      </c>
      <c r="M1067" s="433" t="s">
        <v>2654</v>
      </c>
      <c r="N1067" s="433" t="s">
        <v>2654</v>
      </c>
      <c r="O1067" s="433" t="s">
        <v>2654</v>
      </c>
      <c r="P1067" s="433" t="s">
        <v>4057</v>
      </c>
      <c r="Q1067" s="431"/>
      <c r="R1067" s="431"/>
      <c r="S1067" s="426" t="s">
        <v>2660</v>
      </c>
      <c r="T1067" s="426" t="s">
        <v>2657</v>
      </c>
      <c r="U1067" s="426" t="s">
        <v>2657</v>
      </c>
      <c r="V1067" s="426" t="s">
        <v>2657</v>
      </c>
      <c r="W1067" s="426" t="s">
        <v>2673</v>
      </c>
      <c r="X1067" s="426" t="s">
        <v>2813</v>
      </c>
      <c r="Y1067" s="426" t="s">
        <v>2898</v>
      </c>
      <c r="Z1067" s="426" t="s">
        <v>2646</v>
      </c>
      <c r="AA1067" s="426" t="s">
        <v>2646</v>
      </c>
      <c r="AB1067" s="426" t="s">
        <v>2646</v>
      </c>
      <c r="AC1067" s="426" t="s">
        <v>2646</v>
      </c>
      <c r="AD1067" s="426" t="s">
        <v>2646</v>
      </c>
      <c r="AE1067" s="426" t="s">
        <v>2646</v>
      </c>
      <c r="AF1067" s="426" t="s">
        <v>2646</v>
      </c>
      <c r="AG1067" s="426" t="s">
        <v>2646</v>
      </c>
      <c r="AH1067" s="426" t="s">
        <v>2646</v>
      </c>
      <c r="AI1067" s="426" t="s">
        <v>2646</v>
      </c>
      <c r="AJ1067" s="68" t="s">
        <v>2646</v>
      </c>
    </row>
    <row r="1068" spans="1:36">
      <c r="A1068" s="68" t="s">
        <v>2281</v>
      </c>
      <c r="B1068" s="427" t="s">
        <v>48</v>
      </c>
      <c r="C1068" s="433" t="s">
        <v>4644</v>
      </c>
      <c r="D1068" s="433" t="s">
        <v>3907</v>
      </c>
      <c r="E1068" s="433" t="s">
        <v>2654</v>
      </c>
      <c r="F1068" s="433" t="s">
        <v>2654</v>
      </c>
      <c r="G1068" s="433" t="s">
        <v>2654</v>
      </c>
      <c r="H1068" s="433" t="s">
        <v>2654</v>
      </c>
      <c r="I1068" s="433" t="s">
        <v>2654</v>
      </c>
      <c r="J1068" s="433" t="s">
        <v>2654</v>
      </c>
      <c r="K1068" s="433" t="s">
        <v>2654</v>
      </c>
      <c r="L1068" s="433" t="s">
        <v>2654</v>
      </c>
      <c r="M1068" s="433" t="s">
        <v>2654</v>
      </c>
      <c r="N1068" s="433" t="s">
        <v>2654</v>
      </c>
      <c r="O1068" s="433" t="s">
        <v>2654</v>
      </c>
      <c r="P1068" s="433" t="s">
        <v>4089</v>
      </c>
      <c r="Q1068" s="433" t="s">
        <v>2654</v>
      </c>
      <c r="R1068" s="433" t="s">
        <v>2654</v>
      </c>
      <c r="S1068" s="426"/>
      <c r="T1068" s="426"/>
      <c r="U1068" s="426"/>
      <c r="V1068" s="426"/>
      <c r="W1068" s="426"/>
      <c r="X1068" s="426"/>
      <c r="Y1068" s="426"/>
      <c r="Z1068" s="426"/>
      <c r="AA1068" s="426"/>
      <c r="AB1068" s="426"/>
      <c r="AC1068" s="426"/>
      <c r="AD1068" s="426"/>
      <c r="AE1068" s="426"/>
      <c r="AF1068" s="426"/>
      <c r="AG1068" s="426"/>
      <c r="AH1068" s="426"/>
      <c r="AI1068" s="426"/>
    </row>
    <row r="1069" spans="1:36" hidden="1">
      <c r="A1069" s="68" t="s">
        <v>2282</v>
      </c>
      <c r="B1069" s="427" t="s">
        <v>2647</v>
      </c>
      <c r="C1069" s="433" t="s">
        <v>4183</v>
      </c>
      <c r="D1069" s="433" t="s">
        <v>3788</v>
      </c>
      <c r="E1069" s="433" t="s">
        <v>2654</v>
      </c>
      <c r="F1069" s="433" t="s">
        <v>2654</v>
      </c>
      <c r="G1069" s="433" t="s">
        <v>2654</v>
      </c>
      <c r="H1069" s="433" t="s">
        <v>2654</v>
      </c>
      <c r="I1069" s="433" t="s">
        <v>2654</v>
      </c>
      <c r="J1069" s="433" t="s">
        <v>2654</v>
      </c>
      <c r="K1069" s="433" t="s">
        <v>2654</v>
      </c>
      <c r="L1069" s="433" t="s">
        <v>2654</v>
      </c>
      <c r="M1069" s="433" t="s">
        <v>2654</v>
      </c>
      <c r="N1069" s="433" t="s">
        <v>2654</v>
      </c>
      <c r="O1069" s="433" t="s">
        <v>2654</v>
      </c>
      <c r="P1069" s="433" t="s">
        <v>4083</v>
      </c>
      <c r="Q1069" s="431"/>
      <c r="R1069" s="431"/>
      <c r="S1069" s="426" t="s">
        <v>3194</v>
      </c>
      <c r="T1069" s="426" t="s">
        <v>2657</v>
      </c>
      <c r="U1069" s="426" t="s">
        <v>2657</v>
      </c>
      <c r="V1069" s="426" t="s">
        <v>2657</v>
      </c>
      <c r="W1069" s="426" t="s">
        <v>2658</v>
      </c>
      <c r="X1069" s="426" t="s">
        <v>2840</v>
      </c>
      <c r="Y1069" s="426" t="s">
        <v>3578</v>
      </c>
      <c r="Z1069" s="426" t="s">
        <v>2646</v>
      </c>
      <c r="AA1069" s="426" t="s">
        <v>2646</v>
      </c>
      <c r="AB1069" s="426" t="s">
        <v>2646</v>
      </c>
      <c r="AC1069" s="426" t="s">
        <v>2646</v>
      </c>
      <c r="AD1069" s="426" t="s">
        <v>2646</v>
      </c>
      <c r="AE1069" s="426" t="s">
        <v>2646</v>
      </c>
      <c r="AF1069" s="426" t="s">
        <v>2646</v>
      </c>
      <c r="AG1069" s="426" t="s">
        <v>2646</v>
      </c>
      <c r="AH1069" s="426" t="s">
        <v>2646</v>
      </c>
      <c r="AI1069" s="426" t="s">
        <v>2646</v>
      </c>
      <c r="AJ1069" s="68" t="s">
        <v>2646</v>
      </c>
    </row>
    <row r="1070" spans="1:36" hidden="1">
      <c r="A1070" s="68" t="s">
        <v>2283</v>
      </c>
      <c r="B1070" s="427" t="s">
        <v>2648</v>
      </c>
      <c r="C1070" s="433" t="s">
        <v>3483</v>
      </c>
      <c r="D1070" s="433" t="s">
        <v>3561</v>
      </c>
      <c r="E1070" s="433" t="s">
        <v>2654</v>
      </c>
      <c r="F1070" s="433" t="s">
        <v>2654</v>
      </c>
      <c r="G1070" s="433" t="s">
        <v>2654</v>
      </c>
      <c r="H1070" s="433" t="s">
        <v>2654</v>
      </c>
      <c r="I1070" s="433" t="s">
        <v>2654</v>
      </c>
      <c r="J1070" s="433" t="s">
        <v>2654</v>
      </c>
      <c r="K1070" s="433" t="s">
        <v>2654</v>
      </c>
      <c r="L1070" s="433" t="s">
        <v>2654</v>
      </c>
      <c r="M1070" s="433" t="s">
        <v>2654</v>
      </c>
      <c r="N1070" s="433" t="s">
        <v>2654</v>
      </c>
      <c r="O1070" s="433" t="s">
        <v>2654</v>
      </c>
      <c r="P1070" s="433" t="s">
        <v>4083</v>
      </c>
      <c r="Q1070" s="431"/>
      <c r="R1070" s="431"/>
      <c r="S1070" s="426" t="s">
        <v>2660</v>
      </c>
      <c r="T1070" s="426" t="s">
        <v>2657</v>
      </c>
      <c r="U1070" s="426" t="s">
        <v>2657</v>
      </c>
      <c r="V1070" s="426" t="s">
        <v>2657</v>
      </c>
      <c r="W1070" s="426" t="s">
        <v>2658</v>
      </c>
      <c r="X1070" s="426" t="s">
        <v>2840</v>
      </c>
      <c r="Y1070" s="426" t="s">
        <v>3578</v>
      </c>
      <c r="Z1070" s="426" t="s">
        <v>2646</v>
      </c>
      <c r="AA1070" s="426" t="s">
        <v>2646</v>
      </c>
      <c r="AB1070" s="426" t="s">
        <v>2646</v>
      </c>
      <c r="AC1070" s="426" t="s">
        <v>2646</v>
      </c>
      <c r="AD1070" s="426" t="s">
        <v>2646</v>
      </c>
      <c r="AE1070" s="426" t="s">
        <v>2646</v>
      </c>
      <c r="AF1070" s="426" t="s">
        <v>2646</v>
      </c>
      <c r="AG1070" s="426" t="s">
        <v>2646</v>
      </c>
      <c r="AH1070" s="426" t="s">
        <v>2646</v>
      </c>
      <c r="AI1070" s="426" t="s">
        <v>2646</v>
      </c>
      <c r="AJ1070" s="68" t="s">
        <v>2646</v>
      </c>
    </row>
    <row r="1071" spans="1:36" hidden="1">
      <c r="A1071" s="68" t="s">
        <v>2284</v>
      </c>
      <c r="B1071" s="427" t="s">
        <v>2649</v>
      </c>
      <c r="C1071" s="433" t="s">
        <v>3463</v>
      </c>
      <c r="D1071" s="433" t="s">
        <v>3788</v>
      </c>
      <c r="E1071" s="433" t="s">
        <v>2654</v>
      </c>
      <c r="F1071" s="433" t="s">
        <v>2654</v>
      </c>
      <c r="G1071" s="433" t="s">
        <v>2654</v>
      </c>
      <c r="H1071" s="433" t="s">
        <v>2654</v>
      </c>
      <c r="I1071" s="433" t="s">
        <v>2654</v>
      </c>
      <c r="J1071" s="433" t="s">
        <v>2654</v>
      </c>
      <c r="K1071" s="433" t="s">
        <v>2654</v>
      </c>
      <c r="L1071" s="433" t="s">
        <v>2654</v>
      </c>
      <c r="M1071" s="433" t="s">
        <v>2654</v>
      </c>
      <c r="N1071" s="433" t="s">
        <v>2654</v>
      </c>
      <c r="O1071" s="433" t="s">
        <v>2654</v>
      </c>
      <c r="P1071" s="433" t="s">
        <v>4057</v>
      </c>
      <c r="Q1071" s="431"/>
      <c r="R1071" s="431"/>
      <c r="S1071" s="426" t="s">
        <v>2778</v>
      </c>
      <c r="T1071" s="426" t="s">
        <v>2657</v>
      </c>
      <c r="U1071" s="426" t="s">
        <v>2657</v>
      </c>
      <c r="V1071" s="426" t="s">
        <v>2657</v>
      </c>
      <c r="W1071" s="426" t="s">
        <v>2658</v>
      </c>
      <c r="X1071" s="426" t="s">
        <v>2840</v>
      </c>
      <c r="Y1071" s="426" t="s">
        <v>3578</v>
      </c>
      <c r="Z1071" s="426" t="s">
        <v>2646</v>
      </c>
      <c r="AA1071" s="426" t="s">
        <v>2646</v>
      </c>
      <c r="AB1071" s="426" t="s">
        <v>2646</v>
      </c>
      <c r="AC1071" s="426" t="s">
        <v>2646</v>
      </c>
      <c r="AD1071" s="426" t="s">
        <v>2646</v>
      </c>
      <c r="AE1071" s="426" t="s">
        <v>2646</v>
      </c>
      <c r="AF1071" s="426" t="s">
        <v>2646</v>
      </c>
      <c r="AG1071" s="426" t="s">
        <v>2646</v>
      </c>
      <c r="AH1071" s="426" t="s">
        <v>2646</v>
      </c>
      <c r="AI1071" s="426" t="s">
        <v>2646</v>
      </c>
      <c r="AJ1071" s="68" t="s">
        <v>2646</v>
      </c>
    </row>
    <row r="1072" spans="1:36" hidden="1">
      <c r="A1072" s="68" t="s">
        <v>2285</v>
      </c>
      <c r="B1072" s="427" t="s">
        <v>2650</v>
      </c>
      <c r="C1072" s="433" t="s">
        <v>3590</v>
      </c>
      <c r="D1072" s="433" t="s">
        <v>3788</v>
      </c>
      <c r="E1072" s="433" t="s">
        <v>2654</v>
      </c>
      <c r="F1072" s="433" t="s">
        <v>2654</v>
      </c>
      <c r="G1072" s="433" t="s">
        <v>2654</v>
      </c>
      <c r="H1072" s="433" t="s">
        <v>2654</v>
      </c>
      <c r="I1072" s="433" t="s">
        <v>2654</v>
      </c>
      <c r="J1072" s="433" t="s">
        <v>2654</v>
      </c>
      <c r="K1072" s="433" t="s">
        <v>2654</v>
      </c>
      <c r="L1072" s="433" t="s">
        <v>2654</v>
      </c>
      <c r="M1072" s="433" t="s">
        <v>2654</v>
      </c>
      <c r="N1072" s="433" t="s">
        <v>2654</v>
      </c>
      <c r="O1072" s="433" t="s">
        <v>2654</v>
      </c>
      <c r="P1072" s="433" t="s">
        <v>4061</v>
      </c>
      <c r="Q1072" s="431"/>
      <c r="R1072" s="431"/>
      <c r="S1072" s="426" t="s">
        <v>3219</v>
      </c>
      <c r="T1072" s="426" t="s">
        <v>2657</v>
      </c>
      <c r="U1072" s="426" t="s">
        <v>2657</v>
      </c>
      <c r="V1072" s="426" t="s">
        <v>2657</v>
      </c>
      <c r="W1072" s="426" t="s">
        <v>2658</v>
      </c>
      <c r="X1072" s="426" t="s">
        <v>2840</v>
      </c>
      <c r="Y1072" s="426" t="s">
        <v>3578</v>
      </c>
      <c r="Z1072" s="426" t="s">
        <v>2646</v>
      </c>
      <c r="AA1072" s="426" t="s">
        <v>2646</v>
      </c>
      <c r="AB1072" s="426" t="s">
        <v>2646</v>
      </c>
      <c r="AC1072" s="426" t="s">
        <v>2646</v>
      </c>
      <c r="AD1072" s="426" t="s">
        <v>2646</v>
      </c>
      <c r="AE1072" s="426" t="s">
        <v>2646</v>
      </c>
      <c r="AF1072" s="426" t="s">
        <v>2646</v>
      </c>
      <c r="AG1072" s="426" t="s">
        <v>2646</v>
      </c>
      <c r="AH1072" s="426" t="s">
        <v>2646</v>
      </c>
      <c r="AI1072" s="426" t="s">
        <v>2646</v>
      </c>
      <c r="AJ1072" s="68" t="s">
        <v>2646</v>
      </c>
    </row>
    <row r="1073" spans="1:36" hidden="1">
      <c r="A1073" s="68" t="s">
        <v>2286</v>
      </c>
      <c r="B1073" s="427" t="s">
        <v>2651</v>
      </c>
      <c r="C1073" s="433" t="s">
        <v>3482</v>
      </c>
      <c r="D1073" s="433" t="s">
        <v>3788</v>
      </c>
      <c r="E1073" s="433" t="s">
        <v>2654</v>
      </c>
      <c r="F1073" s="433" t="s">
        <v>2654</v>
      </c>
      <c r="G1073" s="433" t="s">
        <v>2654</v>
      </c>
      <c r="H1073" s="433" t="s">
        <v>2654</v>
      </c>
      <c r="I1073" s="433" t="s">
        <v>2654</v>
      </c>
      <c r="J1073" s="433" t="s">
        <v>2654</v>
      </c>
      <c r="K1073" s="433" t="s">
        <v>2654</v>
      </c>
      <c r="L1073" s="433" t="s">
        <v>2654</v>
      </c>
      <c r="M1073" s="433" t="s">
        <v>2654</v>
      </c>
      <c r="N1073" s="433" t="s">
        <v>2654</v>
      </c>
      <c r="O1073" s="433" t="s">
        <v>2654</v>
      </c>
      <c r="P1073" s="433" t="s">
        <v>4061</v>
      </c>
      <c r="Q1073" s="431"/>
      <c r="R1073" s="431"/>
      <c r="S1073" s="426" t="s">
        <v>2673</v>
      </c>
      <c r="T1073" s="426" t="s">
        <v>2657</v>
      </c>
      <c r="U1073" s="426" t="s">
        <v>2657</v>
      </c>
      <c r="V1073" s="426" t="s">
        <v>2657</v>
      </c>
      <c r="W1073" s="426" t="s">
        <v>2658</v>
      </c>
      <c r="X1073" s="426" t="s">
        <v>2840</v>
      </c>
      <c r="Y1073" s="426" t="s">
        <v>3578</v>
      </c>
      <c r="Z1073" s="426" t="s">
        <v>2646</v>
      </c>
      <c r="AA1073" s="426" t="s">
        <v>2646</v>
      </c>
      <c r="AB1073" s="426" t="s">
        <v>2646</v>
      </c>
      <c r="AC1073" s="426" t="s">
        <v>2646</v>
      </c>
      <c r="AD1073" s="426" t="s">
        <v>2646</v>
      </c>
      <c r="AE1073" s="426" t="s">
        <v>2646</v>
      </c>
      <c r="AF1073" s="426" t="s">
        <v>2646</v>
      </c>
      <c r="AG1073" s="426" t="s">
        <v>2646</v>
      </c>
      <c r="AH1073" s="426" t="s">
        <v>2646</v>
      </c>
      <c r="AI1073" s="426" t="s">
        <v>2646</v>
      </c>
      <c r="AJ1073" s="68" t="s">
        <v>2646</v>
      </c>
    </row>
    <row r="1074" spans="1:36">
      <c r="A1074" s="68" t="s">
        <v>2286</v>
      </c>
      <c r="B1074" s="427" t="s">
        <v>48</v>
      </c>
      <c r="C1074" s="433" t="s">
        <v>4645</v>
      </c>
      <c r="D1074" s="433" t="s">
        <v>3848</v>
      </c>
      <c r="E1074" s="433" t="s">
        <v>2654</v>
      </c>
      <c r="F1074" s="433" t="s">
        <v>2654</v>
      </c>
      <c r="G1074" s="433" t="s">
        <v>2654</v>
      </c>
      <c r="H1074" s="433" t="s">
        <v>2654</v>
      </c>
      <c r="I1074" s="433" t="s">
        <v>2654</v>
      </c>
      <c r="J1074" s="433" t="s">
        <v>2654</v>
      </c>
      <c r="K1074" s="433" t="s">
        <v>2654</v>
      </c>
      <c r="L1074" s="433" t="s">
        <v>2654</v>
      </c>
      <c r="M1074" s="433" t="s">
        <v>2654</v>
      </c>
      <c r="N1074" s="433" t="s">
        <v>2654</v>
      </c>
      <c r="O1074" s="433" t="s">
        <v>2654</v>
      </c>
      <c r="P1074" s="433" t="s">
        <v>2791</v>
      </c>
      <c r="Q1074" s="433" t="s">
        <v>2654</v>
      </c>
      <c r="R1074" s="433" t="s">
        <v>2654</v>
      </c>
      <c r="S1074" s="426"/>
      <c r="T1074" s="426"/>
      <c r="U1074" s="426"/>
      <c r="V1074" s="426"/>
      <c r="W1074" s="426"/>
      <c r="X1074" s="426"/>
      <c r="Y1074" s="426"/>
      <c r="Z1074" s="426"/>
      <c r="AA1074" s="426"/>
      <c r="AB1074" s="426"/>
      <c r="AC1074" s="426"/>
      <c r="AD1074" s="426"/>
      <c r="AE1074" s="426"/>
      <c r="AF1074" s="426"/>
      <c r="AG1074" s="426"/>
      <c r="AH1074" s="426"/>
      <c r="AI1074" s="426"/>
    </row>
    <row r="1075" spans="1:36" hidden="1">
      <c r="A1075" s="68" t="s">
        <v>2287</v>
      </c>
      <c r="B1075" s="427" t="s">
        <v>2647</v>
      </c>
      <c r="C1075" s="433" t="s">
        <v>3626</v>
      </c>
      <c r="D1075" s="433" t="s">
        <v>3089</v>
      </c>
      <c r="E1075" s="433" t="s">
        <v>2654</v>
      </c>
      <c r="F1075" s="433" t="s">
        <v>2654</v>
      </c>
      <c r="G1075" s="433" t="s">
        <v>2654</v>
      </c>
      <c r="H1075" s="433" t="s">
        <v>2654</v>
      </c>
      <c r="I1075" s="433" t="s">
        <v>2654</v>
      </c>
      <c r="J1075" s="433" t="s">
        <v>2654</v>
      </c>
      <c r="K1075" s="433" t="s">
        <v>2654</v>
      </c>
      <c r="L1075" s="433" t="s">
        <v>2654</v>
      </c>
      <c r="M1075" s="433" t="s">
        <v>2654</v>
      </c>
      <c r="N1075" s="433" t="s">
        <v>2654</v>
      </c>
      <c r="O1075" s="433" t="s">
        <v>2654</v>
      </c>
      <c r="P1075" s="433" t="s">
        <v>4080</v>
      </c>
      <c r="Q1075" s="431"/>
      <c r="R1075" s="431"/>
      <c r="S1075" s="426" t="s">
        <v>3137</v>
      </c>
      <c r="T1075" s="426" t="s">
        <v>2673</v>
      </c>
      <c r="U1075" s="426" t="s">
        <v>2657</v>
      </c>
      <c r="V1075" s="426" t="s">
        <v>2657</v>
      </c>
      <c r="W1075" s="426" t="s">
        <v>2646</v>
      </c>
      <c r="X1075" s="426" t="s">
        <v>2646</v>
      </c>
      <c r="Y1075" s="426" t="s">
        <v>2646</v>
      </c>
      <c r="Z1075" s="426" t="s">
        <v>2646</v>
      </c>
      <c r="AA1075" s="426" t="s">
        <v>2646</v>
      </c>
      <c r="AB1075" s="426" t="s">
        <v>2646</v>
      </c>
      <c r="AC1075" s="426" t="s">
        <v>2646</v>
      </c>
      <c r="AD1075" s="426" t="s">
        <v>2646</v>
      </c>
      <c r="AE1075" s="426" t="s">
        <v>2646</v>
      </c>
      <c r="AF1075" s="426" t="s">
        <v>2646</v>
      </c>
      <c r="AG1075" s="426" t="s">
        <v>2646</v>
      </c>
      <c r="AH1075" s="426" t="s">
        <v>2646</v>
      </c>
      <c r="AI1075" s="426" t="s">
        <v>2646</v>
      </c>
      <c r="AJ1075" s="68" t="s">
        <v>2646</v>
      </c>
    </row>
    <row r="1076" spans="1:36" hidden="1">
      <c r="A1076" s="68" t="s">
        <v>2288</v>
      </c>
      <c r="B1076" s="427" t="s">
        <v>2648</v>
      </c>
      <c r="C1076" s="433" t="s">
        <v>3704</v>
      </c>
      <c r="D1076" s="433" t="s">
        <v>3791</v>
      </c>
      <c r="E1076" s="433" t="s">
        <v>2654</v>
      </c>
      <c r="F1076" s="433" t="s">
        <v>2654</v>
      </c>
      <c r="G1076" s="433" t="s">
        <v>2654</v>
      </c>
      <c r="H1076" s="433" t="s">
        <v>2654</v>
      </c>
      <c r="I1076" s="433" t="s">
        <v>2654</v>
      </c>
      <c r="J1076" s="433" t="s">
        <v>2654</v>
      </c>
      <c r="K1076" s="433" t="s">
        <v>2654</v>
      </c>
      <c r="L1076" s="433" t="s">
        <v>2654</v>
      </c>
      <c r="M1076" s="433" t="s">
        <v>2654</v>
      </c>
      <c r="N1076" s="433" t="s">
        <v>2654</v>
      </c>
      <c r="O1076" s="433" t="s">
        <v>2654</v>
      </c>
      <c r="P1076" s="433" t="s">
        <v>4059</v>
      </c>
      <c r="Q1076" s="431"/>
      <c r="R1076" s="431"/>
      <c r="S1076" s="426" t="s">
        <v>3132</v>
      </c>
      <c r="T1076" s="426" t="s">
        <v>2646</v>
      </c>
      <c r="U1076" s="426" t="s">
        <v>2657</v>
      </c>
      <c r="V1076" s="426" t="s">
        <v>2657</v>
      </c>
      <c r="W1076" s="426" t="s">
        <v>2646</v>
      </c>
      <c r="X1076" s="426" t="s">
        <v>2646</v>
      </c>
      <c r="Y1076" s="426" t="s">
        <v>3480</v>
      </c>
      <c r="Z1076" s="426" t="s">
        <v>2646</v>
      </c>
      <c r="AA1076" s="426" t="s">
        <v>2646</v>
      </c>
      <c r="AB1076" s="426" t="s">
        <v>2646</v>
      </c>
      <c r="AC1076" s="426" t="s">
        <v>2646</v>
      </c>
      <c r="AD1076" s="426" t="s">
        <v>2646</v>
      </c>
      <c r="AE1076" s="426" t="s">
        <v>2646</v>
      </c>
      <c r="AF1076" s="426" t="s">
        <v>2646</v>
      </c>
      <c r="AG1076" s="426" t="s">
        <v>2646</v>
      </c>
      <c r="AH1076" s="426" t="s">
        <v>2646</v>
      </c>
      <c r="AI1076" s="426" t="s">
        <v>2646</v>
      </c>
      <c r="AJ1076" s="68" t="s">
        <v>2646</v>
      </c>
    </row>
    <row r="1077" spans="1:36" hidden="1">
      <c r="A1077" s="68" t="s">
        <v>2289</v>
      </c>
      <c r="B1077" s="427" t="s">
        <v>2649</v>
      </c>
      <c r="C1077" s="433" t="s">
        <v>3626</v>
      </c>
      <c r="D1077" s="433" t="s">
        <v>3089</v>
      </c>
      <c r="E1077" s="433" t="s">
        <v>2654</v>
      </c>
      <c r="F1077" s="433" t="s">
        <v>2654</v>
      </c>
      <c r="G1077" s="433" t="s">
        <v>2654</v>
      </c>
      <c r="H1077" s="433" t="s">
        <v>2654</v>
      </c>
      <c r="I1077" s="433" t="s">
        <v>2654</v>
      </c>
      <c r="J1077" s="433" t="s">
        <v>2654</v>
      </c>
      <c r="K1077" s="433" t="s">
        <v>2654</v>
      </c>
      <c r="L1077" s="433" t="s">
        <v>2654</v>
      </c>
      <c r="M1077" s="433" t="s">
        <v>2654</v>
      </c>
      <c r="N1077" s="433" t="s">
        <v>2654</v>
      </c>
      <c r="O1077" s="433" t="s">
        <v>2654</v>
      </c>
      <c r="P1077" s="433" t="s">
        <v>4059</v>
      </c>
      <c r="Q1077" s="431"/>
      <c r="R1077" s="431"/>
      <c r="S1077" s="426" t="s">
        <v>3132</v>
      </c>
      <c r="T1077" s="426" t="s">
        <v>2657</v>
      </c>
      <c r="U1077" s="426" t="s">
        <v>2657</v>
      </c>
      <c r="V1077" s="426" t="s">
        <v>2657</v>
      </c>
      <c r="W1077" s="426" t="s">
        <v>2646</v>
      </c>
      <c r="X1077" s="426" t="s">
        <v>2646</v>
      </c>
      <c r="Y1077" s="426" t="s">
        <v>3081</v>
      </c>
      <c r="Z1077" s="426" t="s">
        <v>2646</v>
      </c>
      <c r="AA1077" s="426" t="s">
        <v>2646</v>
      </c>
      <c r="AB1077" s="426" t="s">
        <v>2646</v>
      </c>
      <c r="AC1077" s="426" t="s">
        <v>2646</v>
      </c>
      <c r="AD1077" s="426" t="s">
        <v>2646</v>
      </c>
      <c r="AE1077" s="426" t="s">
        <v>2646</v>
      </c>
      <c r="AF1077" s="426" t="s">
        <v>2646</v>
      </c>
      <c r="AG1077" s="426" t="s">
        <v>2646</v>
      </c>
      <c r="AH1077" s="426" t="s">
        <v>2646</v>
      </c>
      <c r="AI1077" s="426" t="s">
        <v>2646</v>
      </c>
      <c r="AJ1077" s="68" t="s">
        <v>2646</v>
      </c>
    </row>
    <row r="1078" spans="1:36" hidden="1">
      <c r="A1078" s="68" t="s">
        <v>2290</v>
      </c>
      <c r="B1078" s="427" t="s">
        <v>2650</v>
      </c>
      <c r="C1078" s="433" t="s">
        <v>3709</v>
      </c>
      <c r="D1078" s="433" t="s">
        <v>3734</v>
      </c>
      <c r="E1078" s="433" t="s">
        <v>2654</v>
      </c>
      <c r="F1078" s="433" t="s">
        <v>2654</v>
      </c>
      <c r="G1078" s="433" t="s">
        <v>2654</v>
      </c>
      <c r="H1078" s="433" t="s">
        <v>2654</v>
      </c>
      <c r="I1078" s="433" t="s">
        <v>2654</v>
      </c>
      <c r="J1078" s="433" t="s">
        <v>2654</v>
      </c>
      <c r="K1078" s="433" t="s">
        <v>2654</v>
      </c>
      <c r="L1078" s="433" t="s">
        <v>2654</v>
      </c>
      <c r="M1078" s="433" t="s">
        <v>2654</v>
      </c>
      <c r="N1078" s="433" t="s">
        <v>2654</v>
      </c>
      <c r="O1078" s="433" t="s">
        <v>2654</v>
      </c>
      <c r="P1078" s="433" t="s">
        <v>4083</v>
      </c>
      <c r="Q1078" s="431"/>
      <c r="R1078" s="431"/>
      <c r="S1078" s="426" t="s">
        <v>3124</v>
      </c>
      <c r="T1078" s="426" t="s">
        <v>2657</v>
      </c>
      <c r="U1078" s="426" t="s">
        <v>2657</v>
      </c>
      <c r="V1078" s="426" t="s">
        <v>2657</v>
      </c>
      <c r="W1078" s="426" t="s">
        <v>2646</v>
      </c>
      <c r="X1078" s="426" t="s">
        <v>2646</v>
      </c>
      <c r="Y1078" s="426" t="s">
        <v>3476</v>
      </c>
      <c r="Z1078" s="426" t="s">
        <v>2646</v>
      </c>
      <c r="AA1078" s="426" t="s">
        <v>2646</v>
      </c>
      <c r="AB1078" s="426" t="s">
        <v>2646</v>
      </c>
      <c r="AC1078" s="426" t="s">
        <v>2646</v>
      </c>
      <c r="AD1078" s="426" t="s">
        <v>2646</v>
      </c>
      <c r="AE1078" s="426" t="s">
        <v>2646</v>
      </c>
      <c r="AF1078" s="426" t="s">
        <v>2646</v>
      </c>
      <c r="AG1078" s="426" t="s">
        <v>2646</v>
      </c>
      <c r="AH1078" s="426" t="s">
        <v>2646</v>
      </c>
      <c r="AI1078" s="426" t="s">
        <v>2646</v>
      </c>
      <c r="AJ1078" s="68" t="s">
        <v>2646</v>
      </c>
    </row>
    <row r="1079" spans="1:36" hidden="1">
      <c r="A1079" s="68" t="s">
        <v>2291</v>
      </c>
      <c r="B1079" s="427" t="s">
        <v>2651</v>
      </c>
      <c r="C1079" s="433" t="s">
        <v>3464</v>
      </c>
      <c r="D1079" s="433" t="s">
        <v>3089</v>
      </c>
      <c r="E1079" s="433" t="s">
        <v>2654</v>
      </c>
      <c r="F1079" s="433" t="s">
        <v>2654</v>
      </c>
      <c r="G1079" s="433" t="s">
        <v>2654</v>
      </c>
      <c r="H1079" s="433" t="s">
        <v>2654</v>
      </c>
      <c r="I1079" s="433" t="s">
        <v>2654</v>
      </c>
      <c r="J1079" s="433" t="s">
        <v>2654</v>
      </c>
      <c r="K1079" s="433" t="s">
        <v>2654</v>
      </c>
      <c r="L1079" s="433" t="s">
        <v>2654</v>
      </c>
      <c r="M1079" s="433" t="s">
        <v>2654</v>
      </c>
      <c r="N1079" s="433" t="s">
        <v>2654</v>
      </c>
      <c r="O1079" s="433" t="s">
        <v>2654</v>
      </c>
      <c r="P1079" s="433" t="s">
        <v>4057</v>
      </c>
      <c r="Q1079" s="431"/>
      <c r="R1079" s="431"/>
      <c r="S1079" s="426" t="s">
        <v>3137</v>
      </c>
      <c r="T1079" s="426" t="s">
        <v>2646</v>
      </c>
      <c r="U1079" s="426" t="s">
        <v>2660</v>
      </c>
      <c r="V1079" s="426" t="s">
        <v>2657</v>
      </c>
      <c r="W1079" s="426" t="s">
        <v>2646</v>
      </c>
      <c r="X1079" s="426" t="s">
        <v>2646</v>
      </c>
      <c r="Y1079" s="426" t="s">
        <v>3480</v>
      </c>
      <c r="Z1079" s="426" t="s">
        <v>2646</v>
      </c>
      <c r="AA1079" s="426" t="s">
        <v>2646</v>
      </c>
      <c r="AB1079" s="426" t="s">
        <v>2646</v>
      </c>
      <c r="AC1079" s="426" t="s">
        <v>2646</v>
      </c>
      <c r="AD1079" s="426" t="s">
        <v>2646</v>
      </c>
      <c r="AE1079" s="426" t="s">
        <v>2646</v>
      </c>
      <c r="AF1079" s="426" t="s">
        <v>2646</v>
      </c>
      <c r="AG1079" s="426" t="s">
        <v>2646</v>
      </c>
      <c r="AH1079" s="426" t="s">
        <v>2646</v>
      </c>
      <c r="AI1079" s="426" t="s">
        <v>2646</v>
      </c>
      <c r="AJ1079" s="68" t="s">
        <v>2646</v>
      </c>
    </row>
    <row r="1080" spans="1:36">
      <c r="A1080" s="68" t="s">
        <v>2291</v>
      </c>
      <c r="B1080" s="427" t="s">
        <v>48</v>
      </c>
      <c r="C1080" s="433" t="s">
        <v>4646</v>
      </c>
      <c r="D1080" s="433" t="s">
        <v>4188</v>
      </c>
      <c r="E1080" s="433" t="s">
        <v>2654</v>
      </c>
      <c r="F1080" s="433" t="s">
        <v>2654</v>
      </c>
      <c r="G1080" s="433" t="s">
        <v>2654</v>
      </c>
      <c r="H1080" s="433" t="s">
        <v>2654</v>
      </c>
      <c r="I1080" s="433" t="s">
        <v>2654</v>
      </c>
      <c r="J1080" s="433" t="s">
        <v>2654</v>
      </c>
      <c r="K1080" s="433" t="s">
        <v>2654</v>
      </c>
      <c r="L1080" s="433" t="s">
        <v>2654</v>
      </c>
      <c r="M1080" s="433" t="s">
        <v>2654</v>
      </c>
      <c r="N1080" s="433" t="s">
        <v>2654</v>
      </c>
      <c r="O1080" s="433" t="s">
        <v>2654</v>
      </c>
      <c r="P1080" s="433" t="s">
        <v>3380</v>
      </c>
      <c r="Q1080" s="433" t="s">
        <v>2654</v>
      </c>
      <c r="R1080" s="433" t="s">
        <v>2654</v>
      </c>
      <c r="S1080" s="426"/>
      <c r="T1080" s="426"/>
      <c r="U1080" s="426"/>
      <c r="V1080" s="426"/>
      <c r="W1080" s="426"/>
      <c r="X1080" s="426"/>
      <c r="Y1080" s="426"/>
      <c r="Z1080" s="426"/>
      <c r="AA1080" s="426"/>
      <c r="AB1080" s="426"/>
      <c r="AC1080" s="426"/>
      <c r="AD1080" s="426"/>
      <c r="AE1080" s="426"/>
      <c r="AF1080" s="426"/>
      <c r="AG1080" s="426"/>
      <c r="AH1080" s="426"/>
      <c r="AI1080" s="426"/>
    </row>
    <row r="1081" spans="1:36" ht="13.5">
      <c r="T1081" s="296"/>
      <c r="U1081" s="296"/>
      <c r="V1081" s="296"/>
      <c r="W1081" s="296"/>
      <c r="X1081" s="296"/>
      <c r="Y1081" s="296"/>
      <c r="Z1081" s="296"/>
      <c r="AA1081" s="296"/>
      <c r="AB1081" s="296"/>
      <c r="AC1081" s="296"/>
      <c r="AD1081" s="296"/>
      <c r="AE1081" s="296"/>
      <c r="AF1081" s="296"/>
      <c r="AG1081" s="296"/>
      <c r="AH1081" s="296"/>
      <c r="AI1081" s="296"/>
    </row>
    <row r="1082" spans="1:36" ht="13.5">
      <c r="T1082" s="296"/>
      <c r="U1082" s="296"/>
      <c r="V1082" s="296"/>
      <c r="W1082" s="296"/>
      <c r="X1082" s="296"/>
      <c r="Y1082" s="296"/>
      <c r="Z1082" s="296"/>
      <c r="AA1082" s="296"/>
      <c r="AB1082" s="296"/>
      <c r="AC1082" s="296"/>
      <c r="AD1082" s="296"/>
      <c r="AE1082" s="296"/>
      <c r="AF1082" s="296"/>
      <c r="AG1082" s="296"/>
      <c r="AH1082" s="296"/>
      <c r="AI1082" s="296"/>
    </row>
    <row r="1083" spans="1:36" ht="13.5">
      <c r="T1083" s="296"/>
      <c r="U1083" s="296"/>
      <c r="V1083" s="296"/>
      <c r="W1083" s="296"/>
      <c r="X1083" s="296"/>
      <c r="Y1083" s="296"/>
      <c r="Z1083" s="296"/>
      <c r="AA1083" s="296"/>
      <c r="AB1083" s="296"/>
      <c r="AC1083" s="296"/>
      <c r="AD1083" s="296"/>
      <c r="AE1083" s="296"/>
      <c r="AF1083" s="296"/>
      <c r="AG1083" s="296"/>
      <c r="AH1083" s="296"/>
      <c r="AI1083" s="296"/>
    </row>
    <row r="1084" spans="1:36" ht="13.5">
      <c r="T1084" s="296"/>
      <c r="U1084" s="296"/>
      <c r="V1084" s="296"/>
      <c r="W1084" s="296"/>
      <c r="X1084" s="296"/>
      <c r="Y1084" s="296"/>
      <c r="Z1084" s="296"/>
      <c r="AA1084" s="296"/>
      <c r="AB1084" s="296"/>
      <c r="AC1084" s="296"/>
      <c r="AD1084" s="296"/>
      <c r="AE1084" s="296"/>
      <c r="AF1084" s="296"/>
      <c r="AG1084" s="296"/>
      <c r="AH1084" s="296"/>
      <c r="AI1084" s="296"/>
    </row>
    <row r="1085" spans="1:36">
      <c r="C1085" s="393"/>
      <c r="D1085" s="393"/>
      <c r="E1085" s="393"/>
      <c r="F1085" s="393"/>
      <c r="G1085" s="393"/>
      <c r="H1085" s="393"/>
    </row>
    <row r="1086" spans="1:36">
      <c r="C1086" s="393"/>
      <c r="D1086" s="393"/>
      <c r="E1086" s="393"/>
      <c r="F1086" s="393"/>
      <c r="G1086" s="393"/>
      <c r="H1086" s="393"/>
    </row>
    <row r="1087" spans="1:36">
      <c r="C1087" s="393"/>
      <c r="D1087" s="393"/>
      <c r="E1087" s="393"/>
      <c r="F1087" s="393"/>
      <c r="G1087" s="393"/>
      <c r="H1087" s="393"/>
    </row>
    <row r="1088" spans="1:36">
      <c r="C1088" s="393"/>
      <c r="D1088" s="393"/>
      <c r="E1088" s="393"/>
      <c r="F1088" s="393"/>
      <c r="G1088" s="393"/>
      <c r="H1088" s="393"/>
    </row>
    <row r="1089" spans="3:8">
      <c r="C1089" s="393"/>
      <c r="D1089" s="393"/>
      <c r="E1089" s="393"/>
      <c r="F1089" s="393"/>
      <c r="G1089" s="393"/>
      <c r="H1089" s="393"/>
    </row>
    <row r="1108" spans="50:50">
      <c r="AX1108" s="393"/>
    </row>
    <row r="1109" spans="50:50">
      <c r="AX1109" s="393"/>
    </row>
    <row r="1110" spans="50:50">
      <c r="AX1110" s="393"/>
    </row>
    <row r="1111" spans="50:50">
      <c r="AX1111" s="393"/>
    </row>
    <row r="1112" spans="50:50">
      <c r="AX1112" s="393"/>
    </row>
    <row r="1113" spans="50:50">
      <c r="AX1113" s="393"/>
    </row>
    <row r="1114" spans="50:50">
      <c r="AX1114" s="393"/>
    </row>
    <row r="1115" spans="50:50">
      <c r="AX1115" s="393"/>
    </row>
    <row r="1116" spans="50:50">
      <c r="AX1116" s="393"/>
    </row>
    <row r="1117" spans="50:50">
      <c r="AX1117" s="393"/>
    </row>
    <row r="1118" spans="50:50">
      <c r="AX1118" s="393"/>
    </row>
    <row r="1119" spans="50:50">
      <c r="AX1119" s="393"/>
    </row>
    <row r="1120" spans="50:50">
      <c r="AX1120" s="393"/>
    </row>
    <row r="1121" spans="50:50">
      <c r="AX1121" s="393"/>
    </row>
    <row r="1122" spans="50:50">
      <c r="AX1122" s="393"/>
    </row>
    <row r="1123" spans="50:50">
      <c r="AX1123" s="393"/>
    </row>
    <row r="1124" spans="50:50">
      <c r="AX1124" s="393"/>
    </row>
    <row r="1125" spans="50:50">
      <c r="AX1125" s="393"/>
    </row>
    <row r="1126" spans="50:50">
      <c r="AX1126" s="393"/>
    </row>
    <row r="1127" spans="50:50">
      <c r="AX1127" s="393"/>
    </row>
    <row r="1128" spans="50:50">
      <c r="AX1128" s="393"/>
    </row>
    <row r="1129" spans="50:50">
      <c r="AX1129" s="393"/>
    </row>
    <row r="1130" spans="50:50">
      <c r="AX1130" s="393"/>
    </row>
    <row r="1131" spans="50:50">
      <c r="AX1131" s="393"/>
    </row>
    <row r="1132" spans="50:50">
      <c r="AX1132" s="393"/>
    </row>
    <row r="1133" spans="50:50">
      <c r="AX1133" s="393"/>
    </row>
    <row r="1134" spans="50:50">
      <c r="AX1134" s="393"/>
    </row>
    <row r="1135" spans="50:50">
      <c r="AX1135" s="393"/>
    </row>
    <row r="1136" spans="50:50">
      <c r="AX1136" s="393"/>
    </row>
    <row r="1137" spans="50:50">
      <c r="AX1137" s="393"/>
    </row>
    <row r="1138" spans="50:50">
      <c r="AX1138" s="393"/>
    </row>
    <row r="1139" spans="50:50">
      <c r="AX1139" s="393"/>
    </row>
    <row r="1140" spans="50:50">
      <c r="AX1140" s="393"/>
    </row>
    <row r="1141" spans="50:50">
      <c r="AX1141" s="393"/>
    </row>
    <row r="1142" spans="50:50">
      <c r="AX1142" s="393"/>
    </row>
    <row r="1143" spans="50:50">
      <c r="AX1143" s="393"/>
    </row>
    <row r="1144" spans="50:50">
      <c r="AX1144" s="393"/>
    </row>
    <row r="1145" spans="50:50">
      <c r="AX1145" s="393"/>
    </row>
    <row r="1146" spans="50:50">
      <c r="AX1146" s="393"/>
    </row>
    <row r="1147" spans="50:50">
      <c r="AX1147" s="393"/>
    </row>
    <row r="1148" spans="50:50">
      <c r="AX1148" s="393"/>
    </row>
    <row r="1149" spans="50:50">
      <c r="AX1149" s="393"/>
    </row>
    <row r="1150" spans="50:50">
      <c r="AX1150" s="393"/>
    </row>
    <row r="1151" spans="50:50">
      <c r="AX1151" s="393"/>
    </row>
    <row r="1152" spans="50:50">
      <c r="AX1152" s="393"/>
    </row>
    <row r="1153" spans="50:50">
      <c r="AX1153" s="393"/>
    </row>
    <row r="1154" spans="50:50">
      <c r="AX1154" s="393"/>
    </row>
    <row r="1155" spans="50:50">
      <c r="AX1155" s="393"/>
    </row>
    <row r="1156" spans="50:50">
      <c r="AX1156" s="393"/>
    </row>
    <row r="1157" spans="50:50">
      <c r="AX1157" s="393"/>
    </row>
    <row r="1158" spans="50:50">
      <c r="AX1158" s="393"/>
    </row>
    <row r="1159" spans="50:50">
      <c r="AX1159" s="393"/>
    </row>
    <row r="1160" spans="50:50">
      <c r="AX1160" s="393"/>
    </row>
    <row r="1161" spans="50:50">
      <c r="AX1161" s="393"/>
    </row>
    <row r="1162" spans="50:50">
      <c r="AX1162" s="393"/>
    </row>
    <row r="1163" spans="50:50">
      <c r="AX1163" s="393"/>
    </row>
    <row r="1164" spans="50:50">
      <c r="AX1164" s="393"/>
    </row>
    <row r="1165" spans="50:50">
      <c r="AX1165" s="393"/>
    </row>
    <row r="1166" spans="50:50">
      <c r="AX1166" s="393"/>
    </row>
    <row r="1167" spans="50:50">
      <c r="AX1167" s="393"/>
    </row>
    <row r="1168" spans="50:50">
      <c r="AX1168" s="393"/>
    </row>
    <row r="1169" spans="50:50">
      <c r="AX1169" s="393"/>
    </row>
    <row r="1170" spans="50:50">
      <c r="AX1170" s="393"/>
    </row>
    <row r="1171" spans="50:50">
      <c r="AX1171" s="393"/>
    </row>
    <row r="1172" spans="50:50">
      <c r="AX1172" s="393"/>
    </row>
    <row r="1173" spans="50:50">
      <c r="AX1173" s="393"/>
    </row>
    <row r="1174" spans="50:50">
      <c r="AX1174" s="393"/>
    </row>
    <row r="1175" spans="50:50">
      <c r="AX1175" s="393"/>
    </row>
    <row r="1176" spans="50:50">
      <c r="AX1176" s="393"/>
    </row>
    <row r="1177" spans="50:50">
      <c r="AX1177" s="393"/>
    </row>
    <row r="1178" spans="50:50">
      <c r="AX1178" s="393"/>
    </row>
    <row r="1179" spans="50:50">
      <c r="AX1179" s="393"/>
    </row>
    <row r="1180" spans="50:50">
      <c r="AX1180" s="393"/>
    </row>
    <row r="1181" spans="50:50">
      <c r="AX1181" s="393"/>
    </row>
    <row r="1182" spans="50:50">
      <c r="AX1182" s="393"/>
    </row>
    <row r="1183" spans="50:50">
      <c r="AX1183" s="393"/>
    </row>
    <row r="1184" spans="50:50">
      <c r="AX1184" s="393"/>
    </row>
    <row r="1185" spans="50:50">
      <c r="AX1185" s="393"/>
    </row>
    <row r="1186" spans="50:50">
      <c r="AX1186" s="393"/>
    </row>
    <row r="1187" spans="50:50">
      <c r="AX1187" s="393"/>
    </row>
    <row r="1188" spans="50:50">
      <c r="AX1188" s="393"/>
    </row>
    <row r="1189" spans="50:50">
      <c r="AX1189" s="393"/>
    </row>
    <row r="1190" spans="50:50">
      <c r="AX1190" s="393"/>
    </row>
    <row r="1191" spans="50:50">
      <c r="AX1191" s="393"/>
    </row>
    <row r="1192" spans="50:50">
      <c r="AX1192" s="393"/>
    </row>
    <row r="1193" spans="50:50">
      <c r="AX1193" s="393"/>
    </row>
    <row r="1194" spans="50:50">
      <c r="AX1194" s="393"/>
    </row>
    <row r="1195" spans="50:50">
      <c r="AX1195" s="393"/>
    </row>
    <row r="1196" spans="50:50">
      <c r="AX1196" s="393"/>
    </row>
    <row r="1197" spans="50:50">
      <c r="AX1197" s="393"/>
    </row>
    <row r="1198" spans="50:50">
      <c r="AX1198" s="393"/>
    </row>
    <row r="1199" spans="50:50">
      <c r="AX1199" s="393"/>
    </row>
    <row r="1200" spans="50:50">
      <c r="AX1200" s="393"/>
    </row>
    <row r="1201" spans="50:50">
      <c r="AX1201" s="393"/>
    </row>
    <row r="1202" spans="50:50">
      <c r="AX1202" s="393"/>
    </row>
    <row r="1203" spans="50:50">
      <c r="AX1203" s="393"/>
    </row>
    <row r="1204" spans="50:50">
      <c r="AX1204" s="393"/>
    </row>
    <row r="1205" spans="50:50">
      <c r="AX1205" s="393"/>
    </row>
    <row r="1206" spans="50:50">
      <c r="AX1206" s="393"/>
    </row>
    <row r="1207" spans="50:50">
      <c r="AX1207" s="393"/>
    </row>
    <row r="1208" spans="50:50">
      <c r="AX1208" s="393"/>
    </row>
    <row r="1209" spans="50:50">
      <c r="AX1209" s="393"/>
    </row>
    <row r="1210" spans="50:50">
      <c r="AX1210" s="393"/>
    </row>
    <row r="1211" spans="50:50">
      <c r="AX1211" s="393"/>
    </row>
    <row r="1212" spans="50:50">
      <c r="AX1212" s="393"/>
    </row>
    <row r="1213" spans="50:50">
      <c r="AX1213" s="393"/>
    </row>
    <row r="1214" spans="50:50">
      <c r="AX1214" s="393"/>
    </row>
    <row r="1215" spans="50:50">
      <c r="AX1215" s="393"/>
    </row>
    <row r="1216" spans="50:50">
      <c r="AX1216" s="393"/>
    </row>
    <row r="1217" spans="50:50">
      <c r="AX1217" s="393"/>
    </row>
    <row r="1218" spans="50:50">
      <c r="AX1218" s="393"/>
    </row>
    <row r="1219" spans="50:50">
      <c r="AX1219" s="393"/>
    </row>
    <row r="1220" spans="50:50">
      <c r="AX1220" s="393"/>
    </row>
    <row r="1221" spans="50:50">
      <c r="AX1221" s="393"/>
    </row>
    <row r="1222" spans="50:50">
      <c r="AX1222" s="393"/>
    </row>
    <row r="1223" spans="50:50">
      <c r="AX1223" s="393"/>
    </row>
    <row r="1224" spans="50:50">
      <c r="AX1224" s="393"/>
    </row>
    <row r="1225" spans="50:50">
      <c r="AX1225" s="393"/>
    </row>
    <row r="1226" spans="50:50">
      <c r="AX1226" s="393"/>
    </row>
    <row r="1227" spans="50:50">
      <c r="AX1227" s="393"/>
    </row>
    <row r="1228" spans="50:50">
      <c r="AX1228" s="393"/>
    </row>
    <row r="1229" spans="50:50">
      <c r="AX1229" s="393"/>
    </row>
    <row r="1230" spans="50:50">
      <c r="AX1230" s="393"/>
    </row>
    <row r="1231" spans="50:50">
      <c r="AX1231" s="393"/>
    </row>
    <row r="1232" spans="50:50">
      <c r="AX1232" s="393"/>
    </row>
    <row r="1233" spans="50:50">
      <c r="AX1233" s="393"/>
    </row>
    <row r="1234" spans="50:50">
      <c r="AX1234" s="393"/>
    </row>
    <row r="1235" spans="50:50">
      <c r="AX1235" s="393"/>
    </row>
    <row r="1236" spans="50:50">
      <c r="AX1236" s="393"/>
    </row>
    <row r="1237" spans="50:50">
      <c r="AX1237" s="393"/>
    </row>
    <row r="1238" spans="50:50">
      <c r="AX1238" s="393"/>
    </row>
    <row r="1239" spans="50:50">
      <c r="AX1239" s="393"/>
    </row>
    <row r="1240" spans="50:50">
      <c r="AX1240" s="393"/>
    </row>
    <row r="1241" spans="50:50">
      <c r="AX1241" s="393"/>
    </row>
    <row r="1242" spans="50:50">
      <c r="AX1242" s="393"/>
    </row>
    <row r="1243" spans="50:50">
      <c r="AX1243" s="393"/>
    </row>
    <row r="1244" spans="50:50">
      <c r="AX1244" s="393"/>
    </row>
    <row r="1245" spans="50:50">
      <c r="AX1245" s="393"/>
    </row>
    <row r="1246" spans="50:50">
      <c r="AX1246" s="393"/>
    </row>
    <row r="1247" spans="50:50">
      <c r="AX1247" s="393"/>
    </row>
    <row r="1248" spans="50:50">
      <c r="AX1248" s="393"/>
    </row>
    <row r="1249" spans="50:50">
      <c r="AX1249" s="393"/>
    </row>
    <row r="1250" spans="50:50">
      <c r="AX1250" s="393"/>
    </row>
    <row r="1251" spans="50:50">
      <c r="AX1251" s="393"/>
    </row>
    <row r="1252" spans="50:50">
      <c r="AX1252" s="393"/>
    </row>
    <row r="1253" spans="50:50">
      <c r="AX1253" s="393"/>
    </row>
    <row r="1254" spans="50:50">
      <c r="AX1254" s="393"/>
    </row>
    <row r="1255" spans="50:50">
      <c r="AX1255" s="393"/>
    </row>
    <row r="1256" spans="50:50">
      <c r="AX1256" s="393"/>
    </row>
    <row r="1257" spans="50:50">
      <c r="AX1257" s="393"/>
    </row>
    <row r="1258" spans="50:50">
      <c r="AX1258" s="393"/>
    </row>
    <row r="1259" spans="50:50">
      <c r="AX1259" s="393"/>
    </row>
    <row r="1260" spans="50:50">
      <c r="AX1260" s="393"/>
    </row>
    <row r="1261" spans="50:50">
      <c r="AX1261" s="393"/>
    </row>
    <row r="1262" spans="50:50">
      <c r="AX1262" s="393"/>
    </row>
    <row r="1263" spans="50:50">
      <c r="AX1263" s="393"/>
    </row>
    <row r="1264" spans="50:50">
      <c r="AX1264" s="393"/>
    </row>
    <row r="1265" spans="1:50">
      <c r="AX1265" s="393"/>
    </row>
    <row r="1266" spans="1:50">
      <c r="AX1266" s="393"/>
    </row>
    <row r="1267" spans="1:50">
      <c r="AX1267" s="393"/>
    </row>
    <row r="1268" spans="1:50">
      <c r="AX1268" s="393"/>
    </row>
    <row r="1269" spans="1:50">
      <c r="AX1269" s="393"/>
    </row>
    <row r="1270" spans="1:50">
      <c r="AX1270" s="393"/>
    </row>
    <row r="1271" spans="1:50" ht="13.5">
      <c r="A1271" s="296"/>
      <c r="B1271" s="296"/>
      <c r="AX1271" s="393"/>
    </row>
    <row r="1272" spans="1:50" ht="13.5">
      <c r="A1272" s="296"/>
      <c r="B1272" s="296"/>
      <c r="AX1272" s="393"/>
    </row>
    <row r="1273" spans="1:50" ht="13.5">
      <c r="A1273" s="296"/>
      <c r="B1273" s="296"/>
      <c r="AX1273" s="393"/>
    </row>
    <row r="1274" spans="1:50" ht="13.5">
      <c r="A1274" s="296"/>
      <c r="B1274" s="296"/>
      <c r="AX1274" s="393"/>
    </row>
    <row r="1275" spans="1:50" ht="13.5">
      <c r="A1275" s="296"/>
      <c r="B1275" s="296"/>
      <c r="AX1275" s="393"/>
    </row>
    <row r="1276" spans="1:50" ht="13.5">
      <c r="A1276" s="296"/>
      <c r="B1276" s="296"/>
      <c r="AX1276" s="393"/>
    </row>
    <row r="1277" spans="1:50" ht="13.5">
      <c r="A1277" s="296"/>
      <c r="B1277" s="296"/>
      <c r="AX1277" s="393"/>
    </row>
    <row r="1278" spans="1:50" ht="13.5">
      <c r="A1278" s="296"/>
      <c r="B1278" s="296"/>
      <c r="AX1278" s="393"/>
    </row>
    <row r="1279" spans="1:50" ht="13.5">
      <c r="A1279" s="296"/>
      <c r="B1279" s="296"/>
      <c r="AX1279" s="393"/>
    </row>
    <row r="1280" spans="1:50" ht="13.5">
      <c r="A1280" s="296"/>
      <c r="B1280" s="296"/>
      <c r="AX1280" s="393"/>
    </row>
    <row r="1281" spans="1:50" ht="13.5">
      <c r="A1281" s="296"/>
      <c r="B1281" s="296"/>
      <c r="AX1281" s="393"/>
    </row>
    <row r="1282" spans="1:50" ht="13.5">
      <c r="A1282" s="296"/>
      <c r="B1282" s="296"/>
      <c r="AX1282" s="393"/>
    </row>
    <row r="1283" spans="1:50" ht="13.5">
      <c r="A1283" s="296"/>
      <c r="B1283" s="296"/>
      <c r="AX1283" s="393"/>
    </row>
    <row r="1284" spans="1:50" ht="13.5">
      <c r="A1284" s="296"/>
      <c r="B1284" s="296"/>
      <c r="AX1284" s="393"/>
    </row>
    <row r="1285" spans="1:50" ht="13.5">
      <c r="A1285" s="296"/>
      <c r="B1285" s="296"/>
      <c r="AX1285" s="393"/>
    </row>
    <row r="1286" spans="1:50" ht="13.5">
      <c r="A1286" s="296"/>
      <c r="B1286" s="296"/>
      <c r="AX1286" s="393"/>
    </row>
    <row r="1287" spans="1:50" ht="13.5">
      <c r="A1287" s="296"/>
      <c r="B1287" s="296"/>
      <c r="AX1287" s="393"/>
    </row>
    <row r="1288" spans="1:50" ht="13.5">
      <c r="A1288" s="296"/>
      <c r="B1288" s="296"/>
      <c r="AX1288" s="393"/>
    </row>
    <row r="1289" spans="1:50" ht="13.5">
      <c r="A1289" s="296"/>
      <c r="B1289" s="296"/>
      <c r="AX1289" s="393"/>
    </row>
    <row r="1290" spans="1:50" ht="13.5">
      <c r="A1290" s="296"/>
      <c r="B1290" s="296"/>
      <c r="AX1290" s="393"/>
    </row>
    <row r="1291" spans="1:50" ht="13.5">
      <c r="A1291" s="296"/>
      <c r="B1291" s="296"/>
      <c r="AX1291" s="393"/>
    </row>
    <row r="1292" spans="1:50" ht="13.5">
      <c r="A1292" s="296"/>
      <c r="B1292" s="296"/>
      <c r="AX1292" s="393"/>
    </row>
    <row r="1293" spans="1:50" ht="13.5">
      <c r="A1293" s="296"/>
      <c r="B1293" s="296"/>
      <c r="AX1293" s="393"/>
    </row>
    <row r="1294" spans="1:50" ht="13.5">
      <c r="A1294" s="296"/>
      <c r="B1294" s="296"/>
      <c r="AX1294" s="393"/>
    </row>
    <row r="1295" spans="1:50" ht="13.5">
      <c r="A1295" s="296"/>
      <c r="B1295" s="296"/>
      <c r="AX1295" s="393"/>
    </row>
    <row r="1296" spans="1:50" ht="13.5">
      <c r="A1296" s="296"/>
      <c r="B1296" s="296"/>
      <c r="AX1296" s="393"/>
    </row>
    <row r="1297" spans="50:50">
      <c r="AX1297" s="393"/>
    </row>
    <row r="1298" spans="50:50">
      <c r="AX1298" s="393"/>
    </row>
    <row r="1299" spans="50:50">
      <c r="AX1299" s="393"/>
    </row>
    <row r="1300" spans="50:50">
      <c r="AX1300" s="393"/>
    </row>
    <row r="1301" spans="50:50">
      <c r="AX1301" s="393"/>
    </row>
    <row r="1302" spans="50:50">
      <c r="AX1302" s="393"/>
    </row>
    <row r="1303" spans="50:50">
      <c r="AX1303" s="393"/>
    </row>
    <row r="1304" spans="50:50">
      <c r="AX1304" s="393"/>
    </row>
    <row r="1305" spans="50:50">
      <c r="AX1305" s="393"/>
    </row>
    <row r="1306" spans="50:50">
      <c r="AX1306" s="393"/>
    </row>
    <row r="1307" spans="50:50">
      <c r="AX1307" s="393"/>
    </row>
    <row r="1308" spans="50:50">
      <c r="AX1308" s="393"/>
    </row>
    <row r="1309" spans="50:50">
      <c r="AX1309" s="393"/>
    </row>
    <row r="1310" spans="50:50">
      <c r="AX1310" s="393"/>
    </row>
    <row r="1311" spans="50:50">
      <c r="AX1311" s="393"/>
    </row>
    <row r="1312" spans="50:50">
      <c r="AX1312" s="393"/>
    </row>
    <row r="1313" spans="50:50">
      <c r="AX1313" s="393"/>
    </row>
    <row r="1314" spans="50:50">
      <c r="AX1314" s="393"/>
    </row>
    <row r="1315" spans="50:50">
      <c r="AX1315" s="393"/>
    </row>
    <row r="1316" spans="50:50">
      <c r="AX1316" s="393"/>
    </row>
    <row r="1317" spans="50:50">
      <c r="AX1317" s="393"/>
    </row>
    <row r="1318" spans="50:50">
      <c r="AX1318" s="393"/>
    </row>
    <row r="1319" spans="50:50">
      <c r="AX1319" s="393"/>
    </row>
    <row r="1320" spans="50:50">
      <c r="AX1320" s="393"/>
    </row>
    <row r="1321" spans="50:50">
      <c r="AX1321" s="393"/>
    </row>
    <row r="1322" spans="50:50">
      <c r="AX1322" s="393"/>
    </row>
    <row r="1323" spans="50:50">
      <c r="AX1323" s="393"/>
    </row>
    <row r="1324" spans="50:50">
      <c r="AX1324" s="393"/>
    </row>
    <row r="1325" spans="50:50">
      <c r="AX1325" s="393"/>
    </row>
    <row r="1326" spans="50:50">
      <c r="AX1326" s="393"/>
    </row>
    <row r="1327" spans="50:50">
      <c r="AX1327" s="393"/>
    </row>
    <row r="1328" spans="50:50">
      <c r="AX1328" s="393"/>
    </row>
    <row r="1329" spans="50:50">
      <c r="AX1329" s="393"/>
    </row>
    <row r="1330" spans="50:50">
      <c r="AX1330" s="393"/>
    </row>
    <row r="1331" spans="50:50">
      <c r="AX1331" s="393"/>
    </row>
    <row r="1332" spans="50:50">
      <c r="AX1332" s="393"/>
    </row>
    <row r="1333" spans="50:50">
      <c r="AX1333" s="393"/>
    </row>
    <row r="1334" spans="50:50">
      <c r="AX1334" s="393"/>
    </row>
    <row r="1335" spans="50:50">
      <c r="AX1335" s="393"/>
    </row>
    <row r="1336" spans="50:50">
      <c r="AX1336" s="393"/>
    </row>
    <row r="1337" spans="50:50">
      <c r="AX1337" s="393"/>
    </row>
    <row r="1338" spans="50:50">
      <c r="AX1338" s="393"/>
    </row>
    <row r="1339" spans="50:50">
      <c r="AX1339" s="393"/>
    </row>
    <row r="1340" spans="50:50">
      <c r="AX1340" s="393"/>
    </row>
    <row r="1341" spans="50:50">
      <c r="AX1341" s="393"/>
    </row>
    <row r="1342" spans="50:50">
      <c r="AX1342" s="393"/>
    </row>
    <row r="1343" spans="50:50">
      <c r="AX1343" s="393"/>
    </row>
    <row r="1344" spans="50:50">
      <c r="AX1344" s="393"/>
    </row>
    <row r="1345" spans="50:50">
      <c r="AX1345" s="393"/>
    </row>
    <row r="1346" spans="50:50">
      <c r="AX1346" s="393"/>
    </row>
    <row r="1347" spans="50:50">
      <c r="AX1347" s="393"/>
    </row>
    <row r="1348" spans="50:50">
      <c r="AX1348" s="393"/>
    </row>
    <row r="1349" spans="50:50">
      <c r="AX1349" s="393"/>
    </row>
    <row r="1350" spans="50:50">
      <c r="AX1350" s="393"/>
    </row>
    <row r="1351" spans="50:50">
      <c r="AX1351" s="393"/>
    </row>
    <row r="1352" spans="50:50">
      <c r="AX1352" s="393"/>
    </row>
    <row r="1353" spans="50:50">
      <c r="AX1353" s="393"/>
    </row>
    <row r="1354" spans="50:50">
      <c r="AX1354" s="393"/>
    </row>
    <row r="1355" spans="50:50">
      <c r="AX1355" s="393"/>
    </row>
    <row r="1356" spans="50:50">
      <c r="AX1356" s="393"/>
    </row>
    <row r="1357" spans="50:50">
      <c r="AX1357" s="393"/>
    </row>
    <row r="1358" spans="50:50">
      <c r="AX1358" s="393"/>
    </row>
    <row r="1359" spans="50:50">
      <c r="AX1359" s="393"/>
    </row>
    <row r="1360" spans="50:50">
      <c r="AX1360" s="393"/>
    </row>
    <row r="1361" spans="50:50">
      <c r="AX1361" s="393"/>
    </row>
    <row r="1362" spans="50:50">
      <c r="AX1362" s="393"/>
    </row>
    <row r="1363" spans="50:50">
      <c r="AX1363" s="393"/>
    </row>
    <row r="1364" spans="50:50">
      <c r="AX1364" s="393"/>
    </row>
    <row r="1365" spans="50:50">
      <c r="AX1365" s="393"/>
    </row>
    <row r="1366" spans="50:50">
      <c r="AX1366" s="393"/>
    </row>
    <row r="1367" spans="50:50">
      <c r="AX1367" s="393"/>
    </row>
    <row r="1368" spans="50:50">
      <c r="AX1368" s="393"/>
    </row>
    <row r="1369" spans="50:50">
      <c r="AX1369" s="393"/>
    </row>
    <row r="1370" spans="50:50">
      <c r="AX1370" s="393"/>
    </row>
    <row r="1371" spans="50:50">
      <c r="AX1371" s="393"/>
    </row>
    <row r="1372" spans="50:50">
      <c r="AX1372" s="393"/>
    </row>
    <row r="1373" spans="50:50">
      <c r="AX1373" s="393"/>
    </row>
    <row r="1374" spans="50:50">
      <c r="AX1374" s="393"/>
    </row>
    <row r="1375" spans="50:50">
      <c r="AX1375" s="393"/>
    </row>
    <row r="1376" spans="50:50">
      <c r="AX1376" s="393"/>
    </row>
    <row r="1377" spans="50:50">
      <c r="AX1377" s="393"/>
    </row>
    <row r="1378" spans="50:50">
      <c r="AX1378" s="393"/>
    </row>
    <row r="1379" spans="50:50">
      <c r="AX1379" s="393"/>
    </row>
    <row r="1380" spans="50:50">
      <c r="AX1380" s="393"/>
    </row>
    <row r="1381" spans="50:50">
      <c r="AX1381" s="393"/>
    </row>
    <row r="1382" spans="50:50">
      <c r="AX1382" s="393"/>
    </row>
    <row r="1383" spans="50:50">
      <c r="AX1383" s="393"/>
    </row>
    <row r="1384" spans="50:50">
      <c r="AX1384" s="393"/>
    </row>
    <row r="1385" spans="50:50">
      <c r="AX1385" s="393"/>
    </row>
    <row r="1386" spans="50:50">
      <c r="AX1386" s="393"/>
    </row>
    <row r="1387" spans="50:50">
      <c r="AX1387" s="393"/>
    </row>
    <row r="1388" spans="50:50">
      <c r="AX1388" s="393"/>
    </row>
    <row r="1389" spans="50:50">
      <c r="AX1389" s="393"/>
    </row>
    <row r="1390" spans="50:50">
      <c r="AX1390" s="393"/>
    </row>
    <row r="1391" spans="50:50">
      <c r="AX1391" s="393"/>
    </row>
    <row r="1392" spans="50:50">
      <c r="AX1392" s="393"/>
    </row>
    <row r="1393" spans="50:50">
      <c r="AX1393" s="393"/>
    </row>
    <row r="1394" spans="50:50">
      <c r="AX1394" s="393"/>
    </row>
    <row r="1395" spans="50:50">
      <c r="AX1395" s="393"/>
    </row>
    <row r="1396" spans="50:50">
      <c r="AX1396" s="393"/>
    </row>
    <row r="1397" spans="50:50">
      <c r="AX1397" s="393"/>
    </row>
    <row r="1398" spans="50:50">
      <c r="AX1398" s="393"/>
    </row>
    <row r="1399" spans="50:50">
      <c r="AX1399" s="393"/>
    </row>
    <row r="1400" spans="50:50">
      <c r="AX1400" s="393"/>
    </row>
    <row r="1401" spans="50:50">
      <c r="AX1401" s="393"/>
    </row>
    <row r="1402" spans="50:50">
      <c r="AX1402" s="393"/>
    </row>
    <row r="1403" spans="50:50">
      <c r="AX1403" s="393"/>
    </row>
    <row r="1404" spans="50:50">
      <c r="AX1404" s="393"/>
    </row>
    <row r="1405" spans="50:50">
      <c r="AX1405" s="393"/>
    </row>
    <row r="1406" spans="50:50" ht="13.5">
      <c r="AX1406" s="296"/>
    </row>
    <row r="1407" spans="50:50" ht="13.5">
      <c r="AX1407" s="296"/>
    </row>
    <row r="1408" spans="50:50" ht="13.5">
      <c r="AX1408" s="296"/>
    </row>
    <row r="1409" spans="50:50" ht="13.5">
      <c r="AX1409" s="296"/>
    </row>
    <row r="1410" spans="50:50" ht="13.5">
      <c r="AX1410" s="296"/>
    </row>
    <row r="1411" spans="50:50" ht="13.5">
      <c r="AX1411" s="296"/>
    </row>
    <row r="1412" spans="50:50" ht="13.5">
      <c r="AX1412" s="296"/>
    </row>
    <row r="1413" spans="50:50" ht="13.5">
      <c r="AX1413" s="296"/>
    </row>
    <row r="1414" spans="50:50" ht="13.5">
      <c r="AX1414" s="296"/>
    </row>
    <row r="1477" ht="16.5" customHeight="1"/>
    <row r="1478" ht="16.5" customHeight="1"/>
    <row r="1479" ht="16.5" customHeight="1"/>
    <row r="1480" ht="16.5" customHeight="1"/>
    <row r="1481" ht="16.5" customHeight="1"/>
    <row r="1482" ht="16.5" customHeight="1"/>
    <row r="1483" ht="16.5" customHeight="1"/>
    <row r="1484" ht="16.5" customHeight="1"/>
    <row r="1485" ht="16.5" customHeight="1"/>
    <row r="1486" ht="16.5" customHeight="1"/>
    <row r="1487" ht="16.5" customHeight="1"/>
    <row r="1488" ht="16.5" customHeight="1"/>
    <row r="1489" ht="16.5" customHeight="1"/>
    <row r="1490" ht="16.5" customHeight="1"/>
    <row r="1491" ht="16.5" customHeight="1"/>
    <row r="1492" ht="16.5" customHeight="1"/>
    <row r="1493" ht="16.5" customHeight="1"/>
    <row r="1494" ht="16.5" customHeight="1"/>
    <row r="1495" ht="16.5" customHeight="1"/>
    <row r="1496" ht="16.5" customHeight="1"/>
    <row r="1497" ht="16.5" customHeight="1"/>
    <row r="1522" ht="16.5" customHeight="1"/>
    <row r="1523" ht="16.5" customHeight="1"/>
    <row r="1524" ht="16.5" customHeight="1"/>
    <row r="1525" ht="16.5" customHeight="1"/>
    <row r="1526" ht="16.5" customHeight="1"/>
    <row r="1527" ht="16.5" customHeight="1"/>
    <row r="1528" ht="16.5" customHeight="1"/>
    <row r="1529" ht="16.5" customHeight="1"/>
    <row r="1530" ht="16.5" customHeight="1"/>
    <row r="1578" spans="50:50" ht="13.5">
      <c r="AX1578" s="296"/>
    </row>
    <row r="1579" spans="50:50" ht="13.5">
      <c r="AX1579" s="296"/>
    </row>
    <row r="1580" spans="50:50" ht="13.5">
      <c r="AX1580" s="296"/>
    </row>
    <row r="1581" spans="50:50" ht="13.5">
      <c r="AX1581" s="296"/>
    </row>
    <row r="1582" spans="50:50" ht="13.5">
      <c r="AX1582" s="296"/>
    </row>
    <row r="1583" spans="50:50" ht="13.5">
      <c r="AX1583" s="296"/>
    </row>
    <row r="1584" spans="50:50" ht="13.5">
      <c r="AX1584" s="296"/>
    </row>
    <row r="1585" spans="50:50" ht="13.5">
      <c r="AX1585" s="296"/>
    </row>
    <row r="1586" spans="50:50" ht="13.5">
      <c r="AX1586" s="296"/>
    </row>
    <row r="1587" spans="50:50" ht="13.5">
      <c r="AX1587" s="296"/>
    </row>
    <row r="1588" spans="50:50" ht="13.5">
      <c r="AX1588" s="296"/>
    </row>
    <row r="1589" spans="50:50" ht="13.5">
      <c r="AX1589" s="296"/>
    </row>
    <row r="1590" spans="50:50" ht="13.5">
      <c r="AX1590" s="296"/>
    </row>
    <row r="1591" spans="50:50" ht="13.5">
      <c r="AX1591" s="296"/>
    </row>
    <row r="1592" spans="50:50" ht="13.5">
      <c r="AX1592" s="296"/>
    </row>
    <row r="1593" spans="50:50" ht="13.5">
      <c r="AX1593" s="296"/>
    </row>
    <row r="1594" spans="50:50" ht="13.5">
      <c r="AX1594" s="296"/>
    </row>
    <row r="1595" spans="50:50" ht="13.5">
      <c r="AX1595" s="296"/>
    </row>
    <row r="1596" spans="50:50" ht="13.5">
      <c r="AX1596" s="296"/>
    </row>
    <row r="1597" spans="50:50" ht="13.5">
      <c r="AX1597" s="296"/>
    </row>
    <row r="1598" spans="50:50" ht="13.5">
      <c r="AX1598" s="296"/>
    </row>
    <row r="1599" spans="50:50" ht="13.5">
      <c r="AX1599" s="296"/>
    </row>
    <row r="1600" spans="50:50" ht="13.5">
      <c r="AX1600" s="296"/>
    </row>
    <row r="1601" spans="50:50" ht="13.5">
      <c r="AX1601" s="296"/>
    </row>
    <row r="1602" spans="50:50" ht="13.5">
      <c r="AX1602" s="296"/>
    </row>
    <row r="1603" spans="50:50" ht="13.5">
      <c r="AX1603" s="296"/>
    </row>
    <row r="1604" spans="50:50" ht="13.5">
      <c r="AX1604" s="296"/>
    </row>
    <row r="1605" spans="50:50" ht="13.5">
      <c r="AX1605" s="296"/>
    </row>
    <row r="1606" spans="50:50" ht="13.5">
      <c r="AX1606" s="296"/>
    </row>
    <row r="1607" spans="50:50" ht="13.5">
      <c r="AX1607" s="296"/>
    </row>
    <row r="1608" spans="50:50" ht="13.5">
      <c r="AX1608" s="296"/>
    </row>
    <row r="1609" spans="50:50" ht="13.5">
      <c r="AX1609" s="296"/>
    </row>
    <row r="1610" spans="50:50" ht="13.5">
      <c r="AX1610" s="296"/>
    </row>
    <row r="1611" spans="50:50" ht="13.5">
      <c r="AX1611" s="296"/>
    </row>
    <row r="1612" spans="50:50" ht="13.5">
      <c r="AX1612" s="296"/>
    </row>
    <row r="1613" spans="50:50" ht="13.5">
      <c r="AX1613" s="296"/>
    </row>
    <row r="1614" spans="50:50" ht="13.5">
      <c r="AX1614" s="296"/>
    </row>
    <row r="1615" spans="50:50" ht="13.5">
      <c r="AX1615" s="296"/>
    </row>
    <row r="1616" spans="50:50" ht="13.5">
      <c r="AX1616" s="296"/>
    </row>
    <row r="1617" spans="50:50" ht="13.5">
      <c r="AX1617" s="296"/>
    </row>
    <row r="1618" spans="50:50" ht="13.5">
      <c r="AX1618" s="296"/>
    </row>
    <row r="1619" spans="50:50" ht="13.5">
      <c r="AX1619" s="296"/>
    </row>
    <row r="1620" spans="50:50" ht="13.5">
      <c r="AX1620" s="296"/>
    </row>
    <row r="1621" spans="50:50" ht="13.5">
      <c r="AX1621" s="296"/>
    </row>
    <row r="1622" spans="50:50" ht="13.5">
      <c r="AX1622" s="296"/>
    </row>
    <row r="1623" spans="50:50" ht="13.5">
      <c r="AX1623" s="296"/>
    </row>
    <row r="1624" spans="50:50" ht="13.5">
      <c r="AX1624" s="296"/>
    </row>
    <row r="1625" spans="50:50" ht="13.5">
      <c r="AX1625" s="296"/>
    </row>
    <row r="1626" spans="50:50" ht="13.5">
      <c r="AX1626" s="296"/>
    </row>
    <row r="1627" spans="50:50" ht="13.5">
      <c r="AX1627" s="296"/>
    </row>
    <row r="1628" spans="50:50" ht="13.5">
      <c r="AX1628" s="296"/>
    </row>
    <row r="1629" spans="50:50" ht="13.5">
      <c r="AX1629" s="296"/>
    </row>
    <row r="1630" spans="50:50" ht="13.5">
      <c r="AX1630" s="296"/>
    </row>
    <row r="1631" spans="50:50" ht="13.5">
      <c r="AX1631" s="296"/>
    </row>
    <row r="1632" spans="50:50" ht="13.5">
      <c r="AX1632" s="296"/>
    </row>
    <row r="1633" spans="50:50" ht="13.5">
      <c r="AX1633" s="296"/>
    </row>
    <row r="1634" spans="50:50" ht="13.5">
      <c r="AX1634" s="296"/>
    </row>
    <row r="1635" spans="50:50" ht="13.5">
      <c r="AX1635" s="296"/>
    </row>
    <row r="1636" spans="50:50" ht="13.5">
      <c r="AX1636" s="296"/>
    </row>
    <row r="1637" spans="50:50" ht="13.5">
      <c r="AX1637" s="296"/>
    </row>
    <row r="1638" spans="50:50" ht="13.5">
      <c r="AX1638" s="296"/>
    </row>
    <row r="1639" spans="50:50" ht="13.5">
      <c r="AX1639" s="296"/>
    </row>
    <row r="1640" spans="50:50" ht="13.5">
      <c r="AX1640" s="296"/>
    </row>
    <row r="1641" spans="50:50" ht="13.5">
      <c r="AX1641" s="296"/>
    </row>
    <row r="1642" spans="50:50" ht="13.5">
      <c r="AX1642" s="296"/>
    </row>
    <row r="1643" spans="50:50" ht="13.5">
      <c r="AX1643" s="296"/>
    </row>
    <row r="1644" spans="50:50" ht="13.5">
      <c r="AX1644" s="296"/>
    </row>
    <row r="1645" spans="50:50" ht="13.5">
      <c r="AX1645" s="296"/>
    </row>
    <row r="1646" spans="50:50" ht="13.5">
      <c r="AX1646" s="296"/>
    </row>
    <row r="1647" spans="50:50" ht="13.5">
      <c r="AX1647" s="296"/>
    </row>
    <row r="1648" spans="50:50" ht="13.5">
      <c r="AX1648" s="296"/>
    </row>
    <row r="1649" spans="50:50" ht="13.5">
      <c r="AX1649" s="296"/>
    </row>
    <row r="1650" spans="50:50" ht="13.5">
      <c r="AX1650" s="296"/>
    </row>
    <row r="1651" spans="50:50" ht="13.5">
      <c r="AX1651" s="296"/>
    </row>
    <row r="1652" spans="50:50" ht="13.5">
      <c r="AX1652" s="296"/>
    </row>
    <row r="1653" spans="50:50" ht="13.5">
      <c r="AX1653" s="296"/>
    </row>
    <row r="1654" spans="50:50" ht="13.5">
      <c r="AX1654" s="296"/>
    </row>
    <row r="1655" spans="50:50" ht="13.5">
      <c r="AX1655" s="296"/>
    </row>
    <row r="1656" spans="50:50" ht="13.5">
      <c r="AX1656" s="296"/>
    </row>
    <row r="1657" spans="50:50" ht="13.5">
      <c r="AX1657" s="296"/>
    </row>
    <row r="1658" spans="50:50" ht="13.5">
      <c r="AX1658" s="296"/>
    </row>
    <row r="1659" spans="50:50" ht="13.5">
      <c r="AX1659" s="296"/>
    </row>
    <row r="1660" spans="50:50" ht="13.5">
      <c r="AX1660" s="296"/>
    </row>
    <row r="1661" spans="50:50" ht="13.5">
      <c r="AX1661" s="296"/>
    </row>
    <row r="1662" spans="50:50" ht="13.5">
      <c r="AX1662" s="296"/>
    </row>
    <row r="1663" spans="50:50" ht="13.5">
      <c r="AX1663" s="296"/>
    </row>
    <row r="1664" spans="50:50" ht="13.5">
      <c r="AX1664" s="296"/>
    </row>
    <row r="1665" spans="50:50" ht="13.5">
      <c r="AX1665" s="296"/>
    </row>
    <row r="1666" spans="50:50" ht="13.5">
      <c r="AX1666" s="296"/>
    </row>
    <row r="1667" spans="50:50" ht="13.5">
      <c r="AX1667" s="296"/>
    </row>
    <row r="1668" spans="50:50" ht="13.5">
      <c r="AX1668" s="296"/>
    </row>
    <row r="1669" spans="50:50" ht="13.5">
      <c r="AX1669" s="296"/>
    </row>
    <row r="1670" spans="50:50" ht="13.5">
      <c r="AX1670" s="296"/>
    </row>
    <row r="1671" spans="50:50" ht="13.5">
      <c r="AX1671" s="296"/>
    </row>
    <row r="1672" spans="50:50" ht="13.5">
      <c r="AX1672" s="296"/>
    </row>
    <row r="1673" spans="50:50" ht="13.5">
      <c r="AX1673" s="296"/>
    </row>
    <row r="1674" spans="50:50" ht="13.5">
      <c r="AX1674" s="296"/>
    </row>
    <row r="1675" spans="50:50" ht="13.5">
      <c r="AX1675" s="296"/>
    </row>
    <row r="1676" spans="50:50" ht="13.5">
      <c r="AX1676" s="296"/>
    </row>
    <row r="1677" spans="50:50" ht="13.5">
      <c r="AX1677" s="296"/>
    </row>
    <row r="1678" spans="50:50" ht="13.5">
      <c r="AX1678" s="296"/>
    </row>
    <row r="1679" spans="50:50" ht="13.5">
      <c r="AX1679" s="296"/>
    </row>
    <row r="1680" spans="50:50" ht="13.5">
      <c r="AX1680" s="296"/>
    </row>
    <row r="1681" spans="50:50" ht="13.5">
      <c r="AX1681" s="296"/>
    </row>
    <row r="1682" spans="50:50" ht="13.5">
      <c r="AX1682" s="296"/>
    </row>
    <row r="1683" spans="50:50" ht="13.5">
      <c r="AX1683" s="296"/>
    </row>
    <row r="1684" spans="50:50" ht="13.5">
      <c r="AX1684" s="296"/>
    </row>
    <row r="1685" spans="50:50" ht="13.5">
      <c r="AX1685" s="296"/>
    </row>
    <row r="1686" spans="50:50" ht="13.5">
      <c r="AX1686" s="296"/>
    </row>
    <row r="1687" spans="50:50" ht="13.5">
      <c r="AX1687" s="296"/>
    </row>
    <row r="1688" spans="50:50" ht="13.5">
      <c r="AX1688" s="296"/>
    </row>
    <row r="1689" spans="50:50" ht="13.5">
      <c r="AX1689" s="296"/>
    </row>
    <row r="1690" spans="50:50" ht="13.5">
      <c r="AX1690" s="296"/>
    </row>
    <row r="1691" spans="50:50" ht="13.5">
      <c r="AX1691" s="296"/>
    </row>
    <row r="1692" spans="50:50" ht="13.5">
      <c r="AX1692" s="296"/>
    </row>
    <row r="1693" spans="50:50" ht="13.5">
      <c r="AX1693" s="296"/>
    </row>
    <row r="1694" spans="50:50" ht="13.5">
      <c r="AX1694" s="296"/>
    </row>
    <row r="1695" spans="50:50" ht="13.5">
      <c r="AX1695" s="296"/>
    </row>
    <row r="1696" spans="50:50" ht="13.5">
      <c r="AX1696" s="296"/>
    </row>
    <row r="1697" spans="50:50" ht="13.5">
      <c r="AX1697" s="296"/>
    </row>
    <row r="1698" spans="50:50" ht="13.5">
      <c r="AX1698" s="296"/>
    </row>
    <row r="1699" spans="50:50" ht="13.5">
      <c r="AX1699" s="296"/>
    </row>
    <row r="1700" spans="50:50" ht="13.5">
      <c r="AX1700" s="296"/>
    </row>
    <row r="1701" spans="50:50" ht="13.5">
      <c r="AX1701" s="296"/>
    </row>
    <row r="1702" spans="50:50" ht="13.5">
      <c r="AX1702" s="296"/>
    </row>
    <row r="1703" spans="50:50" ht="13.5">
      <c r="AX1703" s="296"/>
    </row>
    <row r="1704" spans="50:50" ht="13.5">
      <c r="AX1704" s="296"/>
    </row>
    <row r="1705" spans="50:50" ht="13.5">
      <c r="AX1705" s="296"/>
    </row>
    <row r="1706" spans="50:50" ht="13.5">
      <c r="AX1706" s="296"/>
    </row>
    <row r="1707" spans="50:50" ht="13.5">
      <c r="AX1707" s="296"/>
    </row>
    <row r="1708" spans="50:50" ht="13.5">
      <c r="AX1708" s="296"/>
    </row>
    <row r="1709" spans="50:50" ht="13.5">
      <c r="AX1709" s="296"/>
    </row>
    <row r="1710" spans="50:50" ht="13.5">
      <c r="AX1710" s="296"/>
    </row>
    <row r="1711" spans="50:50" ht="13.5">
      <c r="AX1711" s="296"/>
    </row>
    <row r="1712" spans="50:50" ht="13.5">
      <c r="AX1712" s="296"/>
    </row>
    <row r="1713" spans="50:50" ht="13.5">
      <c r="AX1713" s="296"/>
    </row>
    <row r="1714" spans="50:50" ht="13.5">
      <c r="AX1714" s="296"/>
    </row>
    <row r="1715" spans="50:50" ht="13.5">
      <c r="AX1715" s="296"/>
    </row>
    <row r="1716" spans="50:50" ht="13.5">
      <c r="AX1716" s="296"/>
    </row>
    <row r="1717" spans="50:50" ht="13.5">
      <c r="AX1717" s="296"/>
    </row>
    <row r="1718" spans="50:50" ht="13.5">
      <c r="AX1718" s="296"/>
    </row>
    <row r="1719" spans="50:50" ht="13.5">
      <c r="AX1719" s="296"/>
    </row>
    <row r="1720" spans="50:50" ht="13.5">
      <c r="AX1720" s="296"/>
    </row>
    <row r="1721" spans="50:50" ht="13.5">
      <c r="AX1721" s="296"/>
    </row>
    <row r="1722" spans="50:50" ht="13.5">
      <c r="AX1722" s="296"/>
    </row>
    <row r="1723" spans="50:50" ht="13.5">
      <c r="AX1723" s="296"/>
    </row>
    <row r="1724" spans="50:50" ht="13.5">
      <c r="AX1724" s="296"/>
    </row>
    <row r="1725" spans="50:50" ht="13.5">
      <c r="AX1725" s="296"/>
    </row>
    <row r="1726" spans="50:50" ht="13.5">
      <c r="AX1726" s="296"/>
    </row>
    <row r="1727" spans="50:50" ht="13.5">
      <c r="AX1727" s="296"/>
    </row>
    <row r="1728" spans="50:50" ht="13.5">
      <c r="AX1728" s="296"/>
    </row>
    <row r="1729" spans="50:50" ht="13.5">
      <c r="AX1729" s="296"/>
    </row>
    <row r="1730" spans="50:50" ht="13.5">
      <c r="AX1730" s="296"/>
    </row>
    <row r="1731" spans="50:50" ht="13.5">
      <c r="AX1731" s="296"/>
    </row>
    <row r="1732" spans="50:50" ht="13.5">
      <c r="AX1732" s="296"/>
    </row>
    <row r="1733" spans="50:50" ht="13.5">
      <c r="AX1733" s="296"/>
    </row>
    <row r="1734" spans="50:50" ht="13.5">
      <c r="AX1734" s="296"/>
    </row>
    <row r="1735" spans="50:50" ht="13.5">
      <c r="AX1735" s="296"/>
    </row>
    <row r="1736" spans="50:50" ht="13.5">
      <c r="AX1736" s="296"/>
    </row>
    <row r="1737" spans="50:50" ht="13.5">
      <c r="AX1737" s="296"/>
    </row>
    <row r="1738" spans="50:50" ht="13.5">
      <c r="AX1738" s="296"/>
    </row>
    <row r="1745" ht="16.5" customHeight="1"/>
    <row r="1746" ht="16.5" customHeight="1"/>
    <row r="1747" ht="16.5" customHeight="1"/>
    <row r="1767" ht="16.5" customHeight="1"/>
    <row r="1768" ht="16.5" customHeight="1"/>
    <row r="1769" ht="16.5" customHeight="1"/>
    <row r="1770" ht="16.5" customHeight="1"/>
    <row r="1771" ht="16.5" customHeight="1"/>
    <row r="1772" ht="16.5" customHeight="1"/>
    <row r="1773" ht="16.5" customHeight="1"/>
    <row r="1774" ht="16.5" customHeight="1"/>
    <row r="1775" ht="16.5" customHeight="1"/>
    <row r="1776" ht="16.5" customHeight="1"/>
    <row r="1777" ht="16.5" customHeight="1"/>
    <row r="1778" ht="16.5" customHeight="1"/>
    <row r="1779" ht="16.5" customHeight="1"/>
    <row r="1780" ht="16.5" customHeight="1"/>
    <row r="1781" ht="16.5" customHeight="1"/>
    <row r="1782" ht="16.5" customHeight="1"/>
    <row r="1783" ht="16.5" customHeight="1"/>
    <row r="1784" ht="16.5" customHeight="1"/>
    <row r="1785" ht="16.5" customHeight="1"/>
    <row r="1786" ht="16.5" customHeight="1"/>
    <row r="1787" ht="16.5" customHeight="1"/>
  </sheetData>
  <autoFilter ref="A1:P1080">
    <filterColumn colId="1">
      <filters>
        <filter val="AVG"/>
      </filters>
    </filterColumn>
  </autoFilter>
  <sortState ref="A1091:S1270">
    <sortCondition ref="P1091"/>
    <sortCondition ref="Q1091"/>
    <sortCondition descending="1" ref="R1091"/>
  </sortState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52" r:id="rId4" name="btnEVCResultArrange">
          <controlPr defaultSize="0" autoLine="0" r:id="rId5">
            <anchor moveWithCells="1">
              <from>
                <xdr:col>17</xdr:col>
                <xdr:colOff>9525</xdr:colOff>
                <xdr:row>65</xdr:row>
                <xdr:rowOff>0</xdr:rowOff>
              </from>
              <to>
                <xdr:col>19</xdr:col>
                <xdr:colOff>180975</xdr:colOff>
                <xdr:row>83</xdr:row>
                <xdr:rowOff>57150</xdr:rowOff>
              </to>
            </anchor>
          </controlPr>
        </control>
      </mc:Choice>
      <mc:Fallback>
        <control shapeId="39952" r:id="rId4" name="btnEVCResultArrange"/>
      </mc:Fallback>
    </mc:AlternateContent>
    <mc:AlternateContent xmlns:mc="http://schemas.openxmlformats.org/markup-compatibility/2006">
      <mc:Choice Requires="x14">
        <control shapeId="39961" r:id="rId6" name="btnRecalAvg">
          <controlPr defaultSize="0" autoLine="0" r:id="rId7">
            <anchor moveWithCells="1">
              <from>
                <xdr:col>17</xdr:col>
                <xdr:colOff>9525</xdr:colOff>
                <xdr:row>53</xdr:row>
                <xdr:rowOff>0</xdr:rowOff>
              </from>
              <to>
                <xdr:col>19</xdr:col>
                <xdr:colOff>180975</xdr:colOff>
                <xdr:row>71</xdr:row>
                <xdr:rowOff>66675</xdr:rowOff>
              </to>
            </anchor>
          </controlPr>
        </control>
      </mc:Choice>
      <mc:Fallback>
        <control shapeId="39961" r:id="rId6" name="btnRecalAvg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81"/>
  <sheetViews>
    <sheetView workbookViewId="0">
      <selection activeCell="A2" sqref="A2"/>
    </sheetView>
  </sheetViews>
  <sheetFormatPr defaultColWidth="8.88671875" defaultRowHeight="12.95" customHeight="1"/>
  <cols>
    <col min="1" max="2" width="8.88671875" style="246"/>
    <col min="3" max="4" width="8.88671875" style="22"/>
    <col min="5" max="14" width="6" style="22" bestFit="1" customWidth="1"/>
    <col min="15" max="15" width="6.6640625" style="22" bestFit="1" customWidth="1"/>
    <col min="16" max="16" width="6.33203125" style="22" customWidth="1"/>
    <col min="17" max="17" width="7.21875" style="22" bestFit="1" customWidth="1"/>
    <col min="18" max="16384" width="8.88671875" style="22"/>
  </cols>
  <sheetData>
    <row r="1" spans="1:18" ht="12.95" customHeight="1">
      <c r="A1" s="429" t="s">
        <v>91</v>
      </c>
      <c r="B1" s="221" t="s">
        <v>79</v>
      </c>
      <c r="C1" s="68" t="s">
        <v>92</v>
      </c>
      <c r="D1" s="68" t="s">
        <v>93</v>
      </c>
      <c r="E1" s="433" t="s">
        <v>67</v>
      </c>
      <c r="F1" s="433" t="s">
        <v>80</v>
      </c>
      <c r="G1" s="433" t="s">
        <v>68</v>
      </c>
      <c r="H1" s="433" t="s">
        <v>69</v>
      </c>
      <c r="I1" s="433" t="s">
        <v>70</v>
      </c>
      <c r="J1" s="433" t="s">
        <v>71</v>
      </c>
      <c r="K1" s="433" t="s">
        <v>72</v>
      </c>
      <c r="L1" s="433" t="s">
        <v>73</v>
      </c>
      <c r="M1" s="433" t="s">
        <v>74</v>
      </c>
      <c r="N1" s="433" t="s">
        <v>75</v>
      </c>
      <c r="O1" s="433" t="s">
        <v>76</v>
      </c>
      <c r="P1" s="433" t="s">
        <v>77</v>
      </c>
      <c r="Q1" s="433" t="s">
        <v>78</v>
      </c>
      <c r="R1" s="432" t="s">
        <v>66</v>
      </c>
    </row>
    <row r="2" spans="1:18" ht="12.95" customHeight="1">
      <c r="A2" s="430">
        <v>1</v>
      </c>
      <c r="B2" s="159" t="s">
        <v>312</v>
      </c>
      <c r="C2" s="68" t="s">
        <v>96</v>
      </c>
      <c r="D2" s="68" t="s">
        <v>308</v>
      </c>
      <c r="E2" s="428" t="s">
        <v>4151</v>
      </c>
      <c r="F2" s="428" t="s">
        <v>3604</v>
      </c>
      <c r="G2" s="428" t="s">
        <v>2654</v>
      </c>
      <c r="H2" s="428" t="s">
        <v>2654</v>
      </c>
      <c r="I2" s="428" t="s">
        <v>2654</v>
      </c>
      <c r="J2" s="428" t="s">
        <v>2654</v>
      </c>
      <c r="K2" s="428" t="s">
        <v>2654</v>
      </c>
      <c r="L2" s="428" t="s">
        <v>2654</v>
      </c>
      <c r="M2" s="428" t="s">
        <v>2654</v>
      </c>
      <c r="N2" s="428" t="s">
        <v>2654</v>
      </c>
      <c r="O2" s="428" t="s">
        <v>2654</v>
      </c>
      <c r="P2" s="428" t="s">
        <v>2654</v>
      </c>
      <c r="Q2" s="428" t="s">
        <v>2654</v>
      </c>
      <c r="R2" s="394" t="s">
        <v>1546</v>
      </c>
    </row>
    <row r="3" spans="1:18" ht="12.95" customHeight="1">
      <c r="A3" s="430">
        <v>1</v>
      </c>
      <c r="B3" s="159" t="s">
        <v>312</v>
      </c>
      <c r="C3" s="68" t="s">
        <v>96</v>
      </c>
      <c r="D3" s="68" t="s">
        <v>310</v>
      </c>
      <c r="E3" s="428" t="s">
        <v>4151</v>
      </c>
      <c r="F3" s="428" t="s">
        <v>3209</v>
      </c>
      <c r="G3" s="428" t="s">
        <v>2654</v>
      </c>
      <c r="H3" s="428" t="s">
        <v>2654</v>
      </c>
      <c r="I3" s="428" t="s">
        <v>2654</v>
      </c>
      <c r="J3" s="428" t="s">
        <v>2654</v>
      </c>
      <c r="K3" s="428" t="s">
        <v>2654</v>
      </c>
      <c r="L3" s="428" t="s">
        <v>2654</v>
      </c>
      <c r="M3" s="428" t="s">
        <v>2654</v>
      </c>
      <c r="N3" s="428" t="s">
        <v>2654</v>
      </c>
      <c r="O3" s="428" t="s">
        <v>2654</v>
      </c>
      <c r="P3" s="428" t="s">
        <v>2654</v>
      </c>
      <c r="Q3" s="428" t="s">
        <v>2654</v>
      </c>
      <c r="R3" s="394" t="s">
        <v>1576</v>
      </c>
    </row>
    <row r="4" spans="1:18" ht="12.95" customHeight="1">
      <c r="A4" s="430">
        <v>1</v>
      </c>
      <c r="B4" s="159" t="s">
        <v>312</v>
      </c>
      <c r="C4" s="68" t="s">
        <v>96</v>
      </c>
      <c r="D4" s="68" t="s">
        <v>309</v>
      </c>
      <c r="E4" s="428" t="s">
        <v>4171</v>
      </c>
      <c r="F4" s="428" t="s">
        <v>3255</v>
      </c>
      <c r="G4" s="428" t="s">
        <v>2654</v>
      </c>
      <c r="H4" s="428" t="s">
        <v>2654</v>
      </c>
      <c r="I4" s="428" t="s">
        <v>2654</v>
      </c>
      <c r="J4" s="428" t="s">
        <v>2654</v>
      </c>
      <c r="K4" s="428" t="s">
        <v>2654</v>
      </c>
      <c r="L4" s="428" t="s">
        <v>2654</v>
      </c>
      <c r="M4" s="428" t="s">
        <v>2654</v>
      </c>
      <c r="N4" s="428" t="s">
        <v>2654</v>
      </c>
      <c r="O4" s="428" t="s">
        <v>2654</v>
      </c>
      <c r="P4" s="428" t="s">
        <v>2654</v>
      </c>
      <c r="Q4" s="428" t="s">
        <v>2654</v>
      </c>
      <c r="R4" s="394" t="s">
        <v>1606</v>
      </c>
    </row>
    <row r="5" spans="1:18" ht="12.95" customHeight="1">
      <c r="A5" s="430">
        <v>1</v>
      </c>
      <c r="B5" s="159" t="s">
        <v>312</v>
      </c>
      <c r="C5" s="68" t="s">
        <v>96</v>
      </c>
      <c r="D5" s="68" t="s">
        <v>311</v>
      </c>
      <c r="E5" s="428" t="s">
        <v>4151</v>
      </c>
      <c r="F5" s="428" t="s">
        <v>3209</v>
      </c>
      <c r="G5" s="428" t="s">
        <v>2654</v>
      </c>
      <c r="H5" s="428" t="s">
        <v>2654</v>
      </c>
      <c r="I5" s="428" t="s">
        <v>2654</v>
      </c>
      <c r="J5" s="428" t="s">
        <v>2654</v>
      </c>
      <c r="K5" s="428" t="s">
        <v>2654</v>
      </c>
      <c r="L5" s="428" t="s">
        <v>2654</v>
      </c>
      <c r="M5" s="428" t="s">
        <v>2654</v>
      </c>
      <c r="N5" s="428" t="s">
        <v>2654</v>
      </c>
      <c r="O5" s="428" t="s">
        <v>2654</v>
      </c>
      <c r="P5" s="428" t="s">
        <v>2654</v>
      </c>
      <c r="Q5" s="428" t="s">
        <v>2654</v>
      </c>
      <c r="R5" s="394" t="s">
        <v>1636</v>
      </c>
    </row>
    <row r="6" spans="1:18" ht="12.95" customHeight="1">
      <c r="A6" s="430">
        <v>1</v>
      </c>
      <c r="B6" s="159" t="s">
        <v>312</v>
      </c>
      <c r="C6" s="68" t="s">
        <v>96</v>
      </c>
      <c r="D6" s="68" t="s">
        <v>307</v>
      </c>
      <c r="E6" s="428" t="s">
        <v>4189</v>
      </c>
      <c r="F6" s="428" t="s">
        <v>3255</v>
      </c>
      <c r="G6" s="428" t="s">
        <v>2654</v>
      </c>
      <c r="H6" s="428" t="s">
        <v>2654</v>
      </c>
      <c r="I6" s="428" t="s">
        <v>2654</v>
      </c>
      <c r="J6" s="428" t="s">
        <v>2654</v>
      </c>
      <c r="K6" s="428" t="s">
        <v>2654</v>
      </c>
      <c r="L6" s="428" t="s">
        <v>2654</v>
      </c>
      <c r="M6" s="428" t="s">
        <v>2654</v>
      </c>
      <c r="N6" s="428" t="s">
        <v>2654</v>
      </c>
      <c r="O6" s="428" t="s">
        <v>2654</v>
      </c>
      <c r="P6" s="428" t="s">
        <v>2654</v>
      </c>
      <c r="Q6" s="428" t="s">
        <v>2654</v>
      </c>
      <c r="R6" s="394" t="s">
        <v>1666</v>
      </c>
    </row>
    <row r="7" spans="1:18" ht="12.95" customHeight="1">
      <c r="A7" s="430">
        <v>1</v>
      </c>
      <c r="B7" s="159" t="s">
        <v>312</v>
      </c>
      <c r="C7" s="68" t="s">
        <v>95</v>
      </c>
      <c r="D7" s="68" t="s">
        <v>308</v>
      </c>
      <c r="E7" s="428" t="s">
        <v>4065</v>
      </c>
      <c r="F7" s="428" t="s">
        <v>3867</v>
      </c>
      <c r="G7" s="428" t="s">
        <v>4066</v>
      </c>
      <c r="H7" s="428" t="s">
        <v>4067</v>
      </c>
      <c r="I7" s="428" t="s">
        <v>3942</v>
      </c>
      <c r="J7" s="428" t="s">
        <v>2701</v>
      </c>
      <c r="K7" s="428" t="s">
        <v>3004</v>
      </c>
      <c r="L7" s="428" t="s">
        <v>2654</v>
      </c>
      <c r="M7" s="428" t="s">
        <v>2654</v>
      </c>
      <c r="N7" s="428" t="s">
        <v>2654</v>
      </c>
      <c r="O7" s="428" t="s">
        <v>2654</v>
      </c>
      <c r="P7" s="428" t="s">
        <v>2654</v>
      </c>
      <c r="Q7" s="428" t="s">
        <v>2686</v>
      </c>
      <c r="R7" s="394" t="s">
        <v>1396</v>
      </c>
    </row>
    <row r="8" spans="1:18" ht="12.95" customHeight="1">
      <c r="A8" s="430">
        <v>1</v>
      </c>
      <c r="B8" s="159" t="s">
        <v>312</v>
      </c>
      <c r="C8" s="68" t="s">
        <v>95</v>
      </c>
      <c r="D8" s="68" t="s">
        <v>310</v>
      </c>
      <c r="E8" s="428" t="s">
        <v>4092</v>
      </c>
      <c r="F8" s="428" t="s">
        <v>4007</v>
      </c>
      <c r="G8" s="428" t="s">
        <v>3942</v>
      </c>
      <c r="H8" s="428" t="s">
        <v>3667</v>
      </c>
      <c r="I8" s="428" t="s">
        <v>3095</v>
      </c>
      <c r="J8" s="428" t="s">
        <v>2654</v>
      </c>
      <c r="K8" s="428" t="s">
        <v>2654</v>
      </c>
      <c r="L8" s="428" t="s">
        <v>2654</v>
      </c>
      <c r="M8" s="428" t="s">
        <v>2654</v>
      </c>
      <c r="N8" s="428" t="s">
        <v>2654</v>
      </c>
      <c r="O8" s="428" t="s">
        <v>2654</v>
      </c>
      <c r="P8" s="428" t="s">
        <v>2654</v>
      </c>
      <c r="Q8" s="428" t="s">
        <v>2899</v>
      </c>
      <c r="R8" s="394" t="s">
        <v>1426</v>
      </c>
    </row>
    <row r="9" spans="1:18" ht="12.95" customHeight="1">
      <c r="A9" s="430">
        <v>1</v>
      </c>
      <c r="B9" s="159" t="s">
        <v>312</v>
      </c>
      <c r="C9" s="68" t="s">
        <v>95</v>
      </c>
      <c r="D9" s="68" t="s">
        <v>309</v>
      </c>
      <c r="E9" s="428" t="s">
        <v>4102</v>
      </c>
      <c r="F9" s="428" t="s">
        <v>3874</v>
      </c>
      <c r="G9" s="428" t="s">
        <v>2894</v>
      </c>
      <c r="H9" s="428" t="s">
        <v>4022</v>
      </c>
      <c r="I9" s="428" t="s">
        <v>3209</v>
      </c>
      <c r="J9" s="428" t="s">
        <v>3552</v>
      </c>
      <c r="K9" s="428" t="s">
        <v>2683</v>
      </c>
      <c r="L9" s="428" t="s">
        <v>2654</v>
      </c>
      <c r="M9" s="428" t="s">
        <v>2654</v>
      </c>
      <c r="N9" s="428" t="s">
        <v>2654</v>
      </c>
      <c r="O9" s="428" t="s">
        <v>2654</v>
      </c>
      <c r="P9" s="428" t="s">
        <v>2654</v>
      </c>
      <c r="Q9" s="428" t="s">
        <v>4103</v>
      </c>
      <c r="R9" s="394" t="s">
        <v>1456</v>
      </c>
    </row>
    <row r="10" spans="1:18" ht="12.95" customHeight="1">
      <c r="A10" s="430">
        <v>1</v>
      </c>
      <c r="B10" s="159" t="s">
        <v>312</v>
      </c>
      <c r="C10" s="68" t="s">
        <v>95</v>
      </c>
      <c r="D10" s="68" t="s">
        <v>311</v>
      </c>
      <c r="E10" s="428" t="s">
        <v>4121</v>
      </c>
      <c r="F10" s="428" t="s">
        <v>3874</v>
      </c>
      <c r="G10" s="428" t="s">
        <v>2907</v>
      </c>
      <c r="H10" s="428" t="s">
        <v>2773</v>
      </c>
      <c r="I10" s="428" t="s">
        <v>3666</v>
      </c>
      <c r="J10" s="428" t="s">
        <v>2934</v>
      </c>
      <c r="K10" s="428" t="s">
        <v>2654</v>
      </c>
      <c r="L10" s="428" t="s">
        <v>2654</v>
      </c>
      <c r="M10" s="428" t="s">
        <v>2654</v>
      </c>
      <c r="N10" s="428" t="s">
        <v>2654</v>
      </c>
      <c r="O10" s="428" t="s">
        <v>2654</v>
      </c>
      <c r="P10" s="428" t="s">
        <v>2654</v>
      </c>
      <c r="Q10" s="428" t="s">
        <v>3380</v>
      </c>
      <c r="R10" s="394" t="s">
        <v>1486</v>
      </c>
    </row>
    <row r="11" spans="1:18" ht="12.95" customHeight="1">
      <c r="A11" s="430">
        <v>1</v>
      </c>
      <c r="B11" s="159" t="s">
        <v>312</v>
      </c>
      <c r="C11" s="68" t="s">
        <v>95</v>
      </c>
      <c r="D11" s="68" t="s">
        <v>307</v>
      </c>
      <c r="E11" s="428" t="s">
        <v>4140</v>
      </c>
      <c r="F11" s="428" t="s">
        <v>3710</v>
      </c>
      <c r="G11" s="428" t="s">
        <v>3857</v>
      </c>
      <c r="H11" s="428" t="s">
        <v>3681</v>
      </c>
      <c r="I11" s="428" t="s">
        <v>3095</v>
      </c>
      <c r="J11" s="428" t="s">
        <v>2953</v>
      </c>
      <c r="K11" s="428" t="s">
        <v>2654</v>
      </c>
      <c r="L11" s="428" t="s">
        <v>2654</v>
      </c>
      <c r="M11" s="428" t="s">
        <v>2654</v>
      </c>
      <c r="N11" s="428" t="s">
        <v>2654</v>
      </c>
      <c r="O11" s="428" t="s">
        <v>2654</v>
      </c>
      <c r="P11" s="428" t="s">
        <v>2654</v>
      </c>
      <c r="Q11" s="428" t="s">
        <v>3526</v>
      </c>
      <c r="R11" s="394" t="s">
        <v>1516</v>
      </c>
    </row>
    <row r="12" spans="1:18" ht="12.95" customHeight="1">
      <c r="A12" s="430">
        <v>1</v>
      </c>
      <c r="B12" s="159" t="s">
        <v>314</v>
      </c>
      <c r="C12" s="68" t="s">
        <v>96</v>
      </c>
      <c r="D12" s="68" t="s">
        <v>308</v>
      </c>
      <c r="E12" s="428" t="s">
        <v>4338</v>
      </c>
      <c r="F12" s="428" t="s">
        <v>3604</v>
      </c>
      <c r="G12" s="428" t="s">
        <v>2654</v>
      </c>
      <c r="H12" s="428" t="s">
        <v>2654</v>
      </c>
      <c r="I12" s="428" t="s">
        <v>2654</v>
      </c>
      <c r="J12" s="428" t="s">
        <v>2654</v>
      </c>
      <c r="K12" s="428" t="s">
        <v>2654</v>
      </c>
      <c r="L12" s="428" t="s">
        <v>2654</v>
      </c>
      <c r="M12" s="428" t="s">
        <v>2654</v>
      </c>
      <c r="N12" s="428" t="s">
        <v>2654</v>
      </c>
      <c r="O12" s="428" t="s">
        <v>2654</v>
      </c>
      <c r="P12" s="428" t="s">
        <v>2654</v>
      </c>
      <c r="Q12" s="428" t="s">
        <v>2654</v>
      </c>
      <c r="R12" s="394" t="s">
        <v>1846</v>
      </c>
    </row>
    <row r="13" spans="1:18" ht="12.95" customHeight="1">
      <c r="A13" s="430">
        <v>1</v>
      </c>
      <c r="B13" s="159" t="s">
        <v>314</v>
      </c>
      <c r="C13" s="68" t="s">
        <v>96</v>
      </c>
      <c r="D13" s="68" t="s">
        <v>310</v>
      </c>
      <c r="E13" s="428" t="s">
        <v>3726</v>
      </c>
      <c r="F13" s="428" t="s">
        <v>3604</v>
      </c>
      <c r="G13" s="428" t="s">
        <v>2654</v>
      </c>
      <c r="H13" s="428" t="s">
        <v>2654</v>
      </c>
      <c r="I13" s="428" t="s">
        <v>2654</v>
      </c>
      <c r="J13" s="428" t="s">
        <v>2654</v>
      </c>
      <c r="K13" s="428" t="s">
        <v>2654</v>
      </c>
      <c r="L13" s="428" t="s">
        <v>2654</v>
      </c>
      <c r="M13" s="428" t="s">
        <v>2654</v>
      </c>
      <c r="N13" s="428" t="s">
        <v>2654</v>
      </c>
      <c r="O13" s="428" t="s">
        <v>2654</v>
      </c>
      <c r="P13" s="428" t="s">
        <v>2654</v>
      </c>
      <c r="Q13" s="428" t="s">
        <v>2654</v>
      </c>
      <c r="R13" s="394" t="s">
        <v>1876</v>
      </c>
    </row>
    <row r="14" spans="1:18" ht="12.95" customHeight="1">
      <c r="A14" s="430">
        <v>1</v>
      </c>
      <c r="B14" s="159" t="s">
        <v>314</v>
      </c>
      <c r="C14" s="68" t="s">
        <v>96</v>
      </c>
      <c r="D14" s="68" t="s">
        <v>309</v>
      </c>
      <c r="E14" s="428" t="s">
        <v>3602</v>
      </c>
      <c r="F14" s="428" t="s">
        <v>2676</v>
      </c>
      <c r="G14" s="428" t="s">
        <v>2654</v>
      </c>
      <c r="H14" s="428" t="s">
        <v>2654</v>
      </c>
      <c r="I14" s="428" t="s">
        <v>2654</v>
      </c>
      <c r="J14" s="428" t="s">
        <v>2654</v>
      </c>
      <c r="K14" s="428" t="s">
        <v>2654</v>
      </c>
      <c r="L14" s="428" t="s">
        <v>2654</v>
      </c>
      <c r="M14" s="428" t="s">
        <v>2654</v>
      </c>
      <c r="N14" s="428" t="s">
        <v>2654</v>
      </c>
      <c r="O14" s="428" t="s">
        <v>2654</v>
      </c>
      <c r="P14" s="428" t="s">
        <v>2654</v>
      </c>
      <c r="Q14" s="428" t="s">
        <v>2654</v>
      </c>
      <c r="R14" s="394" t="s">
        <v>1906</v>
      </c>
    </row>
    <row r="15" spans="1:18" ht="12.95" customHeight="1">
      <c r="A15" s="430">
        <v>1</v>
      </c>
      <c r="B15" s="159" t="s">
        <v>314</v>
      </c>
      <c r="C15" s="68" t="s">
        <v>96</v>
      </c>
      <c r="D15" s="68" t="s">
        <v>311</v>
      </c>
      <c r="E15" s="428" t="s">
        <v>4364</v>
      </c>
      <c r="F15" s="428" t="s">
        <v>3255</v>
      </c>
      <c r="G15" s="428" t="s">
        <v>2654</v>
      </c>
      <c r="H15" s="428" t="s">
        <v>2654</v>
      </c>
      <c r="I15" s="428" t="s">
        <v>2654</v>
      </c>
      <c r="J15" s="428" t="s">
        <v>2654</v>
      </c>
      <c r="K15" s="428" t="s">
        <v>2654</v>
      </c>
      <c r="L15" s="428" t="s">
        <v>2654</v>
      </c>
      <c r="M15" s="428" t="s">
        <v>2654</v>
      </c>
      <c r="N15" s="428" t="s">
        <v>2654</v>
      </c>
      <c r="O15" s="428" t="s">
        <v>2654</v>
      </c>
      <c r="P15" s="428" t="s">
        <v>2654</v>
      </c>
      <c r="Q15" s="428" t="s">
        <v>2654</v>
      </c>
      <c r="R15" s="395" t="s">
        <v>1936</v>
      </c>
    </row>
    <row r="16" spans="1:18" ht="12.95" customHeight="1">
      <c r="A16" s="430">
        <v>1</v>
      </c>
      <c r="B16" s="159" t="s">
        <v>314</v>
      </c>
      <c r="C16" s="68" t="s">
        <v>96</v>
      </c>
      <c r="D16" s="68" t="s">
        <v>307</v>
      </c>
      <c r="E16" s="428" t="s">
        <v>3319</v>
      </c>
      <c r="F16" s="428" t="s">
        <v>3604</v>
      </c>
      <c r="G16" s="428" t="s">
        <v>2654</v>
      </c>
      <c r="H16" s="428" t="s">
        <v>2654</v>
      </c>
      <c r="I16" s="428" t="s">
        <v>2654</v>
      </c>
      <c r="J16" s="428" t="s">
        <v>2654</v>
      </c>
      <c r="K16" s="428" t="s">
        <v>2654</v>
      </c>
      <c r="L16" s="428" t="s">
        <v>2654</v>
      </c>
      <c r="M16" s="428" t="s">
        <v>2654</v>
      </c>
      <c r="N16" s="428" t="s">
        <v>2654</v>
      </c>
      <c r="O16" s="428" t="s">
        <v>2654</v>
      </c>
      <c r="P16" s="428" t="s">
        <v>2654</v>
      </c>
      <c r="Q16" s="428" t="s">
        <v>2654</v>
      </c>
      <c r="R16" s="68" t="s">
        <v>1966</v>
      </c>
    </row>
    <row r="17" spans="1:18" ht="12.95" customHeight="1">
      <c r="A17" s="430">
        <v>1</v>
      </c>
      <c r="B17" s="159" t="s">
        <v>314</v>
      </c>
      <c r="C17" s="68" t="s">
        <v>95</v>
      </c>
      <c r="D17" s="68" t="s">
        <v>308</v>
      </c>
      <c r="E17" s="428" t="s">
        <v>4206</v>
      </c>
      <c r="F17" s="428" t="s">
        <v>3869</v>
      </c>
      <c r="G17" s="428" t="s">
        <v>4207</v>
      </c>
      <c r="H17" s="428" t="s">
        <v>4208</v>
      </c>
      <c r="I17" s="428" t="s">
        <v>4209</v>
      </c>
      <c r="J17" s="428" t="s">
        <v>4210</v>
      </c>
      <c r="K17" s="428" t="s">
        <v>4028</v>
      </c>
      <c r="L17" s="428" t="s">
        <v>4211</v>
      </c>
      <c r="M17" s="428" t="s">
        <v>3832</v>
      </c>
      <c r="N17" s="428" t="s">
        <v>4076</v>
      </c>
      <c r="O17" s="428" t="s">
        <v>3228</v>
      </c>
      <c r="P17" s="428" t="s">
        <v>2668</v>
      </c>
      <c r="Q17" s="428" t="s">
        <v>4212</v>
      </c>
      <c r="R17" s="394" t="s">
        <v>1696</v>
      </c>
    </row>
    <row r="18" spans="1:18" ht="12.95" customHeight="1">
      <c r="A18" s="430">
        <v>1</v>
      </c>
      <c r="B18" s="159" t="s">
        <v>314</v>
      </c>
      <c r="C18" s="68" t="s">
        <v>95</v>
      </c>
      <c r="D18" s="68" t="s">
        <v>310</v>
      </c>
      <c r="E18" s="428" t="s">
        <v>4242</v>
      </c>
      <c r="F18" s="428" t="s">
        <v>4243</v>
      </c>
      <c r="G18" s="428" t="s">
        <v>3045</v>
      </c>
      <c r="H18" s="428" t="s">
        <v>4244</v>
      </c>
      <c r="I18" s="428" t="s">
        <v>2850</v>
      </c>
      <c r="J18" s="428" t="s">
        <v>4245</v>
      </c>
      <c r="K18" s="428" t="s">
        <v>2777</v>
      </c>
      <c r="L18" s="428" t="s">
        <v>3396</v>
      </c>
      <c r="M18" s="428" t="s">
        <v>3935</v>
      </c>
      <c r="N18" s="428" t="s">
        <v>3145</v>
      </c>
      <c r="O18" s="428" t="s">
        <v>2654</v>
      </c>
      <c r="P18" s="428" t="s">
        <v>2654</v>
      </c>
      <c r="Q18" s="428" t="s">
        <v>4246</v>
      </c>
      <c r="R18" s="394" t="s">
        <v>1726</v>
      </c>
    </row>
    <row r="19" spans="1:18" ht="12.95" customHeight="1">
      <c r="A19" s="430">
        <v>1</v>
      </c>
      <c r="B19" s="159" t="s">
        <v>314</v>
      </c>
      <c r="C19" s="68" t="s">
        <v>95</v>
      </c>
      <c r="D19" s="68" t="s">
        <v>309</v>
      </c>
      <c r="E19" s="428" t="s">
        <v>4274</v>
      </c>
      <c r="F19" s="428" t="s">
        <v>3963</v>
      </c>
      <c r="G19" s="428" t="s">
        <v>3823</v>
      </c>
      <c r="H19" s="428" t="s">
        <v>4275</v>
      </c>
      <c r="I19" s="428" t="s">
        <v>3405</v>
      </c>
      <c r="J19" s="428" t="s">
        <v>3032</v>
      </c>
      <c r="K19" s="428" t="s">
        <v>2776</v>
      </c>
      <c r="L19" s="428" t="s">
        <v>4276</v>
      </c>
      <c r="M19" s="428" t="s">
        <v>4277</v>
      </c>
      <c r="N19" s="428" t="s">
        <v>4224</v>
      </c>
      <c r="O19" s="428" t="s">
        <v>3777</v>
      </c>
      <c r="P19" s="428" t="s">
        <v>3145</v>
      </c>
      <c r="Q19" s="428" t="s">
        <v>3529</v>
      </c>
      <c r="R19" s="394" t="s">
        <v>1756</v>
      </c>
    </row>
    <row r="20" spans="1:18" ht="12.95" customHeight="1">
      <c r="A20" s="430">
        <v>1</v>
      </c>
      <c r="B20" s="159" t="s">
        <v>314</v>
      </c>
      <c r="C20" s="68" t="s">
        <v>95</v>
      </c>
      <c r="D20" s="68" t="s">
        <v>311</v>
      </c>
      <c r="E20" s="428" t="s">
        <v>4303</v>
      </c>
      <c r="F20" s="428" t="s">
        <v>3867</v>
      </c>
      <c r="G20" s="428" t="s">
        <v>4291</v>
      </c>
      <c r="H20" s="428" t="s">
        <v>4244</v>
      </c>
      <c r="I20" s="428" t="s">
        <v>2819</v>
      </c>
      <c r="J20" s="428" t="s">
        <v>3857</v>
      </c>
      <c r="K20" s="428" t="s">
        <v>4304</v>
      </c>
      <c r="L20" s="428" t="s">
        <v>2723</v>
      </c>
      <c r="M20" s="428" t="s">
        <v>2687</v>
      </c>
      <c r="N20" s="428" t="s">
        <v>3058</v>
      </c>
      <c r="O20" s="428" t="s">
        <v>2683</v>
      </c>
      <c r="P20" s="428" t="s">
        <v>2654</v>
      </c>
      <c r="Q20" s="428" t="s">
        <v>3961</v>
      </c>
      <c r="R20" s="394" t="s">
        <v>1786</v>
      </c>
    </row>
    <row r="21" spans="1:18" ht="12.95" customHeight="1">
      <c r="A21" s="430">
        <v>1</v>
      </c>
      <c r="B21" s="159" t="s">
        <v>314</v>
      </c>
      <c r="C21" s="68" t="s">
        <v>95</v>
      </c>
      <c r="D21" s="68" t="s">
        <v>307</v>
      </c>
      <c r="E21" s="428" t="s">
        <v>4323</v>
      </c>
      <c r="F21" s="428" t="s">
        <v>3710</v>
      </c>
      <c r="G21" s="428" t="s">
        <v>4324</v>
      </c>
      <c r="H21" s="428" t="s">
        <v>2753</v>
      </c>
      <c r="I21" s="428" t="s">
        <v>4325</v>
      </c>
      <c r="J21" s="428" t="s">
        <v>3047</v>
      </c>
      <c r="K21" s="428" t="s">
        <v>4298</v>
      </c>
      <c r="L21" s="428" t="s">
        <v>3657</v>
      </c>
      <c r="M21" s="428" t="s">
        <v>4285</v>
      </c>
      <c r="N21" s="428" t="s">
        <v>3214</v>
      </c>
      <c r="O21" s="428" t="s">
        <v>2654</v>
      </c>
      <c r="P21" s="428" t="s">
        <v>2654</v>
      </c>
      <c r="Q21" s="428" t="s">
        <v>2809</v>
      </c>
      <c r="R21" s="394" t="s">
        <v>1816</v>
      </c>
    </row>
    <row r="22" spans="1:18" ht="12.95" customHeight="1">
      <c r="A22" s="430">
        <v>1</v>
      </c>
      <c r="B22" s="159" t="s">
        <v>316</v>
      </c>
      <c r="C22" s="68" t="s">
        <v>96</v>
      </c>
      <c r="D22" s="68" t="s">
        <v>308</v>
      </c>
      <c r="E22" s="428" t="s">
        <v>4519</v>
      </c>
      <c r="F22" s="428" t="s">
        <v>3255</v>
      </c>
      <c r="G22" s="428" t="s">
        <v>2654</v>
      </c>
      <c r="H22" s="428" t="s">
        <v>2654</v>
      </c>
      <c r="I22" s="428" t="s">
        <v>2654</v>
      </c>
      <c r="J22" s="428" t="s">
        <v>2654</v>
      </c>
      <c r="K22" s="428" t="s">
        <v>2654</v>
      </c>
      <c r="L22" s="428" t="s">
        <v>2654</v>
      </c>
      <c r="M22" s="428" t="s">
        <v>2654</v>
      </c>
      <c r="N22" s="428" t="s">
        <v>2654</v>
      </c>
      <c r="O22" s="428" t="s">
        <v>2654</v>
      </c>
      <c r="P22" s="428" t="s">
        <v>2654</v>
      </c>
      <c r="Q22" s="428" t="s">
        <v>2654</v>
      </c>
      <c r="R22" s="395" t="s">
        <v>2146</v>
      </c>
    </row>
    <row r="23" spans="1:18" ht="12.95" customHeight="1">
      <c r="A23" s="430">
        <v>1</v>
      </c>
      <c r="B23" s="159" t="s">
        <v>316</v>
      </c>
      <c r="C23" s="68" t="s">
        <v>96</v>
      </c>
      <c r="D23" s="68" t="s">
        <v>310</v>
      </c>
      <c r="E23" s="428" t="s">
        <v>3262</v>
      </c>
      <c r="F23" s="428" t="s">
        <v>3255</v>
      </c>
      <c r="G23" s="428" t="s">
        <v>2654</v>
      </c>
      <c r="H23" s="428" t="s">
        <v>2654</v>
      </c>
      <c r="I23" s="428" t="s">
        <v>2654</v>
      </c>
      <c r="J23" s="428" t="s">
        <v>2654</v>
      </c>
      <c r="K23" s="428" t="s">
        <v>2654</v>
      </c>
      <c r="L23" s="428" t="s">
        <v>2654</v>
      </c>
      <c r="M23" s="428" t="s">
        <v>2654</v>
      </c>
      <c r="N23" s="428" t="s">
        <v>2654</v>
      </c>
      <c r="O23" s="428" t="s">
        <v>2654</v>
      </c>
      <c r="P23" s="428" t="s">
        <v>2654</v>
      </c>
      <c r="Q23" s="428" t="s">
        <v>2654</v>
      </c>
      <c r="R23" s="395" t="s">
        <v>2176</v>
      </c>
    </row>
    <row r="24" spans="1:18" ht="12.95" customHeight="1">
      <c r="A24" s="430">
        <v>1</v>
      </c>
      <c r="B24" s="159" t="s">
        <v>316</v>
      </c>
      <c r="C24" s="68" t="s">
        <v>96</v>
      </c>
      <c r="D24" s="68" t="s">
        <v>309</v>
      </c>
      <c r="E24" s="428" t="s">
        <v>4171</v>
      </c>
      <c r="F24" s="428" t="s">
        <v>3255</v>
      </c>
      <c r="G24" s="428" t="s">
        <v>2654</v>
      </c>
      <c r="H24" s="428" t="s">
        <v>2654</v>
      </c>
      <c r="I24" s="428" t="s">
        <v>2654</v>
      </c>
      <c r="J24" s="428" t="s">
        <v>2654</v>
      </c>
      <c r="K24" s="428" t="s">
        <v>2654</v>
      </c>
      <c r="L24" s="428" t="s">
        <v>2654</v>
      </c>
      <c r="M24" s="428" t="s">
        <v>2654</v>
      </c>
      <c r="N24" s="428" t="s">
        <v>2654</v>
      </c>
      <c r="O24" s="428" t="s">
        <v>2654</v>
      </c>
      <c r="P24" s="428" t="s">
        <v>2654</v>
      </c>
      <c r="Q24" s="428" t="s">
        <v>2654</v>
      </c>
      <c r="R24" s="395" t="s">
        <v>2206</v>
      </c>
    </row>
    <row r="25" spans="1:18" ht="12.95" customHeight="1">
      <c r="A25" s="430">
        <v>1</v>
      </c>
      <c r="B25" s="159" t="s">
        <v>316</v>
      </c>
      <c r="C25" s="68" t="s">
        <v>96</v>
      </c>
      <c r="D25" s="68" t="s">
        <v>311</v>
      </c>
      <c r="E25" s="428" t="s">
        <v>4519</v>
      </c>
      <c r="F25" s="428" t="s">
        <v>3255</v>
      </c>
      <c r="G25" s="428" t="s">
        <v>2654</v>
      </c>
      <c r="H25" s="428" t="s">
        <v>2654</v>
      </c>
      <c r="I25" s="428" t="s">
        <v>2654</v>
      </c>
      <c r="J25" s="428" t="s">
        <v>2654</v>
      </c>
      <c r="K25" s="428" t="s">
        <v>2654</v>
      </c>
      <c r="L25" s="428" t="s">
        <v>2654</v>
      </c>
      <c r="M25" s="428" t="s">
        <v>2654</v>
      </c>
      <c r="N25" s="428" t="s">
        <v>2654</v>
      </c>
      <c r="O25" s="428" t="s">
        <v>2654</v>
      </c>
      <c r="P25" s="428" t="s">
        <v>2654</v>
      </c>
      <c r="Q25" s="428" t="s">
        <v>2654</v>
      </c>
      <c r="R25" s="68" t="s">
        <v>2236</v>
      </c>
    </row>
    <row r="26" spans="1:18" ht="12.95" customHeight="1">
      <c r="A26" s="430">
        <v>1</v>
      </c>
      <c r="B26" s="159" t="s">
        <v>316</v>
      </c>
      <c r="C26" s="68" t="s">
        <v>96</v>
      </c>
      <c r="D26" s="68" t="s">
        <v>307</v>
      </c>
      <c r="E26" s="428" t="s">
        <v>3746</v>
      </c>
      <c r="F26" s="428" t="s">
        <v>3604</v>
      </c>
      <c r="G26" s="428" t="s">
        <v>2654</v>
      </c>
      <c r="H26" s="428" t="s">
        <v>2654</v>
      </c>
      <c r="I26" s="428" t="s">
        <v>2654</v>
      </c>
      <c r="J26" s="428" t="s">
        <v>2654</v>
      </c>
      <c r="K26" s="428" t="s">
        <v>2654</v>
      </c>
      <c r="L26" s="428" t="s">
        <v>2654</v>
      </c>
      <c r="M26" s="428" t="s">
        <v>2654</v>
      </c>
      <c r="N26" s="428" t="s">
        <v>2654</v>
      </c>
      <c r="O26" s="428" t="s">
        <v>2654</v>
      </c>
      <c r="P26" s="428" t="s">
        <v>2654</v>
      </c>
      <c r="Q26" s="428" t="s">
        <v>2654</v>
      </c>
      <c r="R26" s="68" t="s">
        <v>2266</v>
      </c>
    </row>
    <row r="27" spans="1:18" ht="12.95" customHeight="1">
      <c r="A27" s="430">
        <v>1</v>
      </c>
      <c r="B27" s="159" t="s">
        <v>316</v>
      </c>
      <c r="C27" s="68" t="s">
        <v>95</v>
      </c>
      <c r="D27" s="68" t="s">
        <v>308</v>
      </c>
      <c r="E27" s="428" t="s">
        <v>4392</v>
      </c>
      <c r="F27" s="428" t="s">
        <v>3856</v>
      </c>
      <c r="G27" s="428" t="s">
        <v>4393</v>
      </c>
      <c r="H27" s="428" t="s">
        <v>4394</v>
      </c>
      <c r="I27" s="428" t="s">
        <v>4395</v>
      </c>
      <c r="J27" s="428" t="s">
        <v>3982</v>
      </c>
      <c r="K27" s="428" t="s">
        <v>3825</v>
      </c>
      <c r="L27" s="428" t="s">
        <v>3985</v>
      </c>
      <c r="M27" s="428" t="s">
        <v>4396</v>
      </c>
      <c r="N27" s="428" t="s">
        <v>4397</v>
      </c>
      <c r="O27" s="428" t="s">
        <v>4017</v>
      </c>
      <c r="P27" s="428" t="s">
        <v>4398</v>
      </c>
      <c r="Q27" s="428" t="s">
        <v>4399</v>
      </c>
      <c r="R27" s="68" t="s">
        <v>1996</v>
      </c>
    </row>
    <row r="28" spans="1:18" ht="12.95" customHeight="1">
      <c r="A28" s="430">
        <v>1</v>
      </c>
      <c r="B28" s="159" t="s">
        <v>316</v>
      </c>
      <c r="C28" s="68" t="s">
        <v>95</v>
      </c>
      <c r="D28" s="68" t="s">
        <v>310</v>
      </c>
      <c r="E28" s="428" t="s">
        <v>4447</v>
      </c>
      <c r="F28" s="428" t="s">
        <v>3871</v>
      </c>
      <c r="G28" s="428" t="s">
        <v>3925</v>
      </c>
      <c r="H28" s="428" t="s">
        <v>4448</v>
      </c>
      <c r="I28" s="428" t="s">
        <v>3834</v>
      </c>
      <c r="J28" s="428" t="s">
        <v>3254</v>
      </c>
      <c r="K28" s="428" t="s">
        <v>4449</v>
      </c>
      <c r="L28" s="428" t="s">
        <v>4450</v>
      </c>
      <c r="M28" s="428" t="s">
        <v>4451</v>
      </c>
      <c r="N28" s="428" t="s">
        <v>4452</v>
      </c>
      <c r="O28" s="428" t="s">
        <v>2833</v>
      </c>
      <c r="P28" s="428" t="s">
        <v>4453</v>
      </c>
      <c r="Q28" s="428" t="s">
        <v>4454</v>
      </c>
      <c r="R28" s="68" t="s">
        <v>2026</v>
      </c>
    </row>
    <row r="29" spans="1:18" ht="12.95" customHeight="1">
      <c r="A29" s="430">
        <v>1</v>
      </c>
      <c r="B29" s="159" t="s">
        <v>316</v>
      </c>
      <c r="C29" s="68" t="s">
        <v>95</v>
      </c>
      <c r="D29" s="68" t="s">
        <v>309</v>
      </c>
      <c r="E29" s="428" t="s">
        <v>4496</v>
      </c>
      <c r="F29" s="428" t="s">
        <v>3867</v>
      </c>
      <c r="G29" s="428" t="s">
        <v>4497</v>
      </c>
      <c r="H29" s="428" t="s">
        <v>4498</v>
      </c>
      <c r="I29" s="428" t="s">
        <v>4499</v>
      </c>
      <c r="J29" s="428" t="s">
        <v>4394</v>
      </c>
      <c r="K29" s="428" t="s">
        <v>4500</v>
      </c>
      <c r="L29" s="428" t="s">
        <v>3988</v>
      </c>
      <c r="M29" s="428" t="s">
        <v>4501</v>
      </c>
      <c r="N29" s="428" t="s">
        <v>4502</v>
      </c>
      <c r="O29" s="428" t="s">
        <v>3804</v>
      </c>
      <c r="P29" s="428" t="s">
        <v>3986</v>
      </c>
      <c r="Q29" s="428" t="s">
        <v>4503</v>
      </c>
      <c r="R29" s="68" t="s">
        <v>2056</v>
      </c>
    </row>
    <row r="30" spans="1:18" ht="12.95" customHeight="1">
      <c r="A30" s="430">
        <v>1</v>
      </c>
      <c r="B30" s="159" t="s">
        <v>316</v>
      </c>
      <c r="C30" s="68" t="s">
        <v>95</v>
      </c>
      <c r="D30" s="68" t="s">
        <v>311</v>
      </c>
      <c r="E30" s="428" t="s">
        <v>4555</v>
      </c>
      <c r="F30" s="428" t="s">
        <v>3894</v>
      </c>
      <c r="G30" s="428" t="s">
        <v>4556</v>
      </c>
      <c r="H30" s="428" t="s">
        <v>3998</v>
      </c>
      <c r="I30" s="428" t="s">
        <v>4417</v>
      </c>
      <c r="J30" s="428" t="s">
        <v>4557</v>
      </c>
      <c r="K30" s="428" t="s">
        <v>3828</v>
      </c>
      <c r="L30" s="428" t="s">
        <v>4558</v>
      </c>
      <c r="M30" s="428" t="s">
        <v>3032</v>
      </c>
      <c r="N30" s="428" t="s">
        <v>4205</v>
      </c>
      <c r="O30" s="428" t="s">
        <v>4559</v>
      </c>
      <c r="P30" s="428" t="s">
        <v>3771</v>
      </c>
      <c r="Q30" s="428" t="s">
        <v>4560</v>
      </c>
      <c r="R30" s="395" t="s">
        <v>2086</v>
      </c>
    </row>
    <row r="31" spans="1:18" ht="12.95" customHeight="1">
      <c r="A31" s="430">
        <v>1</v>
      </c>
      <c r="B31" s="159" t="s">
        <v>316</v>
      </c>
      <c r="C31" s="68" t="s">
        <v>95</v>
      </c>
      <c r="D31" s="68" t="s">
        <v>307</v>
      </c>
      <c r="E31" s="428" t="s">
        <v>4597</v>
      </c>
      <c r="F31" s="428" t="s">
        <v>3710</v>
      </c>
      <c r="G31" s="428" t="s">
        <v>4598</v>
      </c>
      <c r="H31" s="428" t="s">
        <v>4527</v>
      </c>
      <c r="I31" s="428" t="s">
        <v>4599</v>
      </c>
      <c r="J31" s="428" t="s">
        <v>4600</v>
      </c>
      <c r="K31" s="428" t="s">
        <v>3927</v>
      </c>
      <c r="L31" s="428" t="s">
        <v>4001</v>
      </c>
      <c r="M31" s="428" t="s">
        <v>4601</v>
      </c>
      <c r="N31" s="428" t="s">
        <v>4602</v>
      </c>
      <c r="O31" s="428" t="s">
        <v>4603</v>
      </c>
      <c r="P31" s="428" t="s">
        <v>3438</v>
      </c>
      <c r="Q31" s="428" t="s">
        <v>4604</v>
      </c>
      <c r="R31" s="395" t="s">
        <v>2116</v>
      </c>
    </row>
    <row r="32" spans="1:18" ht="12.95" customHeight="1">
      <c r="A32" s="430">
        <v>2</v>
      </c>
      <c r="B32" s="159" t="s">
        <v>312</v>
      </c>
      <c r="C32" s="68" t="s">
        <v>96</v>
      </c>
      <c r="D32" s="68" t="s">
        <v>308</v>
      </c>
      <c r="E32" s="428" t="s">
        <v>3643</v>
      </c>
      <c r="F32" s="428" t="s">
        <v>3536</v>
      </c>
      <c r="G32" s="428" t="s">
        <v>2654</v>
      </c>
      <c r="H32" s="428" t="s">
        <v>2654</v>
      </c>
      <c r="I32" s="428" t="s">
        <v>2654</v>
      </c>
      <c r="J32" s="428" t="s">
        <v>2654</v>
      </c>
      <c r="K32" s="428" t="s">
        <v>2654</v>
      </c>
      <c r="L32" s="428" t="s">
        <v>2654</v>
      </c>
      <c r="M32" s="428" t="s">
        <v>2654</v>
      </c>
      <c r="N32" s="428" t="s">
        <v>2654</v>
      </c>
      <c r="O32" s="428" t="s">
        <v>2654</v>
      </c>
      <c r="P32" s="428" t="s">
        <v>2654</v>
      </c>
      <c r="Q32" s="428" t="s">
        <v>2654</v>
      </c>
      <c r="R32" s="394" t="s">
        <v>1551</v>
      </c>
    </row>
    <row r="33" spans="1:18" ht="12.95" customHeight="1">
      <c r="A33" s="430">
        <v>2</v>
      </c>
      <c r="B33" s="159" t="s">
        <v>312</v>
      </c>
      <c r="C33" s="68" t="s">
        <v>96</v>
      </c>
      <c r="D33" s="68" t="s">
        <v>310</v>
      </c>
      <c r="E33" s="428" t="s">
        <v>3848</v>
      </c>
      <c r="F33" s="428" t="s">
        <v>4158</v>
      </c>
      <c r="G33" s="428" t="s">
        <v>2654</v>
      </c>
      <c r="H33" s="428" t="s">
        <v>2654</v>
      </c>
      <c r="I33" s="428" t="s">
        <v>2654</v>
      </c>
      <c r="J33" s="428" t="s">
        <v>2654</v>
      </c>
      <c r="K33" s="428" t="s">
        <v>2654</v>
      </c>
      <c r="L33" s="428" t="s">
        <v>2654</v>
      </c>
      <c r="M33" s="428" t="s">
        <v>2654</v>
      </c>
      <c r="N33" s="428" t="s">
        <v>2654</v>
      </c>
      <c r="O33" s="428" t="s">
        <v>2654</v>
      </c>
      <c r="P33" s="428" t="s">
        <v>2654</v>
      </c>
      <c r="Q33" s="428" t="s">
        <v>2654</v>
      </c>
      <c r="R33" s="394" t="s">
        <v>1581</v>
      </c>
    </row>
    <row r="34" spans="1:18" ht="12.95" customHeight="1">
      <c r="A34" s="430">
        <v>2</v>
      </c>
      <c r="B34" s="159" t="s">
        <v>312</v>
      </c>
      <c r="C34" s="68" t="s">
        <v>96</v>
      </c>
      <c r="D34" s="68" t="s">
        <v>309</v>
      </c>
      <c r="E34" s="428" t="s">
        <v>4172</v>
      </c>
      <c r="F34" s="428" t="s">
        <v>2833</v>
      </c>
      <c r="G34" s="428" t="s">
        <v>2654</v>
      </c>
      <c r="H34" s="428" t="s">
        <v>2654</v>
      </c>
      <c r="I34" s="428" t="s">
        <v>2654</v>
      </c>
      <c r="J34" s="428" t="s">
        <v>2654</v>
      </c>
      <c r="K34" s="428" t="s">
        <v>2654</v>
      </c>
      <c r="L34" s="428" t="s">
        <v>2654</v>
      </c>
      <c r="M34" s="428" t="s">
        <v>2654</v>
      </c>
      <c r="N34" s="428" t="s">
        <v>2654</v>
      </c>
      <c r="O34" s="428" t="s">
        <v>2654</v>
      </c>
      <c r="P34" s="428" t="s">
        <v>2654</v>
      </c>
      <c r="Q34" s="428" t="s">
        <v>2654</v>
      </c>
      <c r="R34" s="394" t="s">
        <v>1611</v>
      </c>
    </row>
    <row r="35" spans="1:18" ht="12.95" customHeight="1">
      <c r="A35" s="430">
        <v>2</v>
      </c>
      <c r="B35" s="159" t="s">
        <v>312</v>
      </c>
      <c r="C35" s="68" t="s">
        <v>96</v>
      </c>
      <c r="D35" s="68" t="s">
        <v>311</v>
      </c>
      <c r="E35" s="428" t="s">
        <v>4179</v>
      </c>
      <c r="F35" s="428" t="s">
        <v>3900</v>
      </c>
      <c r="G35" s="428" t="s">
        <v>2654</v>
      </c>
      <c r="H35" s="428" t="s">
        <v>2654</v>
      </c>
      <c r="I35" s="428" t="s">
        <v>2654</v>
      </c>
      <c r="J35" s="428" t="s">
        <v>2654</v>
      </c>
      <c r="K35" s="428" t="s">
        <v>2654</v>
      </c>
      <c r="L35" s="428" t="s">
        <v>2654</v>
      </c>
      <c r="M35" s="428" t="s">
        <v>2654</v>
      </c>
      <c r="N35" s="428" t="s">
        <v>2654</v>
      </c>
      <c r="O35" s="428" t="s">
        <v>2654</v>
      </c>
      <c r="P35" s="428" t="s">
        <v>2654</v>
      </c>
      <c r="Q35" s="428" t="s">
        <v>2654</v>
      </c>
      <c r="R35" s="394" t="s">
        <v>1641</v>
      </c>
    </row>
    <row r="36" spans="1:18" ht="12.95" customHeight="1">
      <c r="A36" s="430">
        <v>2</v>
      </c>
      <c r="B36" s="159" t="s">
        <v>312</v>
      </c>
      <c r="C36" s="68" t="s">
        <v>96</v>
      </c>
      <c r="D36" s="68" t="s">
        <v>307</v>
      </c>
      <c r="E36" s="428" t="s">
        <v>4191</v>
      </c>
      <c r="F36" s="428" t="s">
        <v>4158</v>
      </c>
      <c r="G36" s="428" t="s">
        <v>2654</v>
      </c>
      <c r="H36" s="428" t="s">
        <v>2654</v>
      </c>
      <c r="I36" s="428" t="s">
        <v>2654</v>
      </c>
      <c r="J36" s="428" t="s">
        <v>2654</v>
      </c>
      <c r="K36" s="428" t="s">
        <v>2654</v>
      </c>
      <c r="L36" s="428" t="s">
        <v>2654</v>
      </c>
      <c r="M36" s="428" t="s">
        <v>2654</v>
      </c>
      <c r="N36" s="428" t="s">
        <v>2654</v>
      </c>
      <c r="O36" s="428" t="s">
        <v>2654</v>
      </c>
      <c r="P36" s="428" t="s">
        <v>2654</v>
      </c>
      <c r="Q36" s="428" t="s">
        <v>2654</v>
      </c>
      <c r="R36" s="394" t="s">
        <v>1671</v>
      </c>
    </row>
    <row r="37" spans="1:18" ht="12.95" customHeight="1">
      <c r="A37" s="430">
        <v>2</v>
      </c>
      <c r="B37" s="159" t="s">
        <v>312</v>
      </c>
      <c r="C37" s="68" t="s">
        <v>95</v>
      </c>
      <c r="D37" s="68" t="s">
        <v>308</v>
      </c>
      <c r="E37" s="428" t="s">
        <v>4074</v>
      </c>
      <c r="F37" s="428" t="s">
        <v>3867</v>
      </c>
      <c r="G37" s="428" t="s">
        <v>4075</v>
      </c>
      <c r="H37" s="428" t="s">
        <v>3716</v>
      </c>
      <c r="I37" s="428" t="s">
        <v>4076</v>
      </c>
      <c r="J37" s="428" t="s">
        <v>3083</v>
      </c>
      <c r="K37" s="428" t="s">
        <v>2654</v>
      </c>
      <c r="L37" s="428" t="s">
        <v>2654</v>
      </c>
      <c r="M37" s="428" t="s">
        <v>2654</v>
      </c>
      <c r="N37" s="428" t="s">
        <v>2654</v>
      </c>
      <c r="O37" s="428" t="s">
        <v>2654</v>
      </c>
      <c r="P37" s="428" t="s">
        <v>2654</v>
      </c>
      <c r="Q37" s="428" t="s">
        <v>4077</v>
      </c>
      <c r="R37" s="394" t="s">
        <v>1401</v>
      </c>
    </row>
    <row r="38" spans="1:18" ht="12.95" customHeight="1">
      <c r="A38" s="430">
        <v>2</v>
      </c>
      <c r="B38" s="159" t="s">
        <v>312</v>
      </c>
      <c r="C38" s="68" t="s">
        <v>95</v>
      </c>
      <c r="D38" s="68" t="s">
        <v>310</v>
      </c>
      <c r="E38" s="428" t="s">
        <v>3953</v>
      </c>
      <c r="F38" s="428" t="s">
        <v>3967</v>
      </c>
      <c r="G38" s="428" t="s">
        <v>2896</v>
      </c>
      <c r="H38" s="428" t="s">
        <v>2933</v>
      </c>
      <c r="I38" s="428" t="s">
        <v>2654</v>
      </c>
      <c r="J38" s="428" t="s">
        <v>2654</v>
      </c>
      <c r="K38" s="428" t="s">
        <v>2654</v>
      </c>
      <c r="L38" s="428" t="s">
        <v>2654</v>
      </c>
      <c r="M38" s="428" t="s">
        <v>2654</v>
      </c>
      <c r="N38" s="428" t="s">
        <v>2654</v>
      </c>
      <c r="O38" s="428" t="s">
        <v>2654</v>
      </c>
      <c r="P38" s="428" t="s">
        <v>2654</v>
      </c>
      <c r="Q38" s="428" t="s">
        <v>2683</v>
      </c>
      <c r="R38" s="394" t="s">
        <v>1431</v>
      </c>
    </row>
    <row r="39" spans="1:18" ht="12.95" customHeight="1">
      <c r="A39" s="430">
        <v>2</v>
      </c>
      <c r="B39" s="159" t="s">
        <v>312</v>
      </c>
      <c r="C39" s="68" t="s">
        <v>95</v>
      </c>
      <c r="D39" s="68" t="s">
        <v>309</v>
      </c>
      <c r="E39" s="428" t="s">
        <v>4110</v>
      </c>
      <c r="F39" s="428" t="s">
        <v>3891</v>
      </c>
      <c r="G39" s="428" t="s">
        <v>3844</v>
      </c>
      <c r="H39" s="428" t="s">
        <v>2699</v>
      </c>
      <c r="I39" s="428" t="s">
        <v>2682</v>
      </c>
      <c r="J39" s="428" t="s">
        <v>2865</v>
      </c>
      <c r="K39" s="428" t="s">
        <v>2654</v>
      </c>
      <c r="L39" s="428" t="s">
        <v>2654</v>
      </c>
      <c r="M39" s="428" t="s">
        <v>2654</v>
      </c>
      <c r="N39" s="428" t="s">
        <v>2654</v>
      </c>
      <c r="O39" s="428" t="s">
        <v>2654</v>
      </c>
      <c r="P39" s="428" t="s">
        <v>2654</v>
      </c>
      <c r="Q39" s="428" t="s">
        <v>4111</v>
      </c>
      <c r="R39" s="394" t="s">
        <v>1461</v>
      </c>
    </row>
    <row r="40" spans="1:18" ht="12.95" customHeight="1">
      <c r="A40" s="430">
        <v>2</v>
      </c>
      <c r="B40" s="159" t="s">
        <v>312</v>
      </c>
      <c r="C40" s="68" t="s">
        <v>95</v>
      </c>
      <c r="D40" s="68" t="s">
        <v>311</v>
      </c>
      <c r="E40" s="428" t="s">
        <v>3698</v>
      </c>
      <c r="F40" s="428" t="s">
        <v>3647</v>
      </c>
      <c r="G40" s="428" t="s">
        <v>2825</v>
      </c>
      <c r="H40" s="428" t="s">
        <v>3004</v>
      </c>
      <c r="I40" s="428" t="s">
        <v>2683</v>
      </c>
      <c r="J40" s="428" t="s">
        <v>2654</v>
      </c>
      <c r="K40" s="428" t="s">
        <v>2654</v>
      </c>
      <c r="L40" s="428" t="s">
        <v>2654</v>
      </c>
      <c r="M40" s="428" t="s">
        <v>2654</v>
      </c>
      <c r="N40" s="428" t="s">
        <v>2654</v>
      </c>
      <c r="O40" s="428" t="s">
        <v>2654</v>
      </c>
      <c r="P40" s="428" t="s">
        <v>2654</v>
      </c>
      <c r="Q40" s="428" t="s">
        <v>4125</v>
      </c>
      <c r="R40" s="394" t="s">
        <v>1491</v>
      </c>
    </row>
    <row r="41" spans="1:18" ht="12.95" customHeight="1">
      <c r="A41" s="430">
        <v>2</v>
      </c>
      <c r="B41" s="159" t="s">
        <v>312</v>
      </c>
      <c r="C41" s="68" t="s">
        <v>95</v>
      </c>
      <c r="D41" s="68" t="s">
        <v>307</v>
      </c>
      <c r="E41" s="428" t="s">
        <v>3718</v>
      </c>
      <c r="F41" s="428" t="s">
        <v>4145</v>
      </c>
      <c r="G41" s="428" t="s">
        <v>4146</v>
      </c>
      <c r="H41" s="428" t="s">
        <v>2724</v>
      </c>
      <c r="I41" s="428" t="s">
        <v>2654</v>
      </c>
      <c r="J41" s="428" t="s">
        <v>2654</v>
      </c>
      <c r="K41" s="428" t="s">
        <v>2654</v>
      </c>
      <c r="L41" s="428" t="s">
        <v>2654</v>
      </c>
      <c r="M41" s="428" t="s">
        <v>2654</v>
      </c>
      <c r="N41" s="428" t="s">
        <v>2654</v>
      </c>
      <c r="O41" s="428" t="s">
        <v>2654</v>
      </c>
      <c r="P41" s="428" t="s">
        <v>2654</v>
      </c>
      <c r="Q41" s="428" t="s">
        <v>2659</v>
      </c>
      <c r="R41" s="394" t="s">
        <v>1521</v>
      </c>
    </row>
    <row r="42" spans="1:18" ht="12.95" customHeight="1">
      <c r="A42" s="430">
        <v>2</v>
      </c>
      <c r="B42" s="159" t="s">
        <v>314</v>
      </c>
      <c r="C42" s="68" t="s">
        <v>96</v>
      </c>
      <c r="D42" s="68" t="s">
        <v>308</v>
      </c>
      <c r="E42" s="428" t="s">
        <v>3267</v>
      </c>
      <c r="F42" s="428" t="s">
        <v>2720</v>
      </c>
      <c r="G42" s="428" t="s">
        <v>2654</v>
      </c>
      <c r="H42" s="428" t="s">
        <v>2654</v>
      </c>
      <c r="I42" s="428" t="s">
        <v>2654</v>
      </c>
      <c r="J42" s="428" t="s">
        <v>2654</v>
      </c>
      <c r="K42" s="428" t="s">
        <v>2654</v>
      </c>
      <c r="L42" s="428" t="s">
        <v>2654</v>
      </c>
      <c r="M42" s="428" t="s">
        <v>2654</v>
      </c>
      <c r="N42" s="428" t="s">
        <v>2654</v>
      </c>
      <c r="O42" s="428" t="s">
        <v>2654</v>
      </c>
      <c r="P42" s="428" t="s">
        <v>2654</v>
      </c>
      <c r="Q42" s="428" t="s">
        <v>2654</v>
      </c>
      <c r="R42" s="394" t="s">
        <v>1851</v>
      </c>
    </row>
    <row r="43" spans="1:18" ht="12.95" customHeight="1">
      <c r="A43" s="430">
        <v>2</v>
      </c>
      <c r="B43" s="159" t="s">
        <v>314</v>
      </c>
      <c r="C43" s="68" t="s">
        <v>96</v>
      </c>
      <c r="D43" s="68" t="s">
        <v>310</v>
      </c>
      <c r="E43" s="428" t="s">
        <v>3669</v>
      </c>
      <c r="F43" s="428" t="s">
        <v>4345</v>
      </c>
      <c r="G43" s="428" t="s">
        <v>2654</v>
      </c>
      <c r="H43" s="428" t="s">
        <v>2654</v>
      </c>
      <c r="I43" s="428" t="s">
        <v>2654</v>
      </c>
      <c r="J43" s="428" t="s">
        <v>2654</v>
      </c>
      <c r="K43" s="428" t="s">
        <v>2654</v>
      </c>
      <c r="L43" s="428" t="s">
        <v>2654</v>
      </c>
      <c r="M43" s="428" t="s">
        <v>2654</v>
      </c>
      <c r="N43" s="428" t="s">
        <v>2654</v>
      </c>
      <c r="O43" s="428" t="s">
        <v>2654</v>
      </c>
      <c r="P43" s="428" t="s">
        <v>2654</v>
      </c>
      <c r="Q43" s="428" t="s">
        <v>2654</v>
      </c>
      <c r="R43" s="394" t="s">
        <v>1881</v>
      </c>
    </row>
    <row r="44" spans="1:18" ht="12.95" customHeight="1">
      <c r="A44" s="430">
        <v>2</v>
      </c>
      <c r="B44" s="159" t="s">
        <v>314</v>
      </c>
      <c r="C44" s="68" t="s">
        <v>96</v>
      </c>
      <c r="D44" s="68" t="s">
        <v>309</v>
      </c>
      <c r="E44" s="428" t="s">
        <v>4355</v>
      </c>
      <c r="F44" s="428" t="s">
        <v>3536</v>
      </c>
      <c r="G44" s="428" t="s">
        <v>2654</v>
      </c>
      <c r="H44" s="428" t="s">
        <v>2654</v>
      </c>
      <c r="I44" s="428" t="s">
        <v>2654</v>
      </c>
      <c r="J44" s="428" t="s">
        <v>2654</v>
      </c>
      <c r="K44" s="428" t="s">
        <v>2654</v>
      </c>
      <c r="L44" s="428" t="s">
        <v>2654</v>
      </c>
      <c r="M44" s="428" t="s">
        <v>2654</v>
      </c>
      <c r="N44" s="428" t="s">
        <v>2654</v>
      </c>
      <c r="O44" s="428" t="s">
        <v>2654</v>
      </c>
      <c r="P44" s="428" t="s">
        <v>2654</v>
      </c>
      <c r="Q44" s="428" t="s">
        <v>2654</v>
      </c>
      <c r="R44" s="394" t="s">
        <v>1911</v>
      </c>
    </row>
    <row r="45" spans="1:18" ht="12.95" customHeight="1">
      <c r="A45" s="430">
        <v>2</v>
      </c>
      <c r="B45" s="159" t="s">
        <v>314</v>
      </c>
      <c r="C45" s="68" t="s">
        <v>96</v>
      </c>
      <c r="D45" s="68" t="s">
        <v>311</v>
      </c>
      <c r="E45" s="428" t="s">
        <v>4365</v>
      </c>
      <c r="F45" s="428" t="s">
        <v>3853</v>
      </c>
      <c r="G45" s="428" t="s">
        <v>2654</v>
      </c>
      <c r="H45" s="428" t="s">
        <v>2654</v>
      </c>
      <c r="I45" s="428" t="s">
        <v>2654</v>
      </c>
      <c r="J45" s="428" t="s">
        <v>2654</v>
      </c>
      <c r="K45" s="428" t="s">
        <v>2654</v>
      </c>
      <c r="L45" s="428" t="s">
        <v>2654</v>
      </c>
      <c r="M45" s="428" t="s">
        <v>2654</v>
      </c>
      <c r="N45" s="428" t="s">
        <v>2654</v>
      </c>
      <c r="O45" s="428" t="s">
        <v>2654</v>
      </c>
      <c r="P45" s="428" t="s">
        <v>2654</v>
      </c>
      <c r="Q45" s="428" t="s">
        <v>2654</v>
      </c>
      <c r="R45" s="68" t="s">
        <v>1941</v>
      </c>
    </row>
    <row r="46" spans="1:18" ht="12.95" customHeight="1">
      <c r="A46" s="430">
        <v>2</v>
      </c>
      <c r="B46" s="159" t="s">
        <v>314</v>
      </c>
      <c r="C46" s="68" t="s">
        <v>96</v>
      </c>
      <c r="D46" s="68" t="s">
        <v>307</v>
      </c>
      <c r="E46" s="428" t="s">
        <v>4052</v>
      </c>
      <c r="F46" s="428" t="s">
        <v>3536</v>
      </c>
      <c r="G46" s="428" t="s">
        <v>2654</v>
      </c>
      <c r="H46" s="428" t="s">
        <v>2654</v>
      </c>
      <c r="I46" s="428" t="s">
        <v>2654</v>
      </c>
      <c r="J46" s="428" t="s">
        <v>2654</v>
      </c>
      <c r="K46" s="428" t="s">
        <v>2654</v>
      </c>
      <c r="L46" s="428" t="s">
        <v>2654</v>
      </c>
      <c r="M46" s="428" t="s">
        <v>2654</v>
      </c>
      <c r="N46" s="428" t="s">
        <v>2654</v>
      </c>
      <c r="O46" s="428" t="s">
        <v>2654</v>
      </c>
      <c r="P46" s="428" t="s">
        <v>2654</v>
      </c>
      <c r="Q46" s="428" t="s">
        <v>2654</v>
      </c>
      <c r="R46" s="68" t="s">
        <v>1971</v>
      </c>
    </row>
    <row r="47" spans="1:18" ht="12.95" customHeight="1">
      <c r="A47" s="430">
        <v>2</v>
      </c>
      <c r="B47" s="159" t="s">
        <v>314</v>
      </c>
      <c r="C47" s="68" t="s">
        <v>95</v>
      </c>
      <c r="D47" s="68" t="s">
        <v>308</v>
      </c>
      <c r="E47" s="428" t="s">
        <v>4221</v>
      </c>
      <c r="F47" s="428" t="s">
        <v>3871</v>
      </c>
      <c r="G47" s="428" t="s">
        <v>3829</v>
      </c>
      <c r="H47" s="428" t="s">
        <v>4038</v>
      </c>
      <c r="I47" s="428" t="s">
        <v>3879</v>
      </c>
      <c r="J47" s="428" t="s">
        <v>4034</v>
      </c>
      <c r="K47" s="428" t="s">
        <v>3847</v>
      </c>
      <c r="L47" s="428" t="s">
        <v>3675</v>
      </c>
      <c r="M47" s="428" t="s">
        <v>3389</v>
      </c>
      <c r="N47" s="428" t="s">
        <v>2659</v>
      </c>
      <c r="O47" s="428" t="s">
        <v>2654</v>
      </c>
      <c r="P47" s="428" t="s">
        <v>2654</v>
      </c>
      <c r="Q47" s="428" t="s">
        <v>3949</v>
      </c>
      <c r="R47" s="394" t="s">
        <v>1701</v>
      </c>
    </row>
    <row r="48" spans="1:18" ht="12.95" customHeight="1">
      <c r="A48" s="430">
        <v>2</v>
      </c>
      <c r="B48" s="159" t="s">
        <v>314</v>
      </c>
      <c r="C48" s="68" t="s">
        <v>95</v>
      </c>
      <c r="D48" s="68" t="s">
        <v>310</v>
      </c>
      <c r="E48" s="428" t="s">
        <v>4253</v>
      </c>
      <c r="F48" s="428" t="s">
        <v>3710</v>
      </c>
      <c r="G48" s="428" t="s">
        <v>4254</v>
      </c>
      <c r="H48" s="428" t="s">
        <v>3674</v>
      </c>
      <c r="I48" s="428" t="s">
        <v>2738</v>
      </c>
      <c r="J48" s="428" t="s">
        <v>3707</v>
      </c>
      <c r="K48" s="428" t="s">
        <v>3555</v>
      </c>
      <c r="L48" s="428" t="s">
        <v>2678</v>
      </c>
      <c r="M48" s="428" t="s">
        <v>2654</v>
      </c>
      <c r="N48" s="428" t="s">
        <v>2654</v>
      </c>
      <c r="O48" s="428" t="s">
        <v>2654</v>
      </c>
      <c r="P48" s="428" t="s">
        <v>2654</v>
      </c>
      <c r="Q48" s="428" t="s">
        <v>3680</v>
      </c>
      <c r="R48" s="394" t="s">
        <v>1731</v>
      </c>
    </row>
    <row r="49" spans="1:18" ht="12.95" customHeight="1">
      <c r="A49" s="430">
        <v>2</v>
      </c>
      <c r="B49" s="159" t="s">
        <v>314</v>
      </c>
      <c r="C49" s="68" t="s">
        <v>95</v>
      </c>
      <c r="D49" s="68" t="s">
        <v>309</v>
      </c>
      <c r="E49" s="428" t="s">
        <v>4282</v>
      </c>
      <c r="F49" s="428" t="s">
        <v>4283</v>
      </c>
      <c r="G49" s="428" t="s">
        <v>4284</v>
      </c>
      <c r="H49" s="428" t="s">
        <v>2894</v>
      </c>
      <c r="I49" s="428" t="s">
        <v>2959</v>
      </c>
      <c r="J49" s="428" t="s">
        <v>3813</v>
      </c>
      <c r="K49" s="428" t="s">
        <v>2917</v>
      </c>
      <c r="L49" s="428" t="s">
        <v>4285</v>
      </c>
      <c r="M49" s="428" t="s">
        <v>3214</v>
      </c>
      <c r="N49" s="428" t="s">
        <v>2934</v>
      </c>
      <c r="O49" s="428" t="s">
        <v>2683</v>
      </c>
      <c r="P49" s="428" t="s">
        <v>2654</v>
      </c>
      <c r="Q49" s="428" t="s">
        <v>4286</v>
      </c>
      <c r="R49" s="394" t="s">
        <v>1761</v>
      </c>
    </row>
    <row r="50" spans="1:18" ht="12.95" customHeight="1">
      <c r="A50" s="430">
        <v>2</v>
      </c>
      <c r="B50" s="159" t="s">
        <v>314</v>
      </c>
      <c r="C50" s="68" t="s">
        <v>95</v>
      </c>
      <c r="D50" s="68" t="s">
        <v>311</v>
      </c>
      <c r="E50" s="428" t="s">
        <v>4309</v>
      </c>
      <c r="F50" s="428" t="s">
        <v>4007</v>
      </c>
      <c r="G50" s="428" t="s">
        <v>4310</v>
      </c>
      <c r="H50" s="428" t="s">
        <v>3243</v>
      </c>
      <c r="I50" s="428" t="s">
        <v>3391</v>
      </c>
      <c r="J50" s="428" t="s">
        <v>3526</v>
      </c>
      <c r="K50" s="428" t="s">
        <v>3228</v>
      </c>
      <c r="L50" s="428" t="s">
        <v>2683</v>
      </c>
      <c r="M50" s="428" t="s">
        <v>2654</v>
      </c>
      <c r="N50" s="428" t="s">
        <v>2654</v>
      </c>
      <c r="O50" s="428" t="s">
        <v>2654</v>
      </c>
      <c r="P50" s="428" t="s">
        <v>2654</v>
      </c>
      <c r="Q50" s="428" t="s">
        <v>3855</v>
      </c>
      <c r="R50" s="394" t="s">
        <v>1791</v>
      </c>
    </row>
    <row r="51" spans="1:18" ht="12.95" customHeight="1">
      <c r="A51" s="430">
        <v>2</v>
      </c>
      <c r="B51" s="159" t="s">
        <v>314</v>
      </c>
      <c r="C51" s="68" t="s">
        <v>95</v>
      </c>
      <c r="D51" s="68" t="s">
        <v>307</v>
      </c>
      <c r="E51" s="428" t="s">
        <v>4332</v>
      </c>
      <c r="F51" s="428" t="s">
        <v>3874</v>
      </c>
      <c r="G51" s="428" t="s">
        <v>2948</v>
      </c>
      <c r="H51" s="428" t="s">
        <v>4032</v>
      </c>
      <c r="I51" s="428" t="s">
        <v>4006</v>
      </c>
      <c r="J51" s="428" t="s">
        <v>3994</v>
      </c>
      <c r="K51" s="428" t="s">
        <v>2791</v>
      </c>
      <c r="L51" s="428" t="s">
        <v>3008</v>
      </c>
      <c r="M51" s="428" t="s">
        <v>2668</v>
      </c>
      <c r="N51" s="428" t="s">
        <v>2654</v>
      </c>
      <c r="O51" s="428" t="s">
        <v>2654</v>
      </c>
      <c r="P51" s="428" t="s">
        <v>2654</v>
      </c>
      <c r="Q51" s="428" t="s">
        <v>4333</v>
      </c>
      <c r="R51" s="394" t="s">
        <v>1821</v>
      </c>
    </row>
    <row r="52" spans="1:18" ht="12.95" customHeight="1">
      <c r="A52" s="430">
        <v>2</v>
      </c>
      <c r="B52" s="159" t="s">
        <v>316</v>
      </c>
      <c r="C52" s="68" t="s">
        <v>96</v>
      </c>
      <c r="D52" s="68" t="s">
        <v>308</v>
      </c>
      <c r="E52" s="428" t="s">
        <v>4628</v>
      </c>
      <c r="F52" s="428" t="s">
        <v>3771</v>
      </c>
      <c r="G52" s="428" t="s">
        <v>2654</v>
      </c>
      <c r="H52" s="428" t="s">
        <v>2654</v>
      </c>
      <c r="I52" s="428" t="s">
        <v>2654</v>
      </c>
      <c r="J52" s="428" t="s">
        <v>2654</v>
      </c>
      <c r="K52" s="428" t="s">
        <v>2654</v>
      </c>
      <c r="L52" s="428" t="s">
        <v>2654</v>
      </c>
      <c r="M52" s="428" t="s">
        <v>2654</v>
      </c>
      <c r="N52" s="428" t="s">
        <v>2654</v>
      </c>
      <c r="O52" s="428" t="s">
        <v>2654</v>
      </c>
      <c r="P52" s="428" t="s">
        <v>2654</v>
      </c>
      <c r="Q52" s="428" t="s">
        <v>2654</v>
      </c>
      <c r="R52" s="395" t="s">
        <v>2151</v>
      </c>
    </row>
    <row r="53" spans="1:18" ht="12.95" customHeight="1">
      <c r="A53" s="430">
        <v>2</v>
      </c>
      <c r="B53" s="159" t="s">
        <v>316</v>
      </c>
      <c r="C53" s="68" t="s">
        <v>96</v>
      </c>
      <c r="D53" s="68" t="s">
        <v>310</v>
      </c>
      <c r="E53" s="428" t="s">
        <v>3603</v>
      </c>
      <c r="F53" s="428" t="s">
        <v>3900</v>
      </c>
      <c r="G53" s="428" t="s">
        <v>2654</v>
      </c>
      <c r="H53" s="428" t="s">
        <v>2654</v>
      </c>
      <c r="I53" s="428" t="s">
        <v>2654</v>
      </c>
      <c r="J53" s="428" t="s">
        <v>2654</v>
      </c>
      <c r="K53" s="428" t="s">
        <v>2654</v>
      </c>
      <c r="L53" s="428" t="s">
        <v>2654</v>
      </c>
      <c r="M53" s="428" t="s">
        <v>2654</v>
      </c>
      <c r="N53" s="428" t="s">
        <v>2654</v>
      </c>
      <c r="O53" s="428" t="s">
        <v>2654</v>
      </c>
      <c r="P53" s="428" t="s">
        <v>2654</v>
      </c>
      <c r="Q53" s="428" t="s">
        <v>2654</v>
      </c>
      <c r="R53" s="395" t="s">
        <v>2181</v>
      </c>
    </row>
    <row r="54" spans="1:18" ht="12.95" customHeight="1">
      <c r="A54" s="430">
        <v>2</v>
      </c>
      <c r="B54" s="159" t="s">
        <v>316</v>
      </c>
      <c r="C54" s="68" t="s">
        <v>96</v>
      </c>
      <c r="D54" s="68" t="s">
        <v>309</v>
      </c>
      <c r="E54" s="428" t="s">
        <v>3408</v>
      </c>
      <c r="F54" s="428" t="s">
        <v>3906</v>
      </c>
      <c r="G54" s="428" t="s">
        <v>2654</v>
      </c>
      <c r="H54" s="428" t="s">
        <v>2654</v>
      </c>
      <c r="I54" s="428" t="s">
        <v>2654</v>
      </c>
      <c r="J54" s="428" t="s">
        <v>2654</v>
      </c>
      <c r="K54" s="428" t="s">
        <v>2654</v>
      </c>
      <c r="L54" s="428" t="s">
        <v>2654</v>
      </c>
      <c r="M54" s="428" t="s">
        <v>2654</v>
      </c>
      <c r="N54" s="428" t="s">
        <v>2654</v>
      </c>
      <c r="O54" s="428" t="s">
        <v>2654</v>
      </c>
      <c r="P54" s="428" t="s">
        <v>2654</v>
      </c>
      <c r="Q54" s="428" t="s">
        <v>2654</v>
      </c>
      <c r="R54" s="68" t="s">
        <v>2211</v>
      </c>
    </row>
    <row r="55" spans="1:18" ht="12.95" customHeight="1">
      <c r="A55" s="430">
        <v>2</v>
      </c>
      <c r="B55" s="159" t="s">
        <v>316</v>
      </c>
      <c r="C55" s="68" t="s">
        <v>96</v>
      </c>
      <c r="D55" s="68" t="s">
        <v>311</v>
      </c>
      <c r="E55" s="428" t="s">
        <v>4637</v>
      </c>
      <c r="F55" s="428" t="s">
        <v>3771</v>
      </c>
      <c r="G55" s="428" t="s">
        <v>2654</v>
      </c>
      <c r="H55" s="428" t="s">
        <v>2654</v>
      </c>
      <c r="I55" s="428" t="s">
        <v>2654</v>
      </c>
      <c r="J55" s="428" t="s">
        <v>2654</v>
      </c>
      <c r="K55" s="428" t="s">
        <v>2654</v>
      </c>
      <c r="L55" s="428" t="s">
        <v>2654</v>
      </c>
      <c r="M55" s="428" t="s">
        <v>2654</v>
      </c>
      <c r="N55" s="428" t="s">
        <v>2654</v>
      </c>
      <c r="O55" s="428" t="s">
        <v>2654</v>
      </c>
      <c r="P55" s="428" t="s">
        <v>2654</v>
      </c>
      <c r="Q55" s="428" t="s">
        <v>2654</v>
      </c>
      <c r="R55" s="68" t="s">
        <v>2241</v>
      </c>
    </row>
    <row r="56" spans="1:18" ht="12.95" customHeight="1">
      <c r="A56" s="430">
        <v>2</v>
      </c>
      <c r="B56" s="159" t="s">
        <v>316</v>
      </c>
      <c r="C56" s="68" t="s">
        <v>96</v>
      </c>
      <c r="D56" s="68" t="s">
        <v>307</v>
      </c>
      <c r="E56" s="428" t="s">
        <v>4044</v>
      </c>
      <c r="F56" s="428" t="s">
        <v>2833</v>
      </c>
      <c r="G56" s="428" t="s">
        <v>2654</v>
      </c>
      <c r="H56" s="428" t="s">
        <v>2654</v>
      </c>
      <c r="I56" s="428" t="s">
        <v>2654</v>
      </c>
      <c r="J56" s="428" t="s">
        <v>2654</v>
      </c>
      <c r="K56" s="428" t="s">
        <v>2654</v>
      </c>
      <c r="L56" s="428" t="s">
        <v>2654</v>
      </c>
      <c r="M56" s="428" t="s">
        <v>2654</v>
      </c>
      <c r="N56" s="428" t="s">
        <v>2654</v>
      </c>
      <c r="O56" s="428" t="s">
        <v>2654</v>
      </c>
      <c r="P56" s="428" t="s">
        <v>2654</v>
      </c>
      <c r="Q56" s="428" t="s">
        <v>2654</v>
      </c>
      <c r="R56" s="68" t="s">
        <v>2271</v>
      </c>
    </row>
    <row r="57" spans="1:18" ht="12.95" customHeight="1">
      <c r="A57" s="430">
        <v>2</v>
      </c>
      <c r="B57" s="159" t="s">
        <v>316</v>
      </c>
      <c r="C57" s="68" t="s">
        <v>95</v>
      </c>
      <c r="D57" s="68" t="s">
        <v>308</v>
      </c>
      <c r="E57" s="428" t="s">
        <v>3663</v>
      </c>
      <c r="F57" s="428" t="s">
        <v>4337</v>
      </c>
      <c r="G57" s="428" t="s">
        <v>3766</v>
      </c>
      <c r="H57" s="428" t="s">
        <v>3016</v>
      </c>
      <c r="I57" s="428" t="s">
        <v>3783</v>
      </c>
      <c r="J57" s="428" t="s">
        <v>4407</v>
      </c>
      <c r="K57" s="428" t="s">
        <v>4408</v>
      </c>
      <c r="L57" s="428" t="s">
        <v>4409</v>
      </c>
      <c r="M57" s="428" t="s">
        <v>4410</v>
      </c>
      <c r="N57" s="428" t="s">
        <v>4411</v>
      </c>
      <c r="O57" s="428" t="s">
        <v>4412</v>
      </c>
      <c r="P57" s="428" t="s">
        <v>4413</v>
      </c>
      <c r="Q57" s="428" t="s">
        <v>4414</v>
      </c>
      <c r="R57" s="68" t="s">
        <v>2001</v>
      </c>
    </row>
    <row r="58" spans="1:18" ht="12.95" customHeight="1">
      <c r="A58" s="430">
        <v>2</v>
      </c>
      <c r="B58" s="159" t="s">
        <v>316</v>
      </c>
      <c r="C58" s="68" t="s">
        <v>95</v>
      </c>
      <c r="D58" s="68" t="s">
        <v>310</v>
      </c>
      <c r="E58" s="428" t="s">
        <v>4013</v>
      </c>
      <c r="F58" s="428" t="s">
        <v>3856</v>
      </c>
      <c r="G58" s="428" t="s">
        <v>3050</v>
      </c>
      <c r="H58" s="428" t="s">
        <v>4019</v>
      </c>
      <c r="I58" s="428" t="s">
        <v>3951</v>
      </c>
      <c r="J58" s="428" t="s">
        <v>4000</v>
      </c>
      <c r="K58" s="428" t="s">
        <v>2815</v>
      </c>
      <c r="L58" s="428" t="s">
        <v>3249</v>
      </c>
      <c r="M58" s="428" t="s">
        <v>4276</v>
      </c>
      <c r="N58" s="428" t="s">
        <v>4459</v>
      </c>
      <c r="O58" s="428" t="s">
        <v>4040</v>
      </c>
      <c r="P58" s="428" t="s">
        <v>4460</v>
      </c>
      <c r="Q58" s="428" t="s">
        <v>4461</v>
      </c>
      <c r="R58" s="68" t="s">
        <v>2031</v>
      </c>
    </row>
    <row r="59" spans="1:18" ht="12.95" customHeight="1">
      <c r="A59" s="430">
        <v>2</v>
      </c>
      <c r="B59" s="159" t="s">
        <v>316</v>
      </c>
      <c r="C59" s="68" t="s">
        <v>95</v>
      </c>
      <c r="D59" s="68" t="s">
        <v>309</v>
      </c>
      <c r="E59" s="428" t="s">
        <v>4511</v>
      </c>
      <c r="F59" s="428" t="s">
        <v>3932</v>
      </c>
      <c r="G59" s="428" t="s">
        <v>4512</v>
      </c>
      <c r="H59" s="428" t="s">
        <v>4513</v>
      </c>
      <c r="I59" s="428" t="s">
        <v>4514</v>
      </c>
      <c r="J59" s="428" t="s">
        <v>4515</v>
      </c>
      <c r="K59" s="428" t="s">
        <v>4516</v>
      </c>
      <c r="L59" s="428" t="s">
        <v>4517</v>
      </c>
      <c r="M59" s="428" t="s">
        <v>4338</v>
      </c>
      <c r="N59" s="428" t="s">
        <v>4518</v>
      </c>
      <c r="O59" s="428" t="s">
        <v>4519</v>
      </c>
      <c r="P59" s="428" t="s">
        <v>3795</v>
      </c>
      <c r="Q59" s="428" t="s">
        <v>4520</v>
      </c>
      <c r="R59" s="68" t="s">
        <v>2061</v>
      </c>
    </row>
    <row r="60" spans="1:18" ht="12.95" customHeight="1">
      <c r="A60" s="430">
        <v>2</v>
      </c>
      <c r="B60" s="159" t="s">
        <v>316</v>
      </c>
      <c r="C60" s="68" t="s">
        <v>95</v>
      </c>
      <c r="D60" s="68" t="s">
        <v>311</v>
      </c>
      <c r="E60" s="428" t="s">
        <v>2799</v>
      </c>
      <c r="F60" s="428" t="s">
        <v>3647</v>
      </c>
      <c r="G60" s="428" t="s">
        <v>3834</v>
      </c>
      <c r="H60" s="428" t="s">
        <v>4035</v>
      </c>
      <c r="I60" s="428" t="s">
        <v>3841</v>
      </c>
      <c r="J60" s="428" t="s">
        <v>2943</v>
      </c>
      <c r="K60" s="428" t="s">
        <v>4455</v>
      </c>
      <c r="L60" s="428" t="s">
        <v>3830</v>
      </c>
      <c r="M60" s="428" t="s">
        <v>4566</v>
      </c>
      <c r="N60" s="428" t="s">
        <v>2947</v>
      </c>
      <c r="O60" s="428" t="s">
        <v>4567</v>
      </c>
      <c r="P60" s="428" t="s">
        <v>4568</v>
      </c>
      <c r="Q60" s="428" t="s">
        <v>4569</v>
      </c>
      <c r="R60" s="395" t="s">
        <v>2091</v>
      </c>
    </row>
    <row r="61" spans="1:18" ht="12.95" customHeight="1">
      <c r="A61" s="430">
        <v>2</v>
      </c>
      <c r="B61" s="159" t="s">
        <v>316</v>
      </c>
      <c r="C61" s="68" t="s">
        <v>95</v>
      </c>
      <c r="D61" s="68" t="s">
        <v>307</v>
      </c>
      <c r="E61" s="428" t="s">
        <v>4609</v>
      </c>
      <c r="F61" s="428" t="s">
        <v>3856</v>
      </c>
      <c r="G61" s="428" t="s">
        <v>4203</v>
      </c>
      <c r="H61" s="428" t="s">
        <v>3831</v>
      </c>
      <c r="I61" s="428" t="s">
        <v>4610</v>
      </c>
      <c r="J61" s="428" t="s">
        <v>4611</v>
      </c>
      <c r="K61" s="428" t="s">
        <v>3300</v>
      </c>
      <c r="L61" s="428" t="s">
        <v>4067</v>
      </c>
      <c r="M61" s="428" t="s">
        <v>4612</v>
      </c>
      <c r="N61" s="428" t="s">
        <v>3833</v>
      </c>
      <c r="O61" s="428" t="s">
        <v>3933</v>
      </c>
      <c r="P61" s="428" t="s">
        <v>3999</v>
      </c>
      <c r="Q61" s="428" t="s">
        <v>4613</v>
      </c>
      <c r="R61" s="395" t="s">
        <v>2121</v>
      </c>
    </row>
    <row r="62" spans="1:18" ht="12.95" customHeight="1">
      <c r="A62" s="430">
        <v>3</v>
      </c>
      <c r="B62" s="159" t="s">
        <v>312</v>
      </c>
      <c r="C62" s="68" t="s">
        <v>96</v>
      </c>
      <c r="D62" s="68" t="s">
        <v>308</v>
      </c>
      <c r="E62" s="428" t="s">
        <v>4154</v>
      </c>
      <c r="F62" s="428" t="s">
        <v>3976</v>
      </c>
      <c r="G62" s="428" t="s">
        <v>2654</v>
      </c>
      <c r="H62" s="428" t="s">
        <v>2654</v>
      </c>
      <c r="I62" s="428" t="s">
        <v>2654</v>
      </c>
      <c r="J62" s="428" t="s">
        <v>2654</v>
      </c>
      <c r="K62" s="428" t="s">
        <v>2654</v>
      </c>
      <c r="L62" s="428" t="s">
        <v>2654</v>
      </c>
      <c r="M62" s="428" t="s">
        <v>2654</v>
      </c>
      <c r="N62" s="428" t="s">
        <v>2654</v>
      </c>
      <c r="O62" s="428" t="s">
        <v>2654</v>
      </c>
      <c r="P62" s="428" t="s">
        <v>2654</v>
      </c>
      <c r="Q62" s="428" t="s">
        <v>2654</v>
      </c>
      <c r="R62" s="394" t="s">
        <v>1556</v>
      </c>
    </row>
    <row r="63" spans="1:18" ht="12.95" customHeight="1">
      <c r="A63" s="430">
        <v>3</v>
      </c>
      <c r="B63" s="159" t="s">
        <v>312</v>
      </c>
      <c r="C63" s="68" t="s">
        <v>96</v>
      </c>
      <c r="D63" s="68" t="s">
        <v>310</v>
      </c>
      <c r="E63" s="428" t="s">
        <v>4162</v>
      </c>
      <c r="F63" s="428" t="s">
        <v>3049</v>
      </c>
      <c r="G63" s="428" t="s">
        <v>2654</v>
      </c>
      <c r="H63" s="428" t="s">
        <v>2654</v>
      </c>
      <c r="I63" s="428" t="s">
        <v>2654</v>
      </c>
      <c r="J63" s="428" t="s">
        <v>2654</v>
      </c>
      <c r="K63" s="428" t="s">
        <v>2654</v>
      </c>
      <c r="L63" s="428" t="s">
        <v>2654</v>
      </c>
      <c r="M63" s="428" t="s">
        <v>2654</v>
      </c>
      <c r="N63" s="428" t="s">
        <v>2654</v>
      </c>
      <c r="O63" s="428" t="s">
        <v>2654</v>
      </c>
      <c r="P63" s="428" t="s">
        <v>2654</v>
      </c>
      <c r="Q63" s="428" t="s">
        <v>2654</v>
      </c>
      <c r="R63" s="394" t="s">
        <v>1586</v>
      </c>
    </row>
    <row r="64" spans="1:18" ht="12.95" customHeight="1">
      <c r="A64" s="430">
        <v>3</v>
      </c>
      <c r="B64" s="159" t="s">
        <v>312</v>
      </c>
      <c r="C64" s="68" t="s">
        <v>96</v>
      </c>
      <c r="D64" s="68" t="s">
        <v>309</v>
      </c>
      <c r="E64" s="428" t="s">
        <v>4145</v>
      </c>
      <c r="F64" s="428" t="s">
        <v>3901</v>
      </c>
      <c r="G64" s="428" t="s">
        <v>2654</v>
      </c>
      <c r="H64" s="428" t="s">
        <v>2654</v>
      </c>
      <c r="I64" s="428" t="s">
        <v>2654</v>
      </c>
      <c r="J64" s="428" t="s">
        <v>2654</v>
      </c>
      <c r="K64" s="428" t="s">
        <v>2654</v>
      </c>
      <c r="L64" s="428" t="s">
        <v>2654</v>
      </c>
      <c r="M64" s="428" t="s">
        <v>2654</v>
      </c>
      <c r="N64" s="428" t="s">
        <v>2654</v>
      </c>
      <c r="O64" s="428" t="s">
        <v>2654</v>
      </c>
      <c r="P64" s="428" t="s">
        <v>2654</v>
      </c>
      <c r="Q64" s="428" t="s">
        <v>2654</v>
      </c>
      <c r="R64" s="394" t="s">
        <v>1616</v>
      </c>
    </row>
    <row r="65" spans="1:18" ht="12.95" customHeight="1">
      <c r="A65" s="430">
        <v>3</v>
      </c>
      <c r="B65" s="159" t="s">
        <v>312</v>
      </c>
      <c r="C65" s="68" t="s">
        <v>96</v>
      </c>
      <c r="D65" s="68" t="s">
        <v>311</v>
      </c>
      <c r="E65" s="428" t="s">
        <v>4181</v>
      </c>
      <c r="F65" s="428" t="s">
        <v>3049</v>
      </c>
      <c r="G65" s="428" t="s">
        <v>2654</v>
      </c>
      <c r="H65" s="428" t="s">
        <v>2654</v>
      </c>
      <c r="I65" s="428" t="s">
        <v>2654</v>
      </c>
      <c r="J65" s="428" t="s">
        <v>2654</v>
      </c>
      <c r="K65" s="428" t="s">
        <v>2654</v>
      </c>
      <c r="L65" s="428" t="s">
        <v>2654</v>
      </c>
      <c r="M65" s="428" t="s">
        <v>2654</v>
      </c>
      <c r="N65" s="428" t="s">
        <v>2654</v>
      </c>
      <c r="O65" s="428" t="s">
        <v>2654</v>
      </c>
      <c r="P65" s="428" t="s">
        <v>2654</v>
      </c>
      <c r="Q65" s="428" t="s">
        <v>2654</v>
      </c>
      <c r="R65" s="394" t="s">
        <v>1646</v>
      </c>
    </row>
    <row r="66" spans="1:18" ht="12.95" customHeight="1">
      <c r="A66" s="430">
        <v>3</v>
      </c>
      <c r="B66" s="159" t="s">
        <v>312</v>
      </c>
      <c r="C66" s="68" t="s">
        <v>96</v>
      </c>
      <c r="D66" s="68" t="s">
        <v>307</v>
      </c>
      <c r="E66" s="428" t="s">
        <v>4193</v>
      </c>
      <c r="F66" s="428" t="s">
        <v>4194</v>
      </c>
      <c r="G66" s="428" t="s">
        <v>2654</v>
      </c>
      <c r="H66" s="428" t="s">
        <v>2654</v>
      </c>
      <c r="I66" s="428" t="s">
        <v>2654</v>
      </c>
      <c r="J66" s="428" t="s">
        <v>2654</v>
      </c>
      <c r="K66" s="428" t="s">
        <v>2654</v>
      </c>
      <c r="L66" s="428" t="s">
        <v>2654</v>
      </c>
      <c r="M66" s="428" t="s">
        <v>2654</v>
      </c>
      <c r="N66" s="428" t="s">
        <v>2654</v>
      </c>
      <c r="O66" s="428" t="s">
        <v>2654</v>
      </c>
      <c r="P66" s="428" t="s">
        <v>2654</v>
      </c>
      <c r="Q66" s="428" t="s">
        <v>2654</v>
      </c>
      <c r="R66" s="394" t="s">
        <v>1676</v>
      </c>
    </row>
    <row r="67" spans="1:18" ht="12.95" customHeight="1">
      <c r="A67" s="430">
        <v>3</v>
      </c>
      <c r="B67" s="159" t="s">
        <v>312</v>
      </c>
      <c r="C67" s="68" t="s">
        <v>95</v>
      </c>
      <c r="D67" s="68" t="s">
        <v>308</v>
      </c>
      <c r="E67" s="428" t="s">
        <v>4081</v>
      </c>
      <c r="F67" s="428" t="s">
        <v>3932</v>
      </c>
      <c r="G67" s="428" t="s">
        <v>4082</v>
      </c>
      <c r="H67" s="428" t="s">
        <v>2870</v>
      </c>
      <c r="I67" s="428" t="s">
        <v>2659</v>
      </c>
      <c r="J67" s="428" t="s">
        <v>2654</v>
      </c>
      <c r="K67" s="428" t="s">
        <v>2654</v>
      </c>
      <c r="L67" s="428" t="s">
        <v>2654</v>
      </c>
      <c r="M67" s="428" t="s">
        <v>2654</v>
      </c>
      <c r="N67" s="428" t="s">
        <v>2654</v>
      </c>
      <c r="O67" s="428" t="s">
        <v>2654</v>
      </c>
      <c r="P67" s="428" t="s">
        <v>2654</v>
      </c>
      <c r="Q67" s="428" t="s">
        <v>2795</v>
      </c>
      <c r="R67" s="394" t="s">
        <v>1406</v>
      </c>
    </row>
    <row r="68" spans="1:18" ht="12.95" customHeight="1">
      <c r="A68" s="430">
        <v>3</v>
      </c>
      <c r="B68" s="159" t="s">
        <v>312</v>
      </c>
      <c r="C68" s="68" t="s">
        <v>95</v>
      </c>
      <c r="D68" s="68" t="s">
        <v>310</v>
      </c>
      <c r="E68" s="428" t="s">
        <v>3954</v>
      </c>
      <c r="F68" s="428" t="s">
        <v>3856</v>
      </c>
      <c r="G68" s="428" t="s">
        <v>2654</v>
      </c>
      <c r="H68" s="428" t="s">
        <v>2654</v>
      </c>
      <c r="I68" s="428" t="s">
        <v>2654</v>
      </c>
      <c r="J68" s="428" t="s">
        <v>2654</v>
      </c>
      <c r="K68" s="428" t="s">
        <v>2654</v>
      </c>
      <c r="L68" s="428" t="s">
        <v>2654</v>
      </c>
      <c r="M68" s="428" t="s">
        <v>2654</v>
      </c>
      <c r="N68" s="428" t="s">
        <v>2654</v>
      </c>
      <c r="O68" s="428" t="s">
        <v>2654</v>
      </c>
      <c r="P68" s="428" t="s">
        <v>2654</v>
      </c>
      <c r="Q68" s="428" t="s">
        <v>2654</v>
      </c>
      <c r="R68" s="394" t="s">
        <v>1436</v>
      </c>
    </row>
    <row r="69" spans="1:18" ht="12.95" customHeight="1">
      <c r="A69" s="430">
        <v>3</v>
      </c>
      <c r="B69" s="159" t="s">
        <v>312</v>
      </c>
      <c r="C69" s="68" t="s">
        <v>95</v>
      </c>
      <c r="D69" s="68" t="s">
        <v>309</v>
      </c>
      <c r="E69" s="428" t="s">
        <v>4113</v>
      </c>
      <c r="F69" s="428" t="s">
        <v>3867</v>
      </c>
      <c r="G69" s="428" t="s">
        <v>3243</v>
      </c>
      <c r="H69" s="428" t="s">
        <v>2909</v>
      </c>
      <c r="I69" s="428" t="s">
        <v>2654</v>
      </c>
      <c r="J69" s="428" t="s">
        <v>2654</v>
      </c>
      <c r="K69" s="428" t="s">
        <v>2654</v>
      </c>
      <c r="L69" s="428" t="s">
        <v>2654</v>
      </c>
      <c r="M69" s="428" t="s">
        <v>2654</v>
      </c>
      <c r="N69" s="428" t="s">
        <v>2654</v>
      </c>
      <c r="O69" s="428" t="s">
        <v>2654</v>
      </c>
      <c r="P69" s="428" t="s">
        <v>2654</v>
      </c>
      <c r="Q69" s="428" t="s">
        <v>2678</v>
      </c>
      <c r="R69" s="394" t="s">
        <v>1466</v>
      </c>
    </row>
    <row r="70" spans="1:18" ht="12.95" customHeight="1">
      <c r="A70" s="430">
        <v>3</v>
      </c>
      <c r="B70" s="159" t="s">
        <v>312</v>
      </c>
      <c r="C70" s="68" t="s">
        <v>95</v>
      </c>
      <c r="D70" s="68" t="s">
        <v>311</v>
      </c>
      <c r="E70" s="428" t="s">
        <v>4127</v>
      </c>
      <c r="F70" s="428" t="s">
        <v>4128</v>
      </c>
      <c r="G70" s="428" t="s">
        <v>3083</v>
      </c>
      <c r="H70" s="428" t="s">
        <v>2654</v>
      </c>
      <c r="I70" s="428" t="s">
        <v>2654</v>
      </c>
      <c r="J70" s="428" t="s">
        <v>2654</v>
      </c>
      <c r="K70" s="428" t="s">
        <v>2654</v>
      </c>
      <c r="L70" s="428" t="s">
        <v>2654</v>
      </c>
      <c r="M70" s="428" t="s">
        <v>2654</v>
      </c>
      <c r="N70" s="428" t="s">
        <v>2654</v>
      </c>
      <c r="O70" s="428" t="s">
        <v>2654</v>
      </c>
      <c r="P70" s="428" t="s">
        <v>2654</v>
      </c>
      <c r="Q70" s="428" t="s">
        <v>2654</v>
      </c>
      <c r="R70" s="394" t="s">
        <v>1496</v>
      </c>
    </row>
    <row r="71" spans="1:18" ht="12.95" customHeight="1">
      <c r="A71" s="430">
        <v>3</v>
      </c>
      <c r="B71" s="159" t="s">
        <v>312</v>
      </c>
      <c r="C71" s="68" t="s">
        <v>95</v>
      </c>
      <c r="D71" s="68" t="s">
        <v>307</v>
      </c>
      <c r="E71" s="428" t="s">
        <v>4051</v>
      </c>
      <c r="F71" s="428" t="s">
        <v>3932</v>
      </c>
      <c r="G71" s="428" t="s">
        <v>2719</v>
      </c>
      <c r="H71" s="428" t="s">
        <v>2654</v>
      </c>
      <c r="I71" s="428" t="s">
        <v>2654</v>
      </c>
      <c r="J71" s="428" t="s">
        <v>2654</v>
      </c>
      <c r="K71" s="428" t="s">
        <v>2654</v>
      </c>
      <c r="L71" s="428" t="s">
        <v>2654</v>
      </c>
      <c r="M71" s="428" t="s">
        <v>2654</v>
      </c>
      <c r="N71" s="428" t="s">
        <v>2654</v>
      </c>
      <c r="O71" s="428" t="s">
        <v>2654</v>
      </c>
      <c r="P71" s="428" t="s">
        <v>2654</v>
      </c>
      <c r="Q71" s="428" t="s">
        <v>2654</v>
      </c>
      <c r="R71" s="394" t="s">
        <v>1526</v>
      </c>
    </row>
    <row r="72" spans="1:18" ht="12.95" customHeight="1">
      <c r="A72" s="430">
        <v>3</v>
      </c>
      <c r="B72" s="159" t="s">
        <v>314</v>
      </c>
      <c r="C72" s="68" t="s">
        <v>96</v>
      </c>
      <c r="D72" s="68" t="s">
        <v>308</v>
      </c>
      <c r="E72" s="428" t="s">
        <v>4047</v>
      </c>
      <c r="F72" s="428" t="s">
        <v>3901</v>
      </c>
      <c r="G72" s="428" t="s">
        <v>2654</v>
      </c>
      <c r="H72" s="428" t="s">
        <v>2654</v>
      </c>
      <c r="I72" s="428" t="s">
        <v>2654</v>
      </c>
      <c r="J72" s="428" t="s">
        <v>2654</v>
      </c>
      <c r="K72" s="428" t="s">
        <v>2654</v>
      </c>
      <c r="L72" s="428" t="s">
        <v>2654</v>
      </c>
      <c r="M72" s="428" t="s">
        <v>2654</v>
      </c>
      <c r="N72" s="428" t="s">
        <v>2654</v>
      </c>
      <c r="O72" s="428" t="s">
        <v>2654</v>
      </c>
      <c r="P72" s="428" t="s">
        <v>2654</v>
      </c>
      <c r="Q72" s="428" t="s">
        <v>2654</v>
      </c>
      <c r="R72" s="394" t="s">
        <v>1856</v>
      </c>
    </row>
    <row r="73" spans="1:18" ht="12.95" customHeight="1">
      <c r="A73" s="430">
        <v>3</v>
      </c>
      <c r="B73" s="159" t="s">
        <v>314</v>
      </c>
      <c r="C73" s="68" t="s">
        <v>96</v>
      </c>
      <c r="D73" s="68" t="s">
        <v>310</v>
      </c>
      <c r="E73" s="428" t="s">
        <v>4350</v>
      </c>
      <c r="F73" s="428" t="s">
        <v>4194</v>
      </c>
      <c r="G73" s="428" t="s">
        <v>2654</v>
      </c>
      <c r="H73" s="428" t="s">
        <v>2654</v>
      </c>
      <c r="I73" s="428" t="s">
        <v>2654</v>
      </c>
      <c r="J73" s="428" t="s">
        <v>2654</v>
      </c>
      <c r="K73" s="428" t="s">
        <v>2654</v>
      </c>
      <c r="L73" s="428" t="s">
        <v>2654</v>
      </c>
      <c r="M73" s="428" t="s">
        <v>2654</v>
      </c>
      <c r="N73" s="428" t="s">
        <v>2654</v>
      </c>
      <c r="O73" s="428" t="s">
        <v>2654</v>
      </c>
      <c r="P73" s="428" t="s">
        <v>2654</v>
      </c>
      <c r="Q73" s="428" t="s">
        <v>2654</v>
      </c>
      <c r="R73" s="394" t="s">
        <v>1886</v>
      </c>
    </row>
    <row r="74" spans="1:18" ht="12.95" customHeight="1">
      <c r="A74" s="430">
        <v>3</v>
      </c>
      <c r="B74" s="159" t="s">
        <v>314</v>
      </c>
      <c r="C74" s="68" t="s">
        <v>96</v>
      </c>
      <c r="D74" s="68" t="s">
        <v>309</v>
      </c>
      <c r="E74" s="428" t="s">
        <v>4358</v>
      </c>
      <c r="F74" s="428" t="s">
        <v>3914</v>
      </c>
      <c r="G74" s="428" t="s">
        <v>2654</v>
      </c>
      <c r="H74" s="428" t="s">
        <v>2654</v>
      </c>
      <c r="I74" s="428" t="s">
        <v>2654</v>
      </c>
      <c r="J74" s="428" t="s">
        <v>2654</v>
      </c>
      <c r="K74" s="428" t="s">
        <v>2654</v>
      </c>
      <c r="L74" s="428" t="s">
        <v>2654</v>
      </c>
      <c r="M74" s="428" t="s">
        <v>2654</v>
      </c>
      <c r="N74" s="428" t="s">
        <v>2654</v>
      </c>
      <c r="O74" s="428" t="s">
        <v>2654</v>
      </c>
      <c r="P74" s="428" t="s">
        <v>2654</v>
      </c>
      <c r="Q74" s="428" t="s">
        <v>2654</v>
      </c>
      <c r="R74" s="394" t="s">
        <v>1916</v>
      </c>
    </row>
    <row r="75" spans="1:18" ht="12.95" customHeight="1">
      <c r="A75" s="430">
        <v>3</v>
      </c>
      <c r="B75" s="159" t="s">
        <v>314</v>
      </c>
      <c r="C75" s="68" t="s">
        <v>96</v>
      </c>
      <c r="D75" s="68" t="s">
        <v>311</v>
      </c>
      <c r="E75" s="428" t="s">
        <v>4368</v>
      </c>
      <c r="F75" s="428" t="s">
        <v>3976</v>
      </c>
      <c r="G75" s="428" t="s">
        <v>2654</v>
      </c>
      <c r="H75" s="428" t="s">
        <v>2654</v>
      </c>
      <c r="I75" s="428" t="s">
        <v>2654</v>
      </c>
      <c r="J75" s="428" t="s">
        <v>2654</v>
      </c>
      <c r="K75" s="428" t="s">
        <v>2654</v>
      </c>
      <c r="L75" s="428" t="s">
        <v>2654</v>
      </c>
      <c r="M75" s="428" t="s">
        <v>2654</v>
      </c>
      <c r="N75" s="428" t="s">
        <v>2654</v>
      </c>
      <c r="O75" s="428" t="s">
        <v>2654</v>
      </c>
      <c r="P75" s="428" t="s">
        <v>2654</v>
      </c>
      <c r="Q75" s="428" t="s">
        <v>2654</v>
      </c>
      <c r="R75" s="68" t="s">
        <v>1946</v>
      </c>
    </row>
    <row r="76" spans="1:18" ht="12.95" customHeight="1">
      <c r="A76" s="430">
        <v>3</v>
      </c>
      <c r="B76" s="159" t="s">
        <v>314</v>
      </c>
      <c r="C76" s="68" t="s">
        <v>96</v>
      </c>
      <c r="D76" s="68" t="s">
        <v>307</v>
      </c>
      <c r="E76" s="428" t="s">
        <v>4375</v>
      </c>
      <c r="F76" s="428" t="s">
        <v>3914</v>
      </c>
      <c r="G76" s="428" t="s">
        <v>2654</v>
      </c>
      <c r="H76" s="428" t="s">
        <v>2654</v>
      </c>
      <c r="I76" s="428" t="s">
        <v>2654</v>
      </c>
      <c r="J76" s="428" t="s">
        <v>2654</v>
      </c>
      <c r="K76" s="428" t="s">
        <v>2654</v>
      </c>
      <c r="L76" s="428" t="s">
        <v>2654</v>
      </c>
      <c r="M76" s="428" t="s">
        <v>2654</v>
      </c>
      <c r="N76" s="428" t="s">
        <v>2654</v>
      </c>
      <c r="O76" s="428" t="s">
        <v>2654</v>
      </c>
      <c r="P76" s="428" t="s">
        <v>2654</v>
      </c>
      <c r="Q76" s="428" t="s">
        <v>2654</v>
      </c>
      <c r="R76" s="68" t="s">
        <v>1976</v>
      </c>
    </row>
    <row r="77" spans="1:18" ht="12.95" customHeight="1">
      <c r="A77" s="430">
        <v>3</v>
      </c>
      <c r="B77" s="159" t="s">
        <v>314</v>
      </c>
      <c r="C77" s="68" t="s">
        <v>95</v>
      </c>
      <c r="D77" s="68" t="s">
        <v>308</v>
      </c>
      <c r="E77" s="428" t="s">
        <v>3959</v>
      </c>
      <c r="F77" s="428" t="s">
        <v>4007</v>
      </c>
      <c r="G77" s="428" t="s">
        <v>4226</v>
      </c>
      <c r="H77" s="428" t="s">
        <v>3938</v>
      </c>
      <c r="I77" s="428" t="s">
        <v>2928</v>
      </c>
      <c r="J77" s="428" t="s">
        <v>3887</v>
      </c>
      <c r="K77" s="428" t="s">
        <v>2792</v>
      </c>
      <c r="L77" s="428" t="s">
        <v>2654</v>
      </c>
      <c r="M77" s="428" t="s">
        <v>2654</v>
      </c>
      <c r="N77" s="428" t="s">
        <v>2654</v>
      </c>
      <c r="O77" s="428" t="s">
        <v>2654</v>
      </c>
      <c r="P77" s="428" t="s">
        <v>2654</v>
      </c>
      <c r="Q77" s="428" t="s">
        <v>4227</v>
      </c>
      <c r="R77" s="394" t="s">
        <v>1706</v>
      </c>
    </row>
    <row r="78" spans="1:18" ht="12.95" customHeight="1">
      <c r="A78" s="430">
        <v>3</v>
      </c>
      <c r="B78" s="159" t="s">
        <v>314</v>
      </c>
      <c r="C78" s="68" t="s">
        <v>95</v>
      </c>
      <c r="D78" s="68" t="s">
        <v>310</v>
      </c>
      <c r="E78" s="428" t="s">
        <v>3711</v>
      </c>
      <c r="F78" s="428" t="s">
        <v>3364</v>
      </c>
      <c r="G78" s="428" t="s">
        <v>2682</v>
      </c>
      <c r="H78" s="428" t="s">
        <v>3389</v>
      </c>
      <c r="I78" s="428" t="s">
        <v>2953</v>
      </c>
      <c r="J78" s="428" t="s">
        <v>2719</v>
      </c>
      <c r="K78" s="428" t="s">
        <v>2654</v>
      </c>
      <c r="L78" s="428" t="s">
        <v>2654</v>
      </c>
      <c r="M78" s="428" t="s">
        <v>2654</v>
      </c>
      <c r="N78" s="428" t="s">
        <v>2654</v>
      </c>
      <c r="O78" s="428" t="s">
        <v>2654</v>
      </c>
      <c r="P78" s="428" t="s">
        <v>2654</v>
      </c>
      <c r="Q78" s="428" t="s">
        <v>2656</v>
      </c>
      <c r="R78" s="394" t="s">
        <v>1736</v>
      </c>
    </row>
    <row r="79" spans="1:18" ht="12.95" customHeight="1">
      <c r="A79" s="430">
        <v>3</v>
      </c>
      <c r="B79" s="159" t="s">
        <v>314</v>
      </c>
      <c r="C79" s="68" t="s">
        <v>95</v>
      </c>
      <c r="D79" s="68" t="s">
        <v>309</v>
      </c>
      <c r="E79" s="428" t="s">
        <v>4290</v>
      </c>
      <c r="F79" s="428" t="s">
        <v>3869</v>
      </c>
      <c r="G79" s="428" t="s">
        <v>4039</v>
      </c>
      <c r="H79" s="428" t="s">
        <v>4291</v>
      </c>
      <c r="I79" s="428" t="s">
        <v>4292</v>
      </c>
      <c r="J79" s="428" t="s">
        <v>2826</v>
      </c>
      <c r="K79" s="428" t="s">
        <v>2708</v>
      </c>
      <c r="L79" s="428" t="s">
        <v>2654</v>
      </c>
      <c r="M79" s="428" t="s">
        <v>2654</v>
      </c>
      <c r="N79" s="428" t="s">
        <v>2654</v>
      </c>
      <c r="O79" s="428" t="s">
        <v>2654</v>
      </c>
      <c r="P79" s="428" t="s">
        <v>2654</v>
      </c>
      <c r="Q79" s="428" t="s">
        <v>4293</v>
      </c>
      <c r="R79" s="394" t="s">
        <v>1766</v>
      </c>
    </row>
    <row r="80" spans="1:18" ht="12.95" customHeight="1">
      <c r="A80" s="430">
        <v>3</v>
      </c>
      <c r="B80" s="159" t="s">
        <v>314</v>
      </c>
      <c r="C80" s="68" t="s">
        <v>95</v>
      </c>
      <c r="D80" s="68" t="s">
        <v>311</v>
      </c>
      <c r="E80" s="428" t="s">
        <v>4312</v>
      </c>
      <c r="F80" s="428" t="s">
        <v>4030</v>
      </c>
      <c r="G80" s="428" t="s">
        <v>4258</v>
      </c>
      <c r="H80" s="428" t="s">
        <v>3555</v>
      </c>
      <c r="I80" s="428" t="s">
        <v>2680</v>
      </c>
      <c r="J80" s="428" t="s">
        <v>2934</v>
      </c>
      <c r="K80" s="428" t="s">
        <v>2654</v>
      </c>
      <c r="L80" s="428" t="s">
        <v>2654</v>
      </c>
      <c r="M80" s="428" t="s">
        <v>2654</v>
      </c>
      <c r="N80" s="428" t="s">
        <v>2654</v>
      </c>
      <c r="O80" s="428" t="s">
        <v>2654</v>
      </c>
      <c r="P80" s="428" t="s">
        <v>2654</v>
      </c>
      <c r="Q80" s="428" t="s">
        <v>4313</v>
      </c>
      <c r="R80" s="394" t="s">
        <v>1796</v>
      </c>
    </row>
    <row r="81" spans="1:18" ht="12.95" customHeight="1">
      <c r="A81" s="430">
        <v>3</v>
      </c>
      <c r="B81" s="159" t="s">
        <v>314</v>
      </c>
      <c r="C81" s="68" t="s">
        <v>95</v>
      </c>
      <c r="D81" s="68" t="s">
        <v>307</v>
      </c>
      <c r="E81" s="428" t="s">
        <v>4334</v>
      </c>
      <c r="F81" s="428" t="s">
        <v>4335</v>
      </c>
      <c r="G81" s="428" t="s">
        <v>3457</v>
      </c>
      <c r="H81" s="428" t="s">
        <v>3214</v>
      </c>
      <c r="I81" s="428" t="s">
        <v>2683</v>
      </c>
      <c r="J81" s="428" t="s">
        <v>2654</v>
      </c>
      <c r="K81" s="428" t="s">
        <v>2654</v>
      </c>
      <c r="L81" s="428" t="s">
        <v>2654</v>
      </c>
      <c r="M81" s="428" t="s">
        <v>2654</v>
      </c>
      <c r="N81" s="428" t="s">
        <v>2654</v>
      </c>
      <c r="O81" s="428" t="s">
        <v>2654</v>
      </c>
      <c r="P81" s="428" t="s">
        <v>2654</v>
      </c>
      <c r="Q81" s="428" t="s">
        <v>2934</v>
      </c>
      <c r="R81" s="394" t="s">
        <v>1826</v>
      </c>
    </row>
    <row r="82" spans="1:18" ht="12.95" customHeight="1">
      <c r="A82" s="430">
        <v>3</v>
      </c>
      <c r="B82" s="159" t="s">
        <v>316</v>
      </c>
      <c r="C82" s="68" t="s">
        <v>96</v>
      </c>
      <c r="D82" s="68" t="s">
        <v>308</v>
      </c>
      <c r="E82" s="428" t="s">
        <v>3861</v>
      </c>
      <c r="F82" s="428" t="s">
        <v>3901</v>
      </c>
      <c r="G82" s="428" t="s">
        <v>2654</v>
      </c>
      <c r="H82" s="428" t="s">
        <v>2654</v>
      </c>
      <c r="I82" s="428" t="s">
        <v>2654</v>
      </c>
      <c r="J82" s="428" t="s">
        <v>2654</v>
      </c>
      <c r="K82" s="428" t="s">
        <v>2654</v>
      </c>
      <c r="L82" s="428" t="s">
        <v>2654</v>
      </c>
      <c r="M82" s="428" t="s">
        <v>2654</v>
      </c>
      <c r="N82" s="428" t="s">
        <v>2654</v>
      </c>
      <c r="O82" s="428" t="s">
        <v>2654</v>
      </c>
      <c r="P82" s="428" t="s">
        <v>2654</v>
      </c>
      <c r="Q82" s="428" t="s">
        <v>2654</v>
      </c>
      <c r="R82" s="395" t="s">
        <v>2156</v>
      </c>
    </row>
    <row r="83" spans="1:18" ht="12.95" customHeight="1">
      <c r="A83" s="430">
        <v>3</v>
      </c>
      <c r="B83" s="159" t="s">
        <v>316</v>
      </c>
      <c r="C83" s="68" t="s">
        <v>96</v>
      </c>
      <c r="D83" s="68" t="s">
        <v>310</v>
      </c>
      <c r="E83" s="428" t="s">
        <v>4634</v>
      </c>
      <c r="F83" s="428" t="s">
        <v>4048</v>
      </c>
      <c r="G83" s="428" t="s">
        <v>2654</v>
      </c>
      <c r="H83" s="428" t="s">
        <v>2654</v>
      </c>
      <c r="I83" s="428" t="s">
        <v>2654</v>
      </c>
      <c r="J83" s="428" t="s">
        <v>2654</v>
      </c>
      <c r="K83" s="428" t="s">
        <v>2654</v>
      </c>
      <c r="L83" s="428" t="s">
        <v>2654</v>
      </c>
      <c r="M83" s="428" t="s">
        <v>2654</v>
      </c>
      <c r="N83" s="428" t="s">
        <v>2654</v>
      </c>
      <c r="O83" s="428" t="s">
        <v>2654</v>
      </c>
      <c r="P83" s="428" t="s">
        <v>2654</v>
      </c>
      <c r="Q83" s="428" t="s">
        <v>2654</v>
      </c>
      <c r="R83" s="395" t="s">
        <v>2186</v>
      </c>
    </row>
    <row r="84" spans="1:18" ht="12.95" customHeight="1">
      <c r="A84" s="430">
        <v>3</v>
      </c>
      <c r="B84" s="159" t="s">
        <v>316</v>
      </c>
      <c r="C84" s="68" t="s">
        <v>96</v>
      </c>
      <c r="D84" s="68" t="s">
        <v>309</v>
      </c>
      <c r="E84" s="428" t="s">
        <v>3451</v>
      </c>
      <c r="F84" s="428" t="s">
        <v>3049</v>
      </c>
      <c r="G84" s="428" t="s">
        <v>2654</v>
      </c>
      <c r="H84" s="428" t="s">
        <v>2654</v>
      </c>
      <c r="I84" s="428" t="s">
        <v>2654</v>
      </c>
      <c r="J84" s="428" t="s">
        <v>2654</v>
      </c>
      <c r="K84" s="428" t="s">
        <v>2654</v>
      </c>
      <c r="L84" s="428" t="s">
        <v>2654</v>
      </c>
      <c r="M84" s="428" t="s">
        <v>2654</v>
      </c>
      <c r="N84" s="428" t="s">
        <v>2654</v>
      </c>
      <c r="O84" s="428" t="s">
        <v>2654</v>
      </c>
      <c r="P84" s="428" t="s">
        <v>2654</v>
      </c>
      <c r="Q84" s="428" t="s">
        <v>2654</v>
      </c>
      <c r="R84" s="68" t="s">
        <v>2216</v>
      </c>
    </row>
    <row r="85" spans="1:18" ht="12.95" customHeight="1">
      <c r="A85" s="430">
        <v>3</v>
      </c>
      <c r="B85" s="159" t="s">
        <v>316</v>
      </c>
      <c r="C85" s="68" t="s">
        <v>96</v>
      </c>
      <c r="D85" s="68" t="s">
        <v>311</v>
      </c>
      <c r="E85" s="428" t="s">
        <v>3874</v>
      </c>
      <c r="F85" s="428" t="s">
        <v>3989</v>
      </c>
      <c r="G85" s="428" t="s">
        <v>2654</v>
      </c>
      <c r="H85" s="428" t="s">
        <v>2654</v>
      </c>
      <c r="I85" s="428" t="s">
        <v>2654</v>
      </c>
      <c r="J85" s="428" t="s">
        <v>2654</v>
      </c>
      <c r="K85" s="428" t="s">
        <v>2654</v>
      </c>
      <c r="L85" s="428" t="s">
        <v>2654</v>
      </c>
      <c r="M85" s="428" t="s">
        <v>2654</v>
      </c>
      <c r="N85" s="428" t="s">
        <v>2654</v>
      </c>
      <c r="O85" s="428" t="s">
        <v>2654</v>
      </c>
      <c r="P85" s="428" t="s">
        <v>2654</v>
      </c>
      <c r="Q85" s="428" t="s">
        <v>2654</v>
      </c>
      <c r="R85" s="68" t="s">
        <v>2246</v>
      </c>
    </row>
    <row r="86" spans="1:18" ht="12.95" customHeight="1">
      <c r="A86" s="430">
        <v>3</v>
      </c>
      <c r="B86" s="159" t="s">
        <v>316</v>
      </c>
      <c r="C86" s="68" t="s">
        <v>96</v>
      </c>
      <c r="D86" s="68" t="s">
        <v>307</v>
      </c>
      <c r="E86" s="428" t="s">
        <v>4641</v>
      </c>
      <c r="F86" s="428" t="s">
        <v>3901</v>
      </c>
      <c r="G86" s="428" t="s">
        <v>2654</v>
      </c>
      <c r="H86" s="428" t="s">
        <v>2654</v>
      </c>
      <c r="I86" s="428" t="s">
        <v>2654</v>
      </c>
      <c r="J86" s="428" t="s">
        <v>2654</v>
      </c>
      <c r="K86" s="428" t="s">
        <v>2654</v>
      </c>
      <c r="L86" s="428" t="s">
        <v>2654</v>
      </c>
      <c r="M86" s="428" t="s">
        <v>2654</v>
      </c>
      <c r="N86" s="428" t="s">
        <v>2654</v>
      </c>
      <c r="O86" s="428" t="s">
        <v>2654</v>
      </c>
      <c r="P86" s="428" t="s">
        <v>2654</v>
      </c>
      <c r="Q86" s="428" t="s">
        <v>2654</v>
      </c>
      <c r="R86" s="68" t="s">
        <v>2276</v>
      </c>
    </row>
    <row r="87" spans="1:18" ht="12.95" customHeight="1">
      <c r="A87" s="430">
        <v>3</v>
      </c>
      <c r="B87" s="159" t="s">
        <v>316</v>
      </c>
      <c r="C87" s="68" t="s">
        <v>95</v>
      </c>
      <c r="D87" s="68" t="s">
        <v>308</v>
      </c>
      <c r="E87" s="428" t="s">
        <v>3917</v>
      </c>
      <c r="F87" s="428" t="s">
        <v>3856</v>
      </c>
      <c r="G87" s="428" t="s">
        <v>3164</v>
      </c>
      <c r="H87" s="428" t="s">
        <v>4015</v>
      </c>
      <c r="I87" s="428" t="s">
        <v>3991</v>
      </c>
      <c r="J87" s="428" t="s">
        <v>4419</v>
      </c>
      <c r="K87" s="428" t="s">
        <v>2842</v>
      </c>
      <c r="L87" s="428" t="s">
        <v>4420</v>
      </c>
      <c r="M87" s="428" t="s">
        <v>4421</v>
      </c>
      <c r="N87" s="428" t="s">
        <v>3811</v>
      </c>
      <c r="O87" s="428" t="s">
        <v>2694</v>
      </c>
      <c r="P87" s="428" t="s">
        <v>4422</v>
      </c>
      <c r="Q87" s="428" t="s">
        <v>3992</v>
      </c>
      <c r="R87" s="68" t="s">
        <v>2006</v>
      </c>
    </row>
    <row r="88" spans="1:18" ht="12.95" customHeight="1">
      <c r="A88" s="430">
        <v>3</v>
      </c>
      <c r="B88" s="159" t="s">
        <v>316</v>
      </c>
      <c r="C88" s="68" t="s">
        <v>95</v>
      </c>
      <c r="D88" s="68" t="s">
        <v>310</v>
      </c>
      <c r="E88" s="428" t="s">
        <v>4467</v>
      </c>
      <c r="F88" s="428" t="s">
        <v>3869</v>
      </c>
      <c r="G88" s="428" t="s">
        <v>4468</v>
      </c>
      <c r="H88" s="428" t="s">
        <v>2818</v>
      </c>
      <c r="I88" s="428" t="s">
        <v>4469</v>
      </c>
      <c r="J88" s="428" t="s">
        <v>4470</v>
      </c>
      <c r="K88" s="428" t="s">
        <v>3812</v>
      </c>
      <c r="L88" s="428" t="s">
        <v>4225</v>
      </c>
      <c r="M88" s="428" t="s">
        <v>2907</v>
      </c>
      <c r="N88" s="428" t="s">
        <v>4254</v>
      </c>
      <c r="O88" s="428" t="s">
        <v>2767</v>
      </c>
      <c r="P88" s="428" t="s">
        <v>4471</v>
      </c>
      <c r="Q88" s="428" t="s">
        <v>4031</v>
      </c>
      <c r="R88" s="68" t="s">
        <v>2036</v>
      </c>
    </row>
    <row r="89" spans="1:18" ht="12.95" customHeight="1">
      <c r="A89" s="430">
        <v>3</v>
      </c>
      <c r="B89" s="159" t="s">
        <v>316</v>
      </c>
      <c r="C89" s="68" t="s">
        <v>95</v>
      </c>
      <c r="D89" s="68" t="s">
        <v>309</v>
      </c>
      <c r="E89" s="428" t="s">
        <v>4525</v>
      </c>
      <c r="F89" s="428" t="s">
        <v>3856</v>
      </c>
      <c r="G89" s="428" t="s">
        <v>4526</v>
      </c>
      <c r="H89" s="428" t="s">
        <v>4527</v>
      </c>
      <c r="I89" s="428" t="s">
        <v>3224</v>
      </c>
      <c r="J89" s="428" t="s">
        <v>4528</v>
      </c>
      <c r="K89" s="428" t="s">
        <v>3545</v>
      </c>
      <c r="L89" s="428" t="s">
        <v>3997</v>
      </c>
      <c r="M89" s="428" t="s">
        <v>4205</v>
      </c>
      <c r="N89" s="428" t="s">
        <v>4529</v>
      </c>
      <c r="O89" s="428" t="s">
        <v>3906</v>
      </c>
      <c r="P89" s="428" t="s">
        <v>3306</v>
      </c>
      <c r="Q89" s="428" t="s">
        <v>4530</v>
      </c>
      <c r="R89" s="68" t="s">
        <v>2066</v>
      </c>
    </row>
    <row r="90" spans="1:18" ht="12.95" customHeight="1">
      <c r="A90" s="430">
        <v>3</v>
      </c>
      <c r="B90" s="159" t="s">
        <v>316</v>
      </c>
      <c r="C90" s="68" t="s">
        <v>95</v>
      </c>
      <c r="D90" s="68" t="s">
        <v>311</v>
      </c>
      <c r="E90" s="428" t="s">
        <v>4577</v>
      </c>
      <c r="F90" s="428" t="s">
        <v>3874</v>
      </c>
      <c r="G90" s="428" t="s">
        <v>4578</v>
      </c>
      <c r="H90" s="428" t="s">
        <v>4579</v>
      </c>
      <c r="I90" s="428" t="s">
        <v>3960</v>
      </c>
      <c r="J90" s="428" t="s">
        <v>3964</v>
      </c>
      <c r="K90" s="428" t="s">
        <v>4580</v>
      </c>
      <c r="L90" s="428" t="s">
        <v>3776</v>
      </c>
      <c r="M90" s="428" t="s">
        <v>4227</v>
      </c>
      <c r="N90" s="428" t="s">
        <v>3847</v>
      </c>
      <c r="O90" s="428" t="s">
        <v>4333</v>
      </c>
      <c r="P90" s="428" t="s">
        <v>3660</v>
      </c>
      <c r="Q90" s="428" t="s">
        <v>4581</v>
      </c>
      <c r="R90" s="395" t="s">
        <v>2096</v>
      </c>
    </row>
    <row r="91" spans="1:18" ht="12.95" customHeight="1">
      <c r="A91" s="430">
        <v>3</v>
      </c>
      <c r="B91" s="159" t="s">
        <v>316</v>
      </c>
      <c r="C91" s="68" t="s">
        <v>95</v>
      </c>
      <c r="D91" s="68" t="s">
        <v>307</v>
      </c>
      <c r="E91" s="428" t="s">
        <v>4618</v>
      </c>
      <c r="F91" s="428" t="s">
        <v>3891</v>
      </c>
      <c r="G91" s="428" t="s">
        <v>4027</v>
      </c>
      <c r="H91" s="428" t="s">
        <v>4431</v>
      </c>
      <c r="I91" s="428" t="s">
        <v>4619</v>
      </c>
      <c r="J91" s="428" t="s">
        <v>2699</v>
      </c>
      <c r="K91" s="428" t="s">
        <v>3857</v>
      </c>
      <c r="L91" s="428" t="s">
        <v>2911</v>
      </c>
      <c r="M91" s="428" t="s">
        <v>4288</v>
      </c>
      <c r="N91" s="428" t="s">
        <v>3716</v>
      </c>
      <c r="O91" s="428" t="s">
        <v>3776</v>
      </c>
      <c r="P91" s="428" t="s">
        <v>4224</v>
      </c>
      <c r="Q91" s="428" t="s">
        <v>4021</v>
      </c>
      <c r="R91" s="395" t="s">
        <v>2126</v>
      </c>
    </row>
    <row r="92" spans="1:18" ht="12.95" customHeight="1">
      <c r="A92" s="430">
        <v>4</v>
      </c>
      <c r="B92" s="159" t="s">
        <v>312</v>
      </c>
      <c r="C92" s="68" t="s">
        <v>96</v>
      </c>
      <c r="D92" s="68" t="s">
        <v>308</v>
      </c>
      <c r="E92" s="428" t="s">
        <v>3849</v>
      </c>
      <c r="F92" s="428" t="s">
        <v>3729</v>
      </c>
      <c r="G92" s="428" t="s">
        <v>2654</v>
      </c>
      <c r="H92" s="428" t="s">
        <v>2654</v>
      </c>
      <c r="I92" s="428" t="s">
        <v>2654</v>
      </c>
      <c r="J92" s="428" t="s">
        <v>2654</v>
      </c>
      <c r="K92" s="428" t="s">
        <v>2654</v>
      </c>
      <c r="L92" s="428" t="s">
        <v>2654</v>
      </c>
      <c r="M92" s="428" t="s">
        <v>2654</v>
      </c>
      <c r="N92" s="428" t="s">
        <v>2654</v>
      </c>
      <c r="O92" s="428" t="s">
        <v>2654</v>
      </c>
      <c r="P92" s="428" t="s">
        <v>2654</v>
      </c>
      <c r="Q92" s="428" t="s">
        <v>2654</v>
      </c>
      <c r="R92" s="394" t="s">
        <v>1561</v>
      </c>
    </row>
    <row r="93" spans="1:18" ht="12.95" customHeight="1">
      <c r="A93" s="430">
        <v>4</v>
      </c>
      <c r="B93" s="159" t="s">
        <v>312</v>
      </c>
      <c r="C93" s="68" t="s">
        <v>96</v>
      </c>
      <c r="D93" s="68" t="s">
        <v>310</v>
      </c>
      <c r="E93" s="428" t="s">
        <v>4165</v>
      </c>
      <c r="F93" s="428" t="s">
        <v>3907</v>
      </c>
      <c r="G93" s="428" t="s">
        <v>2654</v>
      </c>
      <c r="H93" s="428" t="s">
        <v>2654</v>
      </c>
      <c r="I93" s="428" t="s">
        <v>2654</v>
      </c>
      <c r="J93" s="428" t="s">
        <v>2654</v>
      </c>
      <c r="K93" s="428" t="s">
        <v>2654</v>
      </c>
      <c r="L93" s="428" t="s">
        <v>2654</v>
      </c>
      <c r="M93" s="428" t="s">
        <v>2654</v>
      </c>
      <c r="N93" s="428" t="s">
        <v>2654</v>
      </c>
      <c r="O93" s="428" t="s">
        <v>2654</v>
      </c>
      <c r="P93" s="428" t="s">
        <v>2654</v>
      </c>
      <c r="Q93" s="428" t="s">
        <v>2654</v>
      </c>
      <c r="R93" s="394" t="s">
        <v>1591</v>
      </c>
    </row>
    <row r="94" spans="1:18" ht="12.95" customHeight="1">
      <c r="A94" s="430">
        <v>4</v>
      </c>
      <c r="B94" s="159" t="s">
        <v>312</v>
      </c>
      <c r="C94" s="68" t="s">
        <v>96</v>
      </c>
      <c r="D94" s="68" t="s">
        <v>309</v>
      </c>
      <c r="E94" s="428" t="s">
        <v>4174</v>
      </c>
      <c r="F94" s="428" t="s">
        <v>3729</v>
      </c>
      <c r="G94" s="428" t="s">
        <v>2654</v>
      </c>
      <c r="H94" s="428" t="s">
        <v>2654</v>
      </c>
      <c r="I94" s="428" t="s">
        <v>2654</v>
      </c>
      <c r="J94" s="428" t="s">
        <v>2654</v>
      </c>
      <c r="K94" s="428" t="s">
        <v>2654</v>
      </c>
      <c r="L94" s="428" t="s">
        <v>2654</v>
      </c>
      <c r="M94" s="428" t="s">
        <v>2654</v>
      </c>
      <c r="N94" s="428" t="s">
        <v>2654</v>
      </c>
      <c r="O94" s="428" t="s">
        <v>2654</v>
      </c>
      <c r="P94" s="428" t="s">
        <v>2654</v>
      </c>
      <c r="Q94" s="428" t="s">
        <v>2654</v>
      </c>
      <c r="R94" s="394" t="s">
        <v>1621</v>
      </c>
    </row>
    <row r="95" spans="1:18" ht="12.95" customHeight="1">
      <c r="A95" s="430">
        <v>4</v>
      </c>
      <c r="B95" s="159" t="s">
        <v>312</v>
      </c>
      <c r="C95" s="68" t="s">
        <v>96</v>
      </c>
      <c r="D95" s="68" t="s">
        <v>311</v>
      </c>
      <c r="E95" s="428" t="s">
        <v>4184</v>
      </c>
      <c r="F95" s="428" t="s">
        <v>4045</v>
      </c>
      <c r="G95" s="428" t="s">
        <v>2654</v>
      </c>
      <c r="H95" s="428" t="s">
        <v>2654</v>
      </c>
      <c r="I95" s="428" t="s">
        <v>2654</v>
      </c>
      <c r="J95" s="428" t="s">
        <v>2654</v>
      </c>
      <c r="K95" s="428" t="s">
        <v>2654</v>
      </c>
      <c r="L95" s="428" t="s">
        <v>2654</v>
      </c>
      <c r="M95" s="428" t="s">
        <v>2654</v>
      </c>
      <c r="N95" s="428" t="s">
        <v>2654</v>
      </c>
      <c r="O95" s="428" t="s">
        <v>2654</v>
      </c>
      <c r="P95" s="428" t="s">
        <v>2654</v>
      </c>
      <c r="Q95" s="428" t="s">
        <v>2654</v>
      </c>
      <c r="R95" s="394" t="s">
        <v>1651</v>
      </c>
    </row>
    <row r="96" spans="1:18" ht="12.95" customHeight="1">
      <c r="A96" s="430">
        <v>4</v>
      </c>
      <c r="B96" s="159" t="s">
        <v>312</v>
      </c>
      <c r="C96" s="68" t="s">
        <v>96</v>
      </c>
      <c r="D96" s="68" t="s">
        <v>307</v>
      </c>
      <c r="E96" s="428" t="s">
        <v>4195</v>
      </c>
      <c r="F96" s="428" t="s">
        <v>3897</v>
      </c>
      <c r="G96" s="428" t="s">
        <v>2654</v>
      </c>
      <c r="H96" s="428" t="s">
        <v>2654</v>
      </c>
      <c r="I96" s="428" t="s">
        <v>2654</v>
      </c>
      <c r="J96" s="428" t="s">
        <v>2654</v>
      </c>
      <c r="K96" s="428" t="s">
        <v>2654</v>
      </c>
      <c r="L96" s="428" t="s">
        <v>2654</v>
      </c>
      <c r="M96" s="428" t="s">
        <v>2654</v>
      </c>
      <c r="N96" s="428" t="s">
        <v>2654</v>
      </c>
      <c r="O96" s="428" t="s">
        <v>2654</v>
      </c>
      <c r="P96" s="428" t="s">
        <v>2654</v>
      </c>
      <c r="Q96" s="428" t="s">
        <v>2654</v>
      </c>
      <c r="R96" s="394" t="s">
        <v>1681</v>
      </c>
    </row>
    <row r="97" spans="1:18" ht="12.95" customHeight="1">
      <c r="A97" s="430">
        <v>4</v>
      </c>
      <c r="B97" s="159" t="s">
        <v>312</v>
      </c>
      <c r="C97" s="68" t="s">
        <v>95</v>
      </c>
      <c r="D97" s="68" t="s">
        <v>308</v>
      </c>
      <c r="E97" s="428" t="s">
        <v>4086</v>
      </c>
      <c r="F97" s="428" t="s">
        <v>3856</v>
      </c>
      <c r="G97" s="428" t="s">
        <v>2832</v>
      </c>
      <c r="H97" s="428" t="s">
        <v>2654</v>
      </c>
      <c r="I97" s="428" t="s">
        <v>2654</v>
      </c>
      <c r="J97" s="428" t="s">
        <v>2654</v>
      </c>
      <c r="K97" s="428" t="s">
        <v>2654</v>
      </c>
      <c r="L97" s="428" t="s">
        <v>2654</v>
      </c>
      <c r="M97" s="428" t="s">
        <v>2654</v>
      </c>
      <c r="N97" s="428" t="s">
        <v>2654</v>
      </c>
      <c r="O97" s="428" t="s">
        <v>2654</v>
      </c>
      <c r="P97" s="428" t="s">
        <v>2654</v>
      </c>
      <c r="Q97" s="428" t="s">
        <v>2654</v>
      </c>
      <c r="R97" s="394" t="s">
        <v>1411</v>
      </c>
    </row>
    <row r="98" spans="1:18" ht="12.95" customHeight="1">
      <c r="A98" s="430">
        <v>4</v>
      </c>
      <c r="B98" s="159" t="s">
        <v>312</v>
      </c>
      <c r="C98" s="68" t="s">
        <v>95</v>
      </c>
      <c r="D98" s="68" t="s">
        <v>310</v>
      </c>
      <c r="E98" s="428" t="s">
        <v>4094</v>
      </c>
      <c r="F98" s="428" t="s">
        <v>3874</v>
      </c>
      <c r="G98" s="428" t="s">
        <v>2654</v>
      </c>
      <c r="H98" s="428" t="s">
        <v>2654</v>
      </c>
      <c r="I98" s="428" t="s">
        <v>2654</v>
      </c>
      <c r="J98" s="428" t="s">
        <v>2654</v>
      </c>
      <c r="K98" s="428" t="s">
        <v>2654</v>
      </c>
      <c r="L98" s="428" t="s">
        <v>2654</v>
      </c>
      <c r="M98" s="428" t="s">
        <v>2654</v>
      </c>
      <c r="N98" s="428" t="s">
        <v>2654</v>
      </c>
      <c r="O98" s="428" t="s">
        <v>2654</v>
      </c>
      <c r="P98" s="428" t="s">
        <v>2654</v>
      </c>
      <c r="Q98" s="428" t="s">
        <v>2654</v>
      </c>
      <c r="R98" s="394" t="s">
        <v>1441</v>
      </c>
    </row>
    <row r="99" spans="1:18" ht="12.95" customHeight="1">
      <c r="A99" s="430">
        <v>4</v>
      </c>
      <c r="B99" s="159" t="s">
        <v>312</v>
      </c>
      <c r="C99" s="68" t="s">
        <v>95</v>
      </c>
      <c r="D99" s="68" t="s">
        <v>309</v>
      </c>
      <c r="E99" s="428" t="s">
        <v>3883</v>
      </c>
      <c r="F99" s="428" t="s">
        <v>3364</v>
      </c>
      <c r="G99" s="428" t="s">
        <v>3145</v>
      </c>
      <c r="H99" s="428" t="s">
        <v>2654</v>
      </c>
      <c r="I99" s="428" t="s">
        <v>2654</v>
      </c>
      <c r="J99" s="428" t="s">
        <v>2654</v>
      </c>
      <c r="K99" s="428" t="s">
        <v>2654</v>
      </c>
      <c r="L99" s="428" t="s">
        <v>2654</v>
      </c>
      <c r="M99" s="428" t="s">
        <v>2654</v>
      </c>
      <c r="N99" s="428" t="s">
        <v>2654</v>
      </c>
      <c r="O99" s="428" t="s">
        <v>2654</v>
      </c>
      <c r="P99" s="428" t="s">
        <v>2654</v>
      </c>
      <c r="Q99" s="428" t="s">
        <v>2654</v>
      </c>
      <c r="R99" s="394" t="s">
        <v>1471</v>
      </c>
    </row>
    <row r="100" spans="1:18" ht="12.95" customHeight="1">
      <c r="A100" s="430">
        <v>4</v>
      </c>
      <c r="B100" s="159" t="s">
        <v>312</v>
      </c>
      <c r="C100" s="68" t="s">
        <v>95</v>
      </c>
      <c r="D100" s="68" t="s">
        <v>311</v>
      </c>
      <c r="E100" s="428" t="s">
        <v>4130</v>
      </c>
      <c r="F100" s="428" t="s">
        <v>3867</v>
      </c>
      <c r="G100" s="428" t="s">
        <v>2654</v>
      </c>
      <c r="H100" s="428" t="s">
        <v>2654</v>
      </c>
      <c r="I100" s="428" t="s">
        <v>2654</v>
      </c>
      <c r="J100" s="428" t="s">
        <v>2654</v>
      </c>
      <c r="K100" s="428" t="s">
        <v>2654</v>
      </c>
      <c r="L100" s="428" t="s">
        <v>2654</v>
      </c>
      <c r="M100" s="428" t="s">
        <v>2654</v>
      </c>
      <c r="N100" s="428" t="s">
        <v>2654</v>
      </c>
      <c r="O100" s="428" t="s">
        <v>2654</v>
      </c>
      <c r="P100" s="428" t="s">
        <v>2654</v>
      </c>
      <c r="Q100" s="428" t="s">
        <v>2654</v>
      </c>
      <c r="R100" s="394" t="s">
        <v>1501</v>
      </c>
    </row>
    <row r="101" spans="1:18" ht="12.95" customHeight="1">
      <c r="A101" s="430">
        <v>4</v>
      </c>
      <c r="B101" s="159" t="s">
        <v>312</v>
      </c>
      <c r="C101" s="68" t="s">
        <v>95</v>
      </c>
      <c r="D101" s="68" t="s">
        <v>307</v>
      </c>
      <c r="E101" s="428" t="s">
        <v>4148</v>
      </c>
      <c r="F101" s="428" t="s">
        <v>3856</v>
      </c>
      <c r="G101" s="428" t="s">
        <v>2654</v>
      </c>
      <c r="H101" s="428" t="s">
        <v>2654</v>
      </c>
      <c r="I101" s="428" t="s">
        <v>2654</v>
      </c>
      <c r="J101" s="428" t="s">
        <v>2654</v>
      </c>
      <c r="K101" s="428" t="s">
        <v>2654</v>
      </c>
      <c r="L101" s="428" t="s">
        <v>2654</v>
      </c>
      <c r="M101" s="428" t="s">
        <v>2654</v>
      </c>
      <c r="N101" s="428" t="s">
        <v>2654</v>
      </c>
      <c r="O101" s="428" t="s">
        <v>2654</v>
      </c>
      <c r="P101" s="428" t="s">
        <v>2654</v>
      </c>
      <c r="Q101" s="428" t="s">
        <v>2654</v>
      </c>
      <c r="R101" s="394" t="s">
        <v>1531</v>
      </c>
    </row>
    <row r="102" spans="1:18" ht="12.95" customHeight="1">
      <c r="A102" s="430">
        <v>4</v>
      </c>
      <c r="B102" s="159" t="s">
        <v>314</v>
      </c>
      <c r="C102" s="68" t="s">
        <v>96</v>
      </c>
      <c r="D102" s="68" t="s">
        <v>308</v>
      </c>
      <c r="E102" s="428" t="s">
        <v>3653</v>
      </c>
      <c r="F102" s="428" t="s">
        <v>3897</v>
      </c>
      <c r="G102" s="428" t="s">
        <v>2654</v>
      </c>
      <c r="H102" s="428" t="s">
        <v>2654</v>
      </c>
      <c r="I102" s="428" t="s">
        <v>2654</v>
      </c>
      <c r="J102" s="428" t="s">
        <v>2654</v>
      </c>
      <c r="K102" s="428" t="s">
        <v>2654</v>
      </c>
      <c r="L102" s="428" t="s">
        <v>2654</v>
      </c>
      <c r="M102" s="428" t="s">
        <v>2654</v>
      </c>
      <c r="N102" s="428" t="s">
        <v>2654</v>
      </c>
      <c r="O102" s="428" t="s">
        <v>2654</v>
      </c>
      <c r="P102" s="428" t="s">
        <v>2654</v>
      </c>
      <c r="Q102" s="428" t="s">
        <v>2654</v>
      </c>
      <c r="R102" s="394" t="s">
        <v>1861</v>
      </c>
    </row>
    <row r="103" spans="1:18" ht="12.95" customHeight="1">
      <c r="A103" s="430">
        <v>4</v>
      </c>
      <c r="B103" s="159" t="s">
        <v>314</v>
      </c>
      <c r="C103" s="68" t="s">
        <v>96</v>
      </c>
      <c r="D103" s="68" t="s">
        <v>310</v>
      </c>
      <c r="E103" s="428" t="s">
        <v>4351</v>
      </c>
      <c r="F103" s="428" t="s">
        <v>3918</v>
      </c>
      <c r="G103" s="428" t="s">
        <v>2680</v>
      </c>
      <c r="H103" s="428" t="s">
        <v>2654</v>
      </c>
      <c r="I103" s="428" t="s">
        <v>2654</v>
      </c>
      <c r="J103" s="428" t="s">
        <v>2654</v>
      </c>
      <c r="K103" s="428" t="s">
        <v>2654</v>
      </c>
      <c r="L103" s="428" t="s">
        <v>2654</v>
      </c>
      <c r="M103" s="428" t="s">
        <v>2654</v>
      </c>
      <c r="N103" s="428" t="s">
        <v>2654</v>
      </c>
      <c r="O103" s="428" t="s">
        <v>2654</v>
      </c>
      <c r="P103" s="428" t="s">
        <v>2654</v>
      </c>
      <c r="Q103" s="428" t="s">
        <v>2654</v>
      </c>
      <c r="R103" s="394" t="s">
        <v>1891</v>
      </c>
    </row>
    <row r="104" spans="1:18" ht="12.95" customHeight="1">
      <c r="A104" s="430">
        <v>4</v>
      </c>
      <c r="B104" s="159" t="s">
        <v>314</v>
      </c>
      <c r="C104" s="68" t="s">
        <v>96</v>
      </c>
      <c r="D104" s="68" t="s">
        <v>309</v>
      </c>
      <c r="E104" s="428" t="s">
        <v>4361</v>
      </c>
      <c r="F104" s="428" t="s">
        <v>4045</v>
      </c>
      <c r="G104" s="428" t="s">
        <v>2654</v>
      </c>
      <c r="H104" s="428" t="s">
        <v>2654</v>
      </c>
      <c r="I104" s="428" t="s">
        <v>2654</v>
      </c>
      <c r="J104" s="428" t="s">
        <v>2654</v>
      </c>
      <c r="K104" s="428" t="s">
        <v>2654</v>
      </c>
      <c r="L104" s="428" t="s">
        <v>2654</v>
      </c>
      <c r="M104" s="428" t="s">
        <v>2654</v>
      </c>
      <c r="N104" s="428" t="s">
        <v>2654</v>
      </c>
      <c r="O104" s="428" t="s">
        <v>2654</v>
      </c>
      <c r="P104" s="428" t="s">
        <v>2654</v>
      </c>
      <c r="Q104" s="428" t="s">
        <v>2654</v>
      </c>
      <c r="R104" s="394" t="s">
        <v>1921</v>
      </c>
    </row>
    <row r="105" spans="1:18" ht="12.95" customHeight="1">
      <c r="A105" s="430">
        <v>4</v>
      </c>
      <c r="B105" s="159" t="s">
        <v>314</v>
      </c>
      <c r="C105" s="68" t="s">
        <v>96</v>
      </c>
      <c r="D105" s="68" t="s">
        <v>311</v>
      </c>
      <c r="E105" s="428" t="s">
        <v>4369</v>
      </c>
      <c r="F105" s="428" t="s">
        <v>3918</v>
      </c>
      <c r="G105" s="428" t="s">
        <v>2683</v>
      </c>
      <c r="H105" s="428" t="s">
        <v>2654</v>
      </c>
      <c r="I105" s="428" t="s">
        <v>2654</v>
      </c>
      <c r="J105" s="428" t="s">
        <v>2654</v>
      </c>
      <c r="K105" s="428" t="s">
        <v>2654</v>
      </c>
      <c r="L105" s="428" t="s">
        <v>2654</v>
      </c>
      <c r="M105" s="428" t="s">
        <v>2654</v>
      </c>
      <c r="N105" s="428" t="s">
        <v>2654</v>
      </c>
      <c r="O105" s="428" t="s">
        <v>2654</v>
      </c>
      <c r="P105" s="428" t="s">
        <v>2654</v>
      </c>
      <c r="Q105" s="428" t="s">
        <v>2654</v>
      </c>
      <c r="R105" s="68" t="s">
        <v>1951</v>
      </c>
    </row>
    <row r="106" spans="1:18" ht="12.95" customHeight="1">
      <c r="A106" s="430">
        <v>4</v>
      </c>
      <c r="B106" s="159" t="s">
        <v>314</v>
      </c>
      <c r="C106" s="68" t="s">
        <v>96</v>
      </c>
      <c r="D106" s="68" t="s">
        <v>307</v>
      </c>
      <c r="E106" s="428" t="s">
        <v>3688</v>
      </c>
      <c r="F106" s="428" t="s">
        <v>3918</v>
      </c>
      <c r="G106" s="428" t="s">
        <v>2668</v>
      </c>
      <c r="H106" s="428" t="s">
        <v>2654</v>
      </c>
      <c r="I106" s="428" t="s">
        <v>2654</v>
      </c>
      <c r="J106" s="428" t="s">
        <v>2654</v>
      </c>
      <c r="K106" s="428" t="s">
        <v>2654</v>
      </c>
      <c r="L106" s="428" t="s">
        <v>2654</v>
      </c>
      <c r="M106" s="428" t="s">
        <v>2654</v>
      </c>
      <c r="N106" s="428" t="s">
        <v>2654</v>
      </c>
      <c r="O106" s="428" t="s">
        <v>2654</v>
      </c>
      <c r="P106" s="428" t="s">
        <v>2654</v>
      </c>
      <c r="Q106" s="428" t="s">
        <v>2654</v>
      </c>
      <c r="R106" s="68" t="s">
        <v>1981</v>
      </c>
    </row>
    <row r="107" spans="1:18" ht="12.95" customHeight="1">
      <c r="A107" s="430">
        <v>4</v>
      </c>
      <c r="B107" s="159" t="s">
        <v>314</v>
      </c>
      <c r="C107" s="68" t="s">
        <v>95</v>
      </c>
      <c r="D107" s="68" t="s">
        <v>308</v>
      </c>
      <c r="E107" s="428" t="s">
        <v>4228</v>
      </c>
      <c r="F107" s="428" t="s">
        <v>4229</v>
      </c>
      <c r="G107" s="428" t="s">
        <v>4069</v>
      </c>
      <c r="H107" s="428" t="s">
        <v>3474</v>
      </c>
      <c r="I107" s="428" t="s">
        <v>2678</v>
      </c>
      <c r="J107" s="428" t="s">
        <v>2654</v>
      </c>
      <c r="K107" s="428" t="s">
        <v>2654</v>
      </c>
      <c r="L107" s="428" t="s">
        <v>2654</v>
      </c>
      <c r="M107" s="428" t="s">
        <v>2654</v>
      </c>
      <c r="N107" s="428" t="s">
        <v>2654</v>
      </c>
      <c r="O107" s="428" t="s">
        <v>2654</v>
      </c>
      <c r="P107" s="428" t="s">
        <v>2654</v>
      </c>
      <c r="Q107" s="428" t="s">
        <v>2792</v>
      </c>
      <c r="R107" s="394" t="s">
        <v>1711</v>
      </c>
    </row>
    <row r="108" spans="1:18" ht="12.95" customHeight="1">
      <c r="A108" s="430">
        <v>4</v>
      </c>
      <c r="B108" s="159" t="s">
        <v>314</v>
      </c>
      <c r="C108" s="68" t="s">
        <v>95</v>
      </c>
      <c r="D108" s="68" t="s">
        <v>310</v>
      </c>
      <c r="E108" s="428" t="s">
        <v>4259</v>
      </c>
      <c r="F108" s="428" t="s">
        <v>3856</v>
      </c>
      <c r="G108" s="428" t="s">
        <v>2864</v>
      </c>
      <c r="H108" s="428" t="s">
        <v>2668</v>
      </c>
      <c r="I108" s="428" t="s">
        <v>2668</v>
      </c>
      <c r="J108" s="428" t="s">
        <v>2654</v>
      </c>
      <c r="K108" s="428" t="s">
        <v>2654</v>
      </c>
      <c r="L108" s="428" t="s">
        <v>2654</v>
      </c>
      <c r="M108" s="428" t="s">
        <v>2654</v>
      </c>
      <c r="N108" s="428" t="s">
        <v>2654</v>
      </c>
      <c r="O108" s="428" t="s">
        <v>2654</v>
      </c>
      <c r="P108" s="428" t="s">
        <v>2654</v>
      </c>
      <c r="Q108" s="428" t="s">
        <v>2681</v>
      </c>
      <c r="R108" s="394" t="s">
        <v>1741</v>
      </c>
    </row>
    <row r="109" spans="1:18" ht="12.95" customHeight="1">
      <c r="A109" s="430">
        <v>4</v>
      </c>
      <c r="B109" s="159" t="s">
        <v>314</v>
      </c>
      <c r="C109" s="68" t="s">
        <v>95</v>
      </c>
      <c r="D109" s="68" t="s">
        <v>309</v>
      </c>
      <c r="E109" s="428" t="s">
        <v>4294</v>
      </c>
      <c r="F109" s="428" t="s">
        <v>3856</v>
      </c>
      <c r="G109" s="428" t="s">
        <v>4295</v>
      </c>
      <c r="H109" s="428" t="s">
        <v>2993</v>
      </c>
      <c r="I109" s="428" t="s">
        <v>3008</v>
      </c>
      <c r="J109" s="428" t="s">
        <v>2654</v>
      </c>
      <c r="K109" s="428" t="s">
        <v>2654</v>
      </c>
      <c r="L109" s="428" t="s">
        <v>2654</v>
      </c>
      <c r="M109" s="428" t="s">
        <v>2654</v>
      </c>
      <c r="N109" s="428" t="s">
        <v>2654</v>
      </c>
      <c r="O109" s="428" t="s">
        <v>2654</v>
      </c>
      <c r="P109" s="428" t="s">
        <v>2654</v>
      </c>
      <c r="Q109" s="428" t="s">
        <v>3083</v>
      </c>
      <c r="R109" s="394" t="s">
        <v>1771</v>
      </c>
    </row>
    <row r="110" spans="1:18" ht="12.95" customHeight="1">
      <c r="A110" s="430">
        <v>4</v>
      </c>
      <c r="B110" s="159" t="s">
        <v>314</v>
      </c>
      <c r="C110" s="68" t="s">
        <v>95</v>
      </c>
      <c r="D110" s="68" t="s">
        <v>311</v>
      </c>
      <c r="E110" s="428" t="s">
        <v>4314</v>
      </c>
      <c r="F110" s="428" t="s">
        <v>3856</v>
      </c>
      <c r="G110" s="428" t="s">
        <v>2750</v>
      </c>
      <c r="H110" s="428" t="s">
        <v>2654</v>
      </c>
      <c r="I110" s="428" t="s">
        <v>2654</v>
      </c>
      <c r="J110" s="428" t="s">
        <v>2654</v>
      </c>
      <c r="K110" s="428" t="s">
        <v>2654</v>
      </c>
      <c r="L110" s="428" t="s">
        <v>2654</v>
      </c>
      <c r="M110" s="428" t="s">
        <v>2654</v>
      </c>
      <c r="N110" s="428" t="s">
        <v>2654</v>
      </c>
      <c r="O110" s="428" t="s">
        <v>2654</v>
      </c>
      <c r="P110" s="428" t="s">
        <v>2654</v>
      </c>
      <c r="Q110" s="428" t="s">
        <v>2793</v>
      </c>
      <c r="R110" s="394" t="s">
        <v>1801</v>
      </c>
    </row>
    <row r="111" spans="1:18" ht="12.95" customHeight="1">
      <c r="A111" s="430">
        <v>4</v>
      </c>
      <c r="B111" s="159" t="s">
        <v>314</v>
      </c>
      <c r="C111" s="68" t="s">
        <v>95</v>
      </c>
      <c r="D111" s="68" t="s">
        <v>307</v>
      </c>
      <c r="E111" s="428" t="s">
        <v>4336</v>
      </c>
      <c r="F111" s="428" t="s">
        <v>3869</v>
      </c>
      <c r="G111" s="428" t="s">
        <v>4025</v>
      </c>
      <c r="H111" s="428" t="s">
        <v>2654</v>
      </c>
      <c r="I111" s="428" t="s">
        <v>2654</v>
      </c>
      <c r="J111" s="428" t="s">
        <v>2654</v>
      </c>
      <c r="K111" s="428" t="s">
        <v>2654</v>
      </c>
      <c r="L111" s="428" t="s">
        <v>2654</v>
      </c>
      <c r="M111" s="428" t="s">
        <v>2654</v>
      </c>
      <c r="N111" s="428" t="s">
        <v>2654</v>
      </c>
      <c r="O111" s="428" t="s">
        <v>2654</v>
      </c>
      <c r="P111" s="428" t="s">
        <v>2654</v>
      </c>
      <c r="Q111" s="428" t="s">
        <v>2793</v>
      </c>
      <c r="R111" s="394" t="s">
        <v>1831</v>
      </c>
    </row>
    <row r="112" spans="1:18" ht="12.95" customHeight="1">
      <c r="A112" s="430">
        <v>4</v>
      </c>
      <c r="B112" s="159" t="s">
        <v>316</v>
      </c>
      <c r="C112" s="68" t="s">
        <v>96</v>
      </c>
      <c r="D112" s="68" t="s">
        <v>308</v>
      </c>
      <c r="E112" s="428" t="s">
        <v>4630</v>
      </c>
      <c r="F112" s="428" t="s">
        <v>4045</v>
      </c>
      <c r="G112" s="428" t="s">
        <v>2654</v>
      </c>
      <c r="H112" s="428" t="s">
        <v>2654</v>
      </c>
      <c r="I112" s="428" t="s">
        <v>2654</v>
      </c>
      <c r="J112" s="428" t="s">
        <v>2654</v>
      </c>
      <c r="K112" s="428" t="s">
        <v>2654</v>
      </c>
      <c r="L112" s="428" t="s">
        <v>2654</v>
      </c>
      <c r="M112" s="428" t="s">
        <v>2654</v>
      </c>
      <c r="N112" s="428" t="s">
        <v>2654</v>
      </c>
      <c r="O112" s="428" t="s">
        <v>2654</v>
      </c>
      <c r="P112" s="428" t="s">
        <v>2654</v>
      </c>
      <c r="Q112" s="428" t="s">
        <v>2654</v>
      </c>
      <c r="R112" s="395" t="s">
        <v>2161</v>
      </c>
    </row>
    <row r="113" spans="1:18" ht="12.95" customHeight="1">
      <c r="A113" s="430">
        <v>4</v>
      </c>
      <c r="B113" s="159" t="s">
        <v>316</v>
      </c>
      <c r="C113" s="68" t="s">
        <v>96</v>
      </c>
      <c r="D113" s="68" t="s">
        <v>310</v>
      </c>
      <c r="E113" s="428" t="s">
        <v>4635</v>
      </c>
      <c r="F113" s="428" t="s">
        <v>3897</v>
      </c>
      <c r="G113" s="428" t="s">
        <v>2654</v>
      </c>
      <c r="H113" s="428" t="s">
        <v>2654</v>
      </c>
      <c r="I113" s="428" t="s">
        <v>2654</v>
      </c>
      <c r="J113" s="428" t="s">
        <v>2654</v>
      </c>
      <c r="K113" s="428" t="s">
        <v>2654</v>
      </c>
      <c r="L113" s="428" t="s">
        <v>2654</v>
      </c>
      <c r="M113" s="428" t="s">
        <v>2654</v>
      </c>
      <c r="N113" s="428" t="s">
        <v>2654</v>
      </c>
      <c r="O113" s="428" t="s">
        <v>2654</v>
      </c>
      <c r="P113" s="428" t="s">
        <v>2654</v>
      </c>
      <c r="Q113" s="428" t="s">
        <v>2654</v>
      </c>
      <c r="R113" s="395" t="s">
        <v>2191</v>
      </c>
    </row>
    <row r="114" spans="1:18" ht="12.95" customHeight="1">
      <c r="A114" s="430">
        <v>4</v>
      </c>
      <c r="B114" s="159" t="s">
        <v>316</v>
      </c>
      <c r="C114" s="68" t="s">
        <v>96</v>
      </c>
      <c r="D114" s="68" t="s">
        <v>309</v>
      </c>
      <c r="E114" s="428" t="s">
        <v>4636</v>
      </c>
      <c r="F114" s="428" t="s">
        <v>3500</v>
      </c>
      <c r="G114" s="428" t="s">
        <v>2654</v>
      </c>
      <c r="H114" s="428" t="s">
        <v>2654</v>
      </c>
      <c r="I114" s="428" t="s">
        <v>2654</v>
      </c>
      <c r="J114" s="428" t="s">
        <v>2654</v>
      </c>
      <c r="K114" s="428" t="s">
        <v>2654</v>
      </c>
      <c r="L114" s="428" t="s">
        <v>2654</v>
      </c>
      <c r="M114" s="428" t="s">
        <v>2654</v>
      </c>
      <c r="N114" s="428" t="s">
        <v>2654</v>
      </c>
      <c r="O114" s="428" t="s">
        <v>2654</v>
      </c>
      <c r="P114" s="428" t="s">
        <v>2654</v>
      </c>
      <c r="Q114" s="428" t="s">
        <v>2654</v>
      </c>
      <c r="R114" s="68" t="s">
        <v>2221</v>
      </c>
    </row>
    <row r="115" spans="1:18" ht="12.95" customHeight="1">
      <c r="A115" s="430">
        <v>4</v>
      </c>
      <c r="B115" s="159" t="s">
        <v>316</v>
      </c>
      <c r="C115" s="68" t="s">
        <v>96</v>
      </c>
      <c r="D115" s="68" t="s">
        <v>311</v>
      </c>
      <c r="E115" s="428" t="s">
        <v>4638</v>
      </c>
      <c r="F115" s="428" t="s">
        <v>3918</v>
      </c>
      <c r="G115" s="428" t="s">
        <v>2654</v>
      </c>
      <c r="H115" s="428" t="s">
        <v>2654</v>
      </c>
      <c r="I115" s="428" t="s">
        <v>2654</v>
      </c>
      <c r="J115" s="428" t="s">
        <v>2654</v>
      </c>
      <c r="K115" s="428" t="s">
        <v>2654</v>
      </c>
      <c r="L115" s="428" t="s">
        <v>2654</v>
      </c>
      <c r="M115" s="428" t="s">
        <v>2654</v>
      </c>
      <c r="N115" s="428" t="s">
        <v>2654</v>
      </c>
      <c r="O115" s="428" t="s">
        <v>2654</v>
      </c>
      <c r="P115" s="428" t="s">
        <v>2654</v>
      </c>
      <c r="Q115" s="428" t="s">
        <v>2654</v>
      </c>
      <c r="R115" s="68" t="s">
        <v>2251</v>
      </c>
    </row>
    <row r="116" spans="1:18" ht="12.95" customHeight="1">
      <c r="A116" s="430">
        <v>4</v>
      </c>
      <c r="B116" s="159" t="s">
        <v>316</v>
      </c>
      <c r="C116" s="68" t="s">
        <v>96</v>
      </c>
      <c r="D116" s="68" t="s">
        <v>307</v>
      </c>
      <c r="E116" s="428" t="s">
        <v>4644</v>
      </c>
      <c r="F116" s="428" t="s">
        <v>3907</v>
      </c>
      <c r="G116" s="428" t="s">
        <v>2654</v>
      </c>
      <c r="H116" s="428" t="s">
        <v>2654</v>
      </c>
      <c r="I116" s="428" t="s">
        <v>2654</v>
      </c>
      <c r="J116" s="428" t="s">
        <v>2654</v>
      </c>
      <c r="K116" s="428" t="s">
        <v>2654</v>
      </c>
      <c r="L116" s="428" t="s">
        <v>2654</v>
      </c>
      <c r="M116" s="428" t="s">
        <v>2654</v>
      </c>
      <c r="N116" s="428" t="s">
        <v>2654</v>
      </c>
      <c r="O116" s="428" t="s">
        <v>2654</v>
      </c>
      <c r="P116" s="428" t="s">
        <v>2654</v>
      </c>
      <c r="Q116" s="428" t="s">
        <v>2654</v>
      </c>
      <c r="R116" s="68" t="s">
        <v>2281</v>
      </c>
    </row>
    <row r="117" spans="1:18" ht="12.95" customHeight="1">
      <c r="A117" s="430">
        <v>4</v>
      </c>
      <c r="B117" s="159" t="s">
        <v>316</v>
      </c>
      <c r="C117" s="68" t="s">
        <v>95</v>
      </c>
      <c r="D117" s="68" t="s">
        <v>308</v>
      </c>
      <c r="E117" s="428" t="s">
        <v>4430</v>
      </c>
      <c r="F117" s="428" t="s">
        <v>3987</v>
      </c>
      <c r="G117" s="428" t="s">
        <v>4431</v>
      </c>
      <c r="H117" s="428" t="s">
        <v>4432</v>
      </c>
      <c r="I117" s="428" t="s">
        <v>4433</v>
      </c>
      <c r="J117" s="428" t="s">
        <v>3882</v>
      </c>
      <c r="K117" s="428" t="s">
        <v>3845</v>
      </c>
      <c r="L117" s="428" t="s">
        <v>4434</v>
      </c>
      <c r="M117" s="428" t="s">
        <v>2753</v>
      </c>
      <c r="N117" s="428" t="s">
        <v>4003</v>
      </c>
      <c r="O117" s="428" t="s">
        <v>4042</v>
      </c>
      <c r="P117" s="428" t="s">
        <v>3716</v>
      </c>
      <c r="Q117" s="428" t="s">
        <v>4021</v>
      </c>
      <c r="R117" s="68" t="s">
        <v>2011</v>
      </c>
    </row>
    <row r="118" spans="1:18" ht="12.95" customHeight="1">
      <c r="A118" s="430">
        <v>4</v>
      </c>
      <c r="B118" s="159" t="s">
        <v>316</v>
      </c>
      <c r="C118" s="68" t="s">
        <v>95</v>
      </c>
      <c r="D118" s="68" t="s">
        <v>310</v>
      </c>
      <c r="E118" s="428" t="s">
        <v>4473</v>
      </c>
      <c r="F118" s="428" t="s">
        <v>3710</v>
      </c>
      <c r="G118" s="428" t="s">
        <v>2858</v>
      </c>
      <c r="H118" s="428" t="s">
        <v>2966</v>
      </c>
      <c r="I118" s="428" t="s">
        <v>3773</v>
      </c>
      <c r="J118" s="428" t="s">
        <v>4222</v>
      </c>
      <c r="K118" s="428" t="s">
        <v>3292</v>
      </c>
      <c r="L118" s="428" t="s">
        <v>3095</v>
      </c>
      <c r="M118" s="428" t="s">
        <v>3474</v>
      </c>
      <c r="N118" s="428" t="s">
        <v>3552</v>
      </c>
      <c r="O118" s="428" t="s">
        <v>3004</v>
      </c>
      <c r="P118" s="428" t="s">
        <v>3145</v>
      </c>
      <c r="Q118" s="428" t="s">
        <v>3527</v>
      </c>
      <c r="R118" s="68" t="s">
        <v>2041</v>
      </c>
    </row>
    <row r="119" spans="1:18" ht="12.95" customHeight="1">
      <c r="A119" s="430">
        <v>4</v>
      </c>
      <c r="B119" s="159" t="s">
        <v>316</v>
      </c>
      <c r="C119" s="68" t="s">
        <v>95</v>
      </c>
      <c r="D119" s="68" t="s">
        <v>309</v>
      </c>
      <c r="E119" s="428" t="s">
        <v>4535</v>
      </c>
      <c r="F119" s="428" t="s">
        <v>3856</v>
      </c>
      <c r="G119" s="428" t="s">
        <v>4536</v>
      </c>
      <c r="H119" s="428" t="s">
        <v>4537</v>
      </c>
      <c r="I119" s="428" t="s">
        <v>4538</v>
      </c>
      <c r="J119" s="428" t="s">
        <v>4539</v>
      </c>
      <c r="K119" s="428" t="s">
        <v>3682</v>
      </c>
      <c r="L119" s="428" t="s">
        <v>3033</v>
      </c>
      <c r="M119" s="428" t="s">
        <v>4540</v>
      </c>
      <c r="N119" s="428" t="s">
        <v>3926</v>
      </c>
      <c r="O119" s="428" t="s">
        <v>2927</v>
      </c>
      <c r="P119" s="428" t="s">
        <v>4541</v>
      </c>
      <c r="Q119" s="428" t="s">
        <v>2765</v>
      </c>
      <c r="R119" s="68" t="s">
        <v>2071</v>
      </c>
    </row>
    <row r="120" spans="1:18" ht="12.95" customHeight="1">
      <c r="A120" s="430">
        <v>4</v>
      </c>
      <c r="B120" s="159" t="s">
        <v>316</v>
      </c>
      <c r="C120" s="68" t="s">
        <v>95</v>
      </c>
      <c r="D120" s="68" t="s">
        <v>311</v>
      </c>
      <c r="E120" s="428" t="s">
        <v>4583</v>
      </c>
      <c r="F120" s="428" t="s">
        <v>3364</v>
      </c>
      <c r="G120" s="428" t="s">
        <v>4584</v>
      </c>
      <c r="H120" s="428" t="s">
        <v>3837</v>
      </c>
      <c r="I120" s="428" t="s">
        <v>3243</v>
      </c>
      <c r="J120" s="428" t="s">
        <v>4024</v>
      </c>
      <c r="K120" s="428" t="s">
        <v>3555</v>
      </c>
      <c r="L120" s="428" t="s">
        <v>2656</v>
      </c>
      <c r="M120" s="428" t="s">
        <v>2934</v>
      </c>
      <c r="N120" s="428" t="s">
        <v>2654</v>
      </c>
      <c r="O120" s="428" t="s">
        <v>2654</v>
      </c>
      <c r="P120" s="428" t="s">
        <v>2654</v>
      </c>
      <c r="Q120" s="428" t="s">
        <v>3931</v>
      </c>
      <c r="R120" s="395" t="s">
        <v>2101</v>
      </c>
    </row>
    <row r="121" spans="1:18" ht="12.95" customHeight="1">
      <c r="A121" s="430">
        <v>4</v>
      </c>
      <c r="B121" s="159" t="s">
        <v>316</v>
      </c>
      <c r="C121" s="68" t="s">
        <v>95</v>
      </c>
      <c r="D121" s="68" t="s">
        <v>307</v>
      </c>
      <c r="E121" s="428" t="s">
        <v>3774</v>
      </c>
      <c r="F121" s="428" t="s">
        <v>3871</v>
      </c>
      <c r="G121" s="428" t="s">
        <v>3677</v>
      </c>
      <c r="H121" s="428" t="s">
        <v>4031</v>
      </c>
      <c r="I121" s="428" t="s">
        <v>3616</v>
      </c>
      <c r="J121" s="428" t="s">
        <v>4024</v>
      </c>
      <c r="K121" s="428" t="s">
        <v>2912</v>
      </c>
      <c r="L121" s="428" t="s">
        <v>2933</v>
      </c>
      <c r="M121" s="428" t="s">
        <v>2781</v>
      </c>
      <c r="N121" s="428" t="s">
        <v>2678</v>
      </c>
      <c r="O121" s="428" t="s">
        <v>2659</v>
      </c>
      <c r="P121" s="428" t="s">
        <v>2683</v>
      </c>
      <c r="Q121" s="428" t="s">
        <v>4248</v>
      </c>
      <c r="R121" s="395" t="s">
        <v>2131</v>
      </c>
    </row>
    <row r="122" spans="1:18" ht="12.95" customHeight="1">
      <c r="A122" s="430">
        <v>5</v>
      </c>
      <c r="B122" s="159" t="s">
        <v>312</v>
      </c>
      <c r="C122" s="68" t="s">
        <v>96</v>
      </c>
      <c r="D122" s="68" t="s">
        <v>308</v>
      </c>
      <c r="E122" s="428" t="s">
        <v>4156</v>
      </c>
      <c r="F122" s="428" t="s">
        <v>4052</v>
      </c>
      <c r="G122" s="428" t="s">
        <v>2654</v>
      </c>
      <c r="H122" s="428" t="s">
        <v>2654</v>
      </c>
      <c r="I122" s="428" t="s">
        <v>2654</v>
      </c>
      <c r="J122" s="428" t="s">
        <v>2654</v>
      </c>
      <c r="K122" s="428" t="s">
        <v>2654</v>
      </c>
      <c r="L122" s="428" t="s">
        <v>2654</v>
      </c>
      <c r="M122" s="428" t="s">
        <v>2654</v>
      </c>
      <c r="N122" s="428" t="s">
        <v>2654</v>
      </c>
      <c r="O122" s="428" t="s">
        <v>2654</v>
      </c>
      <c r="P122" s="428" t="s">
        <v>2654</v>
      </c>
      <c r="Q122" s="428" t="s">
        <v>2654</v>
      </c>
      <c r="R122" s="394" t="s">
        <v>1566</v>
      </c>
    </row>
    <row r="123" spans="1:18" ht="12.95" customHeight="1">
      <c r="A123" s="430">
        <v>5</v>
      </c>
      <c r="B123" s="159" t="s">
        <v>312</v>
      </c>
      <c r="C123" s="68" t="s">
        <v>96</v>
      </c>
      <c r="D123" s="68" t="s">
        <v>310</v>
      </c>
      <c r="E123" s="428" t="s">
        <v>4166</v>
      </c>
      <c r="F123" s="428" t="s">
        <v>4167</v>
      </c>
      <c r="G123" s="428" t="s">
        <v>2654</v>
      </c>
      <c r="H123" s="428" t="s">
        <v>2654</v>
      </c>
      <c r="I123" s="428" t="s">
        <v>2654</v>
      </c>
      <c r="J123" s="428" t="s">
        <v>2654</v>
      </c>
      <c r="K123" s="428" t="s">
        <v>2654</v>
      </c>
      <c r="L123" s="428" t="s">
        <v>2654</v>
      </c>
      <c r="M123" s="428" t="s">
        <v>2654</v>
      </c>
      <c r="N123" s="428" t="s">
        <v>2654</v>
      </c>
      <c r="O123" s="428" t="s">
        <v>2654</v>
      </c>
      <c r="P123" s="428" t="s">
        <v>2654</v>
      </c>
      <c r="Q123" s="428" t="s">
        <v>2654</v>
      </c>
      <c r="R123" s="394" t="s">
        <v>1596</v>
      </c>
    </row>
    <row r="124" spans="1:18" ht="12.95" customHeight="1">
      <c r="A124" s="430">
        <v>5</v>
      </c>
      <c r="B124" s="159" t="s">
        <v>312</v>
      </c>
      <c r="C124" s="68" t="s">
        <v>96</v>
      </c>
      <c r="D124" s="68" t="s">
        <v>309</v>
      </c>
      <c r="E124" s="428" t="s">
        <v>4175</v>
      </c>
      <c r="F124" s="428" t="s">
        <v>4176</v>
      </c>
      <c r="G124" s="428" t="s">
        <v>2654</v>
      </c>
      <c r="H124" s="428" t="s">
        <v>2654</v>
      </c>
      <c r="I124" s="428" t="s">
        <v>2654</v>
      </c>
      <c r="J124" s="428" t="s">
        <v>2654</v>
      </c>
      <c r="K124" s="428" t="s">
        <v>2654</v>
      </c>
      <c r="L124" s="428" t="s">
        <v>2654</v>
      </c>
      <c r="M124" s="428" t="s">
        <v>2654</v>
      </c>
      <c r="N124" s="428" t="s">
        <v>2654</v>
      </c>
      <c r="O124" s="428" t="s">
        <v>2654</v>
      </c>
      <c r="P124" s="428" t="s">
        <v>2654</v>
      </c>
      <c r="Q124" s="428" t="s">
        <v>2654</v>
      </c>
      <c r="R124" s="394" t="s">
        <v>1626</v>
      </c>
    </row>
    <row r="125" spans="1:18" ht="12.95" customHeight="1">
      <c r="A125" s="430">
        <v>5</v>
      </c>
      <c r="B125" s="159" t="s">
        <v>312</v>
      </c>
      <c r="C125" s="68" t="s">
        <v>96</v>
      </c>
      <c r="D125" s="68" t="s">
        <v>311</v>
      </c>
      <c r="E125" s="428" t="s">
        <v>3148</v>
      </c>
      <c r="F125" s="428" t="s">
        <v>4185</v>
      </c>
      <c r="G125" s="428" t="s">
        <v>2654</v>
      </c>
      <c r="H125" s="428" t="s">
        <v>2654</v>
      </c>
      <c r="I125" s="428" t="s">
        <v>2654</v>
      </c>
      <c r="J125" s="428" t="s">
        <v>2654</v>
      </c>
      <c r="K125" s="428" t="s">
        <v>2654</v>
      </c>
      <c r="L125" s="428" t="s">
        <v>2654</v>
      </c>
      <c r="M125" s="428" t="s">
        <v>2654</v>
      </c>
      <c r="N125" s="428" t="s">
        <v>2654</v>
      </c>
      <c r="O125" s="428" t="s">
        <v>2654</v>
      </c>
      <c r="P125" s="428" t="s">
        <v>2654</v>
      </c>
      <c r="Q125" s="428" t="s">
        <v>2654</v>
      </c>
      <c r="R125" s="394" t="s">
        <v>1656</v>
      </c>
    </row>
    <row r="126" spans="1:18" ht="12.95" customHeight="1">
      <c r="A126" s="430">
        <v>5</v>
      </c>
      <c r="B126" s="159" t="s">
        <v>312</v>
      </c>
      <c r="C126" s="68" t="s">
        <v>96</v>
      </c>
      <c r="D126" s="68" t="s">
        <v>307</v>
      </c>
      <c r="E126" s="428" t="s">
        <v>3865</v>
      </c>
      <c r="F126" s="428" t="s">
        <v>3561</v>
      </c>
      <c r="G126" s="428" t="s">
        <v>2654</v>
      </c>
      <c r="H126" s="428" t="s">
        <v>2654</v>
      </c>
      <c r="I126" s="428" t="s">
        <v>2654</v>
      </c>
      <c r="J126" s="428" t="s">
        <v>2654</v>
      </c>
      <c r="K126" s="428" t="s">
        <v>2654</v>
      </c>
      <c r="L126" s="428" t="s">
        <v>2654</v>
      </c>
      <c r="M126" s="428" t="s">
        <v>2654</v>
      </c>
      <c r="N126" s="428" t="s">
        <v>2654</v>
      </c>
      <c r="O126" s="428" t="s">
        <v>2654</v>
      </c>
      <c r="P126" s="428" t="s">
        <v>2654</v>
      </c>
      <c r="Q126" s="428" t="s">
        <v>2654</v>
      </c>
      <c r="R126" s="394" t="s">
        <v>1686</v>
      </c>
    </row>
    <row r="127" spans="1:18" ht="12.95" customHeight="1">
      <c r="A127" s="430">
        <v>5</v>
      </c>
      <c r="B127" s="159" t="s">
        <v>312</v>
      </c>
      <c r="C127" s="68" t="s">
        <v>95</v>
      </c>
      <c r="D127" s="68" t="s">
        <v>308</v>
      </c>
      <c r="E127" s="428" t="s">
        <v>3363</v>
      </c>
      <c r="F127" s="428" t="s">
        <v>3867</v>
      </c>
      <c r="G127" s="428" t="s">
        <v>2654</v>
      </c>
      <c r="H127" s="428" t="s">
        <v>2654</v>
      </c>
      <c r="I127" s="428" t="s">
        <v>2654</v>
      </c>
      <c r="J127" s="428" t="s">
        <v>2654</v>
      </c>
      <c r="K127" s="428" t="s">
        <v>2654</v>
      </c>
      <c r="L127" s="428" t="s">
        <v>2654</v>
      </c>
      <c r="M127" s="428" t="s">
        <v>2654</v>
      </c>
      <c r="N127" s="428" t="s">
        <v>2654</v>
      </c>
      <c r="O127" s="428" t="s">
        <v>2654</v>
      </c>
      <c r="P127" s="428" t="s">
        <v>2654</v>
      </c>
      <c r="Q127" s="428" t="s">
        <v>2654</v>
      </c>
      <c r="R127" s="394" t="s">
        <v>1416</v>
      </c>
    </row>
    <row r="128" spans="1:18" ht="12.95" customHeight="1">
      <c r="A128" s="430">
        <v>5</v>
      </c>
      <c r="B128" s="159" t="s">
        <v>312</v>
      </c>
      <c r="C128" s="68" t="s">
        <v>95</v>
      </c>
      <c r="D128" s="68" t="s">
        <v>310</v>
      </c>
      <c r="E128" s="428" t="s">
        <v>4095</v>
      </c>
      <c r="F128" s="428" t="s">
        <v>3710</v>
      </c>
      <c r="G128" s="428" t="s">
        <v>2654</v>
      </c>
      <c r="H128" s="428" t="s">
        <v>2654</v>
      </c>
      <c r="I128" s="428" t="s">
        <v>2654</v>
      </c>
      <c r="J128" s="428" t="s">
        <v>2654</v>
      </c>
      <c r="K128" s="428" t="s">
        <v>2654</v>
      </c>
      <c r="L128" s="428" t="s">
        <v>2654</v>
      </c>
      <c r="M128" s="428" t="s">
        <v>2654</v>
      </c>
      <c r="N128" s="428" t="s">
        <v>2654</v>
      </c>
      <c r="O128" s="428" t="s">
        <v>2654</v>
      </c>
      <c r="P128" s="428" t="s">
        <v>2654</v>
      </c>
      <c r="Q128" s="428" t="s">
        <v>2654</v>
      </c>
      <c r="R128" s="394" t="s">
        <v>1446</v>
      </c>
    </row>
    <row r="129" spans="1:18" ht="12.95" customHeight="1">
      <c r="A129" s="430">
        <v>5</v>
      </c>
      <c r="B129" s="159" t="s">
        <v>312</v>
      </c>
      <c r="C129" s="68" t="s">
        <v>95</v>
      </c>
      <c r="D129" s="68" t="s">
        <v>309</v>
      </c>
      <c r="E129" s="428" t="s">
        <v>4114</v>
      </c>
      <c r="F129" s="428" t="s">
        <v>3867</v>
      </c>
      <c r="G129" s="428" t="s">
        <v>2654</v>
      </c>
      <c r="H129" s="428" t="s">
        <v>2654</v>
      </c>
      <c r="I129" s="428" t="s">
        <v>2654</v>
      </c>
      <c r="J129" s="428" t="s">
        <v>2654</v>
      </c>
      <c r="K129" s="428" t="s">
        <v>2654</v>
      </c>
      <c r="L129" s="428" t="s">
        <v>2654</v>
      </c>
      <c r="M129" s="428" t="s">
        <v>2654</v>
      </c>
      <c r="N129" s="428" t="s">
        <v>2654</v>
      </c>
      <c r="O129" s="428" t="s">
        <v>2654</v>
      </c>
      <c r="P129" s="428" t="s">
        <v>2654</v>
      </c>
      <c r="Q129" s="428" t="s">
        <v>2654</v>
      </c>
      <c r="R129" s="394" t="s">
        <v>1476</v>
      </c>
    </row>
    <row r="130" spans="1:18" ht="12.95" customHeight="1">
      <c r="A130" s="430">
        <v>5</v>
      </c>
      <c r="B130" s="159" t="s">
        <v>312</v>
      </c>
      <c r="C130" s="68" t="s">
        <v>95</v>
      </c>
      <c r="D130" s="68" t="s">
        <v>311</v>
      </c>
      <c r="E130" s="428" t="s">
        <v>3735</v>
      </c>
      <c r="F130" s="428" t="s">
        <v>3871</v>
      </c>
      <c r="G130" s="428" t="s">
        <v>2654</v>
      </c>
      <c r="H130" s="428" t="s">
        <v>2654</v>
      </c>
      <c r="I130" s="428" t="s">
        <v>2654</v>
      </c>
      <c r="J130" s="428" t="s">
        <v>2654</v>
      </c>
      <c r="K130" s="428" t="s">
        <v>2654</v>
      </c>
      <c r="L130" s="428" t="s">
        <v>2654</v>
      </c>
      <c r="M130" s="428" t="s">
        <v>2654</v>
      </c>
      <c r="N130" s="428" t="s">
        <v>2654</v>
      </c>
      <c r="O130" s="428" t="s">
        <v>2654</v>
      </c>
      <c r="P130" s="428" t="s">
        <v>2654</v>
      </c>
      <c r="Q130" s="428" t="s">
        <v>2654</v>
      </c>
      <c r="R130" s="394" t="s">
        <v>1506</v>
      </c>
    </row>
    <row r="131" spans="1:18" ht="12.95" customHeight="1">
      <c r="A131" s="430">
        <v>5</v>
      </c>
      <c r="B131" s="159" t="s">
        <v>312</v>
      </c>
      <c r="C131" s="68" t="s">
        <v>95</v>
      </c>
      <c r="D131" s="68" t="s">
        <v>307</v>
      </c>
      <c r="E131" s="428" t="s">
        <v>4149</v>
      </c>
      <c r="F131" s="428" t="s">
        <v>3871</v>
      </c>
      <c r="G131" s="428" t="s">
        <v>2654</v>
      </c>
      <c r="H131" s="428" t="s">
        <v>2654</v>
      </c>
      <c r="I131" s="428" t="s">
        <v>2654</v>
      </c>
      <c r="J131" s="428" t="s">
        <v>2654</v>
      </c>
      <c r="K131" s="428" t="s">
        <v>2654</v>
      </c>
      <c r="L131" s="428" t="s">
        <v>2654</v>
      </c>
      <c r="M131" s="428" t="s">
        <v>2654</v>
      </c>
      <c r="N131" s="428" t="s">
        <v>2654</v>
      </c>
      <c r="O131" s="428" t="s">
        <v>2654</v>
      </c>
      <c r="P131" s="428" t="s">
        <v>2654</v>
      </c>
      <c r="Q131" s="428" t="s">
        <v>2654</v>
      </c>
      <c r="R131" s="394" t="s">
        <v>1536</v>
      </c>
    </row>
    <row r="132" spans="1:18" ht="12.95" customHeight="1">
      <c r="A132" s="430">
        <v>5</v>
      </c>
      <c r="B132" s="159" t="s">
        <v>314</v>
      </c>
      <c r="C132" s="68" t="s">
        <v>96</v>
      </c>
      <c r="D132" s="68" t="s">
        <v>308</v>
      </c>
      <c r="E132" s="428" t="s">
        <v>4342</v>
      </c>
      <c r="F132" s="428" t="s">
        <v>4343</v>
      </c>
      <c r="G132" s="428" t="s">
        <v>2654</v>
      </c>
      <c r="H132" s="428" t="s">
        <v>2654</v>
      </c>
      <c r="I132" s="428" t="s">
        <v>2654</v>
      </c>
      <c r="J132" s="428" t="s">
        <v>2654</v>
      </c>
      <c r="K132" s="428" t="s">
        <v>2654</v>
      </c>
      <c r="L132" s="428" t="s">
        <v>2654</v>
      </c>
      <c r="M132" s="428" t="s">
        <v>2654</v>
      </c>
      <c r="N132" s="428" t="s">
        <v>2654</v>
      </c>
      <c r="O132" s="428" t="s">
        <v>2654</v>
      </c>
      <c r="P132" s="428" t="s">
        <v>2654</v>
      </c>
      <c r="Q132" s="428" t="s">
        <v>2654</v>
      </c>
      <c r="R132" s="394" t="s">
        <v>1866</v>
      </c>
    </row>
    <row r="133" spans="1:18" ht="12.95" customHeight="1">
      <c r="A133" s="430">
        <v>5</v>
      </c>
      <c r="B133" s="159" t="s">
        <v>314</v>
      </c>
      <c r="C133" s="68" t="s">
        <v>96</v>
      </c>
      <c r="D133" s="68" t="s">
        <v>310</v>
      </c>
      <c r="E133" s="428" t="s">
        <v>4352</v>
      </c>
      <c r="F133" s="428" t="s">
        <v>3915</v>
      </c>
      <c r="G133" s="428" t="s">
        <v>2654</v>
      </c>
      <c r="H133" s="428" t="s">
        <v>2654</v>
      </c>
      <c r="I133" s="428" t="s">
        <v>2654</v>
      </c>
      <c r="J133" s="428" t="s">
        <v>2654</v>
      </c>
      <c r="K133" s="428" t="s">
        <v>2654</v>
      </c>
      <c r="L133" s="428" t="s">
        <v>2654</v>
      </c>
      <c r="M133" s="428" t="s">
        <v>2654</v>
      </c>
      <c r="N133" s="428" t="s">
        <v>2654</v>
      </c>
      <c r="O133" s="428" t="s">
        <v>2654</v>
      </c>
      <c r="P133" s="428" t="s">
        <v>2654</v>
      </c>
      <c r="Q133" s="428" t="s">
        <v>2654</v>
      </c>
      <c r="R133" s="394" t="s">
        <v>1896</v>
      </c>
    </row>
    <row r="134" spans="1:18" ht="12.95" customHeight="1">
      <c r="A134" s="430">
        <v>5</v>
      </c>
      <c r="B134" s="159" t="s">
        <v>314</v>
      </c>
      <c r="C134" s="68" t="s">
        <v>96</v>
      </c>
      <c r="D134" s="68" t="s">
        <v>309</v>
      </c>
      <c r="E134" s="428" t="s">
        <v>4362</v>
      </c>
      <c r="F134" s="428" t="s">
        <v>3911</v>
      </c>
      <c r="G134" s="428" t="s">
        <v>2654</v>
      </c>
      <c r="H134" s="428" t="s">
        <v>2654</v>
      </c>
      <c r="I134" s="428" t="s">
        <v>2654</v>
      </c>
      <c r="J134" s="428" t="s">
        <v>2654</v>
      </c>
      <c r="K134" s="428" t="s">
        <v>2654</v>
      </c>
      <c r="L134" s="428" t="s">
        <v>2654</v>
      </c>
      <c r="M134" s="428" t="s">
        <v>2654</v>
      </c>
      <c r="N134" s="428" t="s">
        <v>2654</v>
      </c>
      <c r="O134" s="428" t="s">
        <v>2654</v>
      </c>
      <c r="P134" s="428" t="s">
        <v>2654</v>
      </c>
      <c r="Q134" s="428" t="s">
        <v>2654</v>
      </c>
      <c r="R134" s="394" t="s">
        <v>1926</v>
      </c>
    </row>
    <row r="135" spans="1:18" ht="12.95" customHeight="1">
      <c r="A135" s="430">
        <v>5</v>
      </c>
      <c r="B135" s="159" t="s">
        <v>314</v>
      </c>
      <c r="C135" s="68" t="s">
        <v>96</v>
      </c>
      <c r="D135" s="68" t="s">
        <v>311</v>
      </c>
      <c r="E135" s="428" t="s">
        <v>4370</v>
      </c>
      <c r="F135" s="428" t="s">
        <v>3643</v>
      </c>
      <c r="G135" s="428" t="s">
        <v>2654</v>
      </c>
      <c r="H135" s="428" t="s">
        <v>2654</v>
      </c>
      <c r="I135" s="428" t="s">
        <v>2654</v>
      </c>
      <c r="J135" s="428" t="s">
        <v>2654</v>
      </c>
      <c r="K135" s="428" t="s">
        <v>2654</v>
      </c>
      <c r="L135" s="428" t="s">
        <v>2654</v>
      </c>
      <c r="M135" s="428" t="s">
        <v>2654</v>
      </c>
      <c r="N135" s="428" t="s">
        <v>2654</v>
      </c>
      <c r="O135" s="428" t="s">
        <v>2654</v>
      </c>
      <c r="P135" s="428" t="s">
        <v>2654</v>
      </c>
      <c r="Q135" s="428" t="s">
        <v>2654</v>
      </c>
      <c r="R135" s="68" t="s">
        <v>1956</v>
      </c>
    </row>
    <row r="136" spans="1:18" ht="12.95" customHeight="1">
      <c r="A136" s="430">
        <v>5</v>
      </c>
      <c r="B136" s="159" t="s">
        <v>314</v>
      </c>
      <c r="C136" s="68" t="s">
        <v>96</v>
      </c>
      <c r="D136" s="68" t="s">
        <v>307</v>
      </c>
      <c r="E136" s="428" t="s">
        <v>3518</v>
      </c>
      <c r="F136" s="428" t="s">
        <v>3788</v>
      </c>
      <c r="G136" s="428" t="s">
        <v>2654</v>
      </c>
      <c r="H136" s="428" t="s">
        <v>2654</v>
      </c>
      <c r="I136" s="428" t="s">
        <v>2654</v>
      </c>
      <c r="J136" s="428" t="s">
        <v>2654</v>
      </c>
      <c r="K136" s="428" t="s">
        <v>2654</v>
      </c>
      <c r="L136" s="428" t="s">
        <v>2654</v>
      </c>
      <c r="M136" s="428" t="s">
        <v>2654</v>
      </c>
      <c r="N136" s="428" t="s">
        <v>2654</v>
      </c>
      <c r="O136" s="428" t="s">
        <v>2654</v>
      </c>
      <c r="P136" s="428" t="s">
        <v>2654</v>
      </c>
      <c r="Q136" s="428" t="s">
        <v>2654</v>
      </c>
      <c r="R136" s="68" t="s">
        <v>1986</v>
      </c>
    </row>
    <row r="137" spans="1:18" ht="12.95" customHeight="1">
      <c r="A137" s="430">
        <v>5</v>
      </c>
      <c r="B137" s="159" t="s">
        <v>314</v>
      </c>
      <c r="C137" s="68" t="s">
        <v>95</v>
      </c>
      <c r="D137" s="68" t="s">
        <v>308</v>
      </c>
      <c r="E137" s="428" t="s">
        <v>4232</v>
      </c>
      <c r="F137" s="428" t="s">
        <v>3874</v>
      </c>
      <c r="G137" s="428" t="s">
        <v>2934</v>
      </c>
      <c r="H137" s="428" t="s">
        <v>2654</v>
      </c>
      <c r="I137" s="428" t="s">
        <v>2654</v>
      </c>
      <c r="J137" s="428" t="s">
        <v>2654</v>
      </c>
      <c r="K137" s="428" t="s">
        <v>2654</v>
      </c>
      <c r="L137" s="428" t="s">
        <v>2654</v>
      </c>
      <c r="M137" s="428" t="s">
        <v>2654</v>
      </c>
      <c r="N137" s="428" t="s">
        <v>2654</v>
      </c>
      <c r="O137" s="428" t="s">
        <v>2654</v>
      </c>
      <c r="P137" s="428" t="s">
        <v>2654</v>
      </c>
      <c r="Q137" s="428" t="s">
        <v>2654</v>
      </c>
      <c r="R137" s="394" t="s">
        <v>1716</v>
      </c>
    </row>
    <row r="138" spans="1:18" ht="12.95" customHeight="1">
      <c r="A138" s="430">
        <v>5</v>
      </c>
      <c r="B138" s="159" t="s">
        <v>314</v>
      </c>
      <c r="C138" s="68" t="s">
        <v>95</v>
      </c>
      <c r="D138" s="68" t="s">
        <v>310</v>
      </c>
      <c r="E138" s="428" t="s">
        <v>4261</v>
      </c>
      <c r="F138" s="428" t="s">
        <v>3856</v>
      </c>
      <c r="G138" s="428" t="s">
        <v>2909</v>
      </c>
      <c r="H138" s="428" t="s">
        <v>2654</v>
      </c>
      <c r="I138" s="428" t="s">
        <v>2654</v>
      </c>
      <c r="J138" s="428" t="s">
        <v>2654</v>
      </c>
      <c r="K138" s="428" t="s">
        <v>2654</v>
      </c>
      <c r="L138" s="428" t="s">
        <v>2654</v>
      </c>
      <c r="M138" s="428" t="s">
        <v>2654</v>
      </c>
      <c r="N138" s="428" t="s">
        <v>2654</v>
      </c>
      <c r="O138" s="428" t="s">
        <v>2654</v>
      </c>
      <c r="P138" s="428" t="s">
        <v>2654</v>
      </c>
      <c r="Q138" s="428" t="s">
        <v>2793</v>
      </c>
      <c r="R138" s="394" t="s">
        <v>1746</v>
      </c>
    </row>
    <row r="139" spans="1:18" ht="12.95" customHeight="1">
      <c r="A139" s="430">
        <v>5</v>
      </c>
      <c r="B139" s="159" t="s">
        <v>314</v>
      </c>
      <c r="C139" s="68" t="s">
        <v>95</v>
      </c>
      <c r="D139" s="68" t="s">
        <v>309</v>
      </c>
      <c r="E139" s="428" t="s">
        <v>3703</v>
      </c>
      <c r="F139" s="428" t="s">
        <v>3676</v>
      </c>
      <c r="G139" s="428" t="s">
        <v>2866</v>
      </c>
      <c r="H139" s="428" t="s">
        <v>2683</v>
      </c>
      <c r="I139" s="428" t="s">
        <v>2654</v>
      </c>
      <c r="J139" s="428" t="s">
        <v>2654</v>
      </c>
      <c r="K139" s="428" t="s">
        <v>2654</v>
      </c>
      <c r="L139" s="428" t="s">
        <v>2654</v>
      </c>
      <c r="M139" s="428" t="s">
        <v>2654</v>
      </c>
      <c r="N139" s="428" t="s">
        <v>2654</v>
      </c>
      <c r="O139" s="428" t="s">
        <v>2654</v>
      </c>
      <c r="P139" s="428" t="s">
        <v>2654</v>
      </c>
      <c r="Q139" s="428" t="s">
        <v>2654</v>
      </c>
      <c r="R139" s="394" t="s">
        <v>1776</v>
      </c>
    </row>
    <row r="140" spans="1:18" ht="12.95" customHeight="1">
      <c r="A140" s="430">
        <v>5</v>
      </c>
      <c r="B140" s="159" t="s">
        <v>314</v>
      </c>
      <c r="C140" s="68" t="s">
        <v>95</v>
      </c>
      <c r="D140" s="68" t="s">
        <v>311</v>
      </c>
      <c r="E140" s="428" t="s">
        <v>3866</v>
      </c>
      <c r="F140" s="428" t="s">
        <v>3710</v>
      </c>
      <c r="G140" s="428" t="s">
        <v>2708</v>
      </c>
      <c r="H140" s="428" t="s">
        <v>2654</v>
      </c>
      <c r="I140" s="428" t="s">
        <v>2654</v>
      </c>
      <c r="J140" s="428" t="s">
        <v>2654</v>
      </c>
      <c r="K140" s="428" t="s">
        <v>2654</v>
      </c>
      <c r="L140" s="428" t="s">
        <v>2654</v>
      </c>
      <c r="M140" s="428" t="s">
        <v>2654</v>
      </c>
      <c r="N140" s="428" t="s">
        <v>2654</v>
      </c>
      <c r="O140" s="428" t="s">
        <v>2654</v>
      </c>
      <c r="P140" s="428" t="s">
        <v>2654</v>
      </c>
      <c r="Q140" s="428" t="s">
        <v>2654</v>
      </c>
      <c r="R140" s="394" t="s">
        <v>1806</v>
      </c>
    </row>
    <row r="141" spans="1:18" ht="12.95" customHeight="1">
      <c r="A141" s="430">
        <v>5</v>
      </c>
      <c r="B141" s="159" t="s">
        <v>314</v>
      </c>
      <c r="C141" s="68" t="s">
        <v>95</v>
      </c>
      <c r="D141" s="68" t="s">
        <v>307</v>
      </c>
      <c r="E141" s="428" t="s">
        <v>3885</v>
      </c>
      <c r="F141" s="428" t="s">
        <v>4337</v>
      </c>
      <c r="G141" s="428" t="s">
        <v>3474</v>
      </c>
      <c r="H141" s="428" t="s">
        <v>2654</v>
      </c>
      <c r="I141" s="428" t="s">
        <v>2654</v>
      </c>
      <c r="J141" s="428" t="s">
        <v>2654</v>
      </c>
      <c r="K141" s="428" t="s">
        <v>2654</v>
      </c>
      <c r="L141" s="428" t="s">
        <v>2654</v>
      </c>
      <c r="M141" s="428" t="s">
        <v>2654</v>
      </c>
      <c r="N141" s="428" t="s">
        <v>2654</v>
      </c>
      <c r="O141" s="428" t="s">
        <v>2654</v>
      </c>
      <c r="P141" s="428" t="s">
        <v>2654</v>
      </c>
      <c r="Q141" s="428" t="s">
        <v>2793</v>
      </c>
      <c r="R141" s="394" t="s">
        <v>1836</v>
      </c>
    </row>
    <row r="142" spans="1:18" ht="12.95" customHeight="1">
      <c r="A142" s="430">
        <v>5</v>
      </c>
      <c r="B142" s="159" t="s">
        <v>316</v>
      </c>
      <c r="C142" s="68" t="s">
        <v>96</v>
      </c>
      <c r="D142" s="68" t="s">
        <v>308</v>
      </c>
      <c r="E142" s="428" t="s">
        <v>4632</v>
      </c>
      <c r="F142" s="428" t="s">
        <v>3788</v>
      </c>
      <c r="G142" s="428" t="s">
        <v>2654</v>
      </c>
      <c r="H142" s="428" t="s">
        <v>2654</v>
      </c>
      <c r="I142" s="428" t="s">
        <v>2654</v>
      </c>
      <c r="J142" s="428" t="s">
        <v>2654</v>
      </c>
      <c r="K142" s="428" t="s">
        <v>2654</v>
      </c>
      <c r="L142" s="428" t="s">
        <v>2654</v>
      </c>
      <c r="M142" s="428" t="s">
        <v>2654</v>
      </c>
      <c r="N142" s="428" t="s">
        <v>2654</v>
      </c>
      <c r="O142" s="428" t="s">
        <v>2654</v>
      </c>
      <c r="P142" s="428" t="s">
        <v>2654</v>
      </c>
      <c r="Q142" s="428" t="s">
        <v>2654</v>
      </c>
      <c r="R142" s="395" t="s">
        <v>2166</v>
      </c>
    </row>
    <row r="143" spans="1:18" ht="12.95" customHeight="1">
      <c r="A143" s="430">
        <v>5</v>
      </c>
      <c r="B143" s="159" t="s">
        <v>316</v>
      </c>
      <c r="C143" s="68" t="s">
        <v>96</v>
      </c>
      <c r="D143" s="68" t="s">
        <v>310</v>
      </c>
      <c r="E143" s="428" t="s">
        <v>3483</v>
      </c>
      <c r="F143" s="428" t="s">
        <v>3908</v>
      </c>
      <c r="G143" s="428" t="s">
        <v>2654</v>
      </c>
      <c r="H143" s="428" t="s">
        <v>2654</v>
      </c>
      <c r="I143" s="428" t="s">
        <v>2654</v>
      </c>
      <c r="J143" s="428" t="s">
        <v>2654</v>
      </c>
      <c r="K143" s="428" t="s">
        <v>2654</v>
      </c>
      <c r="L143" s="428" t="s">
        <v>2654</v>
      </c>
      <c r="M143" s="428" t="s">
        <v>2654</v>
      </c>
      <c r="N143" s="428" t="s">
        <v>2654</v>
      </c>
      <c r="O143" s="428" t="s">
        <v>2654</v>
      </c>
      <c r="P143" s="428" t="s">
        <v>2654</v>
      </c>
      <c r="Q143" s="428" t="s">
        <v>2654</v>
      </c>
      <c r="R143" s="395" t="s">
        <v>2196</v>
      </c>
    </row>
    <row r="144" spans="1:18" ht="12.95" customHeight="1">
      <c r="A144" s="430">
        <v>5</v>
      </c>
      <c r="B144" s="159" t="s">
        <v>316</v>
      </c>
      <c r="C144" s="68" t="s">
        <v>96</v>
      </c>
      <c r="D144" s="68" t="s">
        <v>309</v>
      </c>
      <c r="E144" s="428" t="s">
        <v>3483</v>
      </c>
      <c r="F144" s="428" t="s">
        <v>4167</v>
      </c>
      <c r="G144" s="428" t="s">
        <v>2654</v>
      </c>
      <c r="H144" s="428" t="s">
        <v>2654</v>
      </c>
      <c r="I144" s="428" t="s">
        <v>2654</v>
      </c>
      <c r="J144" s="428" t="s">
        <v>2654</v>
      </c>
      <c r="K144" s="428" t="s">
        <v>2654</v>
      </c>
      <c r="L144" s="428" t="s">
        <v>2654</v>
      </c>
      <c r="M144" s="428" t="s">
        <v>2654</v>
      </c>
      <c r="N144" s="428" t="s">
        <v>2654</v>
      </c>
      <c r="O144" s="428" t="s">
        <v>2654</v>
      </c>
      <c r="P144" s="428" t="s">
        <v>2654</v>
      </c>
      <c r="Q144" s="428" t="s">
        <v>2654</v>
      </c>
      <c r="R144" s="68" t="s">
        <v>2226</v>
      </c>
    </row>
    <row r="145" spans="1:18" ht="12.95" customHeight="1">
      <c r="A145" s="430">
        <v>5</v>
      </c>
      <c r="B145" s="159" t="s">
        <v>316</v>
      </c>
      <c r="C145" s="68" t="s">
        <v>96</v>
      </c>
      <c r="D145" s="68" t="s">
        <v>311</v>
      </c>
      <c r="E145" s="428" t="s">
        <v>4639</v>
      </c>
      <c r="F145" s="428" t="s">
        <v>3908</v>
      </c>
      <c r="G145" s="428" t="s">
        <v>2654</v>
      </c>
      <c r="H145" s="428" t="s">
        <v>2654</v>
      </c>
      <c r="I145" s="428" t="s">
        <v>2654</v>
      </c>
      <c r="J145" s="428" t="s">
        <v>2654</v>
      </c>
      <c r="K145" s="428" t="s">
        <v>2654</v>
      </c>
      <c r="L145" s="428" t="s">
        <v>2654</v>
      </c>
      <c r="M145" s="428" t="s">
        <v>2654</v>
      </c>
      <c r="N145" s="428" t="s">
        <v>2654</v>
      </c>
      <c r="O145" s="428" t="s">
        <v>2654</v>
      </c>
      <c r="P145" s="428" t="s">
        <v>2654</v>
      </c>
      <c r="Q145" s="428" t="s">
        <v>2654</v>
      </c>
      <c r="R145" s="68" t="s">
        <v>2256</v>
      </c>
    </row>
    <row r="146" spans="1:18" ht="12.95" customHeight="1">
      <c r="A146" s="430">
        <v>5</v>
      </c>
      <c r="B146" s="159" t="s">
        <v>316</v>
      </c>
      <c r="C146" s="68" t="s">
        <v>96</v>
      </c>
      <c r="D146" s="68" t="s">
        <v>307</v>
      </c>
      <c r="E146" s="428" t="s">
        <v>4645</v>
      </c>
      <c r="F146" s="428" t="s">
        <v>3848</v>
      </c>
      <c r="G146" s="428" t="s">
        <v>2654</v>
      </c>
      <c r="H146" s="428" t="s">
        <v>2654</v>
      </c>
      <c r="I146" s="428" t="s">
        <v>2654</v>
      </c>
      <c r="J146" s="428" t="s">
        <v>2654</v>
      </c>
      <c r="K146" s="428" t="s">
        <v>2654</v>
      </c>
      <c r="L146" s="428" t="s">
        <v>2654</v>
      </c>
      <c r="M146" s="428" t="s">
        <v>2654</v>
      </c>
      <c r="N146" s="428" t="s">
        <v>2654</v>
      </c>
      <c r="O146" s="428" t="s">
        <v>2654</v>
      </c>
      <c r="P146" s="428" t="s">
        <v>2654</v>
      </c>
      <c r="Q146" s="428" t="s">
        <v>2654</v>
      </c>
      <c r="R146" s="68" t="s">
        <v>2286</v>
      </c>
    </row>
    <row r="147" spans="1:18" ht="12.95" customHeight="1">
      <c r="A147" s="430">
        <v>5</v>
      </c>
      <c r="B147" s="159" t="s">
        <v>316</v>
      </c>
      <c r="C147" s="68" t="s">
        <v>95</v>
      </c>
      <c r="D147" s="68" t="s">
        <v>308</v>
      </c>
      <c r="E147" s="428" t="s">
        <v>4438</v>
      </c>
      <c r="F147" s="428" t="s">
        <v>3710</v>
      </c>
      <c r="G147" s="428" t="s">
        <v>4254</v>
      </c>
      <c r="H147" s="428" t="s">
        <v>3384</v>
      </c>
      <c r="I147" s="428" t="s">
        <v>4439</v>
      </c>
      <c r="J147" s="428" t="s">
        <v>4285</v>
      </c>
      <c r="K147" s="428" t="s">
        <v>2825</v>
      </c>
      <c r="L147" s="428" t="s">
        <v>3935</v>
      </c>
      <c r="M147" s="428" t="s">
        <v>2864</v>
      </c>
      <c r="N147" s="428" t="s">
        <v>2993</v>
      </c>
      <c r="O147" s="428" t="s">
        <v>2746</v>
      </c>
      <c r="P147" s="428" t="s">
        <v>4024</v>
      </c>
      <c r="Q147" s="428" t="s">
        <v>3855</v>
      </c>
      <c r="R147" s="68" t="s">
        <v>2016</v>
      </c>
    </row>
    <row r="148" spans="1:18" ht="12.95" customHeight="1">
      <c r="A148" s="430">
        <v>5</v>
      </c>
      <c r="B148" s="159" t="s">
        <v>316</v>
      </c>
      <c r="C148" s="68" t="s">
        <v>95</v>
      </c>
      <c r="D148" s="68" t="s">
        <v>310</v>
      </c>
      <c r="E148" s="428" t="s">
        <v>4477</v>
      </c>
      <c r="F148" s="428" t="s">
        <v>4030</v>
      </c>
      <c r="G148" s="428" t="s">
        <v>2772</v>
      </c>
      <c r="H148" s="428" t="s">
        <v>3870</v>
      </c>
      <c r="I148" s="428" t="s">
        <v>3782</v>
      </c>
      <c r="J148" s="428" t="s">
        <v>2654</v>
      </c>
      <c r="K148" s="428" t="s">
        <v>2654</v>
      </c>
      <c r="L148" s="428" t="s">
        <v>2654</v>
      </c>
      <c r="M148" s="428" t="s">
        <v>2654</v>
      </c>
      <c r="N148" s="428" t="s">
        <v>2654</v>
      </c>
      <c r="O148" s="428" t="s">
        <v>2654</v>
      </c>
      <c r="P148" s="428" t="s">
        <v>2654</v>
      </c>
      <c r="Q148" s="428" t="s">
        <v>2674</v>
      </c>
      <c r="R148" s="68" t="s">
        <v>2046</v>
      </c>
    </row>
    <row r="149" spans="1:18" ht="12.95" customHeight="1">
      <c r="A149" s="430">
        <v>5</v>
      </c>
      <c r="B149" s="159" t="s">
        <v>316</v>
      </c>
      <c r="C149" s="68" t="s">
        <v>95</v>
      </c>
      <c r="D149" s="68" t="s">
        <v>309</v>
      </c>
      <c r="E149" s="428" t="s">
        <v>4546</v>
      </c>
      <c r="F149" s="428" t="s">
        <v>3867</v>
      </c>
      <c r="G149" s="428" t="s">
        <v>3928</v>
      </c>
      <c r="H149" s="428" t="s">
        <v>4547</v>
      </c>
      <c r="I149" s="428" t="s">
        <v>4005</v>
      </c>
      <c r="J149" s="428" t="s">
        <v>2948</v>
      </c>
      <c r="K149" s="428" t="s">
        <v>3716</v>
      </c>
      <c r="L149" s="428" t="s">
        <v>3672</v>
      </c>
      <c r="M149" s="428" t="s">
        <v>3674</v>
      </c>
      <c r="N149" s="428" t="s">
        <v>3687</v>
      </c>
      <c r="O149" s="428" t="s">
        <v>4222</v>
      </c>
      <c r="P149" s="428" t="s">
        <v>3644</v>
      </c>
      <c r="Q149" s="428" t="s">
        <v>3857</v>
      </c>
      <c r="R149" s="395" t="s">
        <v>2076</v>
      </c>
    </row>
    <row r="150" spans="1:18" ht="12.95" customHeight="1">
      <c r="A150" s="430">
        <v>5</v>
      </c>
      <c r="B150" s="159" t="s">
        <v>316</v>
      </c>
      <c r="C150" s="68" t="s">
        <v>95</v>
      </c>
      <c r="D150" s="68" t="s">
        <v>311</v>
      </c>
      <c r="E150" s="428" t="s">
        <v>4586</v>
      </c>
      <c r="F150" s="428" t="s">
        <v>3364</v>
      </c>
      <c r="G150" s="428" t="s">
        <v>4587</v>
      </c>
      <c r="H150" s="428" t="s">
        <v>4298</v>
      </c>
      <c r="I150" s="428" t="s">
        <v>3095</v>
      </c>
      <c r="J150" s="428" t="s">
        <v>2654</v>
      </c>
      <c r="K150" s="428" t="s">
        <v>2654</v>
      </c>
      <c r="L150" s="428" t="s">
        <v>2654</v>
      </c>
      <c r="M150" s="428" t="s">
        <v>2654</v>
      </c>
      <c r="N150" s="428" t="s">
        <v>2654</v>
      </c>
      <c r="O150" s="428" t="s">
        <v>2654</v>
      </c>
      <c r="P150" s="428" t="s">
        <v>2654</v>
      </c>
      <c r="Q150" s="428" t="s">
        <v>3966</v>
      </c>
      <c r="R150" s="395" t="s">
        <v>2106</v>
      </c>
    </row>
    <row r="151" spans="1:18" ht="12.95" customHeight="1">
      <c r="A151" s="430">
        <v>5</v>
      </c>
      <c r="B151" s="159" t="s">
        <v>316</v>
      </c>
      <c r="C151" s="68" t="s">
        <v>95</v>
      </c>
      <c r="D151" s="68" t="s">
        <v>307</v>
      </c>
      <c r="E151" s="428" t="s">
        <v>4623</v>
      </c>
      <c r="F151" s="428" t="s">
        <v>3871</v>
      </c>
      <c r="G151" s="428" t="s">
        <v>4624</v>
      </c>
      <c r="H151" s="428" t="s">
        <v>4029</v>
      </c>
      <c r="I151" s="428" t="s">
        <v>2870</v>
      </c>
      <c r="J151" s="428" t="s">
        <v>2654</v>
      </c>
      <c r="K151" s="428" t="s">
        <v>2654</v>
      </c>
      <c r="L151" s="428" t="s">
        <v>2654</v>
      </c>
      <c r="M151" s="428" t="s">
        <v>2654</v>
      </c>
      <c r="N151" s="428" t="s">
        <v>2654</v>
      </c>
      <c r="O151" s="428" t="s">
        <v>2654</v>
      </c>
      <c r="P151" s="428" t="s">
        <v>2654</v>
      </c>
      <c r="Q151" s="428" t="s">
        <v>3760</v>
      </c>
      <c r="R151" s="395" t="s">
        <v>2136</v>
      </c>
    </row>
    <row r="152" spans="1:18" ht="12.95" customHeight="1">
      <c r="A152" s="430">
        <v>6</v>
      </c>
      <c r="B152" s="159" t="s">
        <v>312</v>
      </c>
      <c r="C152" s="68" t="s">
        <v>96</v>
      </c>
      <c r="D152" s="68" t="s">
        <v>308</v>
      </c>
      <c r="E152" s="428" t="s">
        <v>3464</v>
      </c>
      <c r="F152" s="428" t="s">
        <v>4055</v>
      </c>
      <c r="G152" s="428" t="s">
        <v>2654</v>
      </c>
      <c r="H152" s="428" t="s">
        <v>2654</v>
      </c>
      <c r="I152" s="428" t="s">
        <v>2654</v>
      </c>
      <c r="J152" s="428" t="s">
        <v>2654</v>
      </c>
      <c r="K152" s="428" t="s">
        <v>2654</v>
      </c>
      <c r="L152" s="428" t="s">
        <v>2654</v>
      </c>
      <c r="M152" s="428" t="s">
        <v>2654</v>
      </c>
      <c r="N152" s="428" t="s">
        <v>2654</v>
      </c>
      <c r="O152" s="428" t="s">
        <v>2654</v>
      </c>
      <c r="P152" s="428" t="s">
        <v>2654</v>
      </c>
      <c r="Q152" s="428" t="s">
        <v>2654</v>
      </c>
      <c r="R152" s="394" t="s">
        <v>1571</v>
      </c>
    </row>
    <row r="153" spans="1:18" ht="12.95" customHeight="1">
      <c r="A153" s="430">
        <v>6</v>
      </c>
      <c r="B153" s="159" t="s">
        <v>312</v>
      </c>
      <c r="C153" s="68" t="s">
        <v>96</v>
      </c>
      <c r="D153" s="68" t="s">
        <v>310</v>
      </c>
      <c r="E153" s="428" t="s">
        <v>4169</v>
      </c>
      <c r="F153" s="428" t="s">
        <v>4170</v>
      </c>
      <c r="G153" s="428" t="s">
        <v>2654</v>
      </c>
      <c r="H153" s="428" t="s">
        <v>2654</v>
      </c>
      <c r="I153" s="428" t="s">
        <v>2654</v>
      </c>
      <c r="J153" s="428" t="s">
        <v>2654</v>
      </c>
      <c r="K153" s="428" t="s">
        <v>2654</v>
      </c>
      <c r="L153" s="428" t="s">
        <v>2654</v>
      </c>
      <c r="M153" s="428" t="s">
        <v>2654</v>
      </c>
      <c r="N153" s="428" t="s">
        <v>2654</v>
      </c>
      <c r="O153" s="428" t="s">
        <v>2654</v>
      </c>
      <c r="P153" s="428" t="s">
        <v>2654</v>
      </c>
      <c r="Q153" s="428" t="s">
        <v>2654</v>
      </c>
      <c r="R153" s="394" t="s">
        <v>1601</v>
      </c>
    </row>
    <row r="154" spans="1:18" ht="12.95" customHeight="1">
      <c r="A154" s="430">
        <v>6</v>
      </c>
      <c r="B154" s="159" t="s">
        <v>312</v>
      </c>
      <c r="C154" s="68" t="s">
        <v>96</v>
      </c>
      <c r="D154" s="68" t="s">
        <v>309</v>
      </c>
      <c r="E154" s="428" t="s">
        <v>3969</v>
      </c>
      <c r="F154" s="428" t="s">
        <v>3734</v>
      </c>
      <c r="G154" s="428" t="s">
        <v>2654</v>
      </c>
      <c r="H154" s="428" t="s">
        <v>2654</v>
      </c>
      <c r="I154" s="428" t="s">
        <v>2654</v>
      </c>
      <c r="J154" s="428" t="s">
        <v>2654</v>
      </c>
      <c r="K154" s="428" t="s">
        <v>2654</v>
      </c>
      <c r="L154" s="428" t="s">
        <v>2654</v>
      </c>
      <c r="M154" s="428" t="s">
        <v>2654</v>
      </c>
      <c r="N154" s="428" t="s">
        <v>2654</v>
      </c>
      <c r="O154" s="428" t="s">
        <v>2654</v>
      </c>
      <c r="P154" s="428" t="s">
        <v>2654</v>
      </c>
      <c r="Q154" s="428" t="s">
        <v>2654</v>
      </c>
      <c r="R154" s="394" t="s">
        <v>1631</v>
      </c>
    </row>
    <row r="155" spans="1:18" ht="12.95" customHeight="1">
      <c r="A155" s="430">
        <v>6</v>
      </c>
      <c r="B155" s="159" t="s">
        <v>312</v>
      </c>
      <c r="C155" s="68" t="s">
        <v>96</v>
      </c>
      <c r="D155" s="68" t="s">
        <v>311</v>
      </c>
      <c r="E155" s="428" t="s">
        <v>4187</v>
      </c>
      <c r="F155" s="428" t="s">
        <v>4188</v>
      </c>
      <c r="G155" s="428" t="s">
        <v>2654</v>
      </c>
      <c r="H155" s="428" t="s">
        <v>2654</v>
      </c>
      <c r="I155" s="428" t="s">
        <v>2654</v>
      </c>
      <c r="J155" s="428" t="s">
        <v>2654</v>
      </c>
      <c r="K155" s="428" t="s">
        <v>2654</v>
      </c>
      <c r="L155" s="428" t="s">
        <v>2654</v>
      </c>
      <c r="M155" s="428" t="s">
        <v>2654</v>
      </c>
      <c r="N155" s="428" t="s">
        <v>2654</v>
      </c>
      <c r="O155" s="428" t="s">
        <v>2654</v>
      </c>
      <c r="P155" s="428" t="s">
        <v>2654</v>
      </c>
      <c r="Q155" s="428" t="s">
        <v>2654</v>
      </c>
      <c r="R155" s="394" t="s">
        <v>1661</v>
      </c>
    </row>
    <row r="156" spans="1:18" ht="12.95" customHeight="1">
      <c r="A156" s="430">
        <v>6</v>
      </c>
      <c r="B156" s="159" t="s">
        <v>312</v>
      </c>
      <c r="C156" s="68" t="s">
        <v>96</v>
      </c>
      <c r="D156" s="68" t="s">
        <v>307</v>
      </c>
      <c r="E156" s="428" t="s">
        <v>4197</v>
      </c>
      <c r="F156" s="428" t="s">
        <v>3910</v>
      </c>
      <c r="G156" s="428" t="s">
        <v>2654</v>
      </c>
      <c r="H156" s="428" t="s">
        <v>2654</v>
      </c>
      <c r="I156" s="428" t="s">
        <v>2654</v>
      </c>
      <c r="J156" s="428" t="s">
        <v>2654</v>
      </c>
      <c r="K156" s="428" t="s">
        <v>2654</v>
      </c>
      <c r="L156" s="428" t="s">
        <v>2654</v>
      </c>
      <c r="M156" s="428" t="s">
        <v>2654</v>
      </c>
      <c r="N156" s="428" t="s">
        <v>2654</v>
      </c>
      <c r="O156" s="428" t="s">
        <v>2654</v>
      </c>
      <c r="P156" s="428" t="s">
        <v>2654</v>
      </c>
      <c r="Q156" s="428" t="s">
        <v>2654</v>
      </c>
      <c r="R156" s="394" t="s">
        <v>1691</v>
      </c>
    </row>
    <row r="157" spans="1:18" ht="12.95" customHeight="1">
      <c r="A157" s="430">
        <v>6</v>
      </c>
      <c r="B157" s="159" t="s">
        <v>312</v>
      </c>
      <c r="C157" s="68" t="s">
        <v>95</v>
      </c>
      <c r="D157" s="68" t="s">
        <v>308</v>
      </c>
      <c r="E157" s="428" t="s">
        <v>3626</v>
      </c>
      <c r="F157" s="428" t="s">
        <v>3891</v>
      </c>
      <c r="G157" s="428" t="s">
        <v>2654</v>
      </c>
      <c r="H157" s="428" t="s">
        <v>2654</v>
      </c>
      <c r="I157" s="428" t="s">
        <v>2654</v>
      </c>
      <c r="J157" s="428" t="s">
        <v>2654</v>
      </c>
      <c r="K157" s="428" t="s">
        <v>2654</v>
      </c>
      <c r="L157" s="428" t="s">
        <v>2654</v>
      </c>
      <c r="M157" s="428" t="s">
        <v>2654</v>
      </c>
      <c r="N157" s="428" t="s">
        <v>2654</v>
      </c>
      <c r="O157" s="428" t="s">
        <v>2654</v>
      </c>
      <c r="P157" s="428" t="s">
        <v>2654</v>
      </c>
      <c r="Q157" s="428" t="s">
        <v>2654</v>
      </c>
      <c r="R157" s="394" t="s">
        <v>1421</v>
      </c>
    </row>
    <row r="158" spans="1:18" ht="12.95" customHeight="1">
      <c r="A158" s="430">
        <v>6</v>
      </c>
      <c r="B158" s="159" t="s">
        <v>312</v>
      </c>
      <c r="C158" s="68" t="s">
        <v>95</v>
      </c>
      <c r="D158" s="68" t="s">
        <v>310</v>
      </c>
      <c r="E158" s="428" t="s">
        <v>4096</v>
      </c>
      <c r="F158" s="428" t="s">
        <v>3710</v>
      </c>
      <c r="G158" s="428" t="s">
        <v>2654</v>
      </c>
      <c r="H158" s="428" t="s">
        <v>2654</v>
      </c>
      <c r="I158" s="428" t="s">
        <v>2654</v>
      </c>
      <c r="J158" s="428" t="s">
        <v>2654</v>
      </c>
      <c r="K158" s="428" t="s">
        <v>2654</v>
      </c>
      <c r="L158" s="428" t="s">
        <v>2654</v>
      </c>
      <c r="M158" s="428" t="s">
        <v>2654</v>
      </c>
      <c r="N158" s="428" t="s">
        <v>2654</v>
      </c>
      <c r="O158" s="428" t="s">
        <v>2654</v>
      </c>
      <c r="P158" s="428" t="s">
        <v>2654</v>
      </c>
      <c r="Q158" s="428" t="s">
        <v>2654</v>
      </c>
      <c r="R158" s="394" t="s">
        <v>1451</v>
      </c>
    </row>
    <row r="159" spans="1:18" ht="12.95" customHeight="1">
      <c r="A159" s="430">
        <v>6</v>
      </c>
      <c r="B159" s="159" t="s">
        <v>312</v>
      </c>
      <c r="C159" s="68" t="s">
        <v>95</v>
      </c>
      <c r="D159" s="68" t="s">
        <v>309</v>
      </c>
      <c r="E159" s="428" t="s">
        <v>4115</v>
      </c>
      <c r="F159" s="428" t="s">
        <v>3856</v>
      </c>
      <c r="G159" s="428" t="s">
        <v>2654</v>
      </c>
      <c r="H159" s="428" t="s">
        <v>2654</v>
      </c>
      <c r="I159" s="428" t="s">
        <v>2654</v>
      </c>
      <c r="J159" s="428" t="s">
        <v>2654</v>
      </c>
      <c r="K159" s="428" t="s">
        <v>2654</v>
      </c>
      <c r="L159" s="428" t="s">
        <v>2654</v>
      </c>
      <c r="M159" s="428" t="s">
        <v>2654</v>
      </c>
      <c r="N159" s="428" t="s">
        <v>2654</v>
      </c>
      <c r="O159" s="428" t="s">
        <v>2654</v>
      </c>
      <c r="P159" s="428" t="s">
        <v>2654</v>
      </c>
      <c r="Q159" s="428" t="s">
        <v>2654</v>
      </c>
      <c r="R159" s="394" t="s">
        <v>1481</v>
      </c>
    </row>
    <row r="160" spans="1:18" ht="12.95" customHeight="1">
      <c r="A160" s="430">
        <v>6</v>
      </c>
      <c r="B160" s="159" t="s">
        <v>312</v>
      </c>
      <c r="C160" s="68" t="s">
        <v>95</v>
      </c>
      <c r="D160" s="68" t="s">
        <v>311</v>
      </c>
      <c r="E160" s="428" t="s">
        <v>4133</v>
      </c>
      <c r="F160" s="428" t="s">
        <v>4134</v>
      </c>
      <c r="G160" s="428" t="s">
        <v>2654</v>
      </c>
      <c r="H160" s="428" t="s">
        <v>2654</v>
      </c>
      <c r="I160" s="428" t="s">
        <v>2654</v>
      </c>
      <c r="J160" s="428" t="s">
        <v>2654</v>
      </c>
      <c r="K160" s="428" t="s">
        <v>2654</v>
      </c>
      <c r="L160" s="428" t="s">
        <v>2654</v>
      </c>
      <c r="M160" s="428" t="s">
        <v>2654</v>
      </c>
      <c r="N160" s="428" t="s">
        <v>2654</v>
      </c>
      <c r="O160" s="428" t="s">
        <v>2654</v>
      </c>
      <c r="P160" s="428" t="s">
        <v>2654</v>
      </c>
      <c r="Q160" s="428" t="s">
        <v>2654</v>
      </c>
      <c r="R160" s="394" t="s">
        <v>1511</v>
      </c>
    </row>
    <row r="161" spans="1:18" ht="12.95" customHeight="1">
      <c r="A161" s="430">
        <v>6</v>
      </c>
      <c r="B161" s="159" t="s">
        <v>312</v>
      </c>
      <c r="C161" s="68" t="s">
        <v>95</v>
      </c>
      <c r="D161" s="68" t="s">
        <v>307</v>
      </c>
      <c r="E161" s="428" t="s">
        <v>4150</v>
      </c>
      <c r="F161" s="428" t="s">
        <v>3929</v>
      </c>
      <c r="G161" s="428" t="s">
        <v>2654</v>
      </c>
      <c r="H161" s="428" t="s">
        <v>2654</v>
      </c>
      <c r="I161" s="428" t="s">
        <v>2654</v>
      </c>
      <c r="J161" s="428" t="s">
        <v>2654</v>
      </c>
      <c r="K161" s="428" t="s">
        <v>2654</v>
      </c>
      <c r="L161" s="428" t="s">
        <v>2654</v>
      </c>
      <c r="M161" s="428" t="s">
        <v>2654</v>
      </c>
      <c r="N161" s="428" t="s">
        <v>2654</v>
      </c>
      <c r="O161" s="428" t="s">
        <v>2654</v>
      </c>
      <c r="P161" s="428" t="s">
        <v>2654</v>
      </c>
      <c r="Q161" s="428" t="s">
        <v>2654</v>
      </c>
      <c r="R161" s="394" t="s">
        <v>1541</v>
      </c>
    </row>
    <row r="162" spans="1:18" ht="12.95" customHeight="1">
      <c r="A162" s="430">
        <v>6</v>
      </c>
      <c r="B162" s="159" t="s">
        <v>314</v>
      </c>
      <c r="C162" s="68" t="s">
        <v>96</v>
      </c>
      <c r="D162" s="68" t="s">
        <v>308</v>
      </c>
      <c r="E162" s="428" t="s">
        <v>4053</v>
      </c>
      <c r="F162" s="428" t="s">
        <v>3910</v>
      </c>
      <c r="G162" s="428" t="s">
        <v>2654</v>
      </c>
      <c r="H162" s="428" t="s">
        <v>2654</v>
      </c>
      <c r="I162" s="428" t="s">
        <v>2654</v>
      </c>
      <c r="J162" s="428" t="s">
        <v>2654</v>
      </c>
      <c r="K162" s="428" t="s">
        <v>2654</v>
      </c>
      <c r="L162" s="428" t="s">
        <v>2654</v>
      </c>
      <c r="M162" s="428" t="s">
        <v>2654</v>
      </c>
      <c r="N162" s="428" t="s">
        <v>2654</v>
      </c>
      <c r="O162" s="428" t="s">
        <v>2654</v>
      </c>
      <c r="P162" s="428" t="s">
        <v>2654</v>
      </c>
      <c r="Q162" s="428" t="s">
        <v>2654</v>
      </c>
      <c r="R162" s="394" t="s">
        <v>1871</v>
      </c>
    </row>
    <row r="163" spans="1:18" ht="12.95" customHeight="1">
      <c r="A163" s="430">
        <v>6</v>
      </c>
      <c r="B163" s="159" t="s">
        <v>314</v>
      </c>
      <c r="C163" s="68" t="s">
        <v>96</v>
      </c>
      <c r="D163" s="68" t="s">
        <v>310</v>
      </c>
      <c r="E163" s="428" t="s">
        <v>4354</v>
      </c>
      <c r="F163" s="428" t="s">
        <v>3922</v>
      </c>
      <c r="G163" s="428" t="s">
        <v>2683</v>
      </c>
      <c r="H163" s="428" t="s">
        <v>2654</v>
      </c>
      <c r="I163" s="428" t="s">
        <v>2654</v>
      </c>
      <c r="J163" s="428" t="s">
        <v>2654</v>
      </c>
      <c r="K163" s="428" t="s">
        <v>2654</v>
      </c>
      <c r="L163" s="428" t="s">
        <v>2654</v>
      </c>
      <c r="M163" s="428" t="s">
        <v>2654</v>
      </c>
      <c r="N163" s="428" t="s">
        <v>2654</v>
      </c>
      <c r="O163" s="428" t="s">
        <v>2654</v>
      </c>
      <c r="P163" s="428" t="s">
        <v>2654</v>
      </c>
      <c r="Q163" s="428" t="s">
        <v>2654</v>
      </c>
      <c r="R163" s="394" t="s">
        <v>1901</v>
      </c>
    </row>
    <row r="164" spans="1:18" ht="12.95" customHeight="1">
      <c r="A164" s="430">
        <v>6</v>
      </c>
      <c r="B164" s="159" t="s">
        <v>314</v>
      </c>
      <c r="C164" s="68" t="s">
        <v>96</v>
      </c>
      <c r="D164" s="68" t="s">
        <v>309</v>
      </c>
      <c r="E164" s="428" t="s">
        <v>3936</v>
      </c>
      <c r="F164" s="428" t="s">
        <v>3972</v>
      </c>
      <c r="G164" s="428" t="s">
        <v>2654</v>
      </c>
      <c r="H164" s="428" t="s">
        <v>2654</v>
      </c>
      <c r="I164" s="428" t="s">
        <v>2654</v>
      </c>
      <c r="J164" s="428" t="s">
        <v>2654</v>
      </c>
      <c r="K164" s="428" t="s">
        <v>2654</v>
      </c>
      <c r="L164" s="428" t="s">
        <v>2654</v>
      </c>
      <c r="M164" s="428" t="s">
        <v>2654</v>
      </c>
      <c r="N164" s="428" t="s">
        <v>2654</v>
      </c>
      <c r="O164" s="428" t="s">
        <v>2654</v>
      </c>
      <c r="P164" s="428" t="s">
        <v>2654</v>
      </c>
      <c r="Q164" s="428" t="s">
        <v>2654</v>
      </c>
      <c r="R164" s="394" t="s">
        <v>1931</v>
      </c>
    </row>
    <row r="165" spans="1:18" ht="12.95" customHeight="1">
      <c r="A165" s="430">
        <v>6</v>
      </c>
      <c r="B165" s="159" t="s">
        <v>314</v>
      </c>
      <c r="C165" s="68" t="s">
        <v>96</v>
      </c>
      <c r="D165" s="68" t="s">
        <v>311</v>
      </c>
      <c r="E165" s="428" t="s">
        <v>4371</v>
      </c>
      <c r="F165" s="428" t="s">
        <v>3970</v>
      </c>
      <c r="G165" s="428" t="s">
        <v>2654</v>
      </c>
      <c r="H165" s="428" t="s">
        <v>2654</v>
      </c>
      <c r="I165" s="428" t="s">
        <v>2654</v>
      </c>
      <c r="J165" s="428" t="s">
        <v>2654</v>
      </c>
      <c r="K165" s="428" t="s">
        <v>2654</v>
      </c>
      <c r="L165" s="428" t="s">
        <v>2654</v>
      </c>
      <c r="M165" s="428" t="s">
        <v>2654</v>
      </c>
      <c r="N165" s="428" t="s">
        <v>2654</v>
      </c>
      <c r="O165" s="428" t="s">
        <v>2654</v>
      </c>
      <c r="P165" s="428" t="s">
        <v>2654</v>
      </c>
      <c r="Q165" s="428" t="s">
        <v>2654</v>
      </c>
      <c r="R165" s="68" t="s">
        <v>1961</v>
      </c>
    </row>
    <row r="166" spans="1:18" ht="12.95" customHeight="1">
      <c r="A166" s="430">
        <v>6</v>
      </c>
      <c r="B166" s="159" t="s">
        <v>314</v>
      </c>
      <c r="C166" s="68" t="s">
        <v>96</v>
      </c>
      <c r="D166" s="68" t="s">
        <v>307</v>
      </c>
      <c r="E166" s="428" t="s">
        <v>4377</v>
      </c>
      <c r="F166" s="428" t="s">
        <v>4378</v>
      </c>
      <c r="G166" s="428" t="s">
        <v>2659</v>
      </c>
      <c r="H166" s="428" t="s">
        <v>2654</v>
      </c>
      <c r="I166" s="428" t="s">
        <v>2654</v>
      </c>
      <c r="J166" s="428" t="s">
        <v>2654</v>
      </c>
      <c r="K166" s="428" t="s">
        <v>2654</v>
      </c>
      <c r="L166" s="428" t="s">
        <v>2654</v>
      </c>
      <c r="M166" s="428" t="s">
        <v>2654</v>
      </c>
      <c r="N166" s="428" t="s">
        <v>2654</v>
      </c>
      <c r="O166" s="428" t="s">
        <v>2654</v>
      </c>
      <c r="P166" s="428" t="s">
        <v>2654</v>
      </c>
      <c r="Q166" s="428" t="s">
        <v>2654</v>
      </c>
      <c r="R166" s="68" t="s">
        <v>1991</v>
      </c>
    </row>
    <row r="167" spans="1:18" ht="12.95" customHeight="1">
      <c r="A167" s="430">
        <v>6</v>
      </c>
      <c r="B167" s="159" t="s">
        <v>314</v>
      </c>
      <c r="C167" s="68" t="s">
        <v>95</v>
      </c>
      <c r="D167" s="68" t="s">
        <v>308</v>
      </c>
      <c r="E167" s="428" t="s">
        <v>4234</v>
      </c>
      <c r="F167" s="428" t="s">
        <v>3856</v>
      </c>
      <c r="G167" s="428" t="s">
        <v>2654</v>
      </c>
      <c r="H167" s="428" t="s">
        <v>2654</v>
      </c>
      <c r="I167" s="428" t="s">
        <v>2654</v>
      </c>
      <c r="J167" s="428" t="s">
        <v>2654</v>
      </c>
      <c r="K167" s="428" t="s">
        <v>2654</v>
      </c>
      <c r="L167" s="428" t="s">
        <v>2654</v>
      </c>
      <c r="M167" s="428" t="s">
        <v>2654</v>
      </c>
      <c r="N167" s="428" t="s">
        <v>2654</v>
      </c>
      <c r="O167" s="428" t="s">
        <v>2654</v>
      </c>
      <c r="P167" s="428" t="s">
        <v>2654</v>
      </c>
      <c r="Q167" s="428" t="s">
        <v>2654</v>
      </c>
      <c r="R167" s="394" t="s">
        <v>1721</v>
      </c>
    </row>
    <row r="168" spans="1:18" ht="12.95" customHeight="1">
      <c r="A168" s="430">
        <v>6</v>
      </c>
      <c r="B168" s="159" t="s">
        <v>314</v>
      </c>
      <c r="C168" s="68" t="s">
        <v>95</v>
      </c>
      <c r="D168" s="68" t="s">
        <v>310</v>
      </c>
      <c r="E168" s="428" t="s">
        <v>4263</v>
      </c>
      <c r="F168" s="428" t="s">
        <v>3856</v>
      </c>
      <c r="G168" s="428" t="s">
        <v>4131</v>
      </c>
      <c r="H168" s="428" t="s">
        <v>2654</v>
      </c>
      <c r="I168" s="428" t="s">
        <v>2654</v>
      </c>
      <c r="J168" s="428" t="s">
        <v>2654</v>
      </c>
      <c r="K168" s="428" t="s">
        <v>2654</v>
      </c>
      <c r="L168" s="428" t="s">
        <v>2654</v>
      </c>
      <c r="M168" s="428" t="s">
        <v>2654</v>
      </c>
      <c r="N168" s="428" t="s">
        <v>2654</v>
      </c>
      <c r="O168" s="428" t="s">
        <v>2654</v>
      </c>
      <c r="P168" s="428" t="s">
        <v>2654</v>
      </c>
      <c r="Q168" s="428" t="s">
        <v>2793</v>
      </c>
      <c r="R168" s="394" t="s">
        <v>1751</v>
      </c>
    </row>
    <row r="169" spans="1:18" ht="12.95" customHeight="1">
      <c r="A169" s="430">
        <v>6</v>
      </c>
      <c r="B169" s="159" t="s">
        <v>314</v>
      </c>
      <c r="C169" s="68" t="s">
        <v>95</v>
      </c>
      <c r="D169" s="68" t="s">
        <v>309</v>
      </c>
      <c r="E169" s="428" t="s">
        <v>3893</v>
      </c>
      <c r="F169" s="428" t="s">
        <v>4297</v>
      </c>
      <c r="G169" s="428" t="s">
        <v>2654</v>
      </c>
      <c r="H169" s="428" t="s">
        <v>2654</v>
      </c>
      <c r="I169" s="428" t="s">
        <v>2654</v>
      </c>
      <c r="J169" s="428" t="s">
        <v>2654</v>
      </c>
      <c r="K169" s="428" t="s">
        <v>2654</v>
      </c>
      <c r="L169" s="428" t="s">
        <v>2654</v>
      </c>
      <c r="M169" s="428" t="s">
        <v>2654</v>
      </c>
      <c r="N169" s="428" t="s">
        <v>2654</v>
      </c>
      <c r="O169" s="428" t="s">
        <v>2654</v>
      </c>
      <c r="P169" s="428" t="s">
        <v>2654</v>
      </c>
      <c r="Q169" s="428" t="s">
        <v>2654</v>
      </c>
      <c r="R169" s="394" t="s">
        <v>1781</v>
      </c>
    </row>
    <row r="170" spans="1:18" ht="12.95" customHeight="1">
      <c r="A170" s="430">
        <v>6</v>
      </c>
      <c r="B170" s="159" t="s">
        <v>314</v>
      </c>
      <c r="C170" s="68" t="s">
        <v>95</v>
      </c>
      <c r="D170" s="68" t="s">
        <v>311</v>
      </c>
      <c r="E170" s="428" t="s">
        <v>4316</v>
      </c>
      <c r="F170" s="428" t="s">
        <v>3869</v>
      </c>
      <c r="G170" s="428" t="s">
        <v>3228</v>
      </c>
      <c r="H170" s="428" t="s">
        <v>2654</v>
      </c>
      <c r="I170" s="428" t="s">
        <v>2654</v>
      </c>
      <c r="J170" s="428" t="s">
        <v>2654</v>
      </c>
      <c r="K170" s="428" t="s">
        <v>2654</v>
      </c>
      <c r="L170" s="428" t="s">
        <v>2654</v>
      </c>
      <c r="M170" s="428" t="s">
        <v>2654</v>
      </c>
      <c r="N170" s="428" t="s">
        <v>2654</v>
      </c>
      <c r="O170" s="428" t="s">
        <v>2654</v>
      </c>
      <c r="P170" s="428" t="s">
        <v>2654</v>
      </c>
      <c r="Q170" s="428" t="s">
        <v>2793</v>
      </c>
      <c r="R170" s="394" t="s">
        <v>1811</v>
      </c>
    </row>
    <row r="171" spans="1:18" ht="12.95" customHeight="1">
      <c r="A171" s="430">
        <v>6</v>
      </c>
      <c r="B171" s="159" t="s">
        <v>314</v>
      </c>
      <c r="C171" s="68" t="s">
        <v>95</v>
      </c>
      <c r="D171" s="68" t="s">
        <v>307</v>
      </c>
      <c r="E171" s="428" t="s">
        <v>3977</v>
      </c>
      <c r="F171" s="428" t="s">
        <v>3856</v>
      </c>
      <c r="G171" s="428" t="s">
        <v>2724</v>
      </c>
      <c r="H171" s="428" t="s">
        <v>2654</v>
      </c>
      <c r="I171" s="428" t="s">
        <v>2654</v>
      </c>
      <c r="J171" s="428" t="s">
        <v>2654</v>
      </c>
      <c r="K171" s="428" t="s">
        <v>2654</v>
      </c>
      <c r="L171" s="428" t="s">
        <v>2654</v>
      </c>
      <c r="M171" s="428" t="s">
        <v>2654</v>
      </c>
      <c r="N171" s="428" t="s">
        <v>2654</v>
      </c>
      <c r="O171" s="428" t="s">
        <v>2654</v>
      </c>
      <c r="P171" s="428" t="s">
        <v>2654</v>
      </c>
      <c r="Q171" s="428" t="s">
        <v>2793</v>
      </c>
      <c r="R171" s="394" t="s">
        <v>1841</v>
      </c>
    </row>
    <row r="172" spans="1:18" ht="12.95" customHeight="1">
      <c r="A172" s="430">
        <v>6</v>
      </c>
      <c r="B172" s="159" t="s">
        <v>316</v>
      </c>
      <c r="C172" s="68" t="s">
        <v>96</v>
      </c>
      <c r="D172" s="68" t="s">
        <v>308</v>
      </c>
      <c r="E172" s="428" t="s">
        <v>3651</v>
      </c>
      <c r="F172" s="428" t="s">
        <v>4633</v>
      </c>
      <c r="G172" s="428" t="s">
        <v>2654</v>
      </c>
      <c r="H172" s="428" t="s">
        <v>2654</v>
      </c>
      <c r="I172" s="428" t="s">
        <v>2654</v>
      </c>
      <c r="J172" s="428" t="s">
        <v>2654</v>
      </c>
      <c r="K172" s="428" t="s">
        <v>2654</v>
      </c>
      <c r="L172" s="428" t="s">
        <v>2654</v>
      </c>
      <c r="M172" s="428" t="s">
        <v>2654</v>
      </c>
      <c r="N172" s="428" t="s">
        <v>2654</v>
      </c>
      <c r="O172" s="428" t="s">
        <v>2654</v>
      </c>
      <c r="P172" s="428" t="s">
        <v>2654</v>
      </c>
      <c r="Q172" s="428" t="s">
        <v>2654</v>
      </c>
      <c r="R172" s="395" t="s">
        <v>2171</v>
      </c>
    </row>
    <row r="173" spans="1:18" ht="12.95" customHeight="1">
      <c r="A173" s="430">
        <v>6</v>
      </c>
      <c r="B173" s="159" t="s">
        <v>316</v>
      </c>
      <c r="C173" s="68" t="s">
        <v>96</v>
      </c>
      <c r="D173" s="68" t="s">
        <v>310</v>
      </c>
      <c r="E173" s="428" t="s">
        <v>4549</v>
      </c>
      <c r="F173" s="428" t="s">
        <v>3978</v>
      </c>
      <c r="G173" s="428" t="s">
        <v>2654</v>
      </c>
      <c r="H173" s="428" t="s">
        <v>2654</v>
      </c>
      <c r="I173" s="428" t="s">
        <v>2654</v>
      </c>
      <c r="J173" s="428" t="s">
        <v>2654</v>
      </c>
      <c r="K173" s="428" t="s">
        <v>2654</v>
      </c>
      <c r="L173" s="428" t="s">
        <v>2654</v>
      </c>
      <c r="M173" s="428" t="s">
        <v>2654</v>
      </c>
      <c r="N173" s="428" t="s">
        <v>2654</v>
      </c>
      <c r="O173" s="428" t="s">
        <v>2654</v>
      </c>
      <c r="P173" s="428" t="s">
        <v>2654</v>
      </c>
      <c r="Q173" s="428" t="s">
        <v>2654</v>
      </c>
      <c r="R173" s="395" t="s">
        <v>2201</v>
      </c>
    </row>
    <row r="174" spans="1:18" ht="12.95" customHeight="1">
      <c r="A174" s="430">
        <v>6</v>
      </c>
      <c r="B174" s="159" t="s">
        <v>316</v>
      </c>
      <c r="C174" s="68" t="s">
        <v>96</v>
      </c>
      <c r="D174" s="68" t="s">
        <v>309</v>
      </c>
      <c r="E174" s="428" t="s">
        <v>3785</v>
      </c>
      <c r="F174" s="428" t="s">
        <v>3734</v>
      </c>
      <c r="G174" s="428" t="s">
        <v>2654</v>
      </c>
      <c r="H174" s="428" t="s">
        <v>2654</v>
      </c>
      <c r="I174" s="428" t="s">
        <v>2654</v>
      </c>
      <c r="J174" s="428" t="s">
        <v>2654</v>
      </c>
      <c r="K174" s="428" t="s">
        <v>2654</v>
      </c>
      <c r="L174" s="428" t="s">
        <v>2654</v>
      </c>
      <c r="M174" s="428" t="s">
        <v>2654</v>
      </c>
      <c r="N174" s="428" t="s">
        <v>2654</v>
      </c>
      <c r="O174" s="428" t="s">
        <v>2654</v>
      </c>
      <c r="P174" s="428" t="s">
        <v>2654</v>
      </c>
      <c r="Q174" s="428" t="s">
        <v>2654</v>
      </c>
      <c r="R174" s="68" t="s">
        <v>2231</v>
      </c>
    </row>
    <row r="175" spans="1:18" ht="12.95" customHeight="1">
      <c r="A175" s="430">
        <v>6</v>
      </c>
      <c r="B175" s="159" t="s">
        <v>316</v>
      </c>
      <c r="C175" s="68" t="s">
        <v>96</v>
      </c>
      <c r="D175" s="68" t="s">
        <v>311</v>
      </c>
      <c r="E175" s="428" t="s">
        <v>4640</v>
      </c>
      <c r="F175" s="428" t="s">
        <v>3089</v>
      </c>
      <c r="G175" s="428" t="s">
        <v>2654</v>
      </c>
      <c r="H175" s="428" t="s">
        <v>2654</v>
      </c>
      <c r="I175" s="428" t="s">
        <v>2654</v>
      </c>
      <c r="J175" s="428" t="s">
        <v>2654</v>
      </c>
      <c r="K175" s="428" t="s">
        <v>2654</v>
      </c>
      <c r="L175" s="428" t="s">
        <v>2654</v>
      </c>
      <c r="M175" s="428" t="s">
        <v>2654</v>
      </c>
      <c r="N175" s="428" t="s">
        <v>2654</v>
      </c>
      <c r="O175" s="428" t="s">
        <v>2654</v>
      </c>
      <c r="P175" s="428" t="s">
        <v>2654</v>
      </c>
      <c r="Q175" s="428" t="s">
        <v>2654</v>
      </c>
      <c r="R175" s="68" t="s">
        <v>2261</v>
      </c>
    </row>
    <row r="176" spans="1:18" ht="12.95" customHeight="1">
      <c r="A176" s="430">
        <v>6</v>
      </c>
      <c r="B176" s="159" t="s">
        <v>316</v>
      </c>
      <c r="C176" s="68" t="s">
        <v>96</v>
      </c>
      <c r="D176" s="68" t="s">
        <v>307</v>
      </c>
      <c r="E176" s="428" t="s">
        <v>4646</v>
      </c>
      <c r="F176" s="428" t="s">
        <v>4188</v>
      </c>
      <c r="G176" s="428" t="s">
        <v>2654</v>
      </c>
      <c r="H176" s="428" t="s">
        <v>2654</v>
      </c>
      <c r="I176" s="428" t="s">
        <v>2654</v>
      </c>
      <c r="J176" s="428" t="s">
        <v>2654</v>
      </c>
      <c r="K176" s="428" t="s">
        <v>2654</v>
      </c>
      <c r="L176" s="428" t="s">
        <v>2654</v>
      </c>
      <c r="M176" s="428" t="s">
        <v>2654</v>
      </c>
      <c r="N176" s="428" t="s">
        <v>2654</v>
      </c>
      <c r="O176" s="428" t="s">
        <v>2654</v>
      </c>
      <c r="P176" s="428" t="s">
        <v>2654</v>
      </c>
      <c r="Q176" s="428" t="s">
        <v>2654</v>
      </c>
      <c r="R176" s="68" t="s">
        <v>2291</v>
      </c>
    </row>
    <row r="177" spans="1:18" ht="12.95" customHeight="1">
      <c r="A177" s="430">
        <v>6</v>
      </c>
      <c r="B177" s="159" t="s">
        <v>316</v>
      </c>
      <c r="C177" s="68" t="s">
        <v>95</v>
      </c>
      <c r="D177" s="68" t="s">
        <v>308</v>
      </c>
      <c r="E177" s="428" t="s">
        <v>4442</v>
      </c>
      <c r="F177" s="428" t="s">
        <v>3963</v>
      </c>
      <c r="G177" s="428" t="s">
        <v>2683</v>
      </c>
      <c r="H177" s="428" t="s">
        <v>2654</v>
      </c>
      <c r="I177" s="428" t="s">
        <v>2654</v>
      </c>
      <c r="J177" s="428" t="s">
        <v>2654</v>
      </c>
      <c r="K177" s="428" t="s">
        <v>2654</v>
      </c>
      <c r="L177" s="428" t="s">
        <v>2654</v>
      </c>
      <c r="M177" s="428" t="s">
        <v>2654</v>
      </c>
      <c r="N177" s="428" t="s">
        <v>2654</v>
      </c>
      <c r="O177" s="428" t="s">
        <v>2654</v>
      </c>
      <c r="P177" s="428" t="s">
        <v>2654</v>
      </c>
      <c r="Q177" s="428" t="s">
        <v>2654</v>
      </c>
      <c r="R177" s="68" t="s">
        <v>2021</v>
      </c>
    </row>
    <row r="178" spans="1:18" ht="12.95" customHeight="1">
      <c r="A178" s="430">
        <v>6</v>
      </c>
      <c r="B178" s="159" t="s">
        <v>316</v>
      </c>
      <c r="C178" s="68" t="s">
        <v>95</v>
      </c>
      <c r="D178" s="68" t="s">
        <v>310</v>
      </c>
      <c r="E178" s="428" t="s">
        <v>4482</v>
      </c>
      <c r="F178" s="428" t="s">
        <v>4335</v>
      </c>
      <c r="G178" s="428" t="s">
        <v>4483</v>
      </c>
      <c r="H178" s="428" t="s">
        <v>4245</v>
      </c>
      <c r="I178" s="428" t="s">
        <v>4131</v>
      </c>
      <c r="J178" s="428" t="s">
        <v>2654</v>
      </c>
      <c r="K178" s="428" t="s">
        <v>2654</v>
      </c>
      <c r="L178" s="428" t="s">
        <v>2654</v>
      </c>
      <c r="M178" s="428" t="s">
        <v>2654</v>
      </c>
      <c r="N178" s="428" t="s">
        <v>2654</v>
      </c>
      <c r="O178" s="428" t="s">
        <v>2654</v>
      </c>
      <c r="P178" s="428" t="s">
        <v>2654</v>
      </c>
      <c r="Q178" s="428" t="s">
        <v>3958</v>
      </c>
      <c r="R178" s="68" t="s">
        <v>2051</v>
      </c>
    </row>
    <row r="179" spans="1:18" ht="12.95" customHeight="1">
      <c r="A179" s="430">
        <v>6</v>
      </c>
      <c r="B179" s="159" t="s">
        <v>316</v>
      </c>
      <c r="C179" s="68" t="s">
        <v>95</v>
      </c>
      <c r="D179" s="68" t="s">
        <v>309</v>
      </c>
      <c r="E179" s="428" t="s">
        <v>4549</v>
      </c>
      <c r="F179" s="428" t="s">
        <v>3867</v>
      </c>
      <c r="G179" s="428" t="s">
        <v>2724</v>
      </c>
      <c r="H179" s="428" t="s">
        <v>2654</v>
      </c>
      <c r="I179" s="428" t="s">
        <v>2654</v>
      </c>
      <c r="J179" s="428" t="s">
        <v>2654</v>
      </c>
      <c r="K179" s="428" t="s">
        <v>2654</v>
      </c>
      <c r="L179" s="428" t="s">
        <v>2654</v>
      </c>
      <c r="M179" s="428" t="s">
        <v>2654</v>
      </c>
      <c r="N179" s="428" t="s">
        <v>2654</v>
      </c>
      <c r="O179" s="428" t="s">
        <v>2654</v>
      </c>
      <c r="P179" s="428" t="s">
        <v>2654</v>
      </c>
      <c r="Q179" s="428" t="s">
        <v>2793</v>
      </c>
      <c r="R179" s="395" t="s">
        <v>2081</v>
      </c>
    </row>
    <row r="180" spans="1:18" ht="12.95" customHeight="1">
      <c r="A180" s="430">
        <v>6</v>
      </c>
      <c r="B180" s="159" t="s">
        <v>316</v>
      </c>
      <c r="C180" s="68" t="s">
        <v>95</v>
      </c>
      <c r="D180" s="68" t="s">
        <v>311</v>
      </c>
      <c r="E180" s="428" t="s">
        <v>4482</v>
      </c>
      <c r="F180" s="428" t="s">
        <v>4007</v>
      </c>
      <c r="G180" s="428" t="s">
        <v>4590</v>
      </c>
      <c r="H180" s="428" t="s">
        <v>3877</v>
      </c>
      <c r="I180" s="428" t="s">
        <v>3935</v>
      </c>
      <c r="J180" s="428" t="s">
        <v>2654</v>
      </c>
      <c r="K180" s="428" t="s">
        <v>2654</v>
      </c>
      <c r="L180" s="428" t="s">
        <v>2654</v>
      </c>
      <c r="M180" s="428" t="s">
        <v>2654</v>
      </c>
      <c r="N180" s="428" t="s">
        <v>2654</v>
      </c>
      <c r="O180" s="428" t="s">
        <v>2654</v>
      </c>
      <c r="P180" s="428" t="s">
        <v>2654</v>
      </c>
      <c r="Q180" s="428" t="s">
        <v>4591</v>
      </c>
      <c r="R180" s="395" t="s">
        <v>2111</v>
      </c>
    </row>
    <row r="181" spans="1:18" ht="12.95" customHeight="1">
      <c r="A181" s="430">
        <v>6</v>
      </c>
      <c r="B181" s="159" t="s">
        <v>316</v>
      </c>
      <c r="C181" s="68" t="s">
        <v>95</v>
      </c>
      <c r="D181" s="68" t="s">
        <v>307</v>
      </c>
      <c r="E181" s="428" t="s">
        <v>4626</v>
      </c>
      <c r="F181" s="428" t="s">
        <v>3867</v>
      </c>
      <c r="G181" s="428" t="s">
        <v>3171</v>
      </c>
      <c r="H181" s="428" t="s">
        <v>4224</v>
      </c>
      <c r="I181" s="428" t="s">
        <v>4131</v>
      </c>
      <c r="J181" s="428" t="s">
        <v>2654</v>
      </c>
      <c r="K181" s="428" t="s">
        <v>2654</v>
      </c>
      <c r="L181" s="428" t="s">
        <v>2654</v>
      </c>
      <c r="M181" s="428" t="s">
        <v>2654</v>
      </c>
      <c r="N181" s="428" t="s">
        <v>2654</v>
      </c>
      <c r="O181" s="428" t="s">
        <v>2654</v>
      </c>
      <c r="P181" s="428" t="s">
        <v>2654</v>
      </c>
      <c r="Q181" s="428" t="s">
        <v>3944</v>
      </c>
      <c r="R181" s="395" t="s">
        <v>2141</v>
      </c>
    </row>
  </sheetData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J33"/>
  <sheetViews>
    <sheetView zoomScaleNormal="100" workbookViewId="0">
      <selection activeCell="AF21" sqref="AF21"/>
    </sheetView>
  </sheetViews>
  <sheetFormatPr defaultColWidth="8.88671875" defaultRowHeight="12"/>
  <cols>
    <col min="1" max="1" width="5.21875" style="2" customWidth="1"/>
    <col min="2" max="4" width="5.21875" style="1" customWidth="1"/>
    <col min="5" max="5" width="6.6640625" style="1" customWidth="1"/>
    <col min="6" max="6" width="5.6640625" style="1" customWidth="1"/>
    <col min="7" max="7" width="5.21875" style="1" customWidth="1"/>
    <col min="8" max="8" width="6.21875" style="1" customWidth="1"/>
    <col min="9" max="16" width="5.21875" style="1" customWidth="1"/>
    <col min="17" max="17" width="6.6640625" style="1" customWidth="1"/>
    <col min="18" max="19" width="5.21875" style="1" customWidth="1"/>
    <col min="20" max="20" width="6.88671875" style="1" customWidth="1"/>
    <col min="21" max="22" width="5.21875" style="1" customWidth="1"/>
    <col min="23" max="23" width="6.77734375" style="68" customWidth="1"/>
    <col min="24" max="28" width="5.21875" style="1" customWidth="1"/>
    <col min="29" max="29" width="6.5546875" style="1" customWidth="1"/>
    <col min="30" max="30" width="6.21875" style="1" customWidth="1"/>
    <col min="31" max="49" width="5.21875" style="1" customWidth="1"/>
    <col min="50" max="16384" width="8.88671875" style="1"/>
  </cols>
  <sheetData>
    <row r="1" spans="1:36" s="55" customFormat="1" ht="13.5" customHeight="1" thickBot="1">
      <c r="A1" s="465" t="s">
        <v>79</v>
      </c>
      <c r="B1" s="468" t="s">
        <v>92</v>
      </c>
      <c r="C1" s="468" t="s">
        <v>93</v>
      </c>
      <c r="D1" s="476" t="s">
        <v>90</v>
      </c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6"/>
      <c r="P1" s="476"/>
      <c r="Q1" s="476"/>
      <c r="R1" s="476"/>
      <c r="S1" s="476"/>
      <c r="T1" s="476"/>
      <c r="U1" s="476"/>
      <c r="V1" s="477" t="s">
        <v>301</v>
      </c>
      <c r="W1" s="468"/>
      <c r="X1" s="478"/>
      <c r="Y1" s="481" t="s">
        <v>302</v>
      </c>
      <c r="Z1" s="482"/>
      <c r="AA1" s="483"/>
      <c r="AB1" s="481" t="s">
        <v>303</v>
      </c>
      <c r="AC1" s="482"/>
      <c r="AD1" s="483"/>
    </row>
    <row r="2" spans="1:36" s="55" customFormat="1" ht="12" customHeight="1">
      <c r="A2" s="466"/>
      <c r="B2" s="469"/>
      <c r="C2" s="471"/>
      <c r="D2" s="473" t="s">
        <v>60</v>
      </c>
      <c r="E2" s="474"/>
      <c r="F2" s="475"/>
      <c r="G2" s="473" t="s">
        <v>61</v>
      </c>
      <c r="H2" s="474"/>
      <c r="I2" s="475"/>
      <c r="J2" s="473" t="s">
        <v>62</v>
      </c>
      <c r="K2" s="474"/>
      <c r="L2" s="475"/>
      <c r="M2" s="473" t="s">
        <v>65</v>
      </c>
      <c r="N2" s="474"/>
      <c r="O2" s="475"/>
      <c r="P2" s="473" t="s">
        <v>63</v>
      </c>
      <c r="Q2" s="474"/>
      <c r="R2" s="475"/>
      <c r="S2" s="473" t="s">
        <v>64</v>
      </c>
      <c r="T2" s="474"/>
      <c r="U2" s="475"/>
      <c r="V2" s="479"/>
      <c r="W2" s="469"/>
      <c r="X2" s="480"/>
      <c r="Y2" s="484"/>
      <c r="Z2" s="437"/>
      <c r="AA2" s="485"/>
      <c r="AB2" s="484"/>
      <c r="AC2" s="437"/>
      <c r="AD2" s="485"/>
    </row>
    <row r="3" spans="1:36" s="55" customFormat="1" ht="29.25" customHeight="1" thickBot="1">
      <c r="A3" s="467"/>
      <c r="B3" s="470"/>
      <c r="C3" s="472"/>
      <c r="D3" s="88" t="s">
        <v>87</v>
      </c>
      <c r="E3" s="86" t="s">
        <v>88</v>
      </c>
      <c r="F3" s="87" t="s">
        <v>89</v>
      </c>
      <c r="G3" s="88" t="s">
        <v>87</v>
      </c>
      <c r="H3" s="86" t="s">
        <v>88</v>
      </c>
      <c r="I3" s="87" t="s">
        <v>89</v>
      </c>
      <c r="J3" s="88" t="s">
        <v>87</v>
      </c>
      <c r="K3" s="86" t="s">
        <v>88</v>
      </c>
      <c r="L3" s="87" t="s">
        <v>89</v>
      </c>
      <c r="M3" s="88" t="s">
        <v>87</v>
      </c>
      <c r="N3" s="86" t="s">
        <v>88</v>
      </c>
      <c r="O3" s="87" t="s">
        <v>89</v>
      </c>
      <c r="P3" s="88" t="s">
        <v>87</v>
      </c>
      <c r="Q3" s="86" t="s">
        <v>88</v>
      </c>
      <c r="R3" s="87" t="s">
        <v>89</v>
      </c>
      <c r="S3" s="88" t="s">
        <v>87</v>
      </c>
      <c r="T3" s="86" t="s">
        <v>88</v>
      </c>
      <c r="U3" s="87" t="s">
        <v>89</v>
      </c>
      <c r="V3" s="215" t="s">
        <v>80</v>
      </c>
      <c r="W3" s="214" t="s">
        <v>304</v>
      </c>
      <c r="X3" s="87" t="s">
        <v>305</v>
      </c>
      <c r="Y3" s="281" t="s">
        <v>80</v>
      </c>
      <c r="Z3" s="280" t="s">
        <v>304</v>
      </c>
      <c r="AA3" s="282" t="s">
        <v>306</v>
      </c>
      <c r="AB3" s="281" t="s">
        <v>80</v>
      </c>
      <c r="AC3" s="280" t="s">
        <v>304</v>
      </c>
      <c r="AD3" s="282" t="s">
        <v>306</v>
      </c>
    </row>
    <row r="4" spans="1:36">
      <c r="A4" s="135" t="s">
        <v>313</v>
      </c>
      <c r="B4" s="79" t="s">
        <v>96</v>
      </c>
      <c r="C4" s="157" t="s">
        <v>307</v>
      </c>
      <c r="D4" s="89">
        <v>30.8</v>
      </c>
      <c r="E4" s="79">
        <v>186.4</v>
      </c>
      <c r="F4" s="80">
        <v>0</v>
      </c>
      <c r="G4" s="89">
        <v>118.8</v>
      </c>
      <c r="H4" s="79">
        <v>344.4</v>
      </c>
      <c r="I4" s="80">
        <v>0</v>
      </c>
      <c r="J4" s="89">
        <v>181.8</v>
      </c>
      <c r="K4" s="79">
        <v>481.2</v>
      </c>
      <c r="L4" s="80">
        <v>0</v>
      </c>
      <c r="M4" s="89">
        <v>249.4</v>
      </c>
      <c r="N4" s="79">
        <v>658.4</v>
      </c>
      <c r="O4" s="80">
        <v>0</v>
      </c>
      <c r="P4" s="89">
        <v>340</v>
      </c>
      <c r="Q4" s="79">
        <v>776</v>
      </c>
      <c r="R4" s="80">
        <v>0</v>
      </c>
      <c r="S4" s="89">
        <v>408.4</v>
      </c>
      <c r="T4" s="79">
        <v>918.4</v>
      </c>
      <c r="U4" s="80">
        <v>0</v>
      </c>
      <c r="V4" s="89">
        <f>IF((D4 &lt;&gt; ""),AVERAGE(D4,G4,J4,M4,P4,S4),"-")</f>
        <v>221.5333333333333</v>
      </c>
      <c r="W4" s="79">
        <f>IF((E4 &lt;&gt; ""),AVERAGE(E4,H4,K4,N4,Q4,T4),"-")</f>
        <v>560.80000000000007</v>
      </c>
      <c r="X4" s="220">
        <f>IF((F4 &lt;&gt; ""),AVERAGE(F4,I4,L4,O4,R4,U4),"-")</f>
        <v>0</v>
      </c>
      <c r="Y4" s="89">
        <f t="shared" ref="Y4:Y33" si="0">MIN(D4,G4,J4,M4,P4,S4)</f>
        <v>30.8</v>
      </c>
      <c r="Z4" s="79">
        <f t="shared" ref="Z4:Z13" si="1">MIN(E4,H4,K4,N4,Q4,T4)</f>
        <v>186.4</v>
      </c>
      <c r="AA4" s="80">
        <f t="shared" ref="AA4:AA13" si="2">MIN(F4,I4,L4,O4,R4,U4)</f>
        <v>0</v>
      </c>
      <c r="AB4" s="174">
        <f t="shared" ref="AB4:AB33" si="3">MAX(D4,G4,J4,M4,P4,S4)</f>
        <v>408.4</v>
      </c>
      <c r="AC4" s="79">
        <f t="shared" ref="AC4:AC13" si="4">MAX(E4,H4,K4,N4,Q4,T4)</f>
        <v>918.4</v>
      </c>
      <c r="AD4" s="80">
        <f t="shared" ref="AD4:AD13" si="5">MAX(F4,I4,L4,O4,R4,U4)</f>
        <v>0</v>
      </c>
    </row>
    <row r="5" spans="1:36">
      <c r="A5" s="137" t="s">
        <v>313</v>
      </c>
      <c r="B5" s="64" t="s">
        <v>96</v>
      </c>
      <c r="C5" s="155" t="s">
        <v>311</v>
      </c>
      <c r="D5" s="92">
        <v>30.6</v>
      </c>
      <c r="E5" s="65">
        <v>193.2</v>
      </c>
      <c r="F5" s="93">
        <v>0</v>
      </c>
      <c r="G5" s="92">
        <v>118.4</v>
      </c>
      <c r="H5" s="65">
        <v>336.4</v>
      </c>
      <c r="I5" s="93">
        <v>0</v>
      </c>
      <c r="J5" s="92">
        <v>181</v>
      </c>
      <c r="K5" s="65">
        <v>523.20000000000005</v>
      </c>
      <c r="L5" s="93">
        <v>0</v>
      </c>
      <c r="M5" s="92">
        <v>249.8</v>
      </c>
      <c r="N5" s="65">
        <v>661.2</v>
      </c>
      <c r="O5" s="93">
        <v>0</v>
      </c>
      <c r="P5" s="92">
        <v>334.2</v>
      </c>
      <c r="Q5" s="65">
        <v>802</v>
      </c>
      <c r="R5" s="93">
        <v>0</v>
      </c>
      <c r="S5" s="92">
        <v>402.8</v>
      </c>
      <c r="T5" s="65">
        <v>926.8</v>
      </c>
      <c r="U5" s="93">
        <v>0</v>
      </c>
      <c r="V5" s="90">
        <f t="shared" ref="V5:V33" si="6">IF((D5 &lt;&gt; ""),AVERAGE(D5,G5,J5,M5,P5,S5),"-")</f>
        <v>219.46666666666667</v>
      </c>
      <c r="W5" s="64">
        <f t="shared" ref="W5:W33" si="7">IF((E5 &lt;&gt; ""),AVERAGE(E5,H5,K5,N5,Q5,T5),"-")</f>
        <v>573.80000000000007</v>
      </c>
      <c r="X5" s="155">
        <f t="shared" ref="X5:X33" si="8">IF((F5 &lt;&gt; ""),AVERAGE(F5,I5,L5,O5,R5,U5),"-")</f>
        <v>0</v>
      </c>
      <c r="Y5" s="90">
        <f t="shared" si="0"/>
        <v>30.6</v>
      </c>
      <c r="Z5" s="64">
        <f t="shared" si="1"/>
        <v>193.2</v>
      </c>
      <c r="AA5" s="82">
        <f t="shared" si="2"/>
        <v>0</v>
      </c>
      <c r="AB5" s="175">
        <f t="shared" si="3"/>
        <v>402.8</v>
      </c>
      <c r="AC5" s="64">
        <f t="shared" si="4"/>
        <v>926.8</v>
      </c>
      <c r="AD5" s="82">
        <f t="shared" si="5"/>
        <v>0</v>
      </c>
    </row>
    <row r="6" spans="1:36">
      <c r="A6" s="137" t="s">
        <v>313</v>
      </c>
      <c r="B6" s="64" t="s">
        <v>96</v>
      </c>
      <c r="C6" s="155" t="s">
        <v>308</v>
      </c>
      <c r="D6" s="90">
        <v>30.4</v>
      </c>
      <c r="E6" s="64">
        <v>193.2</v>
      </c>
      <c r="F6" s="82">
        <v>0</v>
      </c>
      <c r="G6" s="90">
        <v>119.4</v>
      </c>
      <c r="H6" s="64">
        <v>334.4</v>
      </c>
      <c r="I6" s="82">
        <v>0</v>
      </c>
      <c r="J6" s="90">
        <v>180.4</v>
      </c>
      <c r="K6" s="64">
        <v>478.8</v>
      </c>
      <c r="L6" s="82">
        <v>0</v>
      </c>
      <c r="M6" s="90">
        <v>249</v>
      </c>
      <c r="N6" s="64">
        <v>597.20000000000005</v>
      </c>
      <c r="O6" s="82">
        <v>0</v>
      </c>
      <c r="P6" s="90">
        <v>334.8</v>
      </c>
      <c r="Q6" s="64">
        <v>728.4</v>
      </c>
      <c r="R6" s="82">
        <v>0</v>
      </c>
      <c r="S6" s="90">
        <v>407.6</v>
      </c>
      <c r="T6" s="64">
        <v>850</v>
      </c>
      <c r="U6" s="82">
        <v>0</v>
      </c>
      <c r="V6" s="90">
        <f t="shared" si="6"/>
        <v>220.26666666666665</v>
      </c>
      <c r="W6" s="64">
        <f t="shared" si="7"/>
        <v>530.33333333333337</v>
      </c>
      <c r="X6" s="155">
        <f t="shared" si="8"/>
        <v>0</v>
      </c>
      <c r="Y6" s="90">
        <f t="shared" si="0"/>
        <v>30.4</v>
      </c>
      <c r="Z6" s="64">
        <f t="shared" si="1"/>
        <v>193.2</v>
      </c>
      <c r="AA6" s="82">
        <f t="shared" si="2"/>
        <v>0</v>
      </c>
      <c r="AB6" s="175">
        <f t="shared" si="3"/>
        <v>407.6</v>
      </c>
      <c r="AC6" s="64">
        <f t="shared" si="4"/>
        <v>850</v>
      </c>
      <c r="AD6" s="82">
        <f t="shared" si="5"/>
        <v>0</v>
      </c>
    </row>
    <row r="7" spans="1:36">
      <c r="A7" s="137" t="s">
        <v>313</v>
      </c>
      <c r="B7" s="64" t="s">
        <v>96</v>
      </c>
      <c r="C7" s="155" t="s">
        <v>310</v>
      </c>
      <c r="D7" s="90">
        <v>30.6</v>
      </c>
      <c r="E7" s="64">
        <v>193.2</v>
      </c>
      <c r="F7" s="82">
        <v>0</v>
      </c>
      <c r="G7" s="90">
        <v>118.8</v>
      </c>
      <c r="H7" s="64">
        <v>339.2</v>
      </c>
      <c r="I7" s="82">
        <v>0</v>
      </c>
      <c r="J7" s="90">
        <v>181</v>
      </c>
      <c r="K7" s="64">
        <v>496.8</v>
      </c>
      <c r="L7" s="82">
        <v>0</v>
      </c>
      <c r="M7" s="90">
        <v>249.2</v>
      </c>
      <c r="N7" s="64">
        <v>666.8</v>
      </c>
      <c r="O7" s="82">
        <v>0</v>
      </c>
      <c r="P7" s="90">
        <v>334.6</v>
      </c>
      <c r="Q7" s="64">
        <v>795.2</v>
      </c>
      <c r="R7" s="82">
        <v>0</v>
      </c>
      <c r="S7" s="90">
        <v>403.8</v>
      </c>
      <c r="T7" s="64">
        <v>939.2</v>
      </c>
      <c r="U7" s="82">
        <v>0</v>
      </c>
      <c r="V7" s="90">
        <f t="shared" si="6"/>
        <v>219.66666666666666</v>
      </c>
      <c r="W7" s="64">
        <f t="shared" si="7"/>
        <v>571.73333333333323</v>
      </c>
      <c r="X7" s="155">
        <f t="shared" si="8"/>
        <v>0</v>
      </c>
      <c r="Y7" s="90">
        <f t="shared" si="0"/>
        <v>30.6</v>
      </c>
      <c r="Z7" s="64">
        <f t="shared" si="1"/>
        <v>193.2</v>
      </c>
      <c r="AA7" s="82">
        <f t="shared" si="2"/>
        <v>0</v>
      </c>
      <c r="AB7" s="175">
        <f t="shared" si="3"/>
        <v>403.8</v>
      </c>
      <c r="AC7" s="64">
        <f t="shared" si="4"/>
        <v>939.2</v>
      </c>
      <c r="AD7" s="82">
        <f t="shared" si="5"/>
        <v>0</v>
      </c>
    </row>
    <row r="8" spans="1:36">
      <c r="A8" s="137" t="s">
        <v>313</v>
      </c>
      <c r="B8" s="64" t="s">
        <v>96</v>
      </c>
      <c r="C8" s="155" t="s">
        <v>309</v>
      </c>
      <c r="D8" s="90">
        <v>30.8</v>
      </c>
      <c r="E8" s="64">
        <v>186.8</v>
      </c>
      <c r="F8" s="82">
        <v>0</v>
      </c>
      <c r="G8" s="90">
        <v>119</v>
      </c>
      <c r="H8" s="64">
        <v>341.6</v>
      </c>
      <c r="I8" s="82">
        <v>0</v>
      </c>
      <c r="J8" s="90">
        <v>181.4</v>
      </c>
      <c r="K8" s="64">
        <v>456.8</v>
      </c>
      <c r="L8" s="82">
        <v>0</v>
      </c>
      <c r="M8" s="90">
        <v>249</v>
      </c>
      <c r="N8" s="64">
        <v>587.20000000000005</v>
      </c>
      <c r="O8" s="82">
        <v>0</v>
      </c>
      <c r="P8" s="90">
        <v>340.2</v>
      </c>
      <c r="Q8" s="64">
        <v>729.6</v>
      </c>
      <c r="R8" s="82">
        <v>0</v>
      </c>
      <c r="S8" s="90">
        <v>407</v>
      </c>
      <c r="T8" s="64">
        <v>867.6</v>
      </c>
      <c r="U8" s="82">
        <v>0</v>
      </c>
      <c r="V8" s="90">
        <f t="shared" si="6"/>
        <v>221.23333333333335</v>
      </c>
      <c r="W8" s="64">
        <f t="shared" si="7"/>
        <v>528.26666666666665</v>
      </c>
      <c r="X8" s="155">
        <f t="shared" si="8"/>
        <v>0</v>
      </c>
      <c r="Y8" s="90">
        <f t="shared" si="0"/>
        <v>30.8</v>
      </c>
      <c r="Z8" s="64">
        <f t="shared" si="1"/>
        <v>186.8</v>
      </c>
      <c r="AA8" s="82">
        <f t="shared" si="2"/>
        <v>0</v>
      </c>
      <c r="AB8" s="175">
        <f t="shared" si="3"/>
        <v>407</v>
      </c>
      <c r="AC8" s="64">
        <f t="shared" si="4"/>
        <v>867.6</v>
      </c>
      <c r="AD8" s="82">
        <f t="shared" si="5"/>
        <v>0</v>
      </c>
      <c r="AH8" s="1" t="s">
        <v>542</v>
      </c>
      <c r="AI8" s="1" t="s">
        <v>543</v>
      </c>
      <c r="AJ8" s="1" t="s">
        <v>544</v>
      </c>
    </row>
    <row r="9" spans="1:36">
      <c r="A9" s="137" t="s">
        <v>313</v>
      </c>
      <c r="B9" s="64" t="s">
        <v>95</v>
      </c>
      <c r="C9" s="155" t="s">
        <v>307</v>
      </c>
      <c r="D9" s="90">
        <v>465</v>
      </c>
      <c r="E9" s="64">
        <v>1270.8</v>
      </c>
      <c r="F9" s="82">
        <v>13.4</v>
      </c>
      <c r="G9" s="90">
        <v>456.8</v>
      </c>
      <c r="H9" s="64">
        <v>980</v>
      </c>
      <c r="I9" s="82">
        <v>0.6</v>
      </c>
      <c r="J9" s="90">
        <v>465.4</v>
      </c>
      <c r="K9" s="64">
        <v>722.8</v>
      </c>
      <c r="L9" s="82">
        <v>0</v>
      </c>
      <c r="M9" s="90">
        <v>464.4</v>
      </c>
      <c r="N9" s="64">
        <v>736.8</v>
      </c>
      <c r="O9" s="82">
        <v>0</v>
      </c>
      <c r="P9" s="90">
        <v>464.2</v>
      </c>
      <c r="Q9" s="64">
        <v>862.4</v>
      </c>
      <c r="R9" s="82">
        <v>0</v>
      </c>
      <c r="S9" s="90">
        <v>458.8</v>
      </c>
      <c r="T9" s="64">
        <v>988.8</v>
      </c>
      <c r="U9" s="82">
        <v>0</v>
      </c>
      <c r="V9" s="90">
        <f t="shared" si="6"/>
        <v>462.43333333333334</v>
      </c>
      <c r="W9" s="64">
        <f t="shared" si="7"/>
        <v>926.93333333333339</v>
      </c>
      <c r="X9" s="155">
        <f t="shared" si="8"/>
        <v>2.3333333333333335</v>
      </c>
      <c r="Y9" s="90">
        <f t="shared" si="0"/>
        <v>456.8</v>
      </c>
      <c r="Z9" s="64">
        <f t="shared" si="1"/>
        <v>722.8</v>
      </c>
      <c r="AA9" s="82">
        <f t="shared" si="2"/>
        <v>0</v>
      </c>
      <c r="AB9" s="175">
        <f t="shared" si="3"/>
        <v>465.4</v>
      </c>
      <c r="AC9" s="64">
        <f t="shared" si="4"/>
        <v>1270.8</v>
      </c>
      <c r="AD9" s="82">
        <f t="shared" si="5"/>
        <v>13.4</v>
      </c>
      <c r="AH9" s="68">
        <f>AVERAGE(Z4,Z6:Z8)</f>
        <v>189.89999999999998</v>
      </c>
      <c r="AI9" s="68">
        <f>AVERAGE(AC4,AC6:AC8)</f>
        <v>893.80000000000007</v>
      </c>
      <c r="AJ9" s="68">
        <f>AVERAGE(W4,W6:W8)</f>
        <v>547.7833333333333</v>
      </c>
    </row>
    <row r="10" spans="1:36">
      <c r="A10" s="137" t="s">
        <v>313</v>
      </c>
      <c r="B10" s="64" t="s">
        <v>95</v>
      </c>
      <c r="C10" s="155" t="s">
        <v>311</v>
      </c>
      <c r="D10" s="90">
        <v>464.8</v>
      </c>
      <c r="E10" s="64">
        <v>1224</v>
      </c>
      <c r="F10" s="82">
        <v>8.4</v>
      </c>
      <c r="G10" s="90">
        <v>460</v>
      </c>
      <c r="H10" s="64">
        <v>1004</v>
      </c>
      <c r="I10" s="82">
        <v>0.9</v>
      </c>
      <c r="J10" s="90">
        <v>460.4</v>
      </c>
      <c r="K10" s="64">
        <v>751.2</v>
      </c>
      <c r="L10" s="82">
        <v>0</v>
      </c>
      <c r="M10" s="90">
        <v>464.6</v>
      </c>
      <c r="N10" s="64">
        <v>761.2</v>
      </c>
      <c r="O10" s="82">
        <v>0</v>
      </c>
      <c r="P10" s="90">
        <v>464.2</v>
      </c>
      <c r="Q10" s="64">
        <v>866</v>
      </c>
      <c r="R10" s="82">
        <v>0</v>
      </c>
      <c r="S10" s="90">
        <v>454.6</v>
      </c>
      <c r="T10" s="64">
        <v>994</v>
      </c>
      <c r="U10" s="82">
        <v>0</v>
      </c>
      <c r="V10" s="90">
        <f t="shared" si="6"/>
        <v>461.43333333333322</v>
      </c>
      <c r="W10" s="64">
        <f t="shared" si="7"/>
        <v>933.4</v>
      </c>
      <c r="X10" s="155">
        <f t="shared" si="8"/>
        <v>1.55</v>
      </c>
      <c r="Y10" s="90">
        <f t="shared" si="0"/>
        <v>454.6</v>
      </c>
      <c r="Z10" s="64">
        <f t="shared" si="1"/>
        <v>751.2</v>
      </c>
      <c r="AA10" s="82">
        <f t="shared" si="2"/>
        <v>0</v>
      </c>
      <c r="AB10" s="175">
        <f t="shared" si="3"/>
        <v>464.8</v>
      </c>
      <c r="AC10" s="64">
        <f t="shared" si="4"/>
        <v>1224</v>
      </c>
      <c r="AD10" s="82">
        <f t="shared" si="5"/>
        <v>8.4</v>
      </c>
      <c r="AH10" s="68">
        <f>AVERAGE(Z14,Z16:Z18)</f>
        <v>191</v>
      </c>
      <c r="AI10" s="68">
        <f>AVERAGE(AC14,AC16:AC18)</f>
        <v>945.6</v>
      </c>
      <c r="AJ10" s="68">
        <f>AVERAGE(W14,W16:W18)</f>
        <v>570.98333333333323</v>
      </c>
    </row>
    <row r="11" spans="1:36">
      <c r="A11" s="137" t="s">
        <v>313</v>
      </c>
      <c r="B11" s="64" t="s">
        <v>95</v>
      </c>
      <c r="C11" s="155" t="s">
        <v>308</v>
      </c>
      <c r="D11" s="90">
        <v>464.6</v>
      </c>
      <c r="E11" s="64">
        <v>1381.2</v>
      </c>
      <c r="F11" s="82">
        <v>46</v>
      </c>
      <c r="G11" s="90">
        <v>464.6</v>
      </c>
      <c r="H11" s="64">
        <v>1114.4000000000001</v>
      </c>
      <c r="I11" s="82">
        <v>17.5</v>
      </c>
      <c r="J11" s="90">
        <v>465.4</v>
      </c>
      <c r="K11" s="64">
        <v>901.6</v>
      </c>
      <c r="L11" s="82">
        <v>1.9</v>
      </c>
      <c r="M11" s="90">
        <v>464.4</v>
      </c>
      <c r="N11" s="64">
        <v>620.79999999999995</v>
      </c>
      <c r="O11" s="82">
        <v>0</v>
      </c>
      <c r="P11" s="90">
        <v>464.6</v>
      </c>
      <c r="Q11" s="64">
        <v>722</v>
      </c>
      <c r="R11" s="82">
        <v>0</v>
      </c>
      <c r="S11" s="90">
        <v>459.8</v>
      </c>
      <c r="T11" s="64">
        <v>854</v>
      </c>
      <c r="U11" s="82">
        <v>0</v>
      </c>
      <c r="V11" s="90">
        <f t="shared" si="6"/>
        <v>463.90000000000003</v>
      </c>
      <c r="W11" s="64">
        <f t="shared" si="7"/>
        <v>932.33333333333337</v>
      </c>
      <c r="X11" s="155">
        <f t="shared" si="8"/>
        <v>10.9</v>
      </c>
      <c r="Y11" s="90">
        <f t="shared" si="0"/>
        <v>459.8</v>
      </c>
      <c r="Z11" s="64">
        <f t="shared" si="1"/>
        <v>620.79999999999995</v>
      </c>
      <c r="AA11" s="82">
        <f t="shared" si="2"/>
        <v>0</v>
      </c>
      <c r="AB11" s="175">
        <f t="shared" si="3"/>
        <v>465.4</v>
      </c>
      <c r="AC11" s="64">
        <f t="shared" si="4"/>
        <v>1381.2</v>
      </c>
      <c r="AD11" s="82">
        <f t="shared" si="5"/>
        <v>46</v>
      </c>
      <c r="AH11" s="68">
        <f>AVERAGE(Z24,Z26:Z28)</f>
        <v>182.5</v>
      </c>
      <c r="AI11" s="68">
        <f>AVERAGE(AC24,AC26:AC28)</f>
        <v>847.1</v>
      </c>
      <c r="AJ11" s="68">
        <f>AVERAGE(W24,W26:W28)</f>
        <v>518.16666666666663</v>
      </c>
    </row>
    <row r="12" spans="1:36">
      <c r="A12" s="137" t="s">
        <v>313</v>
      </c>
      <c r="B12" s="64" t="s">
        <v>95</v>
      </c>
      <c r="C12" s="155" t="s">
        <v>310</v>
      </c>
      <c r="D12" s="90">
        <v>465.6</v>
      </c>
      <c r="E12" s="64">
        <v>1222.8</v>
      </c>
      <c r="F12" s="82">
        <v>13</v>
      </c>
      <c r="G12" s="90">
        <v>463.6</v>
      </c>
      <c r="H12" s="64">
        <v>973.2</v>
      </c>
      <c r="I12" s="82">
        <v>0.4</v>
      </c>
      <c r="J12" s="90">
        <v>464.4</v>
      </c>
      <c r="K12" s="64">
        <v>696</v>
      </c>
      <c r="L12" s="82">
        <v>0</v>
      </c>
      <c r="M12" s="90">
        <v>464.8</v>
      </c>
      <c r="N12" s="64">
        <v>727.6</v>
      </c>
      <c r="O12" s="82">
        <v>0</v>
      </c>
      <c r="P12" s="90">
        <v>465</v>
      </c>
      <c r="Q12" s="64">
        <v>880.8</v>
      </c>
      <c r="R12" s="82">
        <v>0</v>
      </c>
      <c r="S12" s="90">
        <v>465</v>
      </c>
      <c r="T12" s="64">
        <v>986.8</v>
      </c>
      <c r="U12" s="82">
        <v>0</v>
      </c>
      <c r="V12" s="90">
        <f t="shared" si="6"/>
        <v>464.73333333333329</v>
      </c>
      <c r="W12" s="64">
        <f t="shared" si="7"/>
        <v>914.5333333333333</v>
      </c>
      <c r="X12" s="155">
        <f t="shared" si="8"/>
        <v>2.2333333333333334</v>
      </c>
      <c r="Y12" s="90">
        <f t="shared" si="0"/>
        <v>463.6</v>
      </c>
      <c r="Z12" s="64">
        <f t="shared" si="1"/>
        <v>696</v>
      </c>
      <c r="AA12" s="82">
        <f t="shared" si="2"/>
        <v>0</v>
      </c>
      <c r="AB12" s="175">
        <f t="shared" si="3"/>
        <v>465.6</v>
      </c>
      <c r="AC12" s="64">
        <f t="shared" si="4"/>
        <v>1222.8</v>
      </c>
      <c r="AD12" s="82">
        <f t="shared" si="5"/>
        <v>13</v>
      </c>
      <c r="AH12" s="68">
        <f>AVERAGE(Z9:Z13)</f>
        <v>686.8</v>
      </c>
      <c r="AI12" s="68">
        <f>AVERAGE(AC9:AC13)</f>
        <v>1300.8</v>
      </c>
      <c r="AJ12" s="68">
        <f>AVERAGE(W9:W13)</f>
        <v>930.74666666666667</v>
      </c>
    </row>
    <row r="13" spans="1:36" ht="12.75" thickBot="1">
      <c r="A13" s="138" t="s">
        <v>313</v>
      </c>
      <c r="B13" s="83" t="s">
        <v>95</v>
      </c>
      <c r="C13" s="156" t="s">
        <v>309</v>
      </c>
      <c r="D13" s="91">
        <v>464.8</v>
      </c>
      <c r="E13" s="83">
        <v>1405.2</v>
      </c>
      <c r="F13" s="84">
        <v>34.700000000000003</v>
      </c>
      <c r="G13" s="91">
        <v>459.8</v>
      </c>
      <c r="H13" s="83">
        <v>1204</v>
      </c>
      <c r="I13" s="84">
        <v>22.1</v>
      </c>
      <c r="J13" s="91">
        <v>464.6</v>
      </c>
      <c r="K13" s="83">
        <v>860.8</v>
      </c>
      <c r="L13" s="84">
        <v>1</v>
      </c>
      <c r="M13" s="91">
        <v>464</v>
      </c>
      <c r="N13" s="83">
        <v>643.20000000000005</v>
      </c>
      <c r="O13" s="84">
        <v>0</v>
      </c>
      <c r="P13" s="91">
        <v>464.6</v>
      </c>
      <c r="Q13" s="83">
        <v>714.8</v>
      </c>
      <c r="R13" s="84">
        <v>0</v>
      </c>
      <c r="S13" s="91">
        <v>464.4</v>
      </c>
      <c r="T13" s="83">
        <v>851.2</v>
      </c>
      <c r="U13" s="84">
        <v>0</v>
      </c>
      <c r="V13" s="91">
        <f t="shared" si="6"/>
        <v>463.70000000000005</v>
      </c>
      <c r="W13" s="83">
        <f t="shared" si="7"/>
        <v>946.5333333333333</v>
      </c>
      <c r="X13" s="156">
        <f t="shared" si="8"/>
        <v>9.6333333333333346</v>
      </c>
      <c r="Y13" s="283">
        <f t="shared" si="0"/>
        <v>459.8</v>
      </c>
      <c r="Z13" s="284">
        <f t="shared" si="1"/>
        <v>643.20000000000005</v>
      </c>
      <c r="AA13" s="285">
        <f t="shared" si="2"/>
        <v>0</v>
      </c>
      <c r="AB13" s="286">
        <f t="shared" si="3"/>
        <v>464.8</v>
      </c>
      <c r="AC13" s="284">
        <f t="shared" si="4"/>
        <v>1405.2</v>
      </c>
      <c r="AD13" s="285">
        <f t="shared" si="5"/>
        <v>34.700000000000003</v>
      </c>
      <c r="AH13" s="68">
        <f>AVERAGE(Z19:Z23)</f>
        <v>725.04</v>
      </c>
      <c r="AI13" s="68">
        <f>AVERAGE(AC19:AC23)</f>
        <v>1397.9200000000003</v>
      </c>
      <c r="AJ13" s="68">
        <f>AVERAGE(W19:W23)</f>
        <v>984.64</v>
      </c>
    </row>
    <row r="14" spans="1:36">
      <c r="A14" s="139" t="s">
        <v>315</v>
      </c>
      <c r="B14" s="79" t="s">
        <v>96</v>
      </c>
      <c r="C14" s="157" t="s">
        <v>307</v>
      </c>
      <c r="D14" s="89">
        <v>30.4</v>
      </c>
      <c r="E14" s="79">
        <v>196</v>
      </c>
      <c r="F14" s="80">
        <v>0</v>
      </c>
      <c r="G14" s="89">
        <v>119.4</v>
      </c>
      <c r="H14" s="79">
        <v>334.8</v>
      </c>
      <c r="I14" s="80">
        <v>0</v>
      </c>
      <c r="J14" s="89">
        <v>182.2</v>
      </c>
      <c r="K14" s="79">
        <v>524.79999999999995</v>
      </c>
      <c r="L14" s="80">
        <v>0</v>
      </c>
      <c r="M14" s="89">
        <v>249.6</v>
      </c>
      <c r="N14" s="79">
        <v>734</v>
      </c>
      <c r="O14" s="80">
        <v>0</v>
      </c>
      <c r="P14" s="89">
        <v>339</v>
      </c>
      <c r="Q14" s="79">
        <v>876</v>
      </c>
      <c r="R14" s="80">
        <v>0</v>
      </c>
      <c r="S14" s="89">
        <v>408.6</v>
      </c>
      <c r="T14" s="79">
        <v>1028.4000000000001</v>
      </c>
      <c r="U14" s="80">
        <v>0</v>
      </c>
      <c r="V14" s="89">
        <f t="shared" si="6"/>
        <v>221.53333333333333</v>
      </c>
      <c r="W14" s="79">
        <f t="shared" si="7"/>
        <v>615.66666666666663</v>
      </c>
      <c r="X14" s="220">
        <f t="shared" si="8"/>
        <v>0</v>
      </c>
      <c r="Y14" s="89">
        <f t="shared" si="0"/>
        <v>30.4</v>
      </c>
      <c r="Z14" s="79">
        <f t="shared" ref="Z14:Z23" si="9">MIN(E14,H14,K14,N14,Q14,T14)</f>
        <v>196</v>
      </c>
      <c r="AA14" s="80">
        <f t="shared" ref="AA14:AA23" si="10">MIN(F14,I14,L14,O14,R14,U14)</f>
        <v>0</v>
      </c>
      <c r="AB14" s="174">
        <f t="shared" si="3"/>
        <v>408.6</v>
      </c>
      <c r="AC14" s="79">
        <f t="shared" ref="AC14:AC23" si="11">MAX(E14,H14,K14,N14,Q14,T14)</f>
        <v>1028.4000000000001</v>
      </c>
      <c r="AD14" s="80">
        <f t="shared" ref="AD14:AD23" si="12">MAX(F14,I14,L14,O14,R14,U14)</f>
        <v>0</v>
      </c>
      <c r="AH14" s="68">
        <f>AVERAGE(Z29:Z33)</f>
        <v>688.4799999999999</v>
      </c>
      <c r="AI14" s="68">
        <f>AVERAGE(AC29:AC33)</f>
        <v>959.28</v>
      </c>
      <c r="AJ14" s="68">
        <f>AVERAGE(W29:W33)</f>
        <v>800.89333333333332</v>
      </c>
    </row>
    <row r="15" spans="1:36">
      <c r="A15" s="140" t="s">
        <v>315</v>
      </c>
      <c r="B15" s="64" t="s">
        <v>96</v>
      </c>
      <c r="C15" s="155" t="s">
        <v>311</v>
      </c>
      <c r="D15" s="92">
        <v>30.8</v>
      </c>
      <c r="E15" s="65">
        <v>198.8</v>
      </c>
      <c r="F15" s="93">
        <v>0</v>
      </c>
      <c r="G15" s="92">
        <v>118.6</v>
      </c>
      <c r="H15" s="65">
        <v>340.4</v>
      </c>
      <c r="I15" s="93">
        <v>0</v>
      </c>
      <c r="J15" s="92">
        <v>180.4</v>
      </c>
      <c r="K15" s="65">
        <v>519.20000000000005</v>
      </c>
      <c r="L15" s="93">
        <v>0</v>
      </c>
      <c r="M15" s="92">
        <v>249.6</v>
      </c>
      <c r="N15" s="65">
        <v>736.4</v>
      </c>
      <c r="O15" s="93">
        <v>0</v>
      </c>
      <c r="P15" s="92">
        <v>334.4</v>
      </c>
      <c r="Q15" s="65">
        <v>877.2</v>
      </c>
      <c r="R15" s="93">
        <v>0</v>
      </c>
      <c r="S15" s="92">
        <v>407.8</v>
      </c>
      <c r="T15" s="65">
        <v>1011.6</v>
      </c>
      <c r="U15" s="93">
        <v>0</v>
      </c>
      <c r="V15" s="90">
        <f t="shared" si="6"/>
        <v>220.26666666666665</v>
      </c>
      <c r="W15" s="64">
        <f t="shared" si="7"/>
        <v>613.93333333333328</v>
      </c>
      <c r="X15" s="155">
        <f t="shared" si="8"/>
        <v>0</v>
      </c>
      <c r="Y15" s="90">
        <f t="shared" si="0"/>
        <v>30.8</v>
      </c>
      <c r="Z15" s="64">
        <f t="shared" si="9"/>
        <v>198.8</v>
      </c>
      <c r="AA15" s="82">
        <f t="shared" si="10"/>
        <v>0</v>
      </c>
      <c r="AB15" s="175">
        <f t="shared" si="3"/>
        <v>407.8</v>
      </c>
      <c r="AC15" s="64">
        <f t="shared" si="11"/>
        <v>1011.6</v>
      </c>
      <c r="AD15" s="82">
        <f t="shared" si="12"/>
        <v>0</v>
      </c>
    </row>
    <row r="16" spans="1:36">
      <c r="A16" s="140" t="s">
        <v>315</v>
      </c>
      <c r="B16" s="64" t="s">
        <v>96</v>
      </c>
      <c r="C16" s="155" t="s">
        <v>308</v>
      </c>
      <c r="D16" s="90">
        <v>30.4</v>
      </c>
      <c r="E16" s="64">
        <v>192.8</v>
      </c>
      <c r="F16" s="82">
        <v>0</v>
      </c>
      <c r="G16" s="90">
        <v>118</v>
      </c>
      <c r="H16" s="64">
        <v>326</v>
      </c>
      <c r="I16" s="82">
        <v>0</v>
      </c>
      <c r="J16" s="90">
        <v>181.4</v>
      </c>
      <c r="K16" s="64">
        <v>470.4</v>
      </c>
      <c r="L16" s="82">
        <v>0</v>
      </c>
      <c r="M16" s="90">
        <v>249.4</v>
      </c>
      <c r="N16" s="64">
        <v>596</v>
      </c>
      <c r="O16" s="82">
        <v>0</v>
      </c>
      <c r="P16" s="90">
        <v>329.4</v>
      </c>
      <c r="Q16" s="64">
        <v>712.4</v>
      </c>
      <c r="R16" s="82">
        <v>0</v>
      </c>
      <c r="S16" s="90">
        <v>408.4</v>
      </c>
      <c r="T16" s="64">
        <v>864.8</v>
      </c>
      <c r="U16" s="82">
        <v>0</v>
      </c>
      <c r="V16" s="90">
        <f t="shared" si="6"/>
        <v>219.5</v>
      </c>
      <c r="W16" s="64">
        <f t="shared" si="7"/>
        <v>527.06666666666661</v>
      </c>
      <c r="X16" s="155">
        <f t="shared" si="8"/>
        <v>0</v>
      </c>
      <c r="Y16" s="90">
        <f t="shared" si="0"/>
        <v>30.4</v>
      </c>
      <c r="Z16" s="64">
        <f t="shared" si="9"/>
        <v>192.8</v>
      </c>
      <c r="AA16" s="82">
        <f t="shared" si="10"/>
        <v>0</v>
      </c>
      <c r="AB16" s="175">
        <f t="shared" si="3"/>
        <v>408.4</v>
      </c>
      <c r="AC16" s="64">
        <f t="shared" si="11"/>
        <v>864.8</v>
      </c>
      <c r="AD16" s="82">
        <f t="shared" si="12"/>
        <v>0</v>
      </c>
    </row>
    <row r="17" spans="1:30">
      <c r="A17" s="140" t="s">
        <v>315</v>
      </c>
      <c r="B17" s="64" t="s">
        <v>96</v>
      </c>
      <c r="C17" s="155" t="s">
        <v>310</v>
      </c>
      <c r="D17" s="90">
        <v>30.4</v>
      </c>
      <c r="E17" s="64">
        <v>190</v>
      </c>
      <c r="F17" s="82">
        <v>0</v>
      </c>
      <c r="G17" s="90">
        <v>119.2</v>
      </c>
      <c r="H17" s="64">
        <v>348</v>
      </c>
      <c r="I17" s="82">
        <v>0</v>
      </c>
      <c r="J17" s="90">
        <v>181.8</v>
      </c>
      <c r="K17" s="64">
        <v>535.6</v>
      </c>
      <c r="L17" s="82">
        <v>0</v>
      </c>
      <c r="M17" s="90">
        <v>249.6</v>
      </c>
      <c r="N17" s="64">
        <v>748.8</v>
      </c>
      <c r="O17" s="82">
        <v>0</v>
      </c>
      <c r="P17" s="90">
        <v>338.6</v>
      </c>
      <c r="Q17" s="64">
        <v>865.2</v>
      </c>
      <c r="R17" s="82">
        <v>0</v>
      </c>
      <c r="S17" s="90">
        <v>403.4</v>
      </c>
      <c r="T17" s="64">
        <v>1020.8</v>
      </c>
      <c r="U17" s="82">
        <v>0</v>
      </c>
      <c r="V17" s="90">
        <f t="shared" si="6"/>
        <v>220.5</v>
      </c>
      <c r="W17" s="64">
        <f t="shared" si="7"/>
        <v>618.06666666666661</v>
      </c>
      <c r="X17" s="155">
        <f t="shared" si="8"/>
        <v>0</v>
      </c>
      <c r="Y17" s="90">
        <f t="shared" si="0"/>
        <v>30.4</v>
      </c>
      <c r="Z17" s="64">
        <f t="shared" si="9"/>
        <v>190</v>
      </c>
      <c r="AA17" s="82">
        <f t="shared" si="10"/>
        <v>0</v>
      </c>
      <c r="AB17" s="175">
        <f t="shared" si="3"/>
        <v>403.4</v>
      </c>
      <c r="AC17" s="64">
        <f t="shared" si="11"/>
        <v>1020.8</v>
      </c>
      <c r="AD17" s="82">
        <f t="shared" si="12"/>
        <v>0</v>
      </c>
    </row>
    <row r="18" spans="1:30">
      <c r="A18" s="140" t="s">
        <v>315</v>
      </c>
      <c r="B18" s="64" t="s">
        <v>96</v>
      </c>
      <c r="C18" s="155" t="s">
        <v>309</v>
      </c>
      <c r="D18" s="90">
        <v>31</v>
      </c>
      <c r="E18" s="64">
        <v>185.2</v>
      </c>
      <c r="F18" s="82">
        <v>0</v>
      </c>
      <c r="G18" s="90">
        <v>119.4</v>
      </c>
      <c r="H18" s="64">
        <v>319.60000000000002</v>
      </c>
      <c r="I18" s="82">
        <v>0</v>
      </c>
      <c r="J18" s="90">
        <v>182.2</v>
      </c>
      <c r="K18" s="64">
        <v>450.8</v>
      </c>
      <c r="L18" s="82">
        <v>0</v>
      </c>
      <c r="M18" s="90">
        <v>249.8</v>
      </c>
      <c r="N18" s="64">
        <v>593.20000000000005</v>
      </c>
      <c r="O18" s="82">
        <v>0</v>
      </c>
      <c r="P18" s="90">
        <v>338.8</v>
      </c>
      <c r="Q18" s="64">
        <v>721.6</v>
      </c>
      <c r="R18" s="82">
        <v>0</v>
      </c>
      <c r="S18" s="90">
        <v>403</v>
      </c>
      <c r="T18" s="64">
        <v>868.4</v>
      </c>
      <c r="U18" s="82">
        <v>0</v>
      </c>
      <c r="V18" s="90">
        <f t="shared" si="6"/>
        <v>220.70000000000002</v>
      </c>
      <c r="W18" s="64">
        <f t="shared" si="7"/>
        <v>523.13333333333333</v>
      </c>
      <c r="X18" s="155">
        <f t="shared" si="8"/>
        <v>0</v>
      </c>
      <c r="Y18" s="90">
        <f t="shared" si="0"/>
        <v>31</v>
      </c>
      <c r="Z18" s="64">
        <f t="shared" si="9"/>
        <v>185.2</v>
      </c>
      <c r="AA18" s="82">
        <f t="shared" si="10"/>
        <v>0</v>
      </c>
      <c r="AB18" s="175">
        <f t="shared" si="3"/>
        <v>403</v>
      </c>
      <c r="AC18" s="64">
        <f t="shared" si="11"/>
        <v>868.4</v>
      </c>
      <c r="AD18" s="82">
        <f t="shared" si="12"/>
        <v>0</v>
      </c>
    </row>
    <row r="19" spans="1:30">
      <c r="A19" s="140" t="s">
        <v>315</v>
      </c>
      <c r="B19" s="64" t="s">
        <v>95</v>
      </c>
      <c r="C19" s="155" t="s">
        <v>307</v>
      </c>
      <c r="D19" s="90">
        <v>465</v>
      </c>
      <c r="E19" s="64">
        <v>1331.6</v>
      </c>
      <c r="F19" s="82">
        <v>44</v>
      </c>
      <c r="G19" s="90">
        <v>464.8</v>
      </c>
      <c r="H19" s="64">
        <v>1108.8</v>
      </c>
      <c r="I19" s="82">
        <v>24.8</v>
      </c>
      <c r="J19" s="90">
        <v>459.6</v>
      </c>
      <c r="K19" s="64">
        <v>801.2</v>
      </c>
      <c r="L19" s="82">
        <v>0.8</v>
      </c>
      <c r="M19" s="90">
        <v>465.2</v>
      </c>
      <c r="N19" s="64">
        <v>754.8</v>
      </c>
      <c r="O19" s="82">
        <v>0.1</v>
      </c>
      <c r="P19" s="90">
        <v>463.4</v>
      </c>
      <c r="Q19" s="64">
        <v>879.6</v>
      </c>
      <c r="R19" s="82">
        <v>0.1</v>
      </c>
      <c r="S19" s="90">
        <v>464.4</v>
      </c>
      <c r="T19" s="64">
        <v>1005.6</v>
      </c>
      <c r="U19" s="82">
        <v>0.1</v>
      </c>
      <c r="V19" s="90">
        <f t="shared" si="6"/>
        <v>463.73333333333335</v>
      </c>
      <c r="W19" s="64">
        <f t="shared" si="7"/>
        <v>980.26666666666677</v>
      </c>
      <c r="X19" s="155">
        <f t="shared" si="8"/>
        <v>11.649999999999997</v>
      </c>
      <c r="Y19" s="90">
        <f t="shared" si="0"/>
        <v>459.6</v>
      </c>
      <c r="Z19" s="64">
        <f t="shared" si="9"/>
        <v>754.8</v>
      </c>
      <c r="AA19" s="82">
        <f t="shared" si="10"/>
        <v>0.1</v>
      </c>
      <c r="AB19" s="175">
        <f t="shared" si="3"/>
        <v>465.2</v>
      </c>
      <c r="AC19" s="64">
        <f t="shared" si="11"/>
        <v>1331.6</v>
      </c>
      <c r="AD19" s="82">
        <f t="shared" si="12"/>
        <v>44</v>
      </c>
    </row>
    <row r="20" spans="1:30">
      <c r="A20" s="140" t="s">
        <v>315</v>
      </c>
      <c r="B20" s="64" t="s">
        <v>95</v>
      </c>
      <c r="C20" s="155" t="s">
        <v>311</v>
      </c>
      <c r="D20" s="90">
        <v>464.6</v>
      </c>
      <c r="E20" s="64">
        <v>1359.2</v>
      </c>
      <c r="F20" s="82">
        <v>55.8</v>
      </c>
      <c r="G20" s="90">
        <v>465.6</v>
      </c>
      <c r="H20" s="64">
        <v>1059.2</v>
      </c>
      <c r="I20" s="82">
        <v>20.6</v>
      </c>
      <c r="J20" s="90">
        <v>460.6</v>
      </c>
      <c r="K20" s="64">
        <v>821.6</v>
      </c>
      <c r="L20" s="82">
        <v>2.5</v>
      </c>
      <c r="M20" s="90">
        <v>464.4</v>
      </c>
      <c r="N20" s="64">
        <v>742.8</v>
      </c>
      <c r="O20" s="82">
        <v>0.1</v>
      </c>
      <c r="P20" s="90">
        <v>465</v>
      </c>
      <c r="Q20" s="64">
        <v>874.4</v>
      </c>
      <c r="R20" s="82">
        <v>0</v>
      </c>
      <c r="S20" s="90">
        <v>465.2</v>
      </c>
      <c r="T20" s="64">
        <v>1009.6</v>
      </c>
      <c r="U20" s="82">
        <v>0.1</v>
      </c>
      <c r="V20" s="90">
        <f t="shared" si="6"/>
        <v>464.23333333333335</v>
      </c>
      <c r="W20" s="64">
        <f t="shared" si="7"/>
        <v>977.80000000000007</v>
      </c>
      <c r="X20" s="155">
        <f t="shared" si="8"/>
        <v>13.183333333333332</v>
      </c>
      <c r="Y20" s="90">
        <f t="shared" si="0"/>
        <v>460.6</v>
      </c>
      <c r="Z20" s="64">
        <f t="shared" si="9"/>
        <v>742.8</v>
      </c>
      <c r="AA20" s="82">
        <f t="shared" si="10"/>
        <v>0</v>
      </c>
      <c r="AB20" s="175">
        <f t="shared" si="3"/>
        <v>465.6</v>
      </c>
      <c r="AC20" s="64">
        <f t="shared" si="11"/>
        <v>1359.2</v>
      </c>
      <c r="AD20" s="82">
        <f t="shared" si="12"/>
        <v>55.8</v>
      </c>
    </row>
    <row r="21" spans="1:30">
      <c r="A21" s="140" t="s">
        <v>315</v>
      </c>
      <c r="B21" s="64" t="s">
        <v>95</v>
      </c>
      <c r="C21" s="155" t="s">
        <v>308</v>
      </c>
      <c r="D21" s="90">
        <v>465.2</v>
      </c>
      <c r="E21" s="64">
        <v>1444.4</v>
      </c>
      <c r="F21" s="82">
        <v>134.9</v>
      </c>
      <c r="G21" s="90">
        <v>464.2</v>
      </c>
      <c r="H21" s="64">
        <v>1201.2</v>
      </c>
      <c r="I21" s="82">
        <v>81.099999999999994</v>
      </c>
      <c r="J21" s="90">
        <v>465.6</v>
      </c>
      <c r="K21" s="64">
        <v>901.2</v>
      </c>
      <c r="L21" s="82">
        <v>28.6</v>
      </c>
      <c r="M21" s="90">
        <v>461</v>
      </c>
      <c r="N21" s="64">
        <v>659.2</v>
      </c>
      <c r="O21" s="82">
        <v>1.8</v>
      </c>
      <c r="P21" s="90">
        <v>464.8</v>
      </c>
      <c r="Q21" s="64">
        <v>744.4</v>
      </c>
      <c r="R21" s="82">
        <v>0</v>
      </c>
      <c r="S21" s="90">
        <v>464.4</v>
      </c>
      <c r="T21" s="64">
        <v>857.2</v>
      </c>
      <c r="U21" s="82">
        <v>0</v>
      </c>
      <c r="V21" s="90">
        <f t="shared" si="6"/>
        <v>464.20000000000005</v>
      </c>
      <c r="W21" s="64">
        <f t="shared" si="7"/>
        <v>967.93333333333328</v>
      </c>
      <c r="X21" s="155">
        <f t="shared" si="8"/>
        <v>41.06666666666667</v>
      </c>
      <c r="Y21" s="90">
        <f t="shared" si="0"/>
        <v>461</v>
      </c>
      <c r="Z21" s="64">
        <f t="shared" si="9"/>
        <v>659.2</v>
      </c>
      <c r="AA21" s="82">
        <f t="shared" si="10"/>
        <v>0</v>
      </c>
      <c r="AB21" s="175">
        <f t="shared" si="3"/>
        <v>465.6</v>
      </c>
      <c r="AC21" s="64">
        <f t="shared" si="11"/>
        <v>1444.4</v>
      </c>
      <c r="AD21" s="82">
        <f t="shared" si="12"/>
        <v>134.9</v>
      </c>
    </row>
    <row r="22" spans="1:30">
      <c r="A22" s="140" t="s">
        <v>315</v>
      </c>
      <c r="B22" s="64" t="s">
        <v>95</v>
      </c>
      <c r="C22" s="155" t="s">
        <v>310</v>
      </c>
      <c r="D22" s="90">
        <v>459.2</v>
      </c>
      <c r="E22" s="64">
        <v>1335.6</v>
      </c>
      <c r="F22" s="82">
        <v>54.7</v>
      </c>
      <c r="G22" s="90">
        <v>465</v>
      </c>
      <c r="H22" s="64">
        <v>1047.5999999999999</v>
      </c>
      <c r="I22" s="82">
        <v>21.6</v>
      </c>
      <c r="J22" s="90">
        <v>464</v>
      </c>
      <c r="K22" s="64">
        <v>857.6</v>
      </c>
      <c r="L22" s="82">
        <v>3</v>
      </c>
      <c r="M22" s="90">
        <v>464.4</v>
      </c>
      <c r="N22" s="64">
        <v>769.2</v>
      </c>
      <c r="O22" s="82">
        <v>0.3</v>
      </c>
      <c r="P22" s="90">
        <v>464.4</v>
      </c>
      <c r="Q22" s="64">
        <v>880.4</v>
      </c>
      <c r="R22" s="82">
        <v>0.1</v>
      </c>
      <c r="S22" s="90">
        <v>464.4</v>
      </c>
      <c r="T22" s="64">
        <v>1026.8</v>
      </c>
      <c r="U22" s="82">
        <v>0.1</v>
      </c>
      <c r="V22" s="90">
        <f t="shared" si="6"/>
        <v>463.56666666666666</v>
      </c>
      <c r="W22" s="64">
        <f t="shared" si="7"/>
        <v>986.19999999999993</v>
      </c>
      <c r="X22" s="155">
        <f t="shared" si="8"/>
        <v>13.299999999999999</v>
      </c>
      <c r="Y22" s="90">
        <f t="shared" si="0"/>
        <v>459.2</v>
      </c>
      <c r="Z22" s="64">
        <f t="shared" si="9"/>
        <v>769.2</v>
      </c>
      <c r="AA22" s="82">
        <f t="shared" si="10"/>
        <v>0.1</v>
      </c>
      <c r="AB22" s="175">
        <f t="shared" si="3"/>
        <v>465</v>
      </c>
      <c r="AC22" s="64">
        <f t="shared" si="11"/>
        <v>1335.6</v>
      </c>
      <c r="AD22" s="82">
        <f t="shared" si="12"/>
        <v>54.7</v>
      </c>
    </row>
    <row r="23" spans="1:30" ht="12.75" thickBot="1">
      <c r="A23" s="141" t="s">
        <v>315</v>
      </c>
      <c r="B23" s="83" t="s">
        <v>95</v>
      </c>
      <c r="C23" s="156" t="s">
        <v>309</v>
      </c>
      <c r="D23" s="91">
        <v>460.8</v>
      </c>
      <c r="E23" s="83">
        <v>1518.8</v>
      </c>
      <c r="F23" s="84">
        <v>160.4</v>
      </c>
      <c r="G23" s="91">
        <v>458.6</v>
      </c>
      <c r="H23" s="83">
        <v>1285.5999999999999</v>
      </c>
      <c r="I23" s="84">
        <v>90.5</v>
      </c>
      <c r="J23" s="91">
        <v>465.2</v>
      </c>
      <c r="K23" s="83">
        <v>951.6</v>
      </c>
      <c r="L23" s="84">
        <v>41.3</v>
      </c>
      <c r="M23" s="91">
        <v>464.4</v>
      </c>
      <c r="N23" s="83">
        <v>699.2</v>
      </c>
      <c r="O23" s="84">
        <v>2.4</v>
      </c>
      <c r="P23" s="91">
        <v>458</v>
      </c>
      <c r="Q23" s="83">
        <v>728</v>
      </c>
      <c r="R23" s="84">
        <v>0</v>
      </c>
      <c r="S23" s="91">
        <v>462.4</v>
      </c>
      <c r="T23" s="83">
        <v>882.8</v>
      </c>
      <c r="U23" s="84">
        <v>0</v>
      </c>
      <c r="V23" s="91">
        <f t="shared" si="6"/>
        <v>461.56666666666666</v>
      </c>
      <c r="W23" s="83">
        <f t="shared" si="7"/>
        <v>1011</v>
      </c>
      <c r="X23" s="156">
        <f t="shared" si="8"/>
        <v>49.099999999999994</v>
      </c>
      <c r="Y23" s="91">
        <f t="shared" si="0"/>
        <v>458</v>
      </c>
      <c r="Z23" s="83">
        <f t="shared" si="9"/>
        <v>699.2</v>
      </c>
      <c r="AA23" s="84">
        <f t="shared" si="10"/>
        <v>0</v>
      </c>
      <c r="AB23" s="176">
        <f t="shared" si="3"/>
        <v>465.2</v>
      </c>
      <c r="AC23" s="83">
        <f t="shared" si="11"/>
        <v>1518.8</v>
      </c>
      <c r="AD23" s="84">
        <f t="shared" si="12"/>
        <v>160.4</v>
      </c>
    </row>
    <row r="24" spans="1:30">
      <c r="A24" s="136" t="s">
        <v>317</v>
      </c>
      <c r="B24" s="79" t="s">
        <v>96</v>
      </c>
      <c r="C24" s="157" t="s">
        <v>307</v>
      </c>
      <c r="D24" s="92">
        <v>30.4</v>
      </c>
      <c r="E24" s="65">
        <v>182.4</v>
      </c>
      <c r="F24" s="93">
        <v>0</v>
      </c>
      <c r="G24" s="92">
        <v>119</v>
      </c>
      <c r="H24" s="65">
        <v>335.2</v>
      </c>
      <c r="I24" s="93">
        <v>0</v>
      </c>
      <c r="J24" s="92">
        <v>181.4</v>
      </c>
      <c r="K24" s="65">
        <v>452.4</v>
      </c>
      <c r="L24" s="93">
        <v>0</v>
      </c>
      <c r="M24" s="92">
        <v>249.2</v>
      </c>
      <c r="N24" s="65">
        <v>585.6</v>
      </c>
      <c r="O24" s="93">
        <v>0</v>
      </c>
      <c r="P24" s="92">
        <v>339.2</v>
      </c>
      <c r="Q24" s="65">
        <v>709.6</v>
      </c>
      <c r="R24" s="93">
        <v>0</v>
      </c>
      <c r="S24" s="92">
        <v>402.8</v>
      </c>
      <c r="T24" s="65">
        <v>859.2</v>
      </c>
      <c r="U24" s="93">
        <v>0</v>
      </c>
      <c r="V24" s="89">
        <f t="shared" si="6"/>
        <v>220.33333333333334</v>
      </c>
      <c r="W24" s="79">
        <f t="shared" si="7"/>
        <v>520.73333333333323</v>
      </c>
      <c r="X24" s="220">
        <f t="shared" si="8"/>
        <v>0</v>
      </c>
      <c r="Y24" s="92">
        <f t="shared" si="0"/>
        <v>30.4</v>
      </c>
      <c r="Z24" s="65">
        <f t="shared" ref="Z24:AA28" si="13">MIN(E24,H24,K24,N24,Q24,T24)</f>
        <v>182.4</v>
      </c>
      <c r="AA24" s="93">
        <f t="shared" si="13"/>
        <v>0</v>
      </c>
      <c r="AB24" s="287">
        <f t="shared" si="3"/>
        <v>402.8</v>
      </c>
      <c r="AC24" s="65">
        <f t="shared" ref="AC24:AD28" si="14">MAX(E24,H24,K24,N24,Q24,T24)</f>
        <v>859.2</v>
      </c>
      <c r="AD24" s="93">
        <f t="shared" si="14"/>
        <v>0</v>
      </c>
    </row>
    <row r="25" spans="1:30">
      <c r="A25" s="136" t="s">
        <v>317</v>
      </c>
      <c r="B25" s="64" t="s">
        <v>96</v>
      </c>
      <c r="C25" s="155" t="s">
        <v>311</v>
      </c>
      <c r="D25" s="92">
        <v>30.8</v>
      </c>
      <c r="E25" s="65">
        <v>178.8</v>
      </c>
      <c r="F25" s="93">
        <v>0</v>
      </c>
      <c r="G25" s="92">
        <v>117.8</v>
      </c>
      <c r="H25" s="65">
        <v>317.60000000000002</v>
      </c>
      <c r="I25" s="93">
        <v>0</v>
      </c>
      <c r="J25" s="92">
        <v>181.6</v>
      </c>
      <c r="K25" s="65">
        <v>464.8</v>
      </c>
      <c r="L25" s="93">
        <v>0</v>
      </c>
      <c r="M25" s="92">
        <v>249.6</v>
      </c>
      <c r="N25" s="65">
        <v>590.4</v>
      </c>
      <c r="O25" s="93">
        <v>0</v>
      </c>
      <c r="P25" s="92">
        <v>339.6</v>
      </c>
      <c r="Q25" s="65">
        <v>730.8</v>
      </c>
      <c r="R25" s="93">
        <v>0</v>
      </c>
      <c r="S25" s="92">
        <v>408</v>
      </c>
      <c r="T25" s="65">
        <v>848.8</v>
      </c>
      <c r="U25" s="93">
        <v>0</v>
      </c>
      <c r="V25" s="90">
        <f t="shared" si="6"/>
        <v>221.23333333333335</v>
      </c>
      <c r="W25" s="64">
        <f t="shared" si="7"/>
        <v>521.86666666666667</v>
      </c>
      <c r="X25" s="155">
        <f t="shared" si="8"/>
        <v>0</v>
      </c>
      <c r="Y25" s="90">
        <f t="shared" si="0"/>
        <v>30.8</v>
      </c>
      <c r="Z25" s="64">
        <f t="shared" si="13"/>
        <v>178.8</v>
      </c>
      <c r="AA25" s="82">
        <f t="shared" si="13"/>
        <v>0</v>
      </c>
      <c r="AB25" s="175">
        <f t="shared" si="3"/>
        <v>408</v>
      </c>
      <c r="AC25" s="64">
        <f t="shared" si="14"/>
        <v>848.8</v>
      </c>
      <c r="AD25" s="82">
        <f t="shared" si="14"/>
        <v>0</v>
      </c>
    </row>
    <row r="26" spans="1:30">
      <c r="A26" s="136" t="s">
        <v>317</v>
      </c>
      <c r="B26" s="64" t="s">
        <v>96</v>
      </c>
      <c r="C26" s="155" t="s">
        <v>308</v>
      </c>
      <c r="D26" s="90">
        <v>30.8</v>
      </c>
      <c r="E26" s="64">
        <v>178.8</v>
      </c>
      <c r="F26" s="82">
        <v>0</v>
      </c>
      <c r="G26" s="90">
        <v>117.8</v>
      </c>
      <c r="H26" s="64">
        <v>330.4</v>
      </c>
      <c r="I26" s="82">
        <v>0</v>
      </c>
      <c r="J26" s="90">
        <v>181.4</v>
      </c>
      <c r="K26" s="64">
        <v>454.8</v>
      </c>
      <c r="L26" s="82">
        <v>0</v>
      </c>
      <c r="M26" s="90">
        <v>249.8</v>
      </c>
      <c r="N26" s="64">
        <v>584.4</v>
      </c>
      <c r="O26" s="82">
        <v>0</v>
      </c>
      <c r="P26" s="90">
        <v>339</v>
      </c>
      <c r="Q26" s="64">
        <v>716.8</v>
      </c>
      <c r="R26" s="82">
        <v>0</v>
      </c>
      <c r="S26" s="90">
        <v>402.2</v>
      </c>
      <c r="T26" s="64">
        <v>844</v>
      </c>
      <c r="U26" s="82">
        <v>0</v>
      </c>
      <c r="V26" s="90">
        <f t="shared" si="6"/>
        <v>220.16666666666666</v>
      </c>
      <c r="W26" s="64">
        <f t="shared" si="7"/>
        <v>518.19999999999993</v>
      </c>
      <c r="X26" s="155">
        <f t="shared" si="8"/>
        <v>0</v>
      </c>
      <c r="Y26" s="90">
        <f t="shared" si="0"/>
        <v>30.8</v>
      </c>
      <c r="Z26" s="64">
        <f t="shared" si="13"/>
        <v>178.8</v>
      </c>
      <c r="AA26" s="82">
        <f t="shared" si="13"/>
        <v>0</v>
      </c>
      <c r="AB26" s="175">
        <f t="shared" si="3"/>
        <v>402.2</v>
      </c>
      <c r="AC26" s="64">
        <f t="shared" si="14"/>
        <v>844</v>
      </c>
      <c r="AD26" s="82">
        <f t="shared" si="14"/>
        <v>0</v>
      </c>
    </row>
    <row r="27" spans="1:30">
      <c r="A27" s="136" t="s">
        <v>317</v>
      </c>
      <c r="B27" s="64" t="s">
        <v>96</v>
      </c>
      <c r="C27" s="155" t="s">
        <v>310</v>
      </c>
      <c r="D27" s="90">
        <v>30.8</v>
      </c>
      <c r="E27" s="64">
        <v>182</v>
      </c>
      <c r="F27" s="82">
        <v>0</v>
      </c>
      <c r="G27" s="90">
        <v>118.4</v>
      </c>
      <c r="H27" s="64">
        <v>334</v>
      </c>
      <c r="I27" s="82">
        <v>0</v>
      </c>
      <c r="J27" s="90">
        <v>180.6</v>
      </c>
      <c r="K27" s="64">
        <v>450.4</v>
      </c>
      <c r="L27" s="82">
        <v>0</v>
      </c>
      <c r="M27" s="90">
        <v>249.4</v>
      </c>
      <c r="N27" s="64">
        <v>582.4</v>
      </c>
      <c r="O27" s="82">
        <v>0</v>
      </c>
      <c r="P27" s="90">
        <v>339.6</v>
      </c>
      <c r="Q27" s="64">
        <v>712</v>
      </c>
      <c r="R27" s="82">
        <v>0</v>
      </c>
      <c r="S27" s="90">
        <v>408.2</v>
      </c>
      <c r="T27" s="64">
        <v>843.2</v>
      </c>
      <c r="U27" s="82">
        <v>0</v>
      </c>
      <c r="V27" s="90">
        <f t="shared" si="6"/>
        <v>221.16666666666666</v>
      </c>
      <c r="W27" s="64">
        <f t="shared" si="7"/>
        <v>517.33333333333337</v>
      </c>
      <c r="X27" s="155">
        <f t="shared" si="8"/>
        <v>0</v>
      </c>
      <c r="Y27" s="90">
        <f t="shared" si="0"/>
        <v>30.8</v>
      </c>
      <c r="Z27" s="64">
        <f t="shared" si="13"/>
        <v>182</v>
      </c>
      <c r="AA27" s="82">
        <f t="shared" si="13"/>
        <v>0</v>
      </c>
      <c r="AB27" s="175">
        <f t="shared" si="3"/>
        <v>408.2</v>
      </c>
      <c r="AC27" s="64">
        <f t="shared" si="14"/>
        <v>843.2</v>
      </c>
      <c r="AD27" s="82">
        <f t="shared" si="14"/>
        <v>0</v>
      </c>
    </row>
    <row r="28" spans="1:30">
      <c r="A28" s="136" t="s">
        <v>317</v>
      </c>
      <c r="B28" s="64" t="s">
        <v>96</v>
      </c>
      <c r="C28" s="155" t="s">
        <v>309</v>
      </c>
      <c r="D28" s="90">
        <v>30.8</v>
      </c>
      <c r="E28" s="64">
        <v>186.8</v>
      </c>
      <c r="F28" s="82">
        <v>0</v>
      </c>
      <c r="G28" s="90">
        <v>117.6</v>
      </c>
      <c r="H28" s="64">
        <v>324</v>
      </c>
      <c r="I28" s="82">
        <v>0</v>
      </c>
      <c r="J28" s="90">
        <v>181</v>
      </c>
      <c r="K28" s="64">
        <v>454</v>
      </c>
      <c r="L28" s="82">
        <v>0</v>
      </c>
      <c r="M28" s="90">
        <v>250</v>
      </c>
      <c r="N28" s="64">
        <v>579.6</v>
      </c>
      <c r="O28" s="82">
        <v>0</v>
      </c>
      <c r="P28" s="90">
        <v>334.6</v>
      </c>
      <c r="Q28" s="64">
        <v>712</v>
      </c>
      <c r="R28" s="82">
        <v>0</v>
      </c>
      <c r="S28" s="90">
        <v>407</v>
      </c>
      <c r="T28" s="64">
        <v>842</v>
      </c>
      <c r="U28" s="82">
        <v>0</v>
      </c>
      <c r="V28" s="90">
        <f t="shared" si="6"/>
        <v>220.16666666666666</v>
      </c>
      <c r="W28" s="64">
        <f t="shared" si="7"/>
        <v>516.4</v>
      </c>
      <c r="X28" s="155">
        <f t="shared" si="8"/>
        <v>0</v>
      </c>
      <c r="Y28" s="90">
        <f t="shared" si="0"/>
        <v>30.8</v>
      </c>
      <c r="Z28" s="64">
        <f t="shared" si="13"/>
        <v>186.8</v>
      </c>
      <c r="AA28" s="82">
        <f t="shared" si="13"/>
        <v>0</v>
      </c>
      <c r="AB28" s="175">
        <f t="shared" si="3"/>
        <v>407</v>
      </c>
      <c r="AC28" s="64">
        <f t="shared" si="14"/>
        <v>842</v>
      </c>
      <c r="AD28" s="82">
        <f t="shared" si="14"/>
        <v>0</v>
      </c>
    </row>
    <row r="29" spans="1:30">
      <c r="A29" s="136" t="s">
        <v>317</v>
      </c>
      <c r="B29" s="64" t="s">
        <v>95</v>
      </c>
      <c r="C29" s="155" t="s">
        <v>307</v>
      </c>
      <c r="D29" s="90">
        <v>465</v>
      </c>
      <c r="E29" s="64">
        <v>811.6</v>
      </c>
      <c r="F29" s="82">
        <v>154.30000000000001</v>
      </c>
      <c r="G29" s="90">
        <v>464.4</v>
      </c>
      <c r="H29" s="64">
        <v>852.8</v>
      </c>
      <c r="I29" s="82">
        <v>100.6</v>
      </c>
      <c r="J29" s="90">
        <v>459.8</v>
      </c>
      <c r="K29" s="64">
        <v>713.2</v>
      </c>
      <c r="L29" s="82">
        <v>67.599999999999994</v>
      </c>
      <c r="M29" s="90">
        <v>464.2</v>
      </c>
      <c r="N29" s="64">
        <v>770</v>
      </c>
      <c r="O29" s="82">
        <v>27.6</v>
      </c>
      <c r="P29" s="90">
        <v>464.2</v>
      </c>
      <c r="Q29" s="64">
        <v>909.6</v>
      </c>
      <c r="R29" s="82">
        <v>15.4</v>
      </c>
      <c r="S29" s="90">
        <v>464.6</v>
      </c>
      <c r="T29" s="64">
        <v>1034.4000000000001</v>
      </c>
      <c r="U29" s="82">
        <v>12.7</v>
      </c>
      <c r="V29" s="90">
        <f t="shared" si="6"/>
        <v>463.7</v>
      </c>
      <c r="W29" s="64">
        <f t="shared" si="7"/>
        <v>848.6</v>
      </c>
      <c r="X29" s="155">
        <f t="shared" si="8"/>
        <v>63.033333333333331</v>
      </c>
      <c r="Y29" s="90">
        <f t="shared" si="0"/>
        <v>459.8</v>
      </c>
      <c r="Z29" s="64">
        <f t="shared" ref="Z29:AA33" si="15">MIN(E29,H29,K29,N29,Q29,T29)</f>
        <v>713.2</v>
      </c>
      <c r="AA29" s="82">
        <f t="shared" si="15"/>
        <v>12.7</v>
      </c>
      <c r="AB29" s="175">
        <f t="shared" si="3"/>
        <v>465</v>
      </c>
      <c r="AC29" s="64">
        <f t="shared" ref="AC29:AD33" si="16">MAX(E29,H29,K29,N29,Q29,T29)</f>
        <v>1034.4000000000001</v>
      </c>
      <c r="AD29" s="82">
        <f t="shared" si="16"/>
        <v>154.30000000000001</v>
      </c>
    </row>
    <row r="30" spans="1:30">
      <c r="A30" s="136" t="s">
        <v>317</v>
      </c>
      <c r="B30" s="64" t="s">
        <v>95</v>
      </c>
      <c r="C30" s="155" t="s">
        <v>311</v>
      </c>
      <c r="D30" s="90">
        <v>460.2</v>
      </c>
      <c r="E30" s="64">
        <v>811.2</v>
      </c>
      <c r="F30" s="82">
        <v>151.4</v>
      </c>
      <c r="G30" s="90">
        <v>460</v>
      </c>
      <c r="H30" s="64">
        <v>852</v>
      </c>
      <c r="I30" s="82">
        <v>113.7</v>
      </c>
      <c r="J30" s="90">
        <v>464.8</v>
      </c>
      <c r="K30" s="64">
        <v>763.6</v>
      </c>
      <c r="L30" s="82">
        <v>60.5</v>
      </c>
      <c r="M30" s="90">
        <v>464</v>
      </c>
      <c r="N30" s="64">
        <v>776.4</v>
      </c>
      <c r="O30" s="82">
        <v>30.7</v>
      </c>
      <c r="P30" s="90">
        <v>464</v>
      </c>
      <c r="Q30" s="64">
        <v>906.4</v>
      </c>
      <c r="R30" s="82">
        <v>14.3</v>
      </c>
      <c r="S30" s="90">
        <v>465.6</v>
      </c>
      <c r="T30" s="64">
        <v>1036.8</v>
      </c>
      <c r="U30" s="82">
        <v>15.6</v>
      </c>
      <c r="V30" s="90">
        <f t="shared" si="6"/>
        <v>463.09999999999997</v>
      </c>
      <c r="W30" s="64">
        <f t="shared" si="7"/>
        <v>857.73333333333346</v>
      </c>
      <c r="X30" s="155">
        <f t="shared" si="8"/>
        <v>64.366666666666674</v>
      </c>
      <c r="Y30" s="90">
        <f t="shared" si="0"/>
        <v>460</v>
      </c>
      <c r="Z30" s="64">
        <f t="shared" si="15"/>
        <v>763.6</v>
      </c>
      <c r="AA30" s="82">
        <f t="shared" si="15"/>
        <v>14.3</v>
      </c>
      <c r="AB30" s="175">
        <f t="shared" si="3"/>
        <v>465.6</v>
      </c>
      <c r="AC30" s="64">
        <f t="shared" si="16"/>
        <v>1036.8</v>
      </c>
      <c r="AD30" s="82">
        <f t="shared" si="16"/>
        <v>151.4</v>
      </c>
    </row>
    <row r="31" spans="1:30">
      <c r="A31" s="136" t="s">
        <v>317</v>
      </c>
      <c r="B31" s="64" t="s">
        <v>95</v>
      </c>
      <c r="C31" s="155" t="s">
        <v>308</v>
      </c>
      <c r="D31" s="90">
        <v>464.4</v>
      </c>
      <c r="E31" s="64">
        <v>821.2</v>
      </c>
      <c r="F31" s="82">
        <v>241.1</v>
      </c>
      <c r="G31" s="90">
        <v>463.4</v>
      </c>
      <c r="H31" s="64">
        <v>756</v>
      </c>
      <c r="I31" s="82">
        <v>201.4</v>
      </c>
      <c r="J31" s="90">
        <v>464.4</v>
      </c>
      <c r="K31" s="64">
        <v>681.6</v>
      </c>
      <c r="L31" s="82">
        <v>145.1</v>
      </c>
      <c r="M31" s="90">
        <v>465.8</v>
      </c>
      <c r="N31" s="64">
        <v>607.20000000000005</v>
      </c>
      <c r="O31" s="82">
        <v>67.599999999999994</v>
      </c>
      <c r="P31" s="90">
        <v>465</v>
      </c>
      <c r="Q31" s="64">
        <v>677.2</v>
      </c>
      <c r="R31" s="82">
        <v>20.6</v>
      </c>
      <c r="S31" s="90">
        <v>460.8</v>
      </c>
      <c r="T31" s="64">
        <v>845.2</v>
      </c>
      <c r="U31" s="82">
        <v>0</v>
      </c>
      <c r="V31" s="90">
        <f t="shared" si="6"/>
        <v>463.9666666666667</v>
      </c>
      <c r="W31" s="64">
        <f t="shared" si="7"/>
        <v>731.4</v>
      </c>
      <c r="X31" s="155">
        <f t="shared" si="8"/>
        <v>112.63333333333334</v>
      </c>
      <c r="Y31" s="90">
        <f t="shared" si="0"/>
        <v>460.8</v>
      </c>
      <c r="Z31" s="64">
        <f t="shared" si="15"/>
        <v>607.20000000000005</v>
      </c>
      <c r="AA31" s="82">
        <f t="shared" si="15"/>
        <v>0</v>
      </c>
      <c r="AB31" s="175">
        <f t="shared" si="3"/>
        <v>465.8</v>
      </c>
      <c r="AC31" s="64">
        <f t="shared" si="16"/>
        <v>845.2</v>
      </c>
      <c r="AD31" s="82">
        <f t="shared" si="16"/>
        <v>241.1</v>
      </c>
    </row>
    <row r="32" spans="1:30">
      <c r="A32" s="136" t="s">
        <v>317</v>
      </c>
      <c r="B32" s="64" t="s">
        <v>95</v>
      </c>
      <c r="C32" s="155" t="s">
        <v>310</v>
      </c>
      <c r="D32" s="90">
        <v>464.2</v>
      </c>
      <c r="E32" s="64">
        <v>809.2</v>
      </c>
      <c r="F32" s="82">
        <v>152.5</v>
      </c>
      <c r="G32" s="90">
        <v>464.4</v>
      </c>
      <c r="H32" s="64">
        <v>758.4</v>
      </c>
      <c r="I32" s="82">
        <v>97.1</v>
      </c>
      <c r="J32" s="90">
        <v>465.2</v>
      </c>
      <c r="K32" s="64">
        <v>723.6</v>
      </c>
      <c r="L32" s="82">
        <v>65.599999999999994</v>
      </c>
      <c r="M32" s="90">
        <v>465</v>
      </c>
      <c r="N32" s="64">
        <v>757.6</v>
      </c>
      <c r="O32" s="82">
        <v>37.5</v>
      </c>
      <c r="P32" s="90">
        <v>460.6</v>
      </c>
      <c r="Q32" s="64">
        <v>900.8</v>
      </c>
      <c r="R32" s="82">
        <v>16</v>
      </c>
      <c r="S32" s="90">
        <v>459.6</v>
      </c>
      <c r="T32" s="64">
        <v>1036.8</v>
      </c>
      <c r="U32" s="82">
        <v>13.3</v>
      </c>
      <c r="V32" s="90">
        <f t="shared" si="6"/>
        <v>463.16666666666669</v>
      </c>
      <c r="W32" s="64">
        <f t="shared" si="7"/>
        <v>831.06666666666661</v>
      </c>
      <c r="X32" s="155">
        <f t="shared" si="8"/>
        <v>63.666666666666664</v>
      </c>
      <c r="Y32" s="90">
        <f t="shared" si="0"/>
        <v>459.6</v>
      </c>
      <c r="Z32" s="64">
        <f t="shared" si="15"/>
        <v>723.6</v>
      </c>
      <c r="AA32" s="82">
        <f t="shared" si="15"/>
        <v>13.3</v>
      </c>
      <c r="AB32" s="175">
        <f t="shared" si="3"/>
        <v>465.2</v>
      </c>
      <c r="AC32" s="64">
        <f t="shared" si="16"/>
        <v>1036.8</v>
      </c>
      <c r="AD32" s="82">
        <f t="shared" si="16"/>
        <v>152.5</v>
      </c>
    </row>
    <row r="33" spans="1:30" ht="12.75" thickBot="1">
      <c r="A33" s="136" t="s">
        <v>317</v>
      </c>
      <c r="B33" s="83" t="s">
        <v>95</v>
      </c>
      <c r="C33" s="156" t="s">
        <v>309</v>
      </c>
      <c r="D33" s="91">
        <v>464.6</v>
      </c>
      <c r="E33" s="83">
        <v>834.8</v>
      </c>
      <c r="F33" s="84">
        <v>257.39999999999998</v>
      </c>
      <c r="G33" s="91">
        <v>465.4</v>
      </c>
      <c r="H33" s="83">
        <v>760.8</v>
      </c>
      <c r="I33" s="84">
        <v>225.8</v>
      </c>
      <c r="J33" s="91">
        <v>464.4</v>
      </c>
      <c r="K33" s="83">
        <v>684.8</v>
      </c>
      <c r="L33" s="84">
        <v>149.9</v>
      </c>
      <c r="M33" s="91">
        <v>464.4</v>
      </c>
      <c r="N33" s="83">
        <v>655.6</v>
      </c>
      <c r="O33" s="84">
        <v>94</v>
      </c>
      <c r="P33" s="91">
        <v>464.6</v>
      </c>
      <c r="Q33" s="83">
        <v>634.79999999999995</v>
      </c>
      <c r="R33" s="84">
        <v>46.2</v>
      </c>
      <c r="S33" s="91">
        <v>464.6</v>
      </c>
      <c r="T33" s="83">
        <v>843.2</v>
      </c>
      <c r="U33" s="84">
        <v>0.1</v>
      </c>
      <c r="V33" s="91">
        <f t="shared" si="6"/>
        <v>464.66666666666669</v>
      </c>
      <c r="W33" s="83">
        <f t="shared" si="7"/>
        <v>735.66666666666652</v>
      </c>
      <c r="X33" s="156">
        <f t="shared" si="8"/>
        <v>128.9</v>
      </c>
      <c r="Y33" s="91">
        <f t="shared" si="0"/>
        <v>464.4</v>
      </c>
      <c r="Z33" s="83">
        <f t="shared" si="15"/>
        <v>634.79999999999995</v>
      </c>
      <c r="AA33" s="84">
        <f t="shared" si="15"/>
        <v>0.1</v>
      </c>
      <c r="AB33" s="176">
        <f t="shared" si="3"/>
        <v>465.4</v>
      </c>
      <c r="AC33" s="83">
        <f t="shared" si="16"/>
        <v>843.2</v>
      </c>
      <c r="AD33" s="84">
        <f t="shared" si="16"/>
        <v>257.39999999999998</v>
      </c>
    </row>
  </sheetData>
  <mergeCells count="13">
    <mergeCell ref="V1:X2"/>
    <mergeCell ref="AB1:AD2"/>
    <mergeCell ref="Y1:AA2"/>
    <mergeCell ref="M2:O2"/>
    <mergeCell ref="P2:R2"/>
    <mergeCell ref="S2:U2"/>
    <mergeCell ref="A1:A3"/>
    <mergeCell ref="B1:B3"/>
    <mergeCell ref="C1:C3"/>
    <mergeCell ref="D2:F2"/>
    <mergeCell ref="D1:U1"/>
    <mergeCell ref="G2:I2"/>
    <mergeCell ref="J2:L2"/>
  </mergeCells>
  <phoneticPr fontId="3" type="noConversion"/>
  <conditionalFormatting sqref="F1:F1048576 L1:L1048576 O1:O1048576 U1:U1048576">
    <cfRule type="cellIs" dxfId="6" priority="3" stopIfTrue="1" operator="greaterThan">
      <formula>0.5</formula>
    </cfRule>
  </conditionalFormatting>
  <conditionalFormatting sqref="I1:I1048576">
    <cfRule type="cellIs" dxfId="5" priority="2" stopIfTrue="1" operator="greaterThan">
      <formula>0.5</formula>
    </cfRule>
  </conditionalFormatting>
  <conditionalFormatting sqref="X1:X1048576">
    <cfRule type="cellIs" dxfId="4" priority="1" stopIfTrue="1" operator="greaterThan">
      <formula>0.5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99" r:id="rId4" name="btnDataImport">
          <controlPr defaultSize="0" autoLine="0" r:id="rId5">
            <anchor>
              <from>
                <xdr:col>28</xdr:col>
                <xdr:colOff>266700</xdr:colOff>
                <xdr:row>0</xdr:row>
                <xdr:rowOff>0</xdr:rowOff>
              </from>
              <to>
                <xdr:col>31</xdr:col>
                <xdr:colOff>57150</xdr:colOff>
                <xdr:row>2</xdr:row>
                <xdr:rowOff>133350</xdr:rowOff>
              </to>
            </anchor>
          </controlPr>
        </control>
      </mc:Choice>
      <mc:Fallback>
        <control shapeId="62499" r:id="rId4" name="btnDataImpo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33"/>
  <sheetViews>
    <sheetView workbookViewId="0">
      <selection activeCell="M36" sqref="M36"/>
    </sheetView>
  </sheetViews>
  <sheetFormatPr defaultRowHeight="13.5"/>
  <sheetData>
    <row r="1" spans="1:22" ht="14.25" thickBot="1">
      <c r="A1" s="465" t="s">
        <v>79</v>
      </c>
      <c r="B1" s="468" t="s">
        <v>92</v>
      </c>
      <c r="C1" s="468" t="s">
        <v>93</v>
      </c>
      <c r="D1" s="476"/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6"/>
      <c r="P1" s="477" t="s">
        <v>301</v>
      </c>
      <c r="Q1" s="468"/>
      <c r="R1" s="478"/>
      <c r="S1" s="482" t="s">
        <v>542</v>
      </c>
      <c r="T1" s="483"/>
      <c r="U1" s="482" t="s">
        <v>543</v>
      </c>
      <c r="V1" s="483"/>
    </row>
    <row r="2" spans="1:22">
      <c r="A2" s="466"/>
      <c r="B2" s="469"/>
      <c r="C2" s="471"/>
      <c r="D2" s="474" t="s">
        <v>2302</v>
      </c>
      <c r="E2" s="475"/>
      <c r="F2" s="474" t="s">
        <v>2303</v>
      </c>
      <c r="G2" s="475"/>
      <c r="H2" s="474" t="s">
        <v>2304</v>
      </c>
      <c r="I2" s="475"/>
      <c r="J2" s="474" t="s">
        <v>2305</v>
      </c>
      <c r="K2" s="475"/>
      <c r="L2" s="474" t="s">
        <v>2306</v>
      </c>
      <c r="M2" s="475"/>
      <c r="N2" s="474" t="s">
        <v>2307</v>
      </c>
      <c r="O2" s="475"/>
      <c r="P2" s="479"/>
      <c r="Q2" s="469"/>
      <c r="R2" s="480"/>
      <c r="S2" s="437"/>
      <c r="T2" s="485"/>
      <c r="U2" s="437"/>
      <c r="V2" s="485"/>
    </row>
    <row r="3" spans="1:22" ht="14.25" thickBot="1">
      <c r="A3" s="467"/>
      <c r="B3" s="470"/>
      <c r="C3" s="472"/>
      <c r="D3" s="86" t="s">
        <v>88</v>
      </c>
      <c r="E3" s="87" t="s">
        <v>89</v>
      </c>
      <c r="F3" s="86" t="s">
        <v>88</v>
      </c>
      <c r="G3" s="87" t="s">
        <v>89</v>
      </c>
      <c r="H3" s="86" t="s">
        <v>88</v>
      </c>
      <c r="I3" s="87" t="s">
        <v>89</v>
      </c>
      <c r="J3" s="86" t="s">
        <v>88</v>
      </c>
      <c r="K3" s="87" t="s">
        <v>89</v>
      </c>
      <c r="L3" s="86" t="s">
        <v>88</v>
      </c>
      <c r="M3" s="87" t="s">
        <v>89</v>
      </c>
      <c r="N3" s="86" t="s">
        <v>88</v>
      </c>
      <c r="O3" s="87" t="s">
        <v>89</v>
      </c>
      <c r="P3" s="215" t="s">
        <v>80</v>
      </c>
      <c r="Q3" s="214" t="s">
        <v>304</v>
      </c>
      <c r="R3" s="87" t="s">
        <v>305</v>
      </c>
      <c r="S3" s="396" t="s">
        <v>304</v>
      </c>
      <c r="T3" s="282" t="s">
        <v>306</v>
      </c>
      <c r="U3" s="396" t="s">
        <v>304</v>
      </c>
      <c r="V3" s="282" t="s">
        <v>306</v>
      </c>
    </row>
    <row r="4" spans="1:22">
      <c r="A4" s="135" t="s">
        <v>313</v>
      </c>
      <c r="B4" s="79" t="s">
        <v>96</v>
      </c>
      <c r="C4" s="157" t="s">
        <v>307</v>
      </c>
      <c r="D4" s="79">
        <v>445.2</v>
      </c>
      <c r="E4" s="80">
        <v>0</v>
      </c>
      <c r="F4" s="79">
        <v>420.8</v>
      </c>
      <c r="G4" s="80">
        <v>0</v>
      </c>
      <c r="H4" s="79">
        <v>413.6</v>
      </c>
      <c r="I4" s="80">
        <v>0</v>
      </c>
      <c r="J4" s="79">
        <v>433.6</v>
      </c>
      <c r="K4" s="80">
        <v>0</v>
      </c>
      <c r="L4" s="79">
        <v>433.2</v>
      </c>
      <c r="M4" s="80">
        <v>0</v>
      </c>
      <c r="N4" s="79">
        <v>485.6</v>
      </c>
      <c r="O4" s="80">
        <v>0</v>
      </c>
      <c r="P4" s="89">
        <v>1087.8333333333333</v>
      </c>
      <c r="Q4" s="79">
        <v>438.66666666666657</v>
      </c>
      <c r="R4" s="220">
        <v>0</v>
      </c>
      <c r="S4" s="79">
        <v>413.6</v>
      </c>
      <c r="T4" s="80">
        <v>0</v>
      </c>
      <c r="U4" s="79">
        <v>485.6</v>
      </c>
      <c r="V4" s="80">
        <v>0</v>
      </c>
    </row>
    <row r="5" spans="1:22">
      <c r="A5" s="137" t="s">
        <v>313</v>
      </c>
      <c r="B5" s="64" t="s">
        <v>96</v>
      </c>
      <c r="C5" s="155" t="s">
        <v>311</v>
      </c>
      <c r="D5" s="65">
        <v>416</v>
      </c>
      <c r="E5" s="93">
        <v>0</v>
      </c>
      <c r="F5" s="65">
        <v>407.2</v>
      </c>
      <c r="G5" s="93">
        <v>0</v>
      </c>
      <c r="H5" s="65">
        <v>435.2</v>
      </c>
      <c r="I5" s="93">
        <v>0</v>
      </c>
      <c r="J5" s="65">
        <v>444.4</v>
      </c>
      <c r="K5" s="93">
        <v>0</v>
      </c>
      <c r="L5" s="65">
        <v>417.2</v>
      </c>
      <c r="M5" s="93">
        <v>0</v>
      </c>
      <c r="N5" s="65">
        <v>444.4</v>
      </c>
      <c r="O5" s="93">
        <v>0</v>
      </c>
      <c r="P5" s="90">
        <v>1087.8</v>
      </c>
      <c r="Q5" s="64">
        <v>427.40000000000003</v>
      </c>
      <c r="R5" s="155">
        <v>0</v>
      </c>
      <c r="S5" s="64">
        <v>407.2</v>
      </c>
      <c r="T5" s="82">
        <v>0</v>
      </c>
      <c r="U5" s="64">
        <v>444.4</v>
      </c>
      <c r="V5" s="82">
        <v>0</v>
      </c>
    </row>
    <row r="6" spans="1:22">
      <c r="A6" s="137" t="s">
        <v>313</v>
      </c>
      <c r="B6" s="64" t="s">
        <v>96</v>
      </c>
      <c r="C6" s="155" t="s">
        <v>308</v>
      </c>
      <c r="D6" s="64">
        <v>416</v>
      </c>
      <c r="E6" s="82">
        <v>0</v>
      </c>
      <c r="F6" s="64">
        <v>427.2</v>
      </c>
      <c r="G6" s="82">
        <v>0</v>
      </c>
      <c r="H6" s="64">
        <v>414</v>
      </c>
      <c r="I6" s="82">
        <v>0</v>
      </c>
      <c r="J6" s="64">
        <v>433.2</v>
      </c>
      <c r="K6" s="82">
        <v>0</v>
      </c>
      <c r="L6" s="64">
        <v>417.6</v>
      </c>
      <c r="M6" s="82">
        <v>0</v>
      </c>
      <c r="N6" s="64">
        <v>462.4</v>
      </c>
      <c r="O6" s="82">
        <v>0</v>
      </c>
      <c r="P6" s="90">
        <v>1087.8</v>
      </c>
      <c r="Q6" s="64">
        <v>428.40000000000003</v>
      </c>
      <c r="R6" s="155">
        <v>0</v>
      </c>
      <c r="S6" s="64">
        <v>414</v>
      </c>
      <c r="T6" s="82">
        <v>0</v>
      </c>
      <c r="U6" s="64">
        <v>462.4</v>
      </c>
      <c r="V6" s="82">
        <v>0</v>
      </c>
    </row>
    <row r="7" spans="1:22">
      <c r="A7" s="137" t="s">
        <v>313</v>
      </c>
      <c r="B7" s="64" t="s">
        <v>96</v>
      </c>
      <c r="C7" s="155" t="s">
        <v>310</v>
      </c>
      <c r="D7" s="64">
        <v>416</v>
      </c>
      <c r="E7" s="82">
        <v>0</v>
      </c>
      <c r="F7" s="64">
        <v>427.2</v>
      </c>
      <c r="G7" s="82">
        <v>0</v>
      </c>
      <c r="H7" s="64">
        <v>414</v>
      </c>
      <c r="I7" s="82">
        <v>0</v>
      </c>
      <c r="J7" s="64">
        <v>426.4</v>
      </c>
      <c r="K7" s="82">
        <v>0</v>
      </c>
      <c r="L7" s="64">
        <v>437.2</v>
      </c>
      <c r="M7" s="82">
        <v>0</v>
      </c>
      <c r="N7" s="64">
        <v>442</v>
      </c>
      <c r="O7" s="82">
        <v>0</v>
      </c>
      <c r="P7" s="90">
        <v>1087.5333333333335</v>
      </c>
      <c r="Q7" s="64">
        <v>427.13333333333327</v>
      </c>
      <c r="R7" s="155">
        <v>0</v>
      </c>
      <c r="S7" s="64">
        <v>414</v>
      </c>
      <c r="T7" s="82">
        <v>0</v>
      </c>
      <c r="U7" s="64">
        <v>442</v>
      </c>
      <c r="V7" s="82">
        <v>0</v>
      </c>
    </row>
    <row r="8" spans="1:22">
      <c r="A8" s="137" t="s">
        <v>313</v>
      </c>
      <c r="B8" s="64" t="s">
        <v>96</v>
      </c>
      <c r="C8" s="155" t="s">
        <v>309</v>
      </c>
      <c r="D8" s="64">
        <v>416</v>
      </c>
      <c r="E8" s="82">
        <v>0</v>
      </c>
      <c r="F8" s="64">
        <v>403.6</v>
      </c>
      <c r="G8" s="82">
        <v>0</v>
      </c>
      <c r="H8" s="64">
        <v>422</v>
      </c>
      <c r="I8" s="82">
        <v>0</v>
      </c>
      <c r="J8" s="64">
        <v>426.4</v>
      </c>
      <c r="K8" s="82">
        <v>0</v>
      </c>
      <c r="L8" s="64">
        <v>422.8</v>
      </c>
      <c r="M8" s="82">
        <v>0</v>
      </c>
      <c r="N8" s="64">
        <v>462.8</v>
      </c>
      <c r="O8" s="82">
        <v>0</v>
      </c>
      <c r="P8" s="90">
        <v>1087.5333333333335</v>
      </c>
      <c r="Q8" s="64">
        <v>425.60000000000008</v>
      </c>
      <c r="R8" s="155">
        <v>0</v>
      </c>
      <c r="S8" s="64">
        <v>403.6</v>
      </c>
      <c r="T8" s="82">
        <v>0</v>
      </c>
      <c r="U8" s="64">
        <v>462.8</v>
      </c>
      <c r="V8" s="82">
        <v>0</v>
      </c>
    </row>
    <row r="9" spans="1:22">
      <c r="A9" s="137" t="s">
        <v>313</v>
      </c>
      <c r="B9" s="64" t="s">
        <v>95</v>
      </c>
      <c r="C9" s="155" t="s">
        <v>307</v>
      </c>
      <c r="D9" s="64">
        <v>450.8</v>
      </c>
      <c r="E9" s="82">
        <v>0</v>
      </c>
      <c r="F9" s="64">
        <v>444</v>
      </c>
      <c r="G9" s="82">
        <v>0</v>
      </c>
      <c r="H9" s="64">
        <v>470</v>
      </c>
      <c r="I9" s="82">
        <v>0</v>
      </c>
      <c r="J9" s="64">
        <v>442.8</v>
      </c>
      <c r="K9" s="82">
        <v>0</v>
      </c>
      <c r="L9" s="64">
        <v>450.4</v>
      </c>
      <c r="M9" s="82">
        <v>0</v>
      </c>
      <c r="N9" s="64">
        <v>449.6</v>
      </c>
      <c r="O9" s="82">
        <v>0</v>
      </c>
      <c r="P9" s="90">
        <v>4002.8666666666668</v>
      </c>
      <c r="Q9" s="64">
        <v>451.26666666666665</v>
      </c>
      <c r="R9" s="155">
        <v>0</v>
      </c>
      <c r="S9" s="64">
        <v>442.8</v>
      </c>
      <c r="T9" s="82">
        <v>0</v>
      </c>
      <c r="U9" s="64">
        <v>470</v>
      </c>
      <c r="V9" s="82">
        <v>0</v>
      </c>
    </row>
    <row r="10" spans="1:22">
      <c r="A10" s="137" t="s">
        <v>313</v>
      </c>
      <c r="B10" s="64" t="s">
        <v>95</v>
      </c>
      <c r="C10" s="155" t="s">
        <v>311</v>
      </c>
      <c r="D10" s="64">
        <v>441.6</v>
      </c>
      <c r="E10" s="82">
        <v>0</v>
      </c>
      <c r="F10" s="64">
        <v>424.8</v>
      </c>
      <c r="G10" s="82">
        <v>0</v>
      </c>
      <c r="H10" s="64">
        <v>443.6</v>
      </c>
      <c r="I10" s="82">
        <v>0</v>
      </c>
      <c r="J10" s="64">
        <v>441.2</v>
      </c>
      <c r="K10" s="82">
        <v>0</v>
      </c>
      <c r="L10" s="64">
        <v>439.2</v>
      </c>
      <c r="M10" s="82">
        <v>0</v>
      </c>
      <c r="N10" s="64">
        <v>463.2</v>
      </c>
      <c r="O10" s="82">
        <v>0</v>
      </c>
      <c r="P10" s="90">
        <v>4005.5</v>
      </c>
      <c r="Q10" s="64">
        <v>442.26666666666665</v>
      </c>
      <c r="R10" s="155">
        <v>0</v>
      </c>
      <c r="S10" s="64">
        <v>424.8</v>
      </c>
      <c r="T10" s="82">
        <v>0</v>
      </c>
      <c r="U10" s="64">
        <v>463.2</v>
      </c>
      <c r="V10" s="82">
        <v>0</v>
      </c>
    </row>
    <row r="11" spans="1:22">
      <c r="A11" s="137" t="s">
        <v>313</v>
      </c>
      <c r="B11" s="64" t="s">
        <v>95</v>
      </c>
      <c r="C11" s="155" t="s">
        <v>308</v>
      </c>
      <c r="D11" s="64">
        <v>442.4</v>
      </c>
      <c r="E11" s="82">
        <v>0</v>
      </c>
      <c r="F11" s="64">
        <v>446</v>
      </c>
      <c r="G11" s="82">
        <v>0</v>
      </c>
      <c r="H11" s="64">
        <v>465.6</v>
      </c>
      <c r="I11" s="82">
        <v>0</v>
      </c>
      <c r="J11" s="64">
        <v>439.2</v>
      </c>
      <c r="K11" s="82">
        <v>0</v>
      </c>
      <c r="L11" s="64">
        <v>451.2</v>
      </c>
      <c r="M11" s="82">
        <v>0</v>
      </c>
      <c r="N11" s="64">
        <v>461.6</v>
      </c>
      <c r="O11" s="82">
        <v>0</v>
      </c>
      <c r="P11" s="90">
        <v>4004.3666666666668</v>
      </c>
      <c r="Q11" s="64">
        <v>451</v>
      </c>
      <c r="R11" s="155">
        <v>0</v>
      </c>
      <c r="S11" s="64">
        <v>439.2</v>
      </c>
      <c r="T11" s="82">
        <v>0</v>
      </c>
      <c r="U11" s="64">
        <v>465.6</v>
      </c>
      <c r="V11" s="82">
        <v>0</v>
      </c>
    </row>
    <row r="12" spans="1:22">
      <c r="A12" s="137" t="s">
        <v>313</v>
      </c>
      <c r="B12" s="64" t="s">
        <v>95</v>
      </c>
      <c r="C12" s="155" t="s">
        <v>310</v>
      </c>
      <c r="D12" s="64">
        <v>440.8</v>
      </c>
      <c r="E12" s="82">
        <v>0</v>
      </c>
      <c r="F12" s="64">
        <v>434.8</v>
      </c>
      <c r="G12" s="82">
        <v>0</v>
      </c>
      <c r="H12" s="64">
        <v>448.8</v>
      </c>
      <c r="I12" s="82">
        <v>0</v>
      </c>
      <c r="J12" s="64">
        <v>439.6</v>
      </c>
      <c r="K12" s="82">
        <v>0</v>
      </c>
      <c r="L12" s="64">
        <v>449.6</v>
      </c>
      <c r="M12" s="82">
        <v>0</v>
      </c>
      <c r="N12" s="64">
        <v>470.8</v>
      </c>
      <c r="O12" s="82">
        <v>0</v>
      </c>
      <c r="P12" s="90">
        <v>4003.5666666666671</v>
      </c>
      <c r="Q12" s="64">
        <v>447.40000000000003</v>
      </c>
      <c r="R12" s="155">
        <v>0</v>
      </c>
      <c r="S12" s="64">
        <v>434.8</v>
      </c>
      <c r="T12" s="82">
        <v>0</v>
      </c>
      <c r="U12" s="64">
        <v>470.8</v>
      </c>
      <c r="V12" s="82">
        <v>0</v>
      </c>
    </row>
    <row r="13" spans="1:22" ht="14.25" thickBot="1">
      <c r="A13" s="138" t="s">
        <v>313</v>
      </c>
      <c r="B13" s="83" t="s">
        <v>95</v>
      </c>
      <c r="C13" s="156" t="s">
        <v>309</v>
      </c>
      <c r="D13" s="83">
        <v>437.6</v>
      </c>
      <c r="E13" s="84">
        <v>0</v>
      </c>
      <c r="F13" s="83">
        <v>439.6</v>
      </c>
      <c r="G13" s="84">
        <v>0</v>
      </c>
      <c r="H13" s="83">
        <v>440.8</v>
      </c>
      <c r="I13" s="84">
        <v>0</v>
      </c>
      <c r="J13" s="83">
        <v>438.8</v>
      </c>
      <c r="K13" s="84">
        <v>0</v>
      </c>
      <c r="L13" s="83">
        <v>448.4</v>
      </c>
      <c r="M13" s="84">
        <v>0</v>
      </c>
      <c r="N13" s="83">
        <v>468</v>
      </c>
      <c r="O13" s="84">
        <v>0</v>
      </c>
      <c r="P13" s="91">
        <v>4003.2666666666664</v>
      </c>
      <c r="Q13" s="83">
        <v>445.5333333333333</v>
      </c>
      <c r="R13" s="156">
        <v>0</v>
      </c>
      <c r="S13" s="284">
        <v>437.6</v>
      </c>
      <c r="T13" s="285">
        <v>0</v>
      </c>
      <c r="U13" s="284">
        <v>468</v>
      </c>
      <c r="V13" s="285">
        <v>0</v>
      </c>
    </row>
    <row r="14" spans="1:22">
      <c r="A14" s="139" t="s">
        <v>315</v>
      </c>
      <c r="B14" s="79" t="s">
        <v>96</v>
      </c>
      <c r="C14" s="157" t="s">
        <v>307</v>
      </c>
      <c r="D14" s="79">
        <v>426</v>
      </c>
      <c r="E14" s="80">
        <v>0</v>
      </c>
      <c r="F14" s="79">
        <v>426</v>
      </c>
      <c r="G14" s="80">
        <v>0</v>
      </c>
      <c r="H14" s="79">
        <v>412.4</v>
      </c>
      <c r="I14" s="80">
        <v>0</v>
      </c>
      <c r="J14" s="79">
        <v>422</v>
      </c>
      <c r="K14" s="80">
        <v>0</v>
      </c>
      <c r="L14" s="79">
        <v>438</v>
      </c>
      <c r="M14" s="80">
        <v>0</v>
      </c>
      <c r="N14" s="79">
        <v>479.6</v>
      </c>
      <c r="O14" s="80">
        <v>0</v>
      </c>
      <c r="P14" s="89">
        <v>1087.6999999999998</v>
      </c>
      <c r="Q14" s="79">
        <v>434</v>
      </c>
      <c r="R14" s="220">
        <v>0</v>
      </c>
      <c r="S14" s="79">
        <v>412.4</v>
      </c>
      <c r="T14" s="80">
        <v>0</v>
      </c>
      <c r="U14" s="79">
        <v>479.6</v>
      </c>
      <c r="V14" s="80">
        <v>0</v>
      </c>
    </row>
    <row r="15" spans="1:22">
      <c r="A15" s="140" t="s">
        <v>315</v>
      </c>
      <c r="B15" s="64" t="s">
        <v>96</v>
      </c>
      <c r="C15" s="155" t="s">
        <v>311</v>
      </c>
      <c r="D15" s="65">
        <v>421.2</v>
      </c>
      <c r="E15" s="93">
        <v>0</v>
      </c>
      <c r="F15" s="65">
        <v>430.4</v>
      </c>
      <c r="G15" s="93">
        <v>0</v>
      </c>
      <c r="H15" s="65">
        <v>424.8</v>
      </c>
      <c r="I15" s="93">
        <v>0</v>
      </c>
      <c r="J15" s="65">
        <v>421.6</v>
      </c>
      <c r="K15" s="93">
        <v>0</v>
      </c>
      <c r="L15" s="65">
        <v>424.8</v>
      </c>
      <c r="M15" s="93">
        <v>0</v>
      </c>
      <c r="N15" s="65">
        <v>451.6</v>
      </c>
      <c r="O15" s="93">
        <v>0</v>
      </c>
      <c r="P15" s="90">
        <v>1088.0999999999999</v>
      </c>
      <c r="Q15" s="64">
        <v>429.06666666666666</v>
      </c>
      <c r="R15" s="155">
        <v>0</v>
      </c>
      <c r="S15" s="64">
        <v>421.2</v>
      </c>
      <c r="T15" s="82">
        <v>0</v>
      </c>
      <c r="U15" s="64">
        <v>451.6</v>
      </c>
      <c r="V15" s="82">
        <v>0</v>
      </c>
    </row>
    <row r="16" spans="1:22">
      <c r="A16" s="140" t="s">
        <v>315</v>
      </c>
      <c r="B16" s="64" t="s">
        <v>96</v>
      </c>
      <c r="C16" s="155" t="s">
        <v>308</v>
      </c>
      <c r="D16" s="64">
        <v>432.8</v>
      </c>
      <c r="E16" s="82">
        <v>0</v>
      </c>
      <c r="F16" s="64">
        <v>410.4</v>
      </c>
      <c r="G16" s="82">
        <v>0</v>
      </c>
      <c r="H16" s="64">
        <v>418.4</v>
      </c>
      <c r="I16" s="82">
        <v>0</v>
      </c>
      <c r="J16" s="64">
        <v>423.2</v>
      </c>
      <c r="K16" s="82">
        <v>0</v>
      </c>
      <c r="L16" s="64">
        <v>430</v>
      </c>
      <c r="M16" s="82">
        <v>0</v>
      </c>
      <c r="N16" s="64">
        <v>443.2</v>
      </c>
      <c r="O16" s="82">
        <v>0</v>
      </c>
      <c r="P16" s="90">
        <v>1087.7333333333333</v>
      </c>
      <c r="Q16" s="64">
        <v>426.33333333333331</v>
      </c>
      <c r="R16" s="155">
        <v>0</v>
      </c>
      <c r="S16" s="64">
        <v>410.4</v>
      </c>
      <c r="T16" s="82">
        <v>0</v>
      </c>
      <c r="U16" s="64">
        <v>443.2</v>
      </c>
      <c r="V16" s="82">
        <v>0</v>
      </c>
    </row>
    <row r="17" spans="1:22">
      <c r="A17" s="140" t="s">
        <v>315</v>
      </c>
      <c r="B17" s="64" t="s">
        <v>96</v>
      </c>
      <c r="C17" s="155" t="s">
        <v>310</v>
      </c>
      <c r="D17" s="64">
        <v>410.4</v>
      </c>
      <c r="E17" s="82">
        <v>0</v>
      </c>
      <c r="F17" s="64">
        <v>436.4</v>
      </c>
      <c r="G17" s="82">
        <v>0</v>
      </c>
      <c r="H17" s="64">
        <v>412.8</v>
      </c>
      <c r="I17" s="82">
        <v>0</v>
      </c>
      <c r="J17" s="64">
        <v>424.8</v>
      </c>
      <c r="K17" s="82">
        <v>0</v>
      </c>
      <c r="L17" s="64">
        <v>433.6</v>
      </c>
      <c r="M17" s="82">
        <v>0</v>
      </c>
      <c r="N17" s="64">
        <v>450.4</v>
      </c>
      <c r="O17" s="82">
        <v>0</v>
      </c>
      <c r="P17" s="90">
        <v>1087.7666666666667</v>
      </c>
      <c r="Q17" s="64">
        <v>428.06666666666666</v>
      </c>
      <c r="R17" s="155">
        <v>0</v>
      </c>
      <c r="S17" s="64">
        <v>410.4</v>
      </c>
      <c r="T17" s="82">
        <v>0</v>
      </c>
      <c r="U17" s="64">
        <v>450.4</v>
      </c>
      <c r="V17" s="82">
        <v>0</v>
      </c>
    </row>
    <row r="18" spans="1:22">
      <c r="A18" s="140" t="s">
        <v>315</v>
      </c>
      <c r="B18" s="64" t="s">
        <v>96</v>
      </c>
      <c r="C18" s="155" t="s">
        <v>309</v>
      </c>
      <c r="D18" s="64">
        <v>402.8</v>
      </c>
      <c r="E18" s="82">
        <v>0</v>
      </c>
      <c r="F18" s="64">
        <v>435.6</v>
      </c>
      <c r="G18" s="82">
        <v>0</v>
      </c>
      <c r="H18" s="64">
        <v>416.8</v>
      </c>
      <c r="I18" s="82">
        <v>0</v>
      </c>
      <c r="J18" s="64">
        <v>420.8</v>
      </c>
      <c r="K18" s="82">
        <v>0</v>
      </c>
      <c r="L18" s="64">
        <v>417.2</v>
      </c>
      <c r="M18" s="82">
        <v>0</v>
      </c>
      <c r="N18" s="64">
        <v>447.2</v>
      </c>
      <c r="O18" s="82">
        <v>0</v>
      </c>
      <c r="P18" s="90">
        <v>1087.7333333333333</v>
      </c>
      <c r="Q18" s="64">
        <v>423.39999999999992</v>
      </c>
      <c r="R18" s="155">
        <v>0</v>
      </c>
      <c r="S18" s="64">
        <v>402.8</v>
      </c>
      <c r="T18" s="82">
        <v>0</v>
      </c>
      <c r="U18" s="64">
        <v>447.2</v>
      </c>
      <c r="V18" s="82">
        <v>0</v>
      </c>
    </row>
    <row r="19" spans="1:22">
      <c r="A19" s="140" t="s">
        <v>315</v>
      </c>
      <c r="B19" s="64" t="s">
        <v>95</v>
      </c>
      <c r="C19" s="155" t="s">
        <v>307</v>
      </c>
      <c r="D19" s="64">
        <v>435.2</v>
      </c>
      <c r="E19" s="82">
        <v>0</v>
      </c>
      <c r="F19" s="64">
        <v>457.2</v>
      </c>
      <c r="G19" s="82">
        <v>0</v>
      </c>
      <c r="H19" s="64">
        <v>424</v>
      </c>
      <c r="I19" s="82">
        <v>0</v>
      </c>
      <c r="J19" s="64">
        <v>441.2</v>
      </c>
      <c r="K19" s="82">
        <v>0</v>
      </c>
      <c r="L19" s="64">
        <v>456.8</v>
      </c>
      <c r="M19" s="82">
        <v>0</v>
      </c>
      <c r="N19" s="64">
        <v>487.2</v>
      </c>
      <c r="O19" s="82">
        <v>0</v>
      </c>
      <c r="P19" s="90">
        <v>4005.8333333333335</v>
      </c>
      <c r="Q19" s="64">
        <v>450.26666666666665</v>
      </c>
      <c r="R19" s="155">
        <v>0</v>
      </c>
      <c r="S19" s="64">
        <v>424</v>
      </c>
      <c r="T19" s="82">
        <v>0</v>
      </c>
      <c r="U19" s="64">
        <v>487.2</v>
      </c>
      <c r="V19" s="82">
        <v>0</v>
      </c>
    </row>
    <row r="20" spans="1:22">
      <c r="A20" s="140" t="s">
        <v>315</v>
      </c>
      <c r="B20" s="64" t="s">
        <v>95</v>
      </c>
      <c r="C20" s="155" t="s">
        <v>311</v>
      </c>
      <c r="D20" s="64">
        <v>445.2</v>
      </c>
      <c r="E20" s="82">
        <v>0</v>
      </c>
      <c r="F20" s="64">
        <v>447.6</v>
      </c>
      <c r="G20" s="82">
        <v>0</v>
      </c>
      <c r="H20" s="64">
        <v>429.6</v>
      </c>
      <c r="I20" s="82">
        <v>0</v>
      </c>
      <c r="J20" s="64">
        <v>444</v>
      </c>
      <c r="K20" s="82">
        <v>0</v>
      </c>
      <c r="L20" s="64">
        <v>446.4</v>
      </c>
      <c r="M20" s="82">
        <v>0</v>
      </c>
      <c r="N20" s="64">
        <v>454.8</v>
      </c>
      <c r="O20" s="82">
        <v>0</v>
      </c>
      <c r="P20" s="90">
        <v>4004.2999999999997</v>
      </c>
      <c r="Q20" s="64">
        <v>444.60000000000008</v>
      </c>
      <c r="R20" s="155">
        <v>0</v>
      </c>
      <c r="S20" s="64">
        <v>429.6</v>
      </c>
      <c r="T20" s="82">
        <v>0</v>
      </c>
      <c r="U20" s="64">
        <v>454.8</v>
      </c>
      <c r="V20" s="82">
        <v>0</v>
      </c>
    </row>
    <row r="21" spans="1:22">
      <c r="A21" s="140" t="s">
        <v>315</v>
      </c>
      <c r="B21" s="64" t="s">
        <v>95</v>
      </c>
      <c r="C21" s="155" t="s">
        <v>308</v>
      </c>
      <c r="D21" s="64">
        <v>456</v>
      </c>
      <c r="E21" s="82">
        <v>0</v>
      </c>
      <c r="F21" s="64">
        <v>444.4</v>
      </c>
      <c r="G21" s="82">
        <v>0</v>
      </c>
      <c r="H21" s="64">
        <v>449.2</v>
      </c>
      <c r="I21" s="82">
        <v>0</v>
      </c>
      <c r="J21" s="64">
        <v>436.4</v>
      </c>
      <c r="K21" s="82">
        <v>0</v>
      </c>
      <c r="L21" s="64">
        <v>448.4</v>
      </c>
      <c r="M21" s="82">
        <v>0</v>
      </c>
      <c r="N21" s="64">
        <v>462.8</v>
      </c>
      <c r="O21" s="82">
        <v>0</v>
      </c>
      <c r="P21" s="90">
        <v>4002.8000000000006</v>
      </c>
      <c r="Q21" s="64">
        <v>449.53333333333336</v>
      </c>
      <c r="R21" s="155">
        <v>0</v>
      </c>
      <c r="S21" s="64">
        <v>436.4</v>
      </c>
      <c r="T21" s="82">
        <v>0</v>
      </c>
      <c r="U21" s="64">
        <v>462.8</v>
      </c>
      <c r="V21" s="82">
        <v>0</v>
      </c>
    </row>
    <row r="22" spans="1:22">
      <c r="A22" s="140" t="s">
        <v>315</v>
      </c>
      <c r="B22" s="64" t="s">
        <v>95</v>
      </c>
      <c r="C22" s="155" t="s">
        <v>310</v>
      </c>
      <c r="D22" s="64">
        <v>445.2</v>
      </c>
      <c r="E22" s="82">
        <v>0</v>
      </c>
      <c r="F22" s="64">
        <v>444.8</v>
      </c>
      <c r="G22" s="82">
        <v>0</v>
      </c>
      <c r="H22" s="64">
        <v>455.2</v>
      </c>
      <c r="I22" s="82">
        <v>0</v>
      </c>
      <c r="J22" s="64">
        <v>439.6</v>
      </c>
      <c r="K22" s="82">
        <v>0</v>
      </c>
      <c r="L22" s="64">
        <v>426.8</v>
      </c>
      <c r="M22" s="82">
        <v>0</v>
      </c>
      <c r="N22" s="64">
        <v>463.2</v>
      </c>
      <c r="O22" s="82">
        <v>0</v>
      </c>
      <c r="P22" s="90">
        <v>4003.8666666666668</v>
      </c>
      <c r="Q22" s="64">
        <v>445.8</v>
      </c>
      <c r="R22" s="155">
        <v>0</v>
      </c>
      <c r="S22" s="64">
        <v>426.8</v>
      </c>
      <c r="T22" s="82">
        <v>0</v>
      </c>
      <c r="U22" s="64">
        <v>463.2</v>
      </c>
      <c r="V22" s="82">
        <v>0</v>
      </c>
    </row>
    <row r="23" spans="1:22" ht="14.25" thickBot="1">
      <c r="A23" s="141" t="s">
        <v>315</v>
      </c>
      <c r="B23" s="83" t="s">
        <v>95</v>
      </c>
      <c r="C23" s="156" t="s">
        <v>309</v>
      </c>
      <c r="D23" s="83">
        <v>438</v>
      </c>
      <c r="E23" s="84">
        <v>0</v>
      </c>
      <c r="F23" s="83">
        <v>434.8</v>
      </c>
      <c r="G23" s="84">
        <v>0</v>
      </c>
      <c r="H23" s="83">
        <v>446</v>
      </c>
      <c r="I23" s="84">
        <v>0</v>
      </c>
      <c r="J23" s="83">
        <v>450.4</v>
      </c>
      <c r="K23" s="84">
        <v>0</v>
      </c>
      <c r="L23" s="83">
        <v>437.2</v>
      </c>
      <c r="M23" s="84">
        <v>0</v>
      </c>
      <c r="N23" s="83">
        <v>464.8</v>
      </c>
      <c r="O23" s="84">
        <v>0</v>
      </c>
      <c r="P23" s="91">
        <v>4003.8333333333326</v>
      </c>
      <c r="Q23" s="83">
        <v>445.2</v>
      </c>
      <c r="R23" s="156">
        <v>0</v>
      </c>
      <c r="S23" s="83">
        <v>434.8</v>
      </c>
      <c r="T23" s="84">
        <v>0</v>
      </c>
      <c r="U23" s="83">
        <v>464.8</v>
      </c>
      <c r="V23" s="84">
        <v>0</v>
      </c>
    </row>
    <row r="24" spans="1:22">
      <c r="A24" s="136" t="s">
        <v>317</v>
      </c>
      <c r="B24" s="79" t="s">
        <v>96</v>
      </c>
      <c r="C24" s="157" t="s">
        <v>307</v>
      </c>
      <c r="D24" s="65">
        <v>522</v>
      </c>
      <c r="E24" s="93">
        <v>2.1</v>
      </c>
      <c r="F24" s="65">
        <v>520.79999999999995</v>
      </c>
      <c r="G24" s="93">
        <v>0.9</v>
      </c>
      <c r="H24" s="65">
        <v>508</v>
      </c>
      <c r="I24" s="93">
        <v>0.5</v>
      </c>
      <c r="J24" s="65">
        <v>500</v>
      </c>
      <c r="K24" s="93">
        <v>0.2</v>
      </c>
      <c r="L24" s="65">
        <v>506.4</v>
      </c>
      <c r="M24" s="93">
        <v>0.9</v>
      </c>
      <c r="N24" s="65">
        <v>576.4</v>
      </c>
      <c r="O24" s="93">
        <v>9.5</v>
      </c>
      <c r="P24" s="89">
        <v>1087.8999999999999</v>
      </c>
      <c r="Q24" s="79">
        <v>522.26666666666677</v>
      </c>
      <c r="R24" s="220">
        <v>2.35</v>
      </c>
      <c r="S24" s="65">
        <v>500</v>
      </c>
      <c r="T24" s="93">
        <v>0.2</v>
      </c>
      <c r="U24" s="65">
        <v>576.4</v>
      </c>
      <c r="V24" s="93">
        <v>9.5</v>
      </c>
    </row>
    <row r="25" spans="1:22">
      <c r="A25" s="136" t="s">
        <v>317</v>
      </c>
      <c r="B25" s="64" t="s">
        <v>96</v>
      </c>
      <c r="C25" s="155" t="s">
        <v>311</v>
      </c>
      <c r="D25" s="65">
        <v>455.6</v>
      </c>
      <c r="E25" s="93">
        <v>0</v>
      </c>
      <c r="F25" s="65">
        <v>428</v>
      </c>
      <c r="G25" s="93">
        <v>0</v>
      </c>
      <c r="H25" s="65">
        <v>433.2</v>
      </c>
      <c r="I25" s="93">
        <v>0</v>
      </c>
      <c r="J25" s="65">
        <v>436.8</v>
      </c>
      <c r="K25" s="93">
        <v>0</v>
      </c>
      <c r="L25" s="65">
        <v>428.8</v>
      </c>
      <c r="M25" s="93">
        <v>0</v>
      </c>
      <c r="N25" s="65">
        <v>489.6</v>
      </c>
      <c r="O25" s="93">
        <v>0</v>
      </c>
      <c r="P25" s="90">
        <v>1087.7666666666667</v>
      </c>
      <c r="Q25" s="64">
        <v>445.33333333333331</v>
      </c>
      <c r="R25" s="155">
        <v>0</v>
      </c>
      <c r="S25" s="64">
        <v>428</v>
      </c>
      <c r="T25" s="82">
        <v>0</v>
      </c>
      <c r="U25" s="64">
        <v>489.6</v>
      </c>
      <c r="V25" s="82">
        <v>0</v>
      </c>
    </row>
    <row r="26" spans="1:22">
      <c r="A26" s="136" t="s">
        <v>317</v>
      </c>
      <c r="B26" s="64" t="s">
        <v>96</v>
      </c>
      <c r="C26" s="155" t="s">
        <v>308</v>
      </c>
      <c r="D26" s="64">
        <v>466.8</v>
      </c>
      <c r="E26" s="82">
        <v>0</v>
      </c>
      <c r="F26" s="64">
        <v>474.4</v>
      </c>
      <c r="G26" s="82">
        <v>0</v>
      </c>
      <c r="H26" s="64">
        <v>464.8</v>
      </c>
      <c r="I26" s="82">
        <v>0</v>
      </c>
      <c r="J26" s="64">
        <v>445.6</v>
      </c>
      <c r="K26" s="82">
        <v>0</v>
      </c>
      <c r="L26" s="64">
        <v>441.2</v>
      </c>
      <c r="M26" s="82">
        <v>0</v>
      </c>
      <c r="N26" s="64">
        <v>518</v>
      </c>
      <c r="O26" s="82">
        <v>0</v>
      </c>
      <c r="P26" s="90">
        <v>1087.9666666666665</v>
      </c>
      <c r="Q26" s="64">
        <v>468.46666666666664</v>
      </c>
      <c r="R26" s="155">
        <v>0</v>
      </c>
      <c r="S26" s="64">
        <v>441.2</v>
      </c>
      <c r="T26" s="82">
        <v>0</v>
      </c>
      <c r="U26" s="64">
        <v>518</v>
      </c>
      <c r="V26" s="82">
        <v>0</v>
      </c>
    </row>
    <row r="27" spans="1:22">
      <c r="A27" s="136" t="s">
        <v>317</v>
      </c>
      <c r="B27" s="64" t="s">
        <v>96</v>
      </c>
      <c r="C27" s="155" t="s">
        <v>310</v>
      </c>
      <c r="D27" s="64">
        <v>425.6</v>
      </c>
      <c r="E27" s="82">
        <v>0</v>
      </c>
      <c r="F27" s="64">
        <v>421.6</v>
      </c>
      <c r="G27" s="82">
        <v>0</v>
      </c>
      <c r="H27" s="64">
        <v>430.4</v>
      </c>
      <c r="I27" s="82">
        <v>0</v>
      </c>
      <c r="J27" s="64">
        <v>429.2</v>
      </c>
      <c r="K27" s="82">
        <v>0</v>
      </c>
      <c r="L27" s="64">
        <v>442.4</v>
      </c>
      <c r="M27" s="82">
        <v>0</v>
      </c>
      <c r="N27" s="64">
        <v>466.8</v>
      </c>
      <c r="O27" s="82">
        <v>0</v>
      </c>
      <c r="P27" s="90">
        <v>1087.7333333333333</v>
      </c>
      <c r="Q27" s="64">
        <v>436</v>
      </c>
      <c r="R27" s="155">
        <v>0</v>
      </c>
      <c r="S27" s="64">
        <v>421.6</v>
      </c>
      <c r="T27" s="82">
        <v>0</v>
      </c>
      <c r="U27" s="64">
        <v>466.8</v>
      </c>
      <c r="V27" s="82">
        <v>0</v>
      </c>
    </row>
    <row r="28" spans="1:22">
      <c r="A28" s="136" t="s">
        <v>317</v>
      </c>
      <c r="B28" s="64" t="s">
        <v>96</v>
      </c>
      <c r="C28" s="155" t="s">
        <v>309</v>
      </c>
      <c r="D28" s="64">
        <v>434.8</v>
      </c>
      <c r="E28" s="82">
        <v>0</v>
      </c>
      <c r="F28" s="64">
        <v>415.2</v>
      </c>
      <c r="G28" s="82">
        <v>0</v>
      </c>
      <c r="H28" s="64">
        <v>416.4</v>
      </c>
      <c r="I28" s="82">
        <v>0</v>
      </c>
      <c r="J28" s="64">
        <v>414.8</v>
      </c>
      <c r="K28" s="82">
        <v>0</v>
      </c>
      <c r="L28" s="64">
        <v>433.6</v>
      </c>
      <c r="M28" s="82">
        <v>0</v>
      </c>
      <c r="N28" s="64">
        <v>473.2</v>
      </c>
      <c r="O28" s="82">
        <v>0</v>
      </c>
      <c r="P28" s="90">
        <v>1087.3999999999999</v>
      </c>
      <c r="Q28" s="64">
        <v>431.33333333333331</v>
      </c>
      <c r="R28" s="155">
        <v>0</v>
      </c>
      <c r="S28" s="64">
        <v>414.8</v>
      </c>
      <c r="T28" s="82">
        <v>0</v>
      </c>
      <c r="U28" s="64">
        <v>473.2</v>
      </c>
      <c r="V28" s="82">
        <v>0</v>
      </c>
    </row>
    <row r="29" spans="1:22">
      <c r="A29" s="136" t="s">
        <v>317</v>
      </c>
      <c r="B29" s="64" t="s">
        <v>95</v>
      </c>
      <c r="C29" s="155" t="s">
        <v>307</v>
      </c>
      <c r="D29" s="64">
        <v>537.6</v>
      </c>
      <c r="E29" s="82">
        <v>8.3000000000000007</v>
      </c>
      <c r="F29" s="64">
        <v>519.6</v>
      </c>
      <c r="G29" s="82">
        <v>2.2000000000000002</v>
      </c>
      <c r="H29" s="64">
        <v>524.79999999999995</v>
      </c>
      <c r="I29" s="82">
        <v>0.9</v>
      </c>
      <c r="J29" s="64">
        <v>514</v>
      </c>
      <c r="K29" s="82">
        <v>1</v>
      </c>
      <c r="L29" s="64">
        <v>546.4</v>
      </c>
      <c r="M29" s="82">
        <v>1.6</v>
      </c>
      <c r="N29" s="64">
        <v>603.6</v>
      </c>
      <c r="O29" s="82">
        <v>22.4</v>
      </c>
      <c r="P29" s="90">
        <v>4004.4</v>
      </c>
      <c r="Q29" s="64">
        <v>541</v>
      </c>
      <c r="R29" s="155">
        <v>6.0666666666666664</v>
      </c>
      <c r="S29" s="64">
        <v>514</v>
      </c>
      <c r="T29" s="82">
        <v>0.9</v>
      </c>
      <c r="U29" s="64">
        <v>603.6</v>
      </c>
      <c r="V29" s="82">
        <v>22.4</v>
      </c>
    </row>
    <row r="30" spans="1:22">
      <c r="A30" s="136" t="s">
        <v>317</v>
      </c>
      <c r="B30" s="64" t="s">
        <v>95</v>
      </c>
      <c r="C30" s="155" t="s">
        <v>311</v>
      </c>
      <c r="D30" s="64">
        <v>461.6</v>
      </c>
      <c r="E30" s="82">
        <v>0</v>
      </c>
      <c r="F30" s="64">
        <v>464.4</v>
      </c>
      <c r="G30" s="82">
        <v>0</v>
      </c>
      <c r="H30" s="64">
        <v>451.2</v>
      </c>
      <c r="I30" s="82">
        <v>0</v>
      </c>
      <c r="J30" s="64">
        <v>472.4</v>
      </c>
      <c r="K30" s="82">
        <v>0</v>
      </c>
      <c r="L30" s="64">
        <v>469.6</v>
      </c>
      <c r="M30" s="82">
        <v>0</v>
      </c>
      <c r="N30" s="64">
        <v>501.2</v>
      </c>
      <c r="O30" s="82">
        <v>0</v>
      </c>
      <c r="P30" s="90">
        <v>4004.5666666666662</v>
      </c>
      <c r="Q30" s="64">
        <v>470.06666666666661</v>
      </c>
      <c r="R30" s="155">
        <v>0</v>
      </c>
      <c r="S30" s="64">
        <v>451.2</v>
      </c>
      <c r="T30" s="82">
        <v>0</v>
      </c>
      <c r="U30" s="64">
        <v>501.2</v>
      </c>
      <c r="V30" s="82">
        <v>0</v>
      </c>
    </row>
    <row r="31" spans="1:22">
      <c r="A31" s="136" t="s">
        <v>317</v>
      </c>
      <c r="B31" s="64" t="s">
        <v>95</v>
      </c>
      <c r="C31" s="155" t="s">
        <v>308</v>
      </c>
      <c r="D31" s="64">
        <v>456</v>
      </c>
      <c r="E31" s="82">
        <v>0</v>
      </c>
      <c r="F31" s="64">
        <v>496.4</v>
      </c>
      <c r="G31" s="82">
        <v>0</v>
      </c>
      <c r="H31" s="64">
        <v>481.6</v>
      </c>
      <c r="I31" s="82">
        <v>0</v>
      </c>
      <c r="J31" s="64">
        <v>466</v>
      </c>
      <c r="K31" s="82">
        <v>0</v>
      </c>
      <c r="L31" s="64">
        <v>453.2</v>
      </c>
      <c r="M31" s="82">
        <v>0</v>
      </c>
      <c r="N31" s="64">
        <v>508.8</v>
      </c>
      <c r="O31" s="82">
        <v>0</v>
      </c>
      <c r="P31" s="90">
        <v>4004.5333333333333</v>
      </c>
      <c r="Q31" s="64">
        <v>477</v>
      </c>
      <c r="R31" s="155">
        <v>0</v>
      </c>
      <c r="S31" s="64">
        <v>453.2</v>
      </c>
      <c r="T31" s="82">
        <v>0</v>
      </c>
      <c r="U31" s="64">
        <v>508.8</v>
      </c>
      <c r="V31" s="82">
        <v>0</v>
      </c>
    </row>
    <row r="32" spans="1:22">
      <c r="A32" s="136" t="s">
        <v>317</v>
      </c>
      <c r="B32" s="64" t="s">
        <v>95</v>
      </c>
      <c r="C32" s="155" t="s">
        <v>310</v>
      </c>
      <c r="D32" s="64">
        <v>463.6</v>
      </c>
      <c r="E32" s="82">
        <v>0</v>
      </c>
      <c r="F32" s="64">
        <v>461.2</v>
      </c>
      <c r="G32" s="82">
        <v>0</v>
      </c>
      <c r="H32" s="64">
        <v>447.2</v>
      </c>
      <c r="I32" s="82">
        <v>0</v>
      </c>
      <c r="J32" s="64">
        <v>462</v>
      </c>
      <c r="K32" s="82">
        <v>0</v>
      </c>
      <c r="L32" s="64">
        <v>467.6</v>
      </c>
      <c r="M32" s="82">
        <v>0</v>
      </c>
      <c r="N32" s="64">
        <v>475.2</v>
      </c>
      <c r="O32" s="82">
        <v>0</v>
      </c>
      <c r="P32" s="90">
        <v>4004.0666666666662</v>
      </c>
      <c r="Q32" s="64">
        <v>462.79999999999995</v>
      </c>
      <c r="R32" s="155">
        <v>0</v>
      </c>
      <c r="S32" s="64">
        <v>447.2</v>
      </c>
      <c r="T32" s="82">
        <v>0</v>
      </c>
      <c r="U32" s="64">
        <v>475.2</v>
      </c>
      <c r="V32" s="82">
        <v>0</v>
      </c>
    </row>
    <row r="33" spans="1:22" ht="14.25" thickBot="1">
      <c r="A33" s="136" t="s">
        <v>317</v>
      </c>
      <c r="B33" s="83" t="s">
        <v>95</v>
      </c>
      <c r="C33" s="156" t="s">
        <v>309</v>
      </c>
      <c r="D33" s="83">
        <v>450</v>
      </c>
      <c r="E33" s="84">
        <v>0</v>
      </c>
      <c r="F33" s="83">
        <v>484.4</v>
      </c>
      <c r="G33" s="84">
        <v>0</v>
      </c>
      <c r="H33" s="83">
        <v>446</v>
      </c>
      <c r="I33" s="84">
        <v>0</v>
      </c>
      <c r="J33" s="83">
        <v>469.6</v>
      </c>
      <c r="K33" s="84">
        <v>0</v>
      </c>
      <c r="L33" s="83">
        <v>467.2</v>
      </c>
      <c r="M33" s="84">
        <v>0</v>
      </c>
      <c r="N33" s="83">
        <v>497.2</v>
      </c>
      <c r="O33" s="84">
        <v>0</v>
      </c>
      <c r="P33" s="91">
        <v>4005.7666666666664</v>
      </c>
      <c r="Q33" s="83">
        <v>469.06666666666661</v>
      </c>
      <c r="R33" s="156">
        <v>0</v>
      </c>
      <c r="S33" s="83">
        <v>446</v>
      </c>
      <c r="T33" s="84">
        <v>0</v>
      </c>
      <c r="U33" s="83">
        <v>497.2</v>
      </c>
      <c r="V33" s="84">
        <v>0</v>
      </c>
    </row>
  </sheetData>
  <mergeCells count="13">
    <mergeCell ref="A1:A3"/>
    <mergeCell ref="B1:B3"/>
    <mergeCell ref="C1:C3"/>
    <mergeCell ref="D1:O1"/>
    <mergeCell ref="P1:R2"/>
    <mergeCell ref="U1:V2"/>
    <mergeCell ref="D2:E2"/>
    <mergeCell ref="F2:G2"/>
    <mergeCell ref="H2:I2"/>
    <mergeCell ref="J2:K2"/>
    <mergeCell ref="L2:M2"/>
    <mergeCell ref="N2:O2"/>
    <mergeCell ref="S1:T2"/>
  </mergeCells>
  <phoneticPr fontId="3" type="noConversion"/>
  <conditionalFormatting sqref="R1:R33">
    <cfRule type="cellIs" dxfId="3" priority="1" stopIfTrue="1" operator="greaterThan">
      <formula>0.5</formula>
    </cfRule>
  </conditionalFormatting>
  <conditionalFormatting sqref="E1:E33 I1:I33 K1:K33 O1:O33">
    <cfRule type="cellIs" dxfId="2" priority="3" stopIfTrue="1" operator="greaterThan">
      <formula>0.5</formula>
    </cfRule>
  </conditionalFormatting>
  <conditionalFormatting sqref="G1:G33">
    <cfRule type="cellIs" dxfId="1" priority="2" stopIfTrue="1" operator="greaterThan">
      <formula>0.5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105"/>
  <sheetViews>
    <sheetView zoomScaleNormal="100" workbookViewId="0">
      <selection activeCell="C53" sqref="C53"/>
    </sheetView>
  </sheetViews>
  <sheetFormatPr defaultColWidth="8.88671875" defaultRowHeight="12"/>
  <cols>
    <col min="1" max="1" width="1.77734375" style="22" customWidth="1"/>
    <col min="2" max="2" width="4.5546875" style="22" customWidth="1"/>
    <col min="3" max="3" width="8.21875" style="22" customWidth="1"/>
    <col min="4" max="4" width="5.77734375" style="22" customWidth="1"/>
    <col min="5" max="5" width="11.44140625" style="22" customWidth="1"/>
    <col min="6" max="8" width="8.88671875" style="22"/>
    <col min="9" max="9" width="7.88671875" style="22" customWidth="1"/>
    <col min="10" max="10" width="6.6640625" style="22" customWidth="1"/>
    <col min="11" max="11" width="8.21875" style="22" customWidth="1"/>
    <col min="12" max="12" width="10.44140625" style="336" customWidth="1"/>
    <col min="13" max="13" width="8.6640625" style="337" customWidth="1"/>
    <col min="14" max="14" width="6" style="22" customWidth="1"/>
    <col min="15" max="15" width="7.33203125" style="350" customWidth="1"/>
    <col min="16" max="16" width="8.77734375" style="11" customWidth="1"/>
    <col min="17" max="17" width="7.33203125" style="22" customWidth="1"/>
    <col min="18" max="18" width="10" style="376" customWidth="1"/>
    <col min="19" max="19" width="8.6640625" style="22" customWidth="1"/>
    <col min="20" max="26" width="7.77734375" style="22" customWidth="1"/>
    <col min="27" max="28" width="7.77734375" style="19" customWidth="1"/>
    <col min="29" max="29" width="8" style="19" customWidth="1"/>
    <col min="30" max="30" width="8.5546875" style="22" customWidth="1"/>
    <col min="31" max="31" width="8.44140625" style="340" customWidth="1"/>
    <col min="32" max="32" width="6.5546875" style="22" customWidth="1"/>
    <col min="33" max="36" width="10.77734375" style="22" customWidth="1"/>
    <col min="37" max="37" width="9.44140625" style="22" customWidth="1"/>
    <col min="38" max="38" width="6.44140625" style="22" customWidth="1"/>
    <col min="39" max="44" width="8.88671875" style="22"/>
    <col min="45" max="45" width="9.21875" style="22" bestFit="1" customWidth="1"/>
    <col min="46" max="46" width="14.21875" style="22" bestFit="1" customWidth="1"/>
    <col min="47" max="16384" width="8.88671875" style="22"/>
  </cols>
  <sheetData>
    <row r="1" spans="1:44" s="332" customFormat="1" ht="21.75" customHeight="1" thickBot="1">
      <c r="B1" s="503"/>
      <c r="C1" s="503"/>
      <c r="D1" s="503"/>
      <c r="E1" s="503"/>
      <c r="F1" s="503"/>
      <c r="G1" s="503"/>
      <c r="H1" s="500"/>
      <c r="I1" s="494" t="s">
        <v>138</v>
      </c>
      <c r="J1" s="494" t="s">
        <v>121</v>
      </c>
      <c r="K1" s="486" t="s">
        <v>134</v>
      </c>
      <c r="L1" s="496" t="s">
        <v>100</v>
      </c>
      <c r="M1" s="501" t="s">
        <v>133</v>
      </c>
      <c r="N1" s="493"/>
      <c r="O1" s="498" t="s">
        <v>138</v>
      </c>
      <c r="P1" s="494" t="s">
        <v>17</v>
      </c>
      <c r="Q1" s="486" t="s">
        <v>134</v>
      </c>
      <c r="R1" s="496" t="s">
        <v>162</v>
      </c>
      <c r="S1" s="494" t="s">
        <v>163</v>
      </c>
      <c r="T1" s="488" t="s">
        <v>135</v>
      </c>
      <c r="U1" s="490" t="s">
        <v>135</v>
      </c>
      <c r="V1" s="491"/>
      <c r="W1" s="491"/>
      <c r="X1" s="491"/>
      <c r="Y1" s="491"/>
      <c r="Z1" s="492"/>
      <c r="AA1" s="81"/>
      <c r="AB1" s="59"/>
      <c r="AC1" s="56"/>
      <c r="AH1" s="22"/>
      <c r="AI1" s="22"/>
      <c r="AJ1" s="22"/>
      <c r="AK1" s="22"/>
      <c r="AL1" s="22"/>
    </row>
    <row r="2" spans="1:44" s="332" customFormat="1" ht="24.75" customHeight="1" thickBot="1">
      <c r="B2" s="503"/>
      <c r="C2" s="503"/>
      <c r="D2" s="503"/>
      <c r="E2" s="503"/>
      <c r="F2" s="503"/>
      <c r="G2" s="503"/>
      <c r="H2" s="500"/>
      <c r="I2" s="495"/>
      <c r="J2" s="495"/>
      <c r="K2" s="487"/>
      <c r="L2" s="497"/>
      <c r="M2" s="502"/>
      <c r="N2" s="493"/>
      <c r="O2" s="499"/>
      <c r="P2" s="495"/>
      <c r="Q2" s="487"/>
      <c r="R2" s="497"/>
      <c r="S2" s="495"/>
      <c r="T2" s="489"/>
      <c r="U2" s="78" t="s">
        <v>60</v>
      </c>
      <c r="V2" s="333" t="s">
        <v>61</v>
      </c>
      <c r="W2" s="333" t="s">
        <v>62</v>
      </c>
      <c r="X2" s="333" t="s">
        <v>65</v>
      </c>
      <c r="Y2" s="333" t="s">
        <v>63</v>
      </c>
      <c r="Z2" s="333" t="s">
        <v>64</v>
      </c>
      <c r="AA2" s="56"/>
      <c r="AG2" s="22"/>
      <c r="AH2" s="22"/>
      <c r="AI2" s="22"/>
      <c r="AJ2" s="22"/>
      <c r="AK2" s="22"/>
      <c r="AL2" s="22"/>
    </row>
    <row r="3" spans="1:44" s="332" customFormat="1" ht="14.25" customHeight="1" thickBot="1">
      <c r="B3" s="399"/>
      <c r="C3" s="399"/>
      <c r="D3" s="399"/>
      <c r="E3" s="399"/>
      <c r="F3" s="399"/>
      <c r="G3" s="399"/>
      <c r="H3" s="399"/>
      <c r="I3" s="399"/>
      <c r="J3" s="399"/>
      <c r="K3" s="401"/>
      <c r="L3" s="402"/>
      <c r="M3" s="403"/>
      <c r="N3" s="404"/>
      <c r="O3" s="405"/>
      <c r="P3" s="399"/>
      <c r="Q3" s="401"/>
      <c r="R3" s="402"/>
      <c r="S3" s="399"/>
      <c r="T3" s="59"/>
      <c r="U3" s="59"/>
      <c r="V3" s="399"/>
      <c r="W3" s="399"/>
      <c r="X3" s="399"/>
      <c r="Y3" s="399"/>
      <c r="Z3" s="399"/>
      <c r="AA3" s="56"/>
      <c r="AG3" s="22"/>
      <c r="AH3" s="22"/>
      <c r="AI3" s="22"/>
      <c r="AJ3" s="22"/>
      <c r="AK3" s="22"/>
      <c r="AL3" s="22"/>
    </row>
    <row r="4" spans="1:44" s="332" customFormat="1" ht="15" customHeight="1" thickBot="1">
      <c r="B4" s="504" t="s">
        <v>2294</v>
      </c>
      <c r="C4" s="505"/>
      <c r="D4" s="399"/>
      <c r="E4" s="399"/>
      <c r="F4" s="399"/>
      <c r="G4" s="399"/>
      <c r="H4" s="399"/>
      <c r="I4" s="399"/>
      <c r="J4" s="342">
        <f>K4*BASE/VK.TOTAL</f>
        <v>0.80787374488657482</v>
      </c>
      <c r="K4" s="343">
        <f>C12+C33+C43+C53</f>
        <v>1.5782199317599999E-2</v>
      </c>
      <c r="L4" s="344">
        <f>1/K4</f>
        <v>63.362525074995069</v>
      </c>
      <c r="M4" s="403"/>
      <c r="N4" s="404"/>
      <c r="O4" s="405"/>
      <c r="P4" s="399"/>
      <c r="Q4" s="401"/>
      <c r="R4" s="402"/>
      <c r="S4" s="399"/>
      <c r="T4" s="59"/>
      <c r="U4" s="59"/>
      <c r="V4" s="399"/>
      <c r="W4" s="399"/>
      <c r="X4" s="399"/>
      <c r="Y4" s="399"/>
      <c r="Z4" s="399"/>
      <c r="AA4" s="56"/>
      <c r="AG4" s="22"/>
      <c r="AH4" s="22"/>
      <c r="AI4" s="22"/>
      <c r="AJ4" s="22"/>
      <c r="AK4" s="22"/>
      <c r="AL4" s="22"/>
    </row>
    <row r="5" spans="1:44" s="332" customFormat="1" ht="13.5" customHeight="1">
      <c r="B5" s="399"/>
      <c r="C5" s="399"/>
      <c r="D5" s="399"/>
      <c r="E5" s="399"/>
      <c r="F5" s="399"/>
      <c r="G5" s="399"/>
      <c r="H5" s="399"/>
      <c r="I5" s="399"/>
      <c r="J5" s="399"/>
      <c r="K5" s="401"/>
      <c r="L5" s="402"/>
      <c r="M5" s="403"/>
      <c r="N5" s="404"/>
      <c r="O5" s="405"/>
      <c r="P5" s="399"/>
      <c r="Q5" s="401"/>
      <c r="R5" s="402"/>
      <c r="S5" s="399"/>
      <c r="T5" s="59"/>
      <c r="U5" s="59"/>
      <c r="V5" s="399"/>
      <c r="W5" s="399"/>
      <c r="X5" s="399"/>
      <c r="Y5" s="399"/>
      <c r="Z5" s="399"/>
      <c r="AA5" s="56"/>
      <c r="AG5" s="22"/>
      <c r="AH5" s="22"/>
      <c r="AI5" s="22"/>
      <c r="AJ5" s="22"/>
      <c r="AK5" s="22"/>
      <c r="AL5" s="22"/>
    </row>
    <row r="6" spans="1:44" ht="12.75" thickBot="1">
      <c r="A6" s="19"/>
      <c r="B6" s="19"/>
      <c r="E6" s="334">
        <f>1-LFR.010</f>
        <v>0.6</v>
      </c>
      <c r="K6" s="335"/>
      <c r="O6" s="338"/>
      <c r="R6" s="339"/>
      <c r="AD6" s="19"/>
    </row>
    <row r="7" spans="1:44" ht="12.75" thickBot="1">
      <c r="F7" s="341" t="s">
        <v>98</v>
      </c>
      <c r="H7" s="342">
        <f>E6*C11</f>
        <v>0.318</v>
      </c>
      <c r="I7" s="11" t="s">
        <v>60</v>
      </c>
      <c r="J7" s="342">
        <f>H7</f>
        <v>0.318</v>
      </c>
      <c r="K7" s="343">
        <f>VK.PC/BASE*H7</f>
        <v>4.6898222783999998E-3</v>
      </c>
      <c r="L7" s="344">
        <f>1/K7</f>
        <v>213.22769619772549</v>
      </c>
      <c r="M7" s="345">
        <f>K7/VK.PC</f>
        <v>3.1800000000000002E-9</v>
      </c>
      <c r="O7" s="63" t="s">
        <v>136</v>
      </c>
      <c r="Q7" s="346">
        <f>K7</f>
        <v>4.6898222783999998E-3</v>
      </c>
      <c r="R7" s="164">
        <f>1/Q7</f>
        <v>213.22769619772549</v>
      </c>
      <c r="S7" s="346">
        <f>Q7/VK.PC</f>
        <v>3.1800000000000002E-9</v>
      </c>
      <c r="T7" s="347"/>
      <c r="U7" s="19"/>
      <c r="V7" s="19"/>
      <c r="W7" s="19"/>
      <c r="X7" s="19"/>
      <c r="Y7" s="19"/>
      <c r="Z7" s="19"/>
      <c r="AD7" s="19"/>
    </row>
    <row r="8" spans="1:44">
      <c r="E8" s="348"/>
      <c r="F8" s="11"/>
      <c r="I8" s="11"/>
      <c r="J8" s="11"/>
      <c r="K8" s="349"/>
      <c r="O8" s="338"/>
      <c r="R8" s="339"/>
      <c r="AD8" s="19"/>
    </row>
    <row r="9" spans="1:44" ht="12.75" thickBot="1">
      <c r="R9" s="339"/>
      <c r="AD9" s="19"/>
      <c r="AI9" s="351"/>
    </row>
    <row r="10" spans="1:44" ht="14.25" customHeight="1" thickBot="1">
      <c r="B10" s="504" t="s">
        <v>104</v>
      </c>
      <c r="C10" s="505"/>
      <c r="F10" s="341" t="s">
        <v>114</v>
      </c>
      <c r="H10" s="341" t="s">
        <v>115</v>
      </c>
      <c r="I10" s="11" t="s">
        <v>19</v>
      </c>
      <c r="J10" s="342">
        <f>H11</f>
        <v>0.19737199999999999</v>
      </c>
      <c r="K10" s="343">
        <f>VK.PC/BASE*H11</f>
        <v>2.9108163607936E-3</v>
      </c>
      <c r="L10" s="352">
        <f>1/K10</f>
        <v>343.54623447539018</v>
      </c>
      <c r="M10" s="345">
        <f>K10/VK.PC</f>
        <v>1.9737200000000001E-9</v>
      </c>
      <c r="O10" s="160" t="s">
        <v>318</v>
      </c>
      <c r="P10" s="161" t="s">
        <v>328</v>
      </c>
      <c r="Q10" s="166">
        <f>K10    *NNVC</f>
        <v>0</v>
      </c>
      <c r="R10" s="164" t="str">
        <f t="shared" ref="R10:R59" si="0">IF(Q10&lt;&gt;0, 1/Q10, "")</f>
        <v/>
      </c>
      <c r="S10" s="166">
        <f t="shared" ref="S10:S29" si="1">Q10/VK.PC</f>
        <v>0</v>
      </c>
      <c r="T10" s="168">
        <f t="shared" ref="T10:T41" si="2">_rp1*U10+_rp2*V10+_rp3*W10+_rp4*X10+_rp5*Y10+_rp6*Z10</f>
        <v>0</v>
      </c>
      <c r="U10" s="168">
        <v>0</v>
      </c>
      <c r="V10" s="168">
        <v>0</v>
      </c>
      <c r="W10" s="168">
        <v>0</v>
      </c>
      <c r="X10" s="168">
        <v>0</v>
      </c>
      <c r="Y10" s="168">
        <v>0</v>
      </c>
      <c r="Z10" s="169">
        <v>0</v>
      </c>
      <c r="AB10" s="70" t="s">
        <v>28</v>
      </c>
      <c r="AC10" s="70" t="s">
        <v>15</v>
      </c>
      <c r="AD10" s="70" t="s">
        <v>30</v>
      </c>
      <c r="AE10" s="70" t="s">
        <v>29</v>
      </c>
      <c r="AH10" s="353"/>
      <c r="AI10" s="353"/>
      <c r="AJ10" s="353"/>
      <c r="AK10" s="353"/>
      <c r="AL10" s="353"/>
      <c r="AM10" s="353"/>
      <c r="AN10" s="353"/>
      <c r="AO10" s="353"/>
      <c r="AP10" s="353"/>
      <c r="AQ10" s="353"/>
      <c r="AR10" s="353"/>
    </row>
    <row r="11" spans="1:44" ht="12.75" thickBot="1">
      <c r="B11" s="22" t="s">
        <v>530</v>
      </c>
      <c r="C11" s="354">
        <v>0.53</v>
      </c>
      <c r="F11" s="341" t="s">
        <v>116</v>
      </c>
      <c r="H11" s="342">
        <f>F12*(1-CongRate)</f>
        <v>0.19737199999999999</v>
      </c>
      <c r="P11" s="153" t="s">
        <v>329</v>
      </c>
      <c r="Q11" s="163">
        <f>K10*NNV0</f>
        <v>0</v>
      </c>
      <c r="R11" s="164" t="str">
        <f t="shared" si="0"/>
        <v/>
      </c>
      <c r="S11" s="163">
        <f t="shared" si="1"/>
        <v>0</v>
      </c>
      <c r="T11" s="170">
        <f t="shared" si="2"/>
        <v>0</v>
      </c>
      <c r="U11" s="170">
        <v>0</v>
      </c>
      <c r="V11" s="170">
        <v>0</v>
      </c>
      <c r="W11" s="170">
        <v>0</v>
      </c>
      <c r="X11" s="170">
        <v>0</v>
      </c>
      <c r="Y11" s="170">
        <v>0</v>
      </c>
      <c r="Z11" s="171">
        <v>0</v>
      </c>
      <c r="AB11" s="70" t="s">
        <v>28</v>
      </c>
      <c r="AC11" s="70" t="s">
        <v>15</v>
      </c>
      <c r="AD11" s="70" t="s">
        <v>30</v>
      </c>
      <c r="AE11" s="71" t="s">
        <v>32</v>
      </c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</row>
    <row r="12" spans="1:44" ht="12.75" thickBot="1">
      <c r="B12" s="22" t="s">
        <v>531</v>
      </c>
      <c r="C12" s="345">
        <f>C11*VK.PC/BASE</f>
        <v>7.8163704639999994E-3</v>
      </c>
      <c r="E12" s="351">
        <f>1-PcCont</f>
        <v>0.95</v>
      </c>
      <c r="F12" s="355">
        <f>C11*E12*E14</f>
        <v>0.2014</v>
      </c>
      <c r="I12" s="11"/>
      <c r="J12" s="11"/>
      <c r="K12" s="349"/>
      <c r="P12" s="153" t="s">
        <v>330</v>
      </c>
      <c r="Q12" s="163">
        <f>K10*NFF*WV0</f>
        <v>9.6930184814426879E-4</v>
      </c>
      <c r="R12" s="164">
        <f t="shared" si="0"/>
        <v>1031.6703737999705</v>
      </c>
      <c r="S12" s="163">
        <f t="shared" si="1"/>
        <v>6.5724876000000004E-10</v>
      </c>
      <c r="T12" s="170">
        <f t="shared" si="2"/>
        <v>0</v>
      </c>
      <c r="U12" s="170">
        <v>0</v>
      </c>
      <c r="V12" s="170">
        <v>0</v>
      </c>
      <c r="W12" s="170">
        <v>0</v>
      </c>
      <c r="X12" s="170">
        <v>0</v>
      </c>
      <c r="Y12" s="170">
        <v>0</v>
      </c>
      <c r="Z12" s="171">
        <v>0</v>
      </c>
      <c r="AB12" s="70" t="s">
        <v>28</v>
      </c>
      <c r="AC12" s="70" t="s">
        <v>15</v>
      </c>
      <c r="AD12" s="70" t="s">
        <v>31</v>
      </c>
      <c r="AE12" s="70" t="s">
        <v>33</v>
      </c>
      <c r="AH12" s="353"/>
      <c r="AI12" s="353"/>
      <c r="AJ12" s="353"/>
      <c r="AK12" s="353"/>
      <c r="AL12" s="353"/>
      <c r="AM12" s="353"/>
      <c r="AN12" s="353"/>
      <c r="AO12" s="353"/>
      <c r="AP12" s="353"/>
      <c r="AQ12" s="353"/>
      <c r="AR12" s="353"/>
    </row>
    <row r="13" spans="1:44" ht="12.75" thickBot="1">
      <c r="B13" s="22" t="s">
        <v>532</v>
      </c>
      <c r="C13" s="356">
        <f>1/C12</f>
        <v>127.9366177186353</v>
      </c>
      <c r="F13" s="345">
        <f>VK.PC/BASE*F12</f>
        <v>2.97022077632E-3</v>
      </c>
      <c r="P13" s="153" t="s">
        <v>331</v>
      </c>
      <c r="Q13" s="163">
        <f>K10*NFF*WVR</f>
        <v>9.6930184814426879E-4</v>
      </c>
      <c r="R13" s="164">
        <f t="shared" si="0"/>
        <v>1031.6703737999705</v>
      </c>
      <c r="S13" s="163">
        <f t="shared" si="1"/>
        <v>6.5724876000000004E-10</v>
      </c>
      <c r="T13" s="170">
        <f t="shared" si="2"/>
        <v>0</v>
      </c>
      <c r="U13" s="170">
        <v>0</v>
      </c>
      <c r="V13" s="170">
        <v>0</v>
      </c>
      <c r="W13" s="170">
        <v>0</v>
      </c>
      <c r="X13" s="170">
        <v>0</v>
      </c>
      <c r="Y13" s="170">
        <v>0</v>
      </c>
      <c r="Z13" s="171">
        <v>0</v>
      </c>
      <c r="AB13" s="70" t="s">
        <v>28</v>
      </c>
      <c r="AC13" s="70" t="s">
        <v>15</v>
      </c>
      <c r="AD13" s="70" t="s">
        <v>31</v>
      </c>
      <c r="AE13" s="70" t="s">
        <v>34</v>
      </c>
      <c r="AH13" s="353"/>
      <c r="AI13" s="353"/>
      <c r="AJ13" s="353"/>
      <c r="AK13" s="353"/>
      <c r="AL13" s="353"/>
      <c r="AM13" s="353"/>
      <c r="AN13" s="353"/>
      <c r="AO13" s="353"/>
      <c r="AP13" s="353"/>
      <c r="AQ13" s="353"/>
      <c r="AR13" s="353"/>
    </row>
    <row r="14" spans="1:44" ht="12.75" thickBot="1">
      <c r="E14" s="357">
        <f>LFR.010</f>
        <v>0.4</v>
      </c>
      <c r="F14" s="356">
        <f>1/F13</f>
        <v>336.67530978588235</v>
      </c>
      <c r="P14" s="152" t="s">
        <v>332</v>
      </c>
      <c r="Q14" s="358">
        <f>K10*NFF*WVP</f>
        <v>9.6930184814426879E-4</v>
      </c>
      <c r="R14" s="165">
        <f t="shared" si="0"/>
        <v>1031.6703737999705</v>
      </c>
      <c r="S14" s="163">
        <f t="shared" si="1"/>
        <v>6.5724876000000004E-10</v>
      </c>
      <c r="T14" s="172">
        <f t="shared" si="2"/>
        <v>0</v>
      </c>
      <c r="U14" s="172">
        <v>0</v>
      </c>
      <c r="V14" s="172">
        <v>0</v>
      </c>
      <c r="W14" s="172">
        <v>0</v>
      </c>
      <c r="X14" s="172">
        <v>0</v>
      </c>
      <c r="Y14" s="172">
        <v>0</v>
      </c>
      <c r="Z14" s="173">
        <v>0</v>
      </c>
      <c r="AB14" s="70" t="s">
        <v>28</v>
      </c>
      <c r="AC14" s="70" t="s">
        <v>15</v>
      </c>
      <c r="AD14" s="70" t="s">
        <v>31</v>
      </c>
      <c r="AE14" s="70" t="s">
        <v>35</v>
      </c>
      <c r="AH14" s="353"/>
      <c r="AI14" s="353"/>
      <c r="AJ14" s="353"/>
      <c r="AK14" s="353"/>
      <c r="AL14" s="353"/>
      <c r="AM14" s="353"/>
      <c r="AN14" s="353"/>
      <c r="AO14" s="353"/>
      <c r="AP14" s="353"/>
      <c r="AQ14" s="353"/>
      <c r="AR14" s="353"/>
    </row>
    <row r="15" spans="1:44" ht="12.75" thickBot="1">
      <c r="B15" s="359"/>
      <c r="F15" s="11"/>
      <c r="H15" s="341" t="s">
        <v>117</v>
      </c>
      <c r="I15" s="11" t="s">
        <v>20</v>
      </c>
      <c r="J15" s="342">
        <f>H16</f>
        <v>4.0280000000000003E-3</v>
      </c>
      <c r="K15" s="343">
        <f>VK.PC/BASE*H16</f>
        <v>5.94044155264E-5</v>
      </c>
      <c r="L15" s="344">
        <f>1/K15</f>
        <v>16833.765489294117</v>
      </c>
      <c r="M15" s="345">
        <f>K15/VK.PC</f>
        <v>4.0280000000000002E-11</v>
      </c>
      <c r="O15" s="160" t="s">
        <v>319</v>
      </c>
      <c r="P15" s="161" t="s">
        <v>333</v>
      </c>
      <c r="Q15" s="166">
        <f>K15    *CNVC</f>
        <v>0</v>
      </c>
      <c r="R15" s="164" t="str">
        <f t="shared" si="0"/>
        <v/>
      </c>
      <c r="S15" s="166">
        <f t="shared" si="1"/>
        <v>0</v>
      </c>
      <c r="T15" s="168">
        <f t="shared" si="2"/>
        <v>0</v>
      </c>
      <c r="U15" s="168">
        <v>0</v>
      </c>
      <c r="V15" s="168">
        <v>0</v>
      </c>
      <c r="W15" s="168">
        <v>0</v>
      </c>
      <c r="X15" s="168">
        <v>0</v>
      </c>
      <c r="Y15" s="168">
        <v>0</v>
      </c>
      <c r="Z15" s="169">
        <v>0</v>
      </c>
      <c r="AB15" s="70" t="s">
        <v>28</v>
      </c>
      <c r="AC15" s="70" t="s">
        <v>36</v>
      </c>
      <c r="AD15" s="70" t="s">
        <v>30</v>
      </c>
      <c r="AE15" s="70" t="s">
        <v>29</v>
      </c>
      <c r="AH15" s="353"/>
      <c r="AI15" s="353"/>
      <c r="AJ15" s="353"/>
      <c r="AK15" s="353"/>
      <c r="AL15" s="353"/>
      <c r="AM15" s="353"/>
      <c r="AN15" s="353"/>
      <c r="AO15" s="353"/>
      <c r="AP15" s="353"/>
      <c r="AQ15" s="353"/>
      <c r="AR15" s="353"/>
    </row>
    <row r="16" spans="1:44" ht="12.75" thickBot="1">
      <c r="B16" s="359"/>
      <c r="F16" s="11"/>
      <c r="H16" s="342">
        <f>F12*CongRate</f>
        <v>4.0280000000000003E-3</v>
      </c>
      <c r="P16" s="153" t="s">
        <v>334</v>
      </c>
      <c r="Q16" s="163">
        <f>K15*CNV0</f>
        <v>0</v>
      </c>
      <c r="R16" s="164" t="str">
        <f t="shared" si="0"/>
        <v/>
      </c>
      <c r="S16" s="163">
        <f t="shared" si="1"/>
        <v>0</v>
      </c>
      <c r="T16" s="170">
        <f t="shared" si="2"/>
        <v>0</v>
      </c>
      <c r="U16" s="170">
        <v>0</v>
      </c>
      <c r="V16" s="170">
        <v>0</v>
      </c>
      <c r="W16" s="170">
        <v>0</v>
      </c>
      <c r="X16" s="170">
        <v>0</v>
      </c>
      <c r="Y16" s="170">
        <v>0</v>
      </c>
      <c r="Z16" s="171">
        <v>0</v>
      </c>
      <c r="AB16" s="70" t="s">
        <v>28</v>
      </c>
      <c r="AC16" s="70" t="s">
        <v>36</v>
      </c>
      <c r="AD16" s="70" t="s">
        <v>30</v>
      </c>
      <c r="AE16" s="71" t="s">
        <v>32</v>
      </c>
      <c r="AH16" s="353"/>
      <c r="AI16" s="353"/>
      <c r="AJ16" s="353"/>
      <c r="AK16" s="353"/>
      <c r="AL16" s="353"/>
      <c r="AM16" s="353"/>
      <c r="AN16" s="353"/>
      <c r="AO16" s="353"/>
      <c r="AP16" s="353"/>
      <c r="AQ16" s="353"/>
      <c r="AR16" s="353"/>
    </row>
    <row r="17" spans="2:44">
      <c r="B17" s="360"/>
      <c r="C17" s="361"/>
      <c r="F17" s="11"/>
      <c r="I17" s="11"/>
      <c r="J17" s="11"/>
      <c r="K17" s="349"/>
      <c r="P17" s="153" t="s">
        <v>335</v>
      </c>
      <c r="Q17" s="163">
        <f>K15*CFF*WV0</f>
        <v>1.9781670370291202E-5</v>
      </c>
      <c r="R17" s="164">
        <f t="shared" si="0"/>
        <v>50551.84831619855</v>
      </c>
      <c r="S17" s="163">
        <f t="shared" si="1"/>
        <v>1.3413240000000003E-11</v>
      </c>
      <c r="T17" s="170">
        <f t="shared" si="2"/>
        <v>0</v>
      </c>
      <c r="U17" s="170">
        <v>0</v>
      </c>
      <c r="V17" s="170">
        <v>0</v>
      </c>
      <c r="W17" s="170">
        <v>0</v>
      </c>
      <c r="X17" s="170">
        <v>0</v>
      </c>
      <c r="Y17" s="170">
        <v>0</v>
      </c>
      <c r="Z17" s="171">
        <v>0</v>
      </c>
      <c r="AB17" s="70" t="s">
        <v>28</v>
      </c>
      <c r="AC17" s="70" t="s">
        <v>36</v>
      </c>
      <c r="AD17" s="70" t="s">
        <v>31</v>
      </c>
      <c r="AE17" s="70" t="s">
        <v>33</v>
      </c>
      <c r="AH17" s="353"/>
      <c r="AI17" s="353"/>
      <c r="AJ17" s="353"/>
      <c r="AK17" s="353"/>
      <c r="AL17" s="353"/>
      <c r="AM17" s="353"/>
      <c r="AN17" s="353"/>
      <c r="AO17" s="353"/>
      <c r="AP17" s="353"/>
      <c r="AQ17" s="353"/>
      <c r="AR17" s="353"/>
    </row>
    <row r="18" spans="2:44">
      <c r="B18" s="362"/>
      <c r="C18" s="360"/>
      <c r="I18" s="11"/>
      <c r="J18" s="11"/>
      <c r="P18" s="153" t="s">
        <v>336</v>
      </c>
      <c r="Q18" s="163">
        <f>K15*CFF*WVR</f>
        <v>1.9781670370291202E-5</v>
      </c>
      <c r="R18" s="164">
        <f t="shared" si="0"/>
        <v>50551.84831619855</v>
      </c>
      <c r="S18" s="163">
        <f t="shared" si="1"/>
        <v>1.3413240000000003E-11</v>
      </c>
      <c r="T18" s="170">
        <f t="shared" si="2"/>
        <v>0</v>
      </c>
      <c r="U18" s="170">
        <v>0</v>
      </c>
      <c r="V18" s="170">
        <v>0</v>
      </c>
      <c r="W18" s="170">
        <v>0</v>
      </c>
      <c r="X18" s="170">
        <v>0</v>
      </c>
      <c r="Y18" s="170">
        <v>0</v>
      </c>
      <c r="Z18" s="171">
        <v>0</v>
      </c>
      <c r="AB18" s="70" t="s">
        <v>28</v>
      </c>
      <c r="AC18" s="70" t="s">
        <v>36</v>
      </c>
      <c r="AD18" s="70" t="s">
        <v>31</v>
      </c>
      <c r="AE18" s="70" t="s">
        <v>34</v>
      </c>
      <c r="AH18" s="353"/>
      <c r="AI18" s="353"/>
      <c r="AJ18" s="353"/>
      <c r="AK18" s="353"/>
      <c r="AL18" s="353"/>
      <c r="AM18" s="353"/>
      <c r="AN18" s="353"/>
      <c r="AO18" s="353"/>
      <c r="AP18" s="353"/>
      <c r="AQ18" s="353"/>
      <c r="AR18" s="353"/>
    </row>
    <row r="19" spans="2:44" ht="12.75" thickBot="1">
      <c r="B19" s="362"/>
      <c r="C19" s="363"/>
      <c r="P19" s="152" t="s">
        <v>337</v>
      </c>
      <c r="Q19" s="358">
        <f>K15*CFF*WVP</f>
        <v>1.9781670370291202E-5</v>
      </c>
      <c r="R19" s="165">
        <f t="shared" si="0"/>
        <v>50551.84831619855</v>
      </c>
      <c r="S19" s="163">
        <f t="shared" si="1"/>
        <v>1.3413240000000003E-11</v>
      </c>
      <c r="T19" s="172">
        <f t="shared" si="2"/>
        <v>0</v>
      </c>
      <c r="U19" s="172">
        <v>0</v>
      </c>
      <c r="V19" s="172">
        <v>0</v>
      </c>
      <c r="W19" s="172">
        <v>0</v>
      </c>
      <c r="X19" s="172">
        <v>0</v>
      </c>
      <c r="Y19" s="172">
        <v>0</v>
      </c>
      <c r="Z19" s="173">
        <v>0</v>
      </c>
      <c r="AB19" s="70" t="s">
        <v>28</v>
      </c>
      <c r="AC19" s="70" t="s">
        <v>36</v>
      </c>
      <c r="AD19" s="70" t="s">
        <v>31</v>
      </c>
      <c r="AE19" s="70" t="s">
        <v>35</v>
      </c>
      <c r="AH19" s="353"/>
      <c r="AI19" s="353"/>
      <c r="AJ19" s="353"/>
      <c r="AK19" s="353"/>
      <c r="AL19" s="353"/>
      <c r="AM19" s="353"/>
      <c r="AN19" s="353"/>
      <c r="AO19" s="353"/>
      <c r="AP19" s="353"/>
      <c r="AQ19" s="353"/>
      <c r="AR19" s="353"/>
    </row>
    <row r="20" spans="2:44" ht="12.75" thickBot="1">
      <c r="B20" s="362"/>
      <c r="C20" s="364"/>
      <c r="E20" s="351">
        <f>PcCont</f>
        <v>0.05</v>
      </c>
      <c r="F20" s="341" t="s">
        <v>118</v>
      </c>
      <c r="H20" s="341" t="s">
        <v>115</v>
      </c>
      <c r="I20" s="11" t="s">
        <v>21</v>
      </c>
      <c r="J20" s="342">
        <f>H21</f>
        <v>1.0388000000000001E-2</v>
      </c>
      <c r="K20" s="343">
        <f>VK.PC/BASE*H21</f>
        <v>1.532008610944E-4</v>
      </c>
      <c r="L20" s="344">
        <f>1/K20</f>
        <v>6527.3784550324126</v>
      </c>
      <c r="M20" s="345">
        <f>K20/VK.PC</f>
        <v>1.0388000000000001E-10</v>
      </c>
      <c r="O20" s="160" t="s">
        <v>320</v>
      </c>
      <c r="P20" s="161" t="s">
        <v>328</v>
      </c>
      <c r="Q20" s="166">
        <f>K20    *NNVC</f>
        <v>0</v>
      </c>
      <c r="R20" s="164" t="str">
        <f t="shared" si="0"/>
        <v/>
      </c>
      <c r="S20" s="166">
        <f t="shared" si="1"/>
        <v>0</v>
      </c>
      <c r="T20" s="168">
        <f t="shared" si="2"/>
        <v>0</v>
      </c>
      <c r="U20" s="168">
        <v>0</v>
      </c>
      <c r="V20" s="168">
        <v>0</v>
      </c>
      <c r="W20" s="168">
        <v>0</v>
      </c>
      <c r="X20" s="168">
        <v>0</v>
      </c>
      <c r="Y20" s="168">
        <v>0</v>
      </c>
      <c r="Z20" s="169">
        <v>0</v>
      </c>
      <c r="AB20" s="70" t="s">
        <v>37</v>
      </c>
      <c r="AC20" s="70" t="s">
        <v>15</v>
      </c>
      <c r="AD20" s="70" t="s">
        <v>30</v>
      </c>
      <c r="AE20" s="70" t="s">
        <v>29</v>
      </c>
      <c r="AH20" s="353"/>
      <c r="AI20" s="353"/>
      <c r="AJ20" s="353"/>
      <c r="AK20" s="353"/>
      <c r="AL20" s="353"/>
      <c r="AM20" s="353"/>
      <c r="AN20" s="353"/>
      <c r="AO20" s="353"/>
      <c r="AP20" s="353"/>
      <c r="AQ20" s="353"/>
      <c r="AR20" s="353"/>
    </row>
    <row r="21" spans="2:44" ht="14.25" customHeight="1" thickBot="1">
      <c r="B21" s="365"/>
      <c r="C21" s="366"/>
      <c r="F21" s="341" t="s">
        <v>97</v>
      </c>
      <c r="H21" s="342">
        <f>F22*(1-CongRate)</f>
        <v>1.0388000000000001E-2</v>
      </c>
      <c r="I21" s="11"/>
      <c r="J21" s="11"/>
      <c r="K21" s="349"/>
      <c r="P21" s="153" t="s">
        <v>329</v>
      </c>
      <c r="Q21" s="163">
        <f>K20*NNV0</f>
        <v>0</v>
      </c>
      <c r="R21" s="164" t="str">
        <f t="shared" si="0"/>
        <v/>
      </c>
      <c r="S21" s="163">
        <f t="shared" si="1"/>
        <v>0</v>
      </c>
      <c r="T21" s="170">
        <f t="shared" si="2"/>
        <v>0</v>
      </c>
      <c r="U21" s="170">
        <v>0</v>
      </c>
      <c r="V21" s="170">
        <v>0</v>
      </c>
      <c r="W21" s="170">
        <v>0</v>
      </c>
      <c r="X21" s="170">
        <v>0</v>
      </c>
      <c r="Y21" s="170">
        <v>0</v>
      </c>
      <c r="Z21" s="171">
        <v>0</v>
      </c>
      <c r="AB21" s="70" t="s">
        <v>37</v>
      </c>
      <c r="AC21" s="70" t="s">
        <v>15</v>
      </c>
      <c r="AD21" s="70" t="s">
        <v>30</v>
      </c>
      <c r="AE21" s="71" t="s">
        <v>32</v>
      </c>
      <c r="AH21" s="353"/>
      <c r="AI21" s="353"/>
      <c r="AJ21" s="353"/>
      <c r="AK21" s="353"/>
      <c r="AL21" s="353"/>
      <c r="AM21" s="353"/>
      <c r="AN21" s="353"/>
      <c r="AO21" s="353"/>
      <c r="AP21" s="353"/>
      <c r="AQ21" s="353"/>
      <c r="AR21" s="353"/>
    </row>
    <row r="22" spans="2:44" ht="12.75" thickBot="1">
      <c r="F22" s="367">
        <f>C11*E20*E14</f>
        <v>1.0600000000000002E-2</v>
      </c>
      <c r="P22" s="153" t="s">
        <v>330</v>
      </c>
      <c r="Q22" s="163">
        <f>K20*NFF*WV0</f>
        <v>5.1015886744435203E-5</v>
      </c>
      <c r="R22" s="164">
        <f t="shared" si="0"/>
        <v>19601.737102199437</v>
      </c>
      <c r="S22" s="163">
        <f t="shared" si="1"/>
        <v>3.4592040000000002E-11</v>
      </c>
      <c r="T22" s="170">
        <f t="shared" si="2"/>
        <v>0</v>
      </c>
      <c r="U22" s="170">
        <v>0</v>
      </c>
      <c r="V22" s="170">
        <v>0</v>
      </c>
      <c r="W22" s="170">
        <v>0</v>
      </c>
      <c r="X22" s="170">
        <v>0</v>
      </c>
      <c r="Y22" s="170">
        <v>0</v>
      </c>
      <c r="Z22" s="171">
        <v>0</v>
      </c>
      <c r="AB22" s="70" t="s">
        <v>37</v>
      </c>
      <c r="AC22" s="70" t="s">
        <v>15</v>
      </c>
      <c r="AD22" s="70" t="s">
        <v>31</v>
      </c>
      <c r="AE22" s="70" t="s">
        <v>33</v>
      </c>
      <c r="AH22" s="353"/>
      <c r="AI22" s="353"/>
      <c r="AJ22" s="353"/>
      <c r="AK22" s="353"/>
      <c r="AL22" s="353"/>
      <c r="AM22" s="353"/>
      <c r="AN22" s="353"/>
      <c r="AO22" s="353"/>
      <c r="AP22" s="353"/>
      <c r="AQ22" s="353"/>
      <c r="AR22" s="353"/>
    </row>
    <row r="23" spans="2:44" ht="13.5" customHeight="1" thickBot="1">
      <c r="F23" s="345">
        <f>PCVK/BASE*F22</f>
        <v>1.5632740928000002E-4</v>
      </c>
      <c r="I23" s="11"/>
      <c r="J23" s="11"/>
      <c r="K23" s="349"/>
      <c r="P23" s="153" t="s">
        <v>331</v>
      </c>
      <c r="Q23" s="163">
        <f>K20*NFF*WVR</f>
        <v>5.1015886744435203E-5</v>
      </c>
      <c r="R23" s="164">
        <f t="shared" si="0"/>
        <v>19601.737102199437</v>
      </c>
      <c r="S23" s="163">
        <f t="shared" si="1"/>
        <v>3.4592040000000002E-11</v>
      </c>
      <c r="T23" s="170">
        <f t="shared" si="2"/>
        <v>0</v>
      </c>
      <c r="U23" s="170">
        <v>0</v>
      </c>
      <c r="V23" s="170">
        <v>0</v>
      </c>
      <c r="W23" s="170">
        <v>0</v>
      </c>
      <c r="X23" s="170">
        <v>0</v>
      </c>
      <c r="Y23" s="170">
        <v>0</v>
      </c>
      <c r="Z23" s="171">
        <v>0</v>
      </c>
      <c r="AB23" s="70" t="s">
        <v>37</v>
      </c>
      <c r="AC23" s="70" t="s">
        <v>15</v>
      </c>
      <c r="AD23" s="70" t="s">
        <v>31</v>
      </c>
      <c r="AE23" s="70" t="s">
        <v>34</v>
      </c>
      <c r="AH23" s="353"/>
      <c r="AI23" s="353"/>
      <c r="AJ23" s="353"/>
      <c r="AK23" s="353"/>
      <c r="AL23" s="353"/>
      <c r="AM23" s="353"/>
      <c r="AN23" s="353"/>
      <c r="AO23" s="353"/>
      <c r="AP23" s="353"/>
      <c r="AQ23" s="353"/>
      <c r="AR23" s="353"/>
    </row>
    <row r="24" spans="2:44" ht="13.5" customHeight="1" thickBot="1">
      <c r="F24" s="356">
        <f>1/F23</f>
        <v>6396.830885931764</v>
      </c>
      <c r="I24" s="11"/>
      <c r="J24" s="11"/>
      <c r="P24" s="152" t="s">
        <v>332</v>
      </c>
      <c r="Q24" s="358">
        <f>K20*NFF*WVP</f>
        <v>5.1015886744435203E-5</v>
      </c>
      <c r="R24" s="165">
        <f t="shared" si="0"/>
        <v>19601.737102199437</v>
      </c>
      <c r="S24" s="163">
        <f t="shared" si="1"/>
        <v>3.4592040000000002E-11</v>
      </c>
      <c r="T24" s="172">
        <f t="shared" si="2"/>
        <v>0</v>
      </c>
      <c r="U24" s="172">
        <v>0</v>
      </c>
      <c r="V24" s="172">
        <v>0</v>
      </c>
      <c r="W24" s="172">
        <v>0</v>
      </c>
      <c r="X24" s="172">
        <v>0</v>
      </c>
      <c r="Y24" s="172">
        <v>0</v>
      </c>
      <c r="Z24" s="173">
        <v>0</v>
      </c>
      <c r="AB24" s="70" t="s">
        <v>37</v>
      </c>
      <c r="AC24" s="70" t="s">
        <v>15</v>
      </c>
      <c r="AD24" s="70" t="s">
        <v>31</v>
      </c>
      <c r="AE24" s="70" t="s">
        <v>35</v>
      </c>
      <c r="AH24" s="353"/>
      <c r="AI24" s="353"/>
      <c r="AJ24" s="353"/>
      <c r="AK24" s="353"/>
      <c r="AL24" s="353"/>
      <c r="AM24" s="353"/>
      <c r="AN24" s="353"/>
      <c r="AO24" s="353"/>
      <c r="AP24" s="353"/>
      <c r="AQ24" s="353"/>
      <c r="AR24" s="353"/>
    </row>
    <row r="25" spans="2:44" ht="12.75" thickBot="1">
      <c r="F25" s="11"/>
      <c r="H25" s="341" t="s">
        <v>117</v>
      </c>
      <c r="I25" s="11" t="s">
        <v>22</v>
      </c>
      <c r="J25" s="342">
        <f>H26</f>
        <v>2.1200000000000003E-4</v>
      </c>
      <c r="K25" s="343">
        <f>VK.PC/BASE*H26</f>
        <v>3.1265481856000003E-6</v>
      </c>
      <c r="L25" s="344">
        <f>1/K25</f>
        <v>319841.54429658822</v>
      </c>
      <c r="M25" s="345">
        <f>K25/VK.PC</f>
        <v>2.1200000000000003E-12</v>
      </c>
      <c r="O25" s="160" t="s">
        <v>321</v>
      </c>
      <c r="P25" s="161" t="s">
        <v>333</v>
      </c>
      <c r="Q25" s="166">
        <f>K25*CNVC</f>
        <v>0</v>
      </c>
      <c r="R25" s="164" t="str">
        <f t="shared" si="0"/>
        <v/>
      </c>
      <c r="S25" s="166">
        <f t="shared" si="1"/>
        <v>0</v>
      </c>
      <c r="T25" s="168">
        <f t="shared" si="2"/>
        <v>0</v>
      </c>
      <c r="U25" s="168">
        <v>0</v>
      </c>
      <c r="V25" s="168">
        <v>0</v>
      </c>
      <c r="W25" s="168">
        <v>0</v>
      </c>
      <c r="X25" s="168">
        <v>0</v>
      </c>
      <c r="Y25" s="168">
        <v>0</v>
      </c>
      <c r="Z25" s="169">
        <v>0</v>
      </c>
      <c r="AB25" s="70" t="s">
        <v>37</v>
      </c>
      <c r="AC25" s="70" t="s">
        <v>36</v>
      </c>
      <c r="AD25" s="70" t="s">
        <v>30</v>
      </c>
      <c r="AE25" s="70" t="s">
        <v>29</v>
      </c>
      <c r="AH25" s="353"/>
      <c r="AI25" s="353"/>
      <c r="AJ25" s="353"/>
      <c r="AK25" s="353"/>
      <c r="AL25" s="353"/>
      <c r="AM25" s="353"/>
      <c r="AN25" s="353"/>
      <c r="AO25" s="353"/>
      <c r="AP25" s="353"/>
      <c r="AQ25" s="353"/>
      <c r="AR25" s="353"/>
    </row>
    <row r="26" spans="2:44" ht="12.75" thickBot="1">
      <c r="F26" s="11"/>
      <c r="H26" s="342">
        <f>F22*CongRate</f>
        <v>2.1200000000000003E-4</v>
      </c>
      <c r="P26" s="153" t="s">
        <v>334</v>
      </c>
      <c r="Q26" s="163">
        <f>K25*CNV0</f>
        <v>0</v>
      </c>
      <c r="R26" s="164" t="str">
        <f t="shared" si="0"/>
        <v/>
      </c>
      <c r="S26" s="163">
        <f t="shared" si="1"/>
        <v>0</v>
      </c>
      <c r="T26" s="170">
        <f t="shared" si="2"/>
        <v>0</v>
      </c>
      <c r="U26" s="170">
        <v>0</v>
      </c>
      <c r="V26" s="170">
        <v>0</v>
      </c>
      <c r="W26" s="170">
        <v>0</v>
      </c>
      <c r="X26" s="170">
        <v>0</v>
      </c>
      <c r="Y26" s="170">
        <v>0</v>
      </c>
      <c r="Z26" s="171">
        <v>0</v>
      </c>
      <c r="AB26" s="70" t="s">
        <v>37</v>
      </c>
      <c r="AC26" s="70" t="s">
        <v>36</v>
      </c>
      <c r="AD26" s="70" t="s">
        <v>30</v>
      </c>
      <c r="AE26" s="71" t="s">
        <v>32</v>
      </c>
      <c r="AH26" s="353"/>
      <c r="AI26" s="353"/>
      <c r="AJ26" s="353"/>
      <c r="AK26" s="353"/>
      <c r="AL26" s="353"/>
      <c r="AM26" s="353"/>
      <c r="AN26" s="353"/>
      <c r="AO26" s="353"/>
      <c r="AP26" s="353"/>
      <c r="AQ26" s="353"/>
      <c r="AR26" s="353"/>
    </row>
    <row r="27" spans="2:44" ht="12.75" thickBot="1">
      <c r="E27" s="357">
        <f>1-LFR.020</f>
        <v>0.85</v>
      </c>
      <c r="F27" s="11"/>
      <c r="I27" s="11"/>
      <c r="J27" s="11"/>
      <c r="K27" s="349"/>
      <c r="P27" s="153" t="s">
        <v>335</v>
      </c>
      <c r="Q27" s="163">
        <f>K25*CFF*WV0</f>
        <v>1.0411405458048002E-6</v>
      </c>
      <c r="R27" s="164">
        <f t="shared" si="0"/>
        <v>960485.11800777237</v>
      </c>
      <c r="S27" s="163">
        <f t="shared" si="1"/>
        <v>7.0596000000000015E-13</v>
      </c>
      <c r="T27" s="170">
        <f t="shared" si="2"/>
        <v>0</v>
      </c>
      <c r="U27" s="170">
        <v>0</v>
      </c>
      <c r="V27" s="170">
        <v>0</v>
      </c>
      <c r="W27" s="170">
        <v>0</v>
      </c>
      <c r="X27" s="170">
        <v>0</v>
      </c>
      <c r="Y27" s="170">
        <v>0</v>
      </c>
      <c r="Z27" s="171">
        <v>0</v>
      </c>
      <c r="AB27" s="70" t="s">
        <v>37</v>
      </c>
      <c r="AC27" s="70" t="s">
        <v>36</v>
      </c>
      <c r="AD27" s="70" t="s">
        <v>31</v>
      </c>
      <c r="AE27" s="70" t="s">
        <v>33</v>
      </c>
      <c r="AH27" s="353"/>
      <c r="AI27" s="353"/>
      <c r="AJ27" s="353"/>
      <c r="AK27" s="353"/>
      <c r="AL27" s="353"/>
      <c r="AM27" s="353"/>
      <c r="AN27" s="353"/>
      <c r="AO27" s="353"/>
      <c r="AP27" s="353"/>
      <c r="AQ27" s="353"/>
      <c r="AR27" s="353"/>
    </row>
    <row r="28" spans="2:44" ht="12.75" thickBot="1">
      <c r="E28" s="279"/>
      <c r="F28" s="341" t="s">
        <v>98</v>
      </c>
      <c r="H28" s="341">
        <f>C32*E27</f>
        <v>1.2665</v>
      </c>
      <c r="I28" s="11" t="s">
        <v>545</v>
      </c>
      <c r="J28" s="342">
        <f>H28</f>
        <v>1.2665</v>
      </c>
      <c r="K28" s="343">
        <f>TOT.VK.HRR020.NOT.SER/BASE*H28</f>
        <v>3.2476333193259994E-3</v>
      </c>
      <c r="L28" s="344">
        <f>1/K28</f>
        <v>307.9165354195639</v>
      </c>
      <c r="M28" s="345">
        <f>K28/TOT.VK.HRR020.NOT.SER</f>
        <v>1.2665E-8</v>
      </c>
      <c r="P28" s="153" t="s">
        <v>336</v>
      </c>
      <c r="Q28" s="163">
        <f>K25*CFF*WVR</f>
        <v>1.0411405458048002E-6</v>
      </c>
      <c r="R28" s="164">
        <f t="shared" si="0"/>
        <v>960485.11800777237</v>
      </c>
      <c r="S28" s="163">
        <f t="shared" si="1"/>
        <v>7.0596000000000015E-13</v>
      </c>
      <c r="T28" s="170">
        <f t="shared" si="2"/>
        <v>0</v>
      </c>
      <c r="U28" s="170">
        <v>0</v>
      </c>
      <c r="V28" s="170">
        <v>0</v>
      </c>
      <c r="W28" s="170">
        <v>0</v>
      </c>
      <c r="X28" s="170">
        <v>0</v>
      </c>
      <c r="Y28" s="170">
        <v>0</v>
      </c>
      <c r="Z28" s="171">
        <v>0</v>
      </c>
      <c r="AB28" s="70" t="s">
        <v>37</v>
      </c>
      <c r="AC28" s="70" t="s">
        <v>36</v>
      </c>
      <c r="AD28" s="70" t="s">
        <v>31</v>
      </c>
      <c r="AE28" s="70" t="s">
        <v>34</v>
      </c>
      <c r="AH28" s="353"/>
      <c r="AI28" s="353"/>
      <c r="AJ28" s="353"/>
      <c r="AK28" s="353"/>
      <c r="AL28" s="353"/>
      <c r="AM28" s="353"/>
      <c r="AN28" s="353"/>
      <c r="AO28" s="353"/>
      <c r="AP28" s="353"/>
      <c r="AQ28" s="353"/>
      <c r="AR28" s="353"/>
    </row>
    <row r="29" spans="2:44" ht="12.75" thickBot="1">
      <c r="E29" s="279"/>
      <c r="K29" s="349"/>
      <c r="P29" s="152" t="s">
        <v>337</v>
      </c>
      <c r="Q29" s="358">
        <f>K25*CFF*WVP</f>
        <v>1.0411405458048002E-6</v>
      </c>
      <c r="R29" s="165">
        <f t="shared" si="0"/>
        <v>960485.11800777237</v>
      </c>
      <c r="S29" s="163">
        <f t="shared" si="1"/>
        <v>7.0596000000000015E-13</v>
      </c>
      <c r="T29" s="172">
        <f t="shared" si="2"/>
        <v>0</v>
      </c>
      <c r="U29" s="172">
        <v>0</v>
      </c>
      <c r="V29" s="172">
        <v>0</v>
      </c>
      <c r="W29" s="172">
        <v>0</v>
      </c>
      <c r="X29" s="172">
        <v>0</v>
      </c>
      <c r="Y29" s="172">
        <v>0</v>
      </c>
      <c r="Z29" s="173">
        <v>0</v>
      </c>
      <c r="AB29" s="70" t="s">
        <v>37</v>
      </c>
      <c r="AC29" s="70" t="s">
        <v>36</v>
      </c>
      <c r="AD29" s="70" t="s">
        <v>31</v>
      </c>
      <c r="AE29" s="70" t="s">
        <v>35</v>
      </c>
      <c r="AH29" s="353"/>
      <c r="AI29" s="353"/>
      <c r="AJ29" s="353"/>
      <c r="AK29" s="353"/>
      <c r="AL29" s="353"/>
      <c r="AM29" s="353"/>
      <c r="AN29" s="353"/>
      <c r="AO29" s="353"/>
      <c r="AP29" s="353"/>
      <c r="AQ29" s="353"/>
      <c r="AR29" s="353"/>
    </row>
    <row r="30" spans="2:44" ht="12.75" thickBot="1">
      <c r="E30" s="279">
        <f>LFR.020</f>
        <v>0.15</v>
      </c>
      <c r="F30" s="11" t="s">
        <v>122</v>
      </c>
      <c r="H30" s="341" t="s">
        <v>115</v>
      </c>
      <c r="I30" s="11" t="s">
        <v>41</v>
      </c>
      <c r="J30" s="342">
        <f>H31</f>
        <v>0.21903</v>
      </c>
      <c r="K30" s="343">
        <f>F33*(1-CongRate)</f>
        <v>3.5045239849479997E-3</v>
      </c>
      <c r="L30" s="344">
        <f>1/K30</f>
        <v>285.34545755572509</v>
      </c>
      <c r="M30" s="345">
        <f>K30/TOT.VK.HRR020</f>
        <v>1.8129746781922391E-8</v>
      </c>
      <c r="O30" s="160" t="s">
        <v>322</v>
      </c>
      <c r="P30" s="161" t="s">
        <v>328</v>
      </c>
      <c r="Q30" s="166">
        <f>K30 *NNVC</f>
        <v>0</v>
      </c>
      <c r="R30" s="164" t="str">
        <f t="shared" si="0"/>
        <v/>
      </c>
      <c r="S30" s="272">
        <f>Q30/TOT.VK.HRR020</f>
        <v>0</v>
      </c>
      <c r="T30" s="168">
        <f t="shared" si="2"/>
        <v>0</v>
      </c>
      <c r="U30" s="168">
        <v>0</v>
      </c>
      <c r="V30" s="168">
        <v>0</v>
      </c>
      <c r="W30" s="168">
        <v>0</v>
      </c>
      <c r="X30" s="168">
        <v>0</v>
      </c>
      <c r="Y30" s="168">
        <v>0</v>
      </c>
      <c r="Z30" s="169">
        <v>0</v>
      </c>
      <c r="AB30" s="70" t="s">
        <v>38</v>
      </c>
      <c r="AC30" s="70" t="s">
        <v>15</v>
      </c>
      <c r="AD30" s="70" t="s">
        <v>30</v>
      </c>
      <c r="AE30" s="70" t="s">
        <v>29</v>
      </c>
      <c r="AH30" s="353"/>
      <c r="AI30" s="353"/>
      <c r="AJ30" s="353"/>
      <c r="AK30" s="353"/>
      <c r="AL30" s="353"/>
      <c r="AM30" s="353"/>
      <c r="AN30" s="353"/>
      <c r="AO30" s="353"/>
      <c r="AP30" s="353"/>
      <c r="AQ30" s="353"/>
      <c r="AR30" s="353"/>
    </row>
    <row r="31" spans="2:44" ht="14.25" customHeight="1" thickBot="1">
      <c r="B31" s="504" t="s">
        <v>524</v>
      </c>
      <c r="C31" s="505"/>
      <c r="E31" s="279"/>
      <c r="F31" s="341" t="s">
        <v>99</v>
      </c>
      <c r="G31" s="351">
        <f>1-CongRate</f>
        <v>0.98</v>
      </c>
      <c r="H31" s="342">
        <f>F32*(1-CongRate)</f>
        <v>0.21903</v>
      </c>
      <c r="I31" s="11"/>
      <c r="J31" s="11"/>
      <c r="P31" s="153" t="s">
        <v>329</v>
      </c>
      <c r="Q31" s="163">
        <f>K30*NNV0</f>
        <v>0</v>
      </c>
      <c r="R31" s="164" t="str">
        <f t="shared" si="0"/>
        <v/>
      </c>
      <c r="S31" s="273">
        <f t="shared" ref="S31:S39" si="3">Q31/TOT.VK.HRR020</f>
        <v>0</v>
      </c>
      <c r="T31" s="170">
        <f t="shared" si="2"/>
        <v>0</v>
      </c>
      <c r="U31" s="170">
        <v>0</v>
      </c>
      <c r="V31" s="170">
        <v>0</v>
      </c>
      <c r="W31" s="170">
        <v>0</v>
      </c>
      <c r="X31" s="170">
        <v>0</v>
      </c>
      <c r="Y31" s="170">
        <v>0</v>
      </c>
      <c r="Z31" s="171">
        <v>0</v>
      </c>
      <c r="AB31" s="70" t="s">
        <v>38</v>
      </c>
      <c r="AC31" s="70" t="s">
        <v>15</v>
      </c>
      <c r="AD31" s="70" t="s">
        <v>30</v>
      </c>
      <c r="AE31" s="71" t="s">
        <v>32</v>
      </c>
      <c r="AH31" s="353"/>
      <c r="AI31" s="353"/>
      <c r="AJ31" s="353"/>
      <c r="AK31" s="353"/>
      <c r="AL31" s="353"/>
      <c r="AM31" s="353"/>
      <c r="AN31" s="353"/>
      <c r="AO31" s="353"/>
      <c r="AP31" s="353"/>
      <c r="AQ31" s="353"/>
      <c r="AR31" s="353"/>
    </row>
    <row r="32" spans="2:44" ht="12.75" thickBot="1">
      <c r="B32" s="368" t="s">
        <v>530</v>
      </c>
      <c r="C32" s="354">
        <v>1.49</v>
      </c>
      <c r="E32" s="279"/>
      <c r="F32" s="354">
        <f>C32*LFR.020</f>
        <v>0.2235</v>
      </c>
      <c r="K32" s="349"/>
      <c r="P32" s="153" t="s">
        <v>330</v>
      </c>
      <c r="Q32" s="163">
        <f>K30*NFF*WV0</f>
        <v>1.1670064869876841E-3</v>
      </c>
      <c r="R32" s="164">
        <f t="shared" si="0"/>
        <v>856.8932659331083</v>
      </c>
      <c r="S32" s="273">
        <f t="shared" si="3"/>
        <v>6.0372056783801565E-9</v>
      </c>
      <c r="T32" s="170">
        <f t="shared" si="2"/>
        <v>0</v>
      </c>
      <c r="U32" s="170">
        <v>0</v>
      </c>
      <c r="V32" s="170">
        <v>0</v>
      </c>
      <c r="W32" s="170">
        <v>0</v>
      </c>
      <c r="X32" s="170">
        <v>0</v>
      </c>
      <c r="Y32" s="170">
        <v>0</v>
      </c>
      <c r="Z32" s="171">
        <v>0</v>
      </c>
      <c r="AB32" s="70" t="s">
        <v>38</v>
      </c>
      <c r="AC32" s="70" t="s">
        <v>15</v>
      </c>
      <c r="AD32" s="70" t="s">
        <v>31</v>
      </c>
      <c r="AE32" s="70" t="s">
        <v>33</v>
      </c>
      <c r="AG32" s="369">
        <v>0</v>
      </c>
      <c r="AH32" s="353">
        <v>0</v>
      </c>
      <c r="AI32" s="353">
        <v>0</v>
      </c>
      <c r="AJ32" s="353">
        <v>0</v>
      </c>
      <c r="AK32" s="353">
        <v>0</v>
      </c>
      <c r="AL32" s="353">
        <v>0</v>
      </c>
      <c r="AM32" s="353">
        <v>0</v>
      </c>
      <c r="AN32" s="353"/>
      <c r="AO32" s="353"/>
      <c r="AP32" s="353"/>
      <c r="AQ32" s="353"/>
      <c r="AR32" s="353"/>
    </row>
    <row r="33" spans="2:44" ht="12.75" thickBot="1">
      <c r="B33" s="368" t="s">
        <v>531</v>
      </c>
      <c r="C33" s="345">
        <f>C32*VK.HRR020/BASE</f>
        <v>4.4949942136000001E-3</v>
      </c>
      <c r="E33" s="279"/>
      <c r="F33" s="345">
        <f>VK.HRR020/BASE*F32+C42*vk.hrr030.dn/BASE</f>
        <v>3.5760448825999996E-3</v>
      </c>
      <c r="I33" s="11"/>
      <c r="J33" s="11"/>
      <c r="P33" s="153" t="s">
        <v>331</v>
      </c>
      <c r="Q33" s="163">
        <f>K30*NFF*WVR</f>
        <v>1.1670064869876841E-3</v>
      </c>
      <c r="R33" s="164">
        <f t="shared" si="0"/>
        <v>856.8932659331083</v>
      </c>
      <c r="S33" s="273">
        <f t="shared" si="3"/>
        <v>6.0372056783801565E-9</v>
      </c>
      <c r="T33" s="170">
        <f t="shared" si="2"/>
        <v>0</v>
      </c>
      <c r="U33" s="170">
        <v>0</v>
      </c>
      <c r="V33" s="170">
        <v>0</v>
      </c>
      <c r="W33" s="170">
        <v>0</v>
      </c>
      <c r="X33" s="170">
        <v>0</v>
      </c>
      <c r="Y33" s="170">
        <v>0</v>
      </c>
      <c r="Z33" s="171">
        <v>0</v>
      </c>
      <c r="AB33" s="70" t="s">
        <v>38</v>
      </c>
      <c r="AC33" s="70" t="s">
        <v>15</v>
      </c>
      <c r="AD33" s="70" t="s">
        <v>31</v>
      </c>
      <c r="AE33" s="70" t="s">
        <v>34</v>
      </c>
      <c r="AG33" s="369">
        <v>0</v>
      </c>
      <c r="AH33" s="353">
        <v>0</v>
      </c>
      <c r="AI33" s="353">
        <v>0</v>
      </c>
      <c r="AJ33" s="353">
        <v>0</v>
      </c>
      <c r="AK33" s="353">
        <v>0</v>
      </c>
      <c r="AL33" s="353">
        <v>0</v>
      </c>
      <c r="AM33" s="353">
        <v>0</v>
      </c>
      <c r="AN33" s="353"/>
      <c r="AO33" s="353"/>
      <c r="AP33" s="353"/>
      <c r="AQ33" s="353"/>
      <c r="AR33" s="353"/>
    </row>
    <row r="34" spans="2:44" ht="12.75" thickBot="1">
      <c r="B34" s="368" t="s">
        <v>532</v>
      </c>
      <c r="C34" s="356">
        <f>1/C33</f>
        <v>222.46969684063487</v>
      </c>
      <c r="E34" s="279"/>
      <c r="F34" s="356">
        <f>1/F33</f>
        <v>279.63854840461062</v>
      </c>
      <c r="I34" s="11"/>
      <c r="J34" s="11"/>
      <c r="P34" s="152" t="s">
        <v>332</v>
      </c>
      <c r="Q34" s="358">
        <f>K30*NFF*WVP</f>
        <v>1.1670064869876841E-3</v>
      </c>
      <c r="R34" s="165">
        <f t="shared" si="0"/>
        <v>856.8932659331083</v>
      </c>
      <c r="S34" s="274">
        <f t="shared" si="3"/>
        <v>6.0372056783801565E-9</v>
      </c>
      <c r="T34" s="172">
        <f t="shared" si="2"/>
        <v>0</v>
      </c>
      <c r="U34" s="172">
        <v>0</v>
      </c>
      <c r="V34" s="172">
        <v>0</v>
      </c>
      <c r="W34" s="172">
        <v>0</v>
      </c>
      <c r="X34" s="172">
        <v>0</v>
      </c>
      <c r="Y34" s="172">
        <v>0</v>
      </c>
      <c r="Z34" s="173">
        <v>0</v>
      </c>
      <c r="AB34" s="70" t="s">
        <v>38</v>
      </c>
      <c r="AC34" s="70" t="s">
        <v>15</v>
      </c>
      <c r="AD34" s="70" t="s">
        <v>31</v>
      </c>
      <c r="AE34" s="70" t="s">
        <v>35</v>
      </c>
      <c r="AG34" s="369">
        <v>0.11734365350503756</v>
      </c>
      <c r="AH34" s="353">
        <v>0</v>
      </c>
      <c r="AI34" s="353">
        <v>0</v>
      </c>
      <c r="AJ34" s="353">
        <v>0</v>
      </c>
      <c r="AK34" s="353">
        <v>0</v>
      </c>
      <c r="AL34" s="353">
        <v>0.10000000149011612</v>
      </c>
      <c r="AM34" s="353">
        <v>0.60000002384185791</v>
      </c>
      <c r="AN34" s="353"/>
      <c r="AO34" s="353"/>
      <c r="AP34" s="353"/>
      <c r="AQ34" s="353"/>
      <c r="AR34" s="353"/>
    </row>
    <row r="35" spans="2:44" ht="12.75" thickBot="1">
      <c r="E35" s="279"/>
      <c r="F35" s="11"/>
      <c r="H35" s="341" t="s">
        <v>117</v>
      </c>
      <c r="I35" s="11" t="s">
        <v>42</v>
      </c>
      <c r="J35" s="342">
        <f>H36</f>
        <v>4.47E-3</v>
      </c>
      <c r="K35" s="343">
        <f>F33*CongRate</f>
        <v>7.1520897651999993E-5</v>
      </c>
      <c r="L35" s="344">
        <f>1/K35</f>
        <v>13981.92742023053</v>
      </c>
      <c r="M35" s="345">
        <f>K35/TOT.VK.HRR020</f>
        <v>3.6999483228413042E-10</v>
      </c>
      <c r="O35" s="160" t="s">
        <v>323</v>
      </c>
      <c r="P35" s="161" t="s">
        <v>333</v>
      </c>
      <c r="Q35" s="166">
        <f>K35    *CNVC</f>
        <v>0</v>
      </c>
      <c r="R35" s="164" t="str">
        <f t="shared" si="0"/>
        <v/>
      </c>
      <c r="S35" s="166">
        <f t="shared" si="3"/>
        <v>0</v>
      </c>
      <c r="T35" s="168">
        <f t="shared" si="2"/>
        <v>2.2161039090919985</v>
      </c>
      <c r="U35" s="168">
        <v>13.399999618530273</v>
      </c>
      <c r="V35" s="168">
        <v>0.60000002384185791</v>
      </c>
      <c r="W35" s="168">
        <v>0</v>
      </c>
      <c r="X35" s="168">
        <v>0</v>
      </c>
      <c r="Y35" s="168">
        <v>0</v>
      </c>
      <c r="Z35" s="169">
        <v>0</v>
      </c>
      <c r="AB35" s="70" t="s">
        <v>38</v>
      </c>
      <c r="AC35" s="70" t="s">
        <v>36</v>
      </c>
      <c r="AD35" s="70" t="s">
        <v>30</v>
      </c>
      <c r="AE35" s="70" t="s">
        <v>29</v>
      </c>
      <c r="AG35" s="369">
        <v>1.4416505420384755</v>
      </c>
      <c r="AH35" s="353">
        <v>0</v>
      </c>
      <c r="AI35" s="353">
        <v>0</v>
      </c>
      <c r="AJ35" s="353">
        <v>0</v>
      </c>
      <c r="AK35" s="353">
        <v>0.30000001192092896</v>
      </c>
      <c r="AL35" s="353">
        <v>3.7999999523162842</v>
      </c>
      <c r="AM35" s="353">
        <v>4.5</v>
      </c>
      <c r="AN35" s="353"/>
      <c r="AO35" s="353"/>
      <c r="AP35" s="353"/>
      <c r="AQ35" s="353"/>
      <c r="AR35" s="353"/>
    </row>
    <row r="36" spans="2:44" ht="12.75" thickBot="1">
      <c r="E36" s="279"/>
      <c r="F36" s="11"/>
      <c r="G36" s="351">
        <f>CongRate</f>
        <v>0.02</v>
      </c>
      <c r="H36" s="342">
        <f>F32*CongRate</f>
        <v>4.47E-3</v>
      </c>
      <c r="I36" s="11"/>
      <c r="J36" s="11"/>
      <c r="P36" s="153" t="s">
        <v>334</v>
      </c>
      <c r="Q36" s="163">
        <f>K35*CNV0</f>
        <v>0</v>
      </c>
      <c r="R36" s="164" t="str">
        <f t="shared" si="0"/>
        <v/>
      </c>
      <c r="S36" s="163">
        <f t="shared" si="3"/>
        <v>0</v>
      </c>
      <c r="T36" s="170">
        <f t="shared" si="2"/>
        <v>1.4721261416297382</v>
      </c>
      <c r="U36" s="170">
        <v>8.3999996185302734</v>
      </c>
      <c r="V36" s="170">
        <v>0.89999997615814209</v>
      </c>
      <c r="W36" s="170">
        <v>0</v>
      </c>
      <c r="X36" s="170">
        <v>0</v>
      </c>
      <c r="Y36" s="170">
        <v>0</v>
      </c>
      <c r="Z36" s="171">
        <v>0</v>
      </c>
      <c r="AB36" s="70" t="s">
        <v>38</v>
      </c>
      <c r="AC36" s="70" t="s">
        <v>36</v>
      </c>
      <c r="AD36" s="70" t="s">
        <v>30</v>
      </c>
      <c r="AE36" s="71" t="s">
        <v>32</v>
      </c>
      <c r="AG36" s="369">
        <v>0</v>
      </c>
      <c r="AH36" s="353">
        <v>0</v>
      </c>
      <c r="AI36" s="353">
        <v>0</v>
      </c>
      <c r="AJ36" s="353">
        <v>0</v>
      </c>
      <c r="AK36" s="353">
        <v>0</v>
      </c>
      <c r="AL36" s="353">
        <v>0</v>
      </c>
      <c r="AM36" s="353">
        <v>0</v>
      </c>
      <c r="AN36" s="353"/>
      <c r="AO36" s="353"/>
      <c r="AP36" s="353"/>
      <c r="AQ36" s="353"/>
      <c r="AR36" s="353"/>
    </row>
    <row r="37" spans="2:44" ht="12.75" thickBot="1">
      <c r="E37" s="357">
        <f>1-LFR.030</f>
        <v>0.85</v>
      </c>
      <c r="F37" s="11"/>
      <c r="I37" s="11"/>
      <c r="J37" s="11"/>
      <c r="P37" s="153" t="s">
        <v>335</v>
      </c>
      <c r="Q37" s="163">
        <f>K35*CFF*WV0</f>
        <v>2.3816458918115999E-5</v>
      </c>
      <c r="R37" s="164">
        <f t="shared" si="0"/>
        <v>41987.770030722306</v>
      </c>
      <c r="S37" s="163">
        <f t="shared" si="3"/>
        <v>1.2320827915061543E-10</v>
      </c>
      <c r="T37" s="170">
        <f t="shared" si="2"/>
        <v>10.352371378862657</v>
      </c>
      <c r="U37" s="170">
        <v>46</v>
      </c>
      <c r="V37" s="170">
        <v>17.5</v>
      </c>
      <c r="W37" s="170">
        <v>1.8999999761581421</v>
      </c>
      <c r="X37" s="170">
        <v>0</v>
      </c>
      <c r="Y37" s="170">
        <v>0</v>
      </c>
      <c r="Z37" s="171">
        <v>0</v>
      </c>
      <c r="AB37" s="70" t="s">
        <v>38</v>
      </c>
      <c r="AC37" s="70" t="s">
        <v>36</v>
      </c>
      <c r="AD37" s="70" t="s">
        <v>31</v>
      </c>
      <c r="AE37" s="70" t="s">
        <v>33</v>
      </c>
      <c r="AG37" s="369">
        <v>5.9342360926934941</v>
      </c>
      <c r="AH37" s="353">
        <v>30.200000762939453</v>
      </c>
      <c r="AI37" s="353">
        <v>4.0999999046325684</v>
      </c>
      <c r="AJ37" s="353">
        <v>1.1000000238418579</v>
      </c>
      <c r="AK37" s="353">
        <v>0</v>
      </c>
      <c r="AL37" s="353">
        <v>0</v>
      </c>
      <c r="AM37" s="353">
        <v>0</v>
      </c>
      <c r="AN37" s="353"/>
      <c r="AO37" s="353"/>
      <c r="AP37" s="353"/>
      <c r="AQ37" s="353"/>
      <c r="AR37" s="353"/>
    </row>
    <row r="38" spans="2:44" ht="12.75" thickBot="1">
      <c r="E38" s="279"/>
      <c r="F38" s="341" t="s">
        <v>98</v>
      </c>
      <c r="H38" s="341">
        <f>C42*E37</f>
        <v>1.6659999999999999</v>
      </c>
      <c r="I38" s="11"/>
      <c r="J38" s="342">
        <f>H38</f>
        <v>1.6659999999999999</v>
      </c>
      <c r="K38" s="343">
        <f>VK.HRR030*(1-LFR.030)/BASE*H38</f>
        <v>2.4665263879759996E-3</v>
      </c>
      <c r="L38" s="344">
        <f>1/K38</f>
        <v>405.42846201640981</v>
      </c>
      <c r="M38" s="345">
        <f>K38/(VK.HRR030*(1-LFR.030))</f>
        <v>1.6659999999999998E-8</v>
      </c>
      <c r="P38" s="153" t="s">
        <v>336</v>
      </c>
      <c r="Q38" s="163">
        <f>K35*CFF*WVR</f>
        <v>2.3816458918115999E-5</v>
      </c>
      <c r="R38" s="164">
        <f t="shared" si="0"/>
        <v>41987.770030722306</v>
      </c>
      <c r="S38" s="163">
        <f t="shared" si="3"/>
        <v>1.2320827915061543E-10</v>
      </c>
      <c r="T38" s="170">
        <f t="shared" si="2"/>
        <v>2.1211280824011647</v>
      </c>
      <c r="U38" s="170">
        <v>13</v>
      </c>
      <c r="V38" s="170">
        <v>0.40000000596046448</v>
      </c>
      <c r="W38" s="170">
        <v>0</v>
      </c>
      <c r="X38" s="170">
        <v>0</v>
      </c>
      <c r="Y38" s="170">
        <v>0</v>
      </c>
      <c r="Z38" s="171">
        <v>0</v>
      </c>
      <c r="AB38" s="70" t="s">
        <v>38</v>
      </c>
      <c r="AC38" s="70" t="s">
        <v>36</v>
      </c>
      <c r="AD38" s="70" t="s">
        <v>31</v>
      </c>
      <c r="AE38" s="70" t="s">
        <v>34</v>
      </c>
      <c r="AG38" s="369">
        <v>0.65377175366009999</v>
      </c>
      <c r="AH38" s="353">
        <v>1.2999999523162842</v>
      </c>
      <c r="AI38" s="353">
        <v>0.40000000596046448</v>
      </c>
      <c r="AJ38" s="353">
        <v>0</v>
      </c>
      <c r="AK38" s="353">
        <v>0</v>
      </c>
      <c r="AL38" s="353">
        <v>0.20000000298023224</v>
      </c>
      <c r="AM38" s="353">
        <v>2</v>
      </c>
      <c r="AN38" s="353"/>
      <c r="AO38" s="353"/>
      <c r="AP38" s="353"/>
      <c r="AQ38" s="353"/>
      <c r="AR38" s="353"/>
    </row>
    <row r="39" spans="2:44" ht="12.75" thickBot="1">
      <c r="E39" s="279"/>
      <c r="I39" s="11"/>
      <c r="J39" s="11"/>
      <c r="P39" s="152" t="s">
        <v>337</v>
      </c>
      <c r="Q39" s="358">
        <f>K35*CFF*WVP</f>
        <v>2.3816458918115999E-5</v>
      </c>
      <c r="R39" s="165">
        <f t="shared" si="0"/>
        <v>41987.770030722306</v>
      </c>
      <c r="S39" s="163">
        <f t="shared" si="3"/>
        <v>1.2320827915061543E-10</v>
      </c>
      <c r="T39" s="172">
        <f t="shared" si="2"/>
        <v>9.149343696693391</v>
      </c>
      <c r="U39" s="172">
        <v>34.700000762939453</v>
      </c>
      <c r="V39" s="172">
        <v>22.100000381469727</v>
      </c>
      <c r="W39" s="172">
        <v>1</v>
      </c>
      <c r="X39" s="172">
        <v>0</v>
      </c>
      <c r="Y39" s="172">
        <v>0</v>
      </c>
      <c r="Z39" s="173">
        <v>0</v>
      </c>
      <c r="AB39" s="70" t="s">
        <v>38</v>
      </c>
      <c r="AC39" s="70" t="s">
        <v>36</v>
      </c>
      <c r="AD39" s="70" t="s">
        <v>31</v>
      </c>
      <c r="AE39" s="70" t="s">
        <v>35</v>
      </c>
      <c r="AG39" s="369">
        <v>0.15087040843769936</v>
      </c>
      <c r="AH39" s="353">
        <v>0</v>
      </c>
      <c r="AI39" s="353">
        <v>0</v>
      </c>
      <c r="AJ39" s="353">
        <v>0</v>
      </c>
      <c r="AK39" s="353">
        <v>0</v>
      </c>
      <c r="AL39" s="353">
        <v>0.10000000149011612</v>
      </c>
      <c r="AM39" s="353">
        <v>0.80000001192092896</v>
      </c>
      <c r="AN39" s="353"/>
      <c r="AO39" s="353"/>
      <c r="AP39" s="353"/>
      <c r="AQ39" s="353"/>
      <c r="AR39" s="353"/>
    </row>
    <row r="40" spans="2:44" ht="12.75" thickBot="1">
      <c r="E40" s="279">
        <f>LFR.030</f>
        <v>0.15</v>
      </c>
      <c r="F40" s="11" t="s">
        <v>123</v>
      </c>
      <c r="H40" s="341" t="s">
        <v>115</v>
      </c>
      <c r="I40" s="11" t="s">
        <v>45</v>
      </c>
      <c r="J40" s="342">
        <f>H41</f>
        <v>0.28811999999999999</v>
      </c>
      <c r="K40" s="343">
        <f>F43*(1-CongRate)</f>
        <v>5.4928539055040001E-4</v>
      </c>
      <c r="L40" s="344">
        <f>1/K40</f>
        <v>1820.5472368343362</v>
      </c>
      <c r="M40" s="345">
        <f>K40/TOT.VK.HRR030</f>
        <v>1.9208000000000002E-8</v>
      </c>
      <c r="O40" s="160" t="s">
        <v>324</v>
      </c>
      <c r="P40" s="161" t="s">
        <v>328</v>
      </c>
      <c r="Q40" s="166">
        <f>K40    *NNVC</f>
        <v>0</v>
      </c>
      <c r="R40" s="164" t="str">
        <f>IF(Q40&lt;&gt;0, 1/Q40, "")</f>
        <v/>
      </c>
      <c r="S40" s="166">
        <f t="shared" ref="S40:S49" si="4">Q40/TOT.VK.HRR030</f>
        <v>0</v>
      </c>
      <c r="T40" s="168">
        <f t="shared" si="2"/>
        <v>0</v>
      </c>
      <c r="U40" s="168">
        <v>0</v>
      </c>
      <c r="V40" s="168">
        <v>0</v>
      </c>
      <c r="W40" s="168">
        <v>0</v>
      </c>
      <c r="X40" s="168">
        <v>0</v>
      </c>
      <c r="Y40" s="168">
        <v>0</v>
      </c>
      <c r="Z40" s="169">
        <v>0</v>
      </c>
      <c r="AB40" s="70" t="s">
        <v>39</v>
      </c>
      <c r="AC40" s="70" t="s">
        <v>15</v>
      </c>
      <c r="AD40" s="70" t="s">
        <v>30</v>
      </c>
      <c r="AE40" s="70" t="s">
        <v>29</v>
      </c>
      <c r="AG40" s="369">
        <v>9.2869115559844193</v>
      </c>
      <c r="AH40" s="353">
        <v>0</v>
      </c>
      <c r="AI40" s="353">
        <v>0</v>
      </c>
      <c r="AJ40" s="353">
        <v>0.69999998807907104</v>
      </c>
      <c r="AK40" s="353">
        <v>7.4000000953674316</v>
      </c>
      <c r="AL40" s="353">
        <v>28</v>
      </c>
      <c r="AM40" s="353">
        <v>19.299999237060547</v>
      </c>
      <c r="AN40" s="353"/>
      <c r="AO40" s="353"/>
      <c r="AP40" s="353"/>
      <c r="AQ40" s="353"/>
      <c r="AR40" s="353"/>
    </row>
    <row r="41" spans="2:44" ht="12.75" thickBot="1">
      <c r="B41" s="506" t="s">
        <v>528</v>
      </c>
      <c r="C41" s="507"/>
      <c r="E41" s="279"/>
      <c r="F41" s="341" t="s">
        <v>195</v>
      </c>
      <c r="H41" s="342">
        <f>F42*(1-CongRate)</f>
        <v>0.28811999999999999</v>
      </c>
      <c r="P41" s="153" t="s">
        <v>329</v>
      </c>
      <c r="Q41" s="163">
        <f>K40*NNV0</f>
        <v>0</v>
      </c>
      <c r="R41" s="164" t="str">
        <f t="shared" si="0"/>
        <v/>
      </c>
      <c r="S41" s="163">
        <f t="shared" si="4"/>
        <v>0</v>
      </c>
      <c r="T41" s="170">
        <f t="shared" si="2"/>
        <v>0</v>
      </c>
      <c r="U41" s="170">
        <v>0</v>
      </c>
      <c r="V41" s="170">
        <v>0</v>
      </c>
      <c r="W41" s="170">
        <v>0</v>
      </c>
      <c r="X41" s="170">
        <v>0</v>
      </c>
      <c r="Y41" s="170">
        <v>0</v>
      </c>
      <c r="Z41" s="171">
        <v>0</v>
      </c>
      <c r="AB41" s="70" t="s">
        <v>39</v>
      </c>
      <c r="AC41" s="70" t="s">
        <v>15</v>
      </c>
      <c r="AD41" s="70" t="s">
        <v>30</v>
      </c>
      <c r="AE41" s="71" t="s">
        <v>32</v>
      </c>
      <c r="AG41" s="369">
        <v>2.6486138295235748</v>
      </c>
      <c r="AH41" s="353">
        <v>15.300000190734863</v>
      </c>
      <c r="AI41" s="353">
        <v>0.5</v>
      </c>
      <c r="AJ41" s="353">
        <v>0</v>
      </c>
      <c r="AK41" s="353">
        <v>0</v>
      </c>
      <c r="AL41" s="353">
        <v>0</v>
      </c>
      <c r="AM41" s="353">
        <v>0</v>
      </c>
      <c r="AN41" s="353"/>
      <c r="AO41" s="353"/>
      <c r="AP41" s="353"/>
      <c r="AQ41" s="353"/>
      <c r="AR41" s="353"/>
    </row>
    <row r="42" spans="2:44" ht="12.75" thickBot="1">
      <c r="B42" s="22" t="s">
        <v>530</v>
      </c>
      <c r="C42" s="354">
        <v>1.96</v>
      </c>
      <c r="D42" s="351"/>
      <c r="E42" s="279"/>
      <c r="F42" s="354">
        <f>C42*LFR.030</f>
        <v>0.29399999999999998</v>
      </c>
      <c r="P42" s="153" t="s">
        <v>330</v>
      </c>
      <c r="Q42" s="163">
        <f>K40*NFF*WV0</f>
        <v>1.8291203505328322E-4</v>
      </c>
      <c r="R42" s="164">
        <f>IF(Q42&lt;&gt;0, 1/Q42, "")</f>
        <v>5467.1088193223304</v>
      </c>
      <c r="S42" s="163">
        <f t="shared" si="4"/>
        <v>6.3962640000000013E-9</v>
      </c>
      <c r="T42" s="170">
        <f t="shared" ref="T42:T73" si="5">_rp1*U42+_rp2*V42+_rp3*W42+_rp4*X42+_rp5*Y42+_rp6*Z42</f>
        <v>0</v>
      </c>
      <c r="U42" s="170">
        <v>0</v>
      </c>
      <c r="V42" s="170">
        <v>0</v>
      </c>
      <c r="W42" s="170">
        <v>0</v>
      </c>
      <c r="X42" s="170">
        <v>0</v>
      </c>
      <c r="Y42" s="170">
        <v>0</v>
      </c>
      <c r="Z42" s="171">
        <v>0</v>
      </c>
      <c r="AB42" s="70" t="s">
        <v>39</v>
      </c>
      <c r="AC42" s="70" t="s">
        <v>15</v>
      </c>
      <c r="AD42" s="70" t="s">
        <v>31</v>
      </c>
      <c r="AE42" s="70" t="s">
        <v>33</v>
      </c>
      <c r="AG42" s="369">
        <v>0</v>
      </c>
      <c r="AH42" s="353">
        <v>0</v>
      </c>
      <c r="AI42" s="353">
        <v>0</v>
      </c>
      <c r="AJ42" s="353">
        <v>0</v>
      </c>
      <c r="AK42" s="353">
        <v>0</v>
      </c>
      <c r="AL42" s="353">
        <v>0</v>
      </c>
      <c r="AM42" s="353">
        <v>0</v>
      </c>
      <c r="AN42" s="353"/>
      <c r="AO42" s="353"/>
      <c r="AP42" s="353"/>
      <c r="AQ42" s="353"/>
      <c r="AR42" s="353"/>
    </row>
    <row r="43" spans="2:44" ht="12.75" thickBot="1">
      <c r="B43" s="22" t="s">
        <v>531</v>
      </c>
      <c r="C43" s="345">
        <f>C42*VK.HRR030/BASE</f>
        <v>3.4138773536E-3</v>
      </c>
      <c r="E43" s="370"/>
      <c r="F43" s="345">
        <f>VK.HRR030/BASE*F42+C52*vk.hrr100.dn/BASE</f>
        <v>5.6049529647999999E-4</v>
      </c>
      <c r="P43" s="153" t="s">
        <v>331</v>
      </c>
      <c r="Q43" s="163">
        <f>K40*NFF*WVR</f>
        <v>1.8291203505328322E-4</v>
      </c>
      <c r="R43" s="164">
        <f t="shared" si="0"/>
        <v>5467.1088193223304</v>
      </c>
      <c r="S43" s="163">
        <f t="shared" si="4"/>
        <v>6.3962640000000013E-9</v>
      </c>
      <c r="T43" s="170">
        <f t="shared" si="5"/>
        <v>0</v>
      </c>
      <c r="U43" s="170">
        <v>0</v>
      </c>
      <c r="V43" s="170">
        <v>0</v>
      </c>
      <c r="W43" s="170">
        <v>0</v>
      </c>
      <c r="X43" s="170">
        <v>0</v>
      </c>
      <c r="Y43" s="170">
        <v>0</v>
      </c>
      <c r="Z43" s="171">
        <v>0</v>
      </c>
      <c r="AB43" s="70" t="s">
        <v>39</v>
      </c>
      <c r="AC43" s="70" t="s">
        <v>15</v>
      </c>
      <c r="AD43" s="70" t="s">
        <v>31</v>
      </c>
      <c r="AE43" s="70" t="s">
        <v>34</v>
      </c>
      <c r="AG43" s="369">
        <v>0</v>
      </c>
      <c r="AH43" s="353">
        <v>0</v>
      </c>
      <c r="AI43" s="353">
        <v>0</v>
      </c>
      <c r="AJ43" s="353">
        <v>0</v>
      </c>
      <c r="AK43" s="353">
        <v>0</v>
      </c>
      <c r="AL43" s="353">
        <v>0</v>
      </c>
      <c r="AM43" s="353">
        <v>0</v>
      </c>
      <c r="AN43" s="353"/>
      <c r="AO43" s="353"/>
      <c r="AP43" s="353"/>
      <c r="AQ43" s="353"/>
      <c r="AR43" s="353"/>
    </row>
    <row r="44" spans="2:44" ht="12.75" thickBot="1">
      <c r="B44" s="22" t="s">
        <v>532</v>
      </c>
      <c r="C44" s="356">
        <f>1/C43</f>
        <v>292.92206380685604</v>
      </c>
      <c r="D44" s="351"/>
      <c r="E44" s="279"/>
      <c r="F44" s="356">
        <f>1/F43</f>
        <v>1784.1362920976496</v>
      </c>
      <c r="P44" s="152" t="s">
        <v>332</v>
      </c>
      <c r="Q44" s="358">
        <f>K40*NFF*WVP</f>
        <v>1.8291203505328322E-4</v>
      </c>
      <c r="R44" s="165">
        <f t="shared" si="0"/>
        <v>5467.1088193223304</v>
      </c>
      <c r="S44" s="163">
        <f t="shared" si="4"/>
        <v>6.3962640000000013E-9</v>
      </c>
      <c r="T44" s="172">
        <f t="shared" si="5"/>
        <v>0</v>
      </c>
      <c r="U44" s="172">
        <v>0</v>
      </c>
      <c r="V44" s="172">
        <v>0</v>
      </c>
      <c r="W44" s="172">
        <v>0</v>
      </c>
      <c r="X44" s="172">
        <v>0</v>
      </c>
      <c r="Y44" s="172">
        <v>0</v>
      </c>
      <c r="Z44" s="173">
        <v>0</v>
      </c>
      <c r="AB44" s="70" t="s">
        <v>39</v>
      </c>
      <c r="AC44" s="70" t="s">
        <v>15</v>
      </c>
      <c r="AD44" s="70" t="s">
        <v>31</v>
      </c>
      <c r="AE44" s="70" t="s">
        <v>35</v>
      </c>
      <c r="AG44" s="369">
        <v>2.8330108967233212</v>
      </c>
      <c r="AH44" s="353">
        <v>0</v>
      </c>
      <c r="AI44" s="353">
        <v>0</v>
      </c>
      <c r="AJ44" s="353">
        <v>0</v>
      </c>
      <c r="AK44" s="353">
        <v>0</v>
      </c>
      <c r="AL44" s="353">
        <v>5.5</v>
      </c>
      <c r="AM44" s="353">
        <v>11.399999618530273</v>
      </c>
      <c r="AN44" s="353"/>
      <c r="AO44" s="353"/>
      <c r="AP44" s="353"/>
      <c r="AQ44" s="353"/>
      <c r="AR44" s="353"/>
    </row>
    <row r="45" spans="2:44" ht="12.75" thickBot="1">
      <c r="E45" s="279"/>
      <c r="F45" s="11"/>
      <c r="H45" s="341" t="s">
        <v>117</v>
      </c>
      <c r="I45" s="11" t="s">
        <v>46</v>
      </c>
      <c r="J45" s="342">
        <f>H46</f>
        <v>5.8799999999999998E-3</v>
      </c>
      <c r="K45" s="343">
        <f>F43*CongRate</f>
        <v>1.1209905929600001E-5</v>
      </c>
      <c r="L45" s="344">
        <f>1/K45</f>
        <v>89206.814604882471</v>
      </c>
      <c r="M45" s="345">
        <f>K45/TOT.VK.HRR030</f>
        <v>3.9200000000000004E-10</v>
      </c>
      <c r="O45" s="160" t="s">
        <v>325</v>
      </c>
      <c r="P45" s="161" t="s">
        <v>333</v>
      </c>
      <c r="Q45" s="166">
        <f>K45    *CNVC</f>
        <v>0</v>
      </c>
      <c r="R45" s="167" t="str">
        <f t="shared" si="0"/>
        <v/>
      </c>
      <c r="S45" s="166">
        <f t="shared" si="4"/>
        <v>0</v>
      </c>
      <c r="T45" s="168">
        <f t="shared" si="5"/>
        <v>11.069714512126493</v>
      </c>
      <c r="U45" s="168">
        <v>44</v>
      </c>
      <c r="V45" s="168">
        <v>24.799999237060547</v>
      </c>
      <c r="W45" s="168">
        <v>0.80000001192092896</v>
      </c>
      <c r="X45" s="168">
        <v>0.10000000149011612</v>
      </c>
      <c r="Y45" s="168">
        <v>0.10000000149011612</v>
      </c>
      <c r="Z45" s="169">
        <v>0.10000000149011612</v>
      </c>
      <c r="AB45" s="70" t="s">
        <v>39</v>
      </c>
      <c r="AC45" s="70" t="s">
        <v>36</v>
      </c>
      <c r="AD45" s="70" t="s">
        <v>30</v>
      </c>
      <c r="AE45" s="70" t="s">
        <v>29</v>
      </c>
      <c r="AG45" s="369">
        <v>6.6718247574156599</v>
      </c>
      <c r="AH45" s="353">
        <v>0</v>
      </c>
      <c r="AI45" s="353">
        <v>0</v>
      </c>
      <c r="AJ45" s="353">
        <v>0.10000000149011612</v>
      </c>
      <c r="AK45" s="353">
        <v>2</v>
      </c>
      <c r="AL45" s="353">
        <v>17.200000762939453</v>
      </c>
      <c r="AM45" s="353">
        <v>20.5</v>
      </c>
      <c r="AN45" s="353"/>
      <c r="AO45" s="353"/>
      <c r="AP45" s="353"/>
      <c r="AQ45" s="353"/>
      <c r="AR45" s="353"/>
    </row>
    <row r="46" spans="2:44" ht="12.75" thickBot="1">
      <c r="E46" s="279"/>
      <c r="F46" s="11"/>
      <c r="H46" s="342">
        <f>F42*CongRate</f>
        <v>5.8799999999999998E-3</v>
      </c>
      <c r="O46" s="338"/>
      <c r="P46" s="153" t="s">
        <v>334</v>
      </c>
      <c r="Q46" s="163">
        <f>K45*CNV0</f>
        <v>0</v>
      </c>
      <c r="R46" s="164" t="str">
        <f t="shared" si="0"/>
        <v/>
      </c>
      <c r="S46" s="163">
        <f t="shared" si="4"/>
        <v>0</v>
      </c>
      <c r="T46" s="170">
        <f t="shared" si="5"/>
        <v>12.526011462134711</v>
      </c>
      <c r="U46" s="170">
        <v>55.799999237060547</v>
      </c>
      <c r="V46" s="170">
        <v>20.600000381469727</v>
      </c>
      <c r="W46" s="170">
        <v>2.5</v>
      </c>
      <c r="X46" s="170">
        <v>0.10000000149011612</v>
      </c>
      <c r="Y46" s="170">
        <v>0</v>
      </c>
      <c r="Z46" s="171">
        <v>0.10000000149011612</v>
      </c>
      <c r="AB46" s="70" t="s">
        <v>39</v>
      </c>
      <c r="AC46" s="70" t="s">
        <v>36</v>
      </c>
      <c r="AD46" s="70" t="s">
        <v>30</v>
      </c>
      <c r="AE46" s="71" t="s">
        <v>32</v>
      </c>
      <c r="AG46" s="369">
        <v>0</v>
      </c>
      <c r="AH46" s="353">
        <v>0</v>
      </c>
      <c r="AI46" s="353">
        <v>0</v>
      </c>
      <c r="AJ46" s="353">
        <v>0</v>
      </c>
      <c r="AK46" s="353">
        <v>0</v>
      </c>
      <c r="AL46" s="353">
        <v>0</v>
      </c>
      <c r="AM46" s="353">
        <v>0</v>
      </c>
      <c r="AN46" s="353"/>
      <c r="AO46" s="353"/>
      <c r="AP46" s="353"/>
      <c r="AQ46" s="353"/>
      <c r="AR46" s="353"/>
    </row>
    <row r="47" spans="2:44" ht="12.75" thickBot="1">
      <c r="E47" s="357">
        <f>1-LFR.100</f>
        <v>0.85</v>
      </c>
      <c r="F47" s="11"/>
      <c r="O47" s="338"/>
      <c r="P47" s="153" t="s">
        <v>335</v>
      </c>
      <c r="Q47" s="163">
        <f>K45*CFF*WV0</f>
        <v>3.7328986745568004E-6</v>
      </c>
      <c r="R47" s="164">
        <f t="shared" si="0"/>
        <v>267888.33214679419</v>
      </c>
      <c r="S47" s="163">
        <f t="shared" si="4"/>
        <v>1.3053600000000001E-10</v>
      </c>
      <c r="T47" s="170">
        <f t="shared" si="5"/>
        <v>39.003428641511071</v>
      </c>
      <c r="U47" s="170">
        <v>134.89999389648438</v>
      </c>
      <c r="V47" s="170">
        <v>81.099998474121094</v>
      </c>
      <c r="W47" s="170">
        <v>28.600000381469727</v>
      </c>
      <c r="X47" s="170">
        <v>1.7999999523162842</v>
      </c>
      <c r="Y47" s="170">
        <v>0</v>
      </c>
      <c r="Z47" s="171">
        <v>0</v>
      </c>
      <c r="AB47" s="70" t="s">
        <v>39</v>
      </c>
      <c r="AC47" s="70" t="s">
        <v>36</v>
      </c>
      <c r="AD47" s="70" t="s">
        <v>31</v>
      </c>
      <c r="AE47" s="70" t="s">
        <v>33</v>
      </c>
      <c r="AG47" s="369">
        <v>42.66279909397079</v>
      </c>
      <c r="AH47" s="353">
        <v>140.10000610351562</v>
      </c>
      <c r="AI47" s="353">
        <v>85.599998474121094</v>
      </c>
      <c r="AJ47" s="353">
        <v>27.700000762939453</v>
      </c>
      <c r="AK47" s="353">
        <v>1.1000000238418579</v>
      </c>
      <c r="AL47" s="353">
        <v>0</v>
      </c>
      <c r="AM47" s="353">
        <v>0</v>
      </c>
      <c r="AN47" s="353"/>
      <c r="AO47" s="353"/>
      <c r="AP47" s="353"/>
      <c r="AQ47" s="353"/>
      <c r="AR47" s="353"/>
    </row>
    <row r="48" spans="2:44" ht="12.75" thickBot="1">
      <c r="E48" s="279"/>
      <c r="F48" s="341" t="s">
        <v>98</v>
      </c>
      <c r="H48" s="341">
        <f>C52*E47</f>
        <v>1.6659999999999999</v>
      </c>
      <c r="I48" s="11"/>
      <c r="J48" s="11"/>
      <c r="K48" s="343">
        <f>VK.HRR100/BASE*H48</f>
        <v>4.8413693439999993E-5</v>
      </c>
      <c r="L48" s="344">
        <f>1/K48</f>
        <v>20655.313175792278</v>
      </c>
      <c r="M48" s="345">
        <f>K48/(VK.HRR100*(1-LFR.100))</f>
        <v>1.96E-8</v>
      </c>
      <c r="O48" s="338"/>
      <c r="P48" s="153" t="s">
        <v>336</v>
      </c>
      <c r="Q48" s="163">
        <f>K45*CFF*WVR</f>
        <v>3.7328986745568004E-6</v>
      </c>
      <c r="R48" s="164">
        <f t="shared" si="0"/>
        <v>267888.33214679419</v>
      </c>
      <c r="S48" s="163">
        <f t="shared" si="4"/>
        <v>1.3053600000000001E-10</v>
      </c>
      <c r="T48" s="170">
        <f t="shared" si="5"/>
        <v>12.636816903842979</v>
      </c>
      <c r="U48" s="170">
        <v>54.700000762939453</v>
      </c>
      <c r="V48" s="170">
        <v>21.600000381469727</v>
      </c>
      <c r="W48" s="170">
        <v>3</v>
      </c>
      <c r="X48" s="170">
        <v>0.30000001192092896</v>
      </c>
      <c r="Y48" s="170">
        <v>0.10000000149011612</v>
      </c>
      <c r="Z48" s="171">
        <v>0.10000000149011612</v>
      </c>
      <c r="AB48" s="70" t="s">
        <v>39</v>
      </c>
      <c r="AC48" s="70" t="s">
        <v>36</v>
      </c>
      <c r="AD48" s="70" t="s">
        <v>31</v>
      </c>
      <c r="AE48" s="70" t="s">
        <v>34</v>
      </c>
      <c r="AG48" s="369">
        <v>7.5099935707816927</v>
      </c>
      <c r="AH48" s="353">
        <v>21.899999618530273</v>
      </c>
      <c r="AI48" s="353">
        <v>4.9000000953674316</v>
      </c>
      <c r="AJ48" s="353">
        <v>0.30000001192092896</v>
      </c>
      <c r="AK48" s="353">
        <v>0.10000000149011612</v>
      </c>
      <c r="AL48" s="353">
        <v>3.5</v>
      </c>
      <c r="AM48" s="353">
        <v>14.100000381469727</v>
      </c>
      <c r="AN48" s="353"/>
      <c r="AO48" s="353"/>
      <c r="AP48" s="353"/>
      <c r="AQ48" s="353"/>
      <c r="AR48" s="353"/>
    </row>
    <row r="49" spans="2:44" ht="12.75" thickBot="1">
      <c r="E49" s="279"/>
      <c r="O49" s="338"/>
      <c r="P49" s="152" t="s">
        <v>337</v>
      </c>
      <c r="Q49" s="358">
        <f>K45*CFF*WVP</f>
        <v>3.7328986745568004E-6</v>
      </c>
      <c r="R49" s="165">
        <f t="shared" si="0"/>
        <v>267888.33214679419</v>
      </c>
      <c r="S49" s="163">
        <f t="shared" si="4"/>
        <v>1.3053600000000001E-10</v>
      </c>
      <c r="T49" s="172">
        <f t="shared" si="5"/>
        <v>46.633158092170426</v>
      </c>
      <c r="U49" s="172">
        <v>160.39999389648437</v>
      </c>
      <c r="V49" s="172">
        <v>90.5</v>
      </c>
      <c r="W49" s="172">
        <v>41.299999237060547</v>
      </c>
      <c r="X49" s="172">
        <v>2.4000000953674316</v>
      </c>
      <c r="Y49" s="172">
        <v>0</v>
      </c>
      <c r="Z49" s="173">
        <v>0</v>
      </c>
      <c r="AB49" s="70" t="s">
        <v>39</v>
      </c>
      <c r="AC49" s="70" t="s">
        <v>36</v>
      </c>
      <c r="AD49" s="70" t="s">
        <v>31</v>
      </c>
      <c r="AE49" s="70" t="s">
        <v>35</v>
      </c>
      <c r="AG49" s="369">
        <v>3.5538362988843062</v>
      </c>
      <c r="AH49" s="353">
        <v>0</v>
      </c>
      <c r="AI49" s="353">
        <v>0</v>
      </c>
      <c r="AJ49" s="353">
        <v>0</v>
      </c>
      <c r="AK49" s="353">
        <v>0.10000000149011612</v>
      </c>
      <c r="AL49" s="353">
        <v>6.3000001907348633</v>
      </c>
      <c r="AM49" s="353">
        <v>14.800000190734863</v>
      </c>
      <c r="AN49" s="353"/>
      <c r="AO49" s="353"/>
      <c r="AP49" s="353"/>
      <c r="AQ49" s="353"/>
      <c r="AR49" s="353"/>
    </row>
    <row r="50" spans="2:44" ht="12.75" thickBot="1">
      <c r="E50" s="279">
        <f>LFR.100</f>
        <v>0.15</v>
      </c>
      <c r="F50" s="11" t="s">
        <v>124</v>
      </c>
      <c r="H50" s="341" t="s">
        <v>115</v>
      </c>
      <c r="I50" s="11" t="s">
        <v>43</v>
      </c>
      <c r="J50" s="342">
        <f>H51</f>
        <v>0.28811999999999999</v>
      </c>
      <c r="K50" s="343">
        <f>VK.HRR100/BASE*H51</f>
        <v>8.3727211008E-6</v>
      </c>
      <c r="L50" s="344">
        <f>1/K50</f>
        <v>119435.48434981928</v>
      </c>
      <c r="M50" s="345">
        <f>K50/TOT.VK.HRR100</f>
        <v>1.9208000000000002E-8</v>
      </c>
      <c r="O50" s="160" t="s">
        <v>326</v>
      </c>
      <c r="P50" s="161" t="s">
        <v>328</v>
      </c>
      <c r="Q50" s="166">
        <f>K50    *NNVC</f>
        <v>0</v>
      </c>
      <c r="R50" s="164" t="str">
        <f t="shared" si="0"/>
        <v/>
      </c>
      <c r="S50" s="166">
        <f t="shared" ref="S50:S59" si="6">Q50/VK.HRR100</f>
        <v>0</v>
      </c>
      <c r="T50" s="168">
        <f t="shared" si="5"/>
        <v>0</v>
      </c>
      <c r="U50" s="168">
        <v>0</v>
      </c>
      <c r="V50" s="168">
        <v>0</v>
      </c>
      <c r="W50" s="168">
        <v>0</v>
      </c>
      <c r="X50" s="168">
        <v>0</v>
      </c>
      <c r="Y50" s="168">
        <v>0</v>
      </c>
      <c r="Z50" s="169">
        <v>0</v>
      </c>
      <c r="AB50" s="70" t="s">
        <v>40</v>
      </c>
      <c r="AC50" s="70" t="s">
        <v>15</v>
      </c>
      <c r="AD50" s="70" t="s">
        <v>30</v>
      </c>
      <c r="AE50" s="70" t="s">
        <v>29</v>
      </c>
      <c r="AG50" s="369">
        <v>37.499677308100722</v>
      </c>
      <c r="AH50" s="353">
        <v>0</v>
      </c>
      <c r="AI50" s="353">
        <v>0.20000000298023224</v>
      </c>
      <c r="AJ50" s="353">
        <v>10.899999618530273</v>
      </c>
      <c r="AK50" s="353">
        <v>31</v>
      </c>
      <c r="AL50" s="353">
        <v>90.099998474121094</v>
      </c>
      <c r="AM50" s="353">
        <v>91.5</v>
      </c>
      <c r="AN50" s="353"/>
      <c r="AO50" s="353"/>
      <c r="AP50" s="353"/>
      <c r="AQ50" s="353"/>
      <c r="AR50" s="353"/>
    </row>
    <row r="51" spans="2:44" ht="12.75" thickBot="1">
      <c r="B51" s="506" t="s">
        <v>529</v>
      </c>
      <c r="C51" s="507"/>
      <c r="F51" s="341" t="s">
        <v>94</v>
      </c>
      <c r="H51" s="342">
        <f>F52*(1-CongRate)</f>
        <v>0.28811999999999999</v>
      </c>
      <c r="P51" s="153" t="s">
        <v>329</v>
      </c>
      <c r="Q51" s="163">
        <f>K50*NNV0</f>
        <v>0</v>
      </c>
      <c r="R51" s="164" t="str">
        <f t="shared" si="0"/>
        <v/>
      </c>
      <c r="S51" s="163">
        <f t="shared" si="6"/>
        <v>0</v>
      </c>
      <c r="T51" s="170">
        <f t="shared" si="5"/>
        <v>0</v>
      </c>
      <c r="U51" s="170">
        <v>0</v>
      </c>
      <c r="V51" s="170">
        <v>0</v>
      </c>
      <c r="W51" s="170">
        <v>0</v>
      </c>
      <c r="X51" s="170">
        <v>0</v>
      </c>
      <c r="Y51" s="170">
        <v>0</v>
      </c>
      <c r="Z51" s="171">
        <v>0</v>
      </c>
      <c r="AB51" s="70" t="s">
        <v>40</v>
      </c>
      <c r="AC51" s="70" t="s">
        <v>15</v>
      </c>
      <c r="AD51" s="70" t="s">
        <v>30</v>
      </c>
      <c r="AE51" s="71" t="s">
        <v>32</v>
      </c>
      <c r="AG51" s="369">
        <v>24.139265499908184</v>
      </c>
      <c r="AH51" s="353">
        <v>107.40000152587891</v>
      </c>
      <c r="AI51" s="353">
        <v>35.900001525878906</v>
      </c>
      <c r="AJ51" s="353">
        <v>0.69999998807907104</v>
      </c>
      <c r="AK51" s="353">
        <v>0</v>
      </c>
      <c r="AL51" s="353">
        <v>0</v>
      </c>
      <c r="AM51" s="353">
        <v>0</v>
      </c>
      <c r="AN51" s="353"/>
      <c r="AO51" s="353"/>
      <c r="AP51" s="353"/>
      <c r="AQ51" s="353"/>
      <c r="AR51" s="353"/>
    </row>
    <row r="52" spans="2:44" ht="12.75" thickBot="1">
      <c r="B52" s="22" t="s">
        <v>530</v>
      </c>
      <c r="C52" s="354">
        <v>1.96</v>
      </c>
      <c r="D52" s="351"/>
      <c r="F52" s="354">
        <f>E50*C52</f>
        <v>0.29399999999999998</v>
      </c>
      <c r="P52" s="153" t="s">
        <v>330</v>
      </c>
      <c r="Q52" s="163">
        <f>K50*NFF*WV0</f>
        <v>2.7881161265664002E-6</v>
      </c>
      <c r="R52" s="164">
        <f t="shared" si="0"/>
        <v>358665.11816762539</v>
      </c>
      <c r="S52" s="163">
        <f t="shared" si="6"/>
        <v>9.5943960000000003E-10</v>
      </c>
      <c r="T52" s="170">
        <f t="shared" si="5"/>
        <v>0</v>
      </c>
      <c r="U52" s="170">
        <v>0</v>
      </c>
      <c r="V52" s="170">
        <v>0</v>
      </c>
      <c r="W52" s="170">
        <v>0</v>
      </c>
      <c r="X52" s="170">
        <v>0</v>
      </c>
      <c r="Y52" s="170">
        <v>0</v>
      </c>
      <c r="Z52" s="171">
        <v>0</v>
      </c>
      <c r="AB52" s="70" t="s">
        <v>40</v>
      </c>
      <c r="AC52" s="70" t="s">
        <v>15</v>
      </c>
      <c r="AD52" s="70" t="s">
        <v>31</v>
      </c>
      <c r="AE52" s="70" t="s">
        <v>33</v>
      </c>
      <c r="AG52" s="369">
        <v>0</v>
      </c>
      <c r="AH52" s="353">
        <v>0</v>
      </c>
      <c r="AI52" s="353">
        <v>0</v>
      </c>
      <c r="AJ52" s="353">
        <v>0</v>
      </c>
      <c r="AK52" s="353">
        <v>0</v>
      </c>
      <c r="AL52" s="353">
        <v>0</v>
      </c>
      <c r="AM52" s="353">
        <v>0</v>
      </c>
      <c r="AN52" s="353"/>
      <c r="AO52" s="353"/>
      <c r="AP52" s="353"/>
      <c r="AQ52" s="353"/>
      <c r="AR52" s="353"/>
    </row>
    <row r="53" spans="2:44" ht="12.75" thickBot="1">
      <c r="B53" s="22" t="s">
        <v>531</v>
      </c>
      <c r="C53" s="345">
        <f>C52*VK.HRR100/BASE</f>
        <v>5.6957286399999992E-5</v>
      </c>
      <c r="F53" s="345">
        <f>VK.HRR100/BASE*F52</f>
        <v>8.5435929599999988E-6</v>
      </c>
      <c r="P53" s="153" t="s">
        <v>331</v>
      </c>
      <c r="Q53" s="163">
        <f>K50*NFF*WVR</f>
        <v>2.7881161265664002E-6</v>
      </c>
      <c r="R53" s="164">
        <f t="shared" si="0"/>
        <v>358665.11816762539</v>
      </c>
      <c r="S53" s="163">
        <f t="shared" si="6"/>
        <v>9.5943960000000003E-10</v>
      </c>
      <c r="T53" s="170">
        <f t="shared" si="5"/>
        <v>0</v>
      </c>
      <c r="U53" s="170">
        <v>0</v>
      </c>
      <c r="V53" s="170">
        <v>0</v>
      </c>
      <c r="W53" s="170">
        <v>0</v>
      </c>
      <c r="X53" s="170">
        <v>0</v>
      </c>
      <c r="Y53" s="170">
        <v>0</v>
      </c>
      <c r="Z53" s="171">
        <v>0</v>
      </c>
      <c r="AB53" s="70" t="s">
        <v>40</v>
      </c>
      <c r="AC53" s="70" t="s">
        <v>15</v>
      </c>
      <c r="AD53" s="70" t="s">
        <v>31</v>
      </c>
      <c r="AE53" s="70" t="s">
        <v>34</v>
      </c>
      <c r="AG53" s="369">
        <v>0</v>
      </c>
      <c r="AH53" s="353">
        <v>0</v>
      </c>
      <c r="AI53" s="353">
        <v>0</v>
      </c>
      <c r="AJ53" s="353">
        <v>0</v>
      </c>
      <c r="AK53" s="353">
        <v>0</v>
      </c>
      <c r="AL53" s="353">
        <v>0</v>
      </c>
      <c r="AM53" s="353">
        <v>0</v>
      </c>
      <c r="AN53" s="353"/>
      <c r="AO53" s="353"/>
      <c r="AP53" s="353"/>
      <c r="AQ53" s="353"/>
      <c r="AR53" s="353"/>
    </row>
    <row r="54" spans="2:44" s="332" customFormat="1" ht="12" customHeight="1" thickBot="1">
      <c r="B54" s="22" t="s">
        <v>532</v>
      </c>
      <c r="C54" s="356">
        <f>1/C53</f>
        <v>17557.016199423437</v>
      </c>
      <c r="D54" s="371"/>
      <c r="F54" s="356">
        <f>1/F53</f>
        <v>117046.77466282291</v>
      </c>
      <c r="K54" s="22"/>
      <c r="L54" s="336"/>
      <c r="M54" s="337"/>
      <c r="N54" s="22"/>
      <c r="O54" s="350"/>
      <c r="P54" s="152" t="s">
        <v>332</v>
      </c>
      <c r="Q54" s="358">
        <f>K50*NFF*WVP</f>
        <v>2.7881161265664002E-6</v>
      </c>
      <c r="R54" s="165">
        <f t="shared" si="0"/>
        <v>358665.11816762539</v>
      </c>
      <c r="S54" s="163">
        <f t="shared" si="6"/>
        <v>9.5943960000000003E-10</v>
      </c>
      <c r="T54" s="172">
        <f t="shared" si="5"/>
        <v>0</v>
      </c>
      <c r="U54" s="172">
        <v>0</v>
      </c>
      <c r="V54" s="172">
        <v>0</v>
      </c>
      <c r="W54" s="172">
        <v>0</v>
      </c>
      <c r="X54" s="172">
        <v>0</v>
      </c>
      <c r="Y54" s="172">
        <v>0</v>
      </c>
      <c r="Z54" s="173">
        <v>0</v>
      </c>
      <c r="AA54" s="19"/>
      <c r="AB54" s="70" t="s">
        <v>40</v>
      </c>
      <c r="AC54" s="70" t="s">
        <v>15</v>
      </c>
      <c r="AD54" s="70" t="s">
        <v>31</v>
      </c>
      <c r="AE54" s="70" t="s">
        <v>35</v>
      </c>
      <c r="AG54" s="369">
        <v>35.923919284213056</v>
      </c>
      <c r="AH54" s="372">
        <v>0</v>
      </c>
      <c r="AI54" s="372">
        <v>0</v>
      </c>
      <c r="AJ54" s="372">
        <v>3</v>
      </c>
      <c r="AK54" s="372">
        <v>19</v>
      </c>
      <c r="AL54" s="372">
        <v>67.599998474121094</v>
      </c>
      <c r="AM54" s="372">
        <v>124.69999694824219</v>
      </c>
      <c r="AN54" s="372"/>
      <c r="AO54" s="372"/>
      <c r="AP54" s="372"/>
      <c r="AQ54" s="372"/>
      <c r="AR54" s="372"/>
    </row>
    <row r="55" spans="2:44" s="332" customFormat="1" ht="12.75" customHeight="1" thickBot="1">
      <c r="D55" s="56"/>
      <c r="E55" s="56"/>
      <c r="F55" s="22"/>
      <c r="G55" s="22"/>
      <c r="H55" s="341" t="s">
        <v>117</v>
      </c>
      <c r="I55" s="11" t="s">
        <v>44</v>
      </c>
      <c r="J55" s="342">
        <f>H56</f>
        <v>5.8799999999999998E-3</v>
      </c>
      <c r="K55" s="343">
        <f>VK.HRR100/BASE*H56</f>
        <v>1.7087185919999998E-7</v>
      </c>
      <c r="L55" s="344">
        <f>1/K55</f>
        <v>5852338.7331411447</v>
      </c>
      <c r="M55" s="345">
        <f>K55/TOT.VK.HRR100</f>
        <v>3.9199999999999999E-10</v>
      </c>
      <c r="N55" s="22"/>
      <c r="O55" s="160" t="s">
        <v>327</v>
      </c>
      <c r="P55" s="161" t="s">
        <v>333</v>
      </c>
      <c r="Q55" s="166">
        <f>K55    *CNVC</f>
        <v>0</v>
      </c>
      <c r="R55" s="167" t="str">
        <f t="shared" si="0"/>
        <v/>
      </c>
      <c r="S55" s="166">
        <f t="shared" si="6"/>
        <v>0</v>
      </c>
      <c r="T55" s="168">
        <f t="shared" si="5"/>
        <v>60.504528363226328</v>
      </c>
      <c r="U55" s="168">
        <v>154.30000305175781</v>
      </c>
      <c r="V55" s="168">
        <v>100.59999847412109</v>
      </c>
      <c r="W55" s="168">
        <v>67.599998474121094</v>
      </c>
      <c r="X55" s="168">
        <v>27.600000381469727</v>
      </c>
      <c r="Y55" s="168">
        <v>15.399999618530273</v>
      </c>
      <c r="Z55" s="169">
        <v>12.699999809265137</v>
      </c>
      <c r="AA55" s="19"/>
      <c r="AB55" s="70" t="s">
        <v>40</v>
      </c>
      <c r="AC55" s="70" t="s">
        <v>36</v>
      </c>
      <c r="AD55" s="70" t="s">
        <v>30</v>
      </c>
      <c r="AE55" s="70" t="s">
        <v>29</v>
      </c>
      <c r="AG55" s="369">
        <v>73.675049251410215</v>
      </c>
      <c r="AH55" s="372">
        <v>0</v>
      </c>
      <c r="AI55" s="372">
        <v>0.10000000149011612</v>
      </c>
      <c r="AJ55" s="372">
        <v>7.5</v>
      </c>
      <c r="AK55" s="372">
        <v>28.799999237060547</v>
      </c>
      <c r="AL55" s="372">
        <v>171.60000610351562</v>
      </c>
      <c r="AM55" s="372">
        <v>231.5</v>
      </c>
      <c r="AN55" s="372"/>
      <c r="AO55" s="372"/>
      <c r="AP55" s="372"/>
      <c r="AQ55" s="372"/>
      <c r="AR55" s="372"/>
    </row>
    <row r="56" spans="2:44" ht="12.75" customHeight="1" thickBot="1">
      <c r="D56" s="19"/>
      <c r="E56" s="19"/>
      <c r="H56" s="342">
        <f>F52*CongRate</f>
        <v>5.8799999999999998E-3</v>
      </c>
      <c r="K56" s="349"/>
      <c r="P56" s="153" t="s">
        <v>334</v>
      </c>
      <c r="Q56" s="163">
        <f>K55*CNV0</f>
        <v>0</v>
      </c>
      <c r="R56" s="164" t="str">
        <f t="shared" si="0"/>
        <v/>
      </c>
      <c r="S56" s="163">
        <f t="shared" si="6"/>
        <v>0</v>
      </c>
      <c r="T56" s="170">
        <f t="shared" si="5"/>
        <v>61.916571664465216</v>
      </c>
      <c r="U56" s="170">
        <v>151.39999389648437</v>
      </c>
      <c r="V56" s="170">
        <v>113.69999694824219</v>
      </c>
      <c r="W56" s="170">
        <v>60.5</v>
      </c>
      <c r="X56" s="170">
        <v>30.700000762939453</v>
      </c>
      <c r="Y56" s="170">
        <v>14.300000190734863</v>
      </c>
      <c r="Z56" s="171">
        <v>15.600000381469727</v>
      </c>
      <c r="AB56" s="70" t="s">
        <v>40</v>
      </c>
      <c r="AC56" s="70" t="s">
        <v>36</v>
      </c>
      <c r="AD56" s="70" t="s">
        <v>30</v>
      </c>
      <c r="AE56" s="71" t="s">
        <v>32</v>
      </c>
      <c r="AG56" s="369">
        <v>6.0515794901598818</v>
      </c>
      <c r="AH56" s="353">
        <v>0</v>
      </c>
      <c r="AI56" s="353">
        <v>0</v>
      </c>
      <c r="AJ56" s="353">
        <v>0.5</v>
      </c>
      <c r="AK56" s="353">
        <v>3.2999999523162842</v>
      </c>
      <c r="AL56" s="353">
        <v>10.899999618530273</v>
      </c>
      <c r="AM56" s="353">
        <v>21.399999618530273</v>
      </c>
      <c r="AN56" s="353"/>
      <c r="AO56" s="353"/>
      <c r="AP56" s="353"/>
      <c r="AQ56" s="353"/>
      <c r="AR56" s="353"/>
    </row>
    <row r="57" spans="2:44" ht="12.75" customHeight="1">
      <c r="P57" s="153" t="s">
        <v>335</v>
      </c>
      <c r="Q57" s="163">
        <f>K55*CFF*WV0</f>
        <v>5.6900329113599998E-8</v>
      </c>
      <c r="R57" s="164">
        <f t="shared" si="0"/>
        <v>17574590.790213648</v>
      </c>
      <c r="S57" s="163">
        <f t="shared" si="6"/>
        <v>1.95804E-11</v>
      </c>
      <c r="T57" s="170">
        <f t="shared" si="5"/>
        <v>106.974505072238</v>
      </c>
      <c r="U57" s="170">
        <v>241.10000610351562</v>
      </c>
      <c r="V57" s="170">
        <v>201.39999389648437</v>
      </c>
      <c r="W57" s="170">
        <v>145.10000610351562</v>
      </c>
      <c r="X57" s="170">
        <v>67.599998474121094</v>
      </c>
      <c r="Y57" s="170">
        <v>20.600000381469727</v>
      </c>
      <c r="Z57" s="171">
        <v>0</v>
      </c>
      <c r="AB57" s="70" t="s">
        <v>40</v>
      </c>
      <c r="AC57" s="70" t="s">
        <v>36</v>
      </c>
      <c r="AD57" s="70" t="s">
        <v>31</v>
      </c>
      <c r="AE57" s="70" t="s">
        <v>33</v>
      </c>
      <c r="AG57" s="369">
        <v>135.04577953995312</v>
      </c>
      <c r="AH57" s="353">
        <v>309.20001220703125</v>
      </c>
      <c r="AI57" s="353">
        <v>222.30000305175781</v>
      </c>
      <c r="AJ57" s="353">
        <v>173.19999694824219</v>
      </c>
      <c r="AK57" s="353">
        <v>86.800003051757813</v>
      </c>
      <c r="AL57" s="353">
        <v>14.100000381469727</v>
      </c>
      <c r="AM57" s="353">
        <v>0</v>
      </c>
      <c r="AN57" s="353"/>
      <c r="AO57" s="353"/>
      <c r="AP57" s="353"/>
      <c r="AQ57" s="353"/>
      <c r="AR57" s="353"/>
    </row>
    <row r="58" spans="2:44" ht="13.5" customHeight="1">
      <c r="E58" s="22">
        <f>VK.HRR030</f>
        <v>174177.416</v>
      </c>
      <c r="P58" s="153" t="s">
        <v>336</v>
      </c>
      <c r="Q58" s="163">
        <f>K55*CFF*WVR</f>
        <v>5.6900329113599998E-8</v>
      </c>
      <c r="R58" s="164">
        <f t="shared" si="0"/>
        <v>17574590.790213648</v>
      </c>
      <c r="S58" s="163">
        <f t="shared" si="6"/>
        <v>1.95804E-11</v>
      </c>
      <c r="T58" s="170">
        <f t="shared" si="5"/>
        <v>61.136186587784977</v>
      </c>
      <c r="U58" s="170">
        <v>152.5</v>
      </c>
      <c r="V58" s="170">
        <v>97.099998474121094</v>
      </c>
      <c r="W58" s="170">
        <v>65.599998474121094</v>
      </c>
      <c r="X58" s="170">
        <v>37.5</v>
      </c>
      <c r="Y58" s="170">
        <v>16</v>
      </c>
      <c r="Z58" s="171">
        <v>13.300000190734863</v>
      </c>
      <c r="AB58" s="70" t="s">
        <v>40</v>
      </c>
      <c r="AC58" s="70" t="s">
        <v>36</v>
      </c>
      <c r="AD58" s="70" t="s">
        <v>31</v>
      </c>
      <c r="AE58" s="70" t="s">
        <v>34</v>
      </c>
      <c r="AG58" s="369">
        <v>94.662797683135366</v>
      </c>
      <c r="AH58" s="353">
        <v>119.19999694824219</v>
      </c>
      <c r="AI58" s="353">
        <v>114</v>
      </c>
      <c r="AJ58" s="353">
        <v>78.900001525878906</v>
      </c>
      <c r="AK58" s="353">
        <v>75.599998474121094</v>
      </c>
      <c r="AL58" s="353">
        <v>85</v>
      </c>
      <c r="AM58" s="353">
        <v>92</v>
      </c>
      <c r="AN58" s="353"/>
      <c r="AO58" s="353"/>
      <c r="AP58" s="353"/>
      <c r="AQ58" s="353"/>
      <c r="AR58" s="353"/>
    </row>
    <row r="59" spans="2:44" ht="12.75" customHeight="1" thickBot="1">
      <c r="E59" s="22">
        <f>VK.HRR100</f>
        <v>2905.9839999999999</v>
      </c>
      <c r="F59" s="22">
        <f>vk.hrr100.dn</f>
        <v>2470.0864000000001</v>
      </c>
      <c r="G59" s="22">
        <f>F59/E59</f>
        <v>0.85000000000000009</v>
      </c>
      <c r="P59" s="152" t="s">
        <v>337</v>
      </c>
      <c r="Q59" s="358">
        <f>K55*CFF*WVP</f>
        <v>5.6900329113599998E-8</v>
      </c>
      <c r="R59" s="165">
        <f t="shared" si="0"/>
        <v>17574590.790213648</v>
      </c>
      <c r="S59" s="163">
        <f t="shared" si="6"/>
        <v>1.95804E-11</v>
      </c>
      <c r="T59" s="172">
        <f t="shared" si="5"/>
        <v>122.42893757861427</v>
      </c>
      <c r="U59" s="172">
        <v>257.39999389648437</v>
      </c>
      <c r="V59" s="172">
        <v>225.80000305175781</v>
      </c>
      <c r="W59" s="172">
        <v>149.89999389648437</v>
      </c>
      <c r="X59" s="172">
        <v>94</v>
      </c>
      <c r="Y59" s="172">
        <v>46.200000762939453</v>
      </c>
      <c r="Z59" s="173">
        <v>0.10000000149011612</v>
      </c>
      <c r="AB59" s="70" t="s">
        <v>40</v>
      </c>
      <c r="AC59" s="70" t="s">
        <v>36</v>
      </c>
      <c r="AD59" s="70" t="s">
        <v>31</v>
      </c>
      <c r="AE59" s="70" t="s">
        <v>35</v>
      </c>
      <c r="AG59" s="369">
        <v>54.330107432500085</v>
      </c>
      <c r="AH59" s="353">
        <v>0</v>
      </c>
      <c r="AI59" s="353">
        <v>0</v>
      </c>
      <c r="AJ59" s="353">
        <v>2</v>
      </c>
      <c r="AK59" s="353">
        <v>49.299999237060547</v>
      </c>
      <c r="AL59" s="353">
        <v>128.39999389648437</v>
      </c>
      <c r="AM59" s="353">
        <v>144.39999389648437</v>
      </c>
      <c r="AN59" s="353"/>
      <c r="AO59" s="353"/>
      <c r="AP59" s="353"/>
      <c r="AQ59" s="353"/>
      <c r="AR59" s="353"/>
    </row>
    <row r="60" spans="2:44" ht="13.5" customHeight="1">
      <c r="P60" s="373"/>
      <c r="Q60" s="19"/>
      <c r="R60" s="374"/>
      <c r="S60" s="19"/>
      <c r="T60" s="19"/>
      <c r="U60" s="19"/>
      <c r="V60" s="19"/>
      <c r="W60" s="19"/>
      <c r="X60" s="19"/>
      <c r="Y60" s="19"/>
      <c r="Z60" s="19"/>
      <c r="AE60" s="22"/>
      <c r="AG60" s="369">
        <v>97.445518252620531</v>
      </c>
      <c r="AH60" s="369">
        <v>123.40000152587891</v>
      </c>
      <c r="AI60" s="369">
        <v>92.099998474121094</v>
      </c>
      <c r="AJ60" s="369">
        <v>86.900001525878906</v>
      </c>
      <c r="AK60" s="369">
        <v>76.599998474121094</v>
      </c>
      <c r="AL60" s="369">
        <v>113.09999847412109</v>
      </c>
      <c r="AM60" s="369">
        <v>89.199996948242188</v>
      </c>
    </row>
    <row r="61" spans="2:44" ht="11.25" customHeight="1">
      <c r="B61" s="375" t="s">
        <v>140</v>
      </c>
      <c r="AE61" s="22"/>
      <c r="AG61" s="369">
        <v>114.64474542151721</v>
      </c>
      <c r="AH61" s="369">
        <v>237.30000305175781</v>
      </c>
      <c r="AI61" s="369">
        <v>211.39999389648437</v>
      </c>
      <c r="AJ61" s="369">
        <v>126.30000305175781</v>
      </c>
      <c r="AK61" s="369">
        <v>73.900001525878906</v>
      </c>
      <c r="AL61" s="369">
        <v>13.199999809265137</v>
      </c>
      <c r="AM61" s="369">
        <v>21.799999237060547</v>
      </c>
    </row>
    <row r="62" spans="2:44" ht="13.5" customHeight="1">
      <c r="B62" s="22" t="s">
        <v>111</v>
      </c>
      <c r="AE62" s="22"/>
    </row>
    <row r="63" spans="2:44" ht="12" customHeight="1">
      <c r="AE63" s="22"/>
    </row>
    <row r="64" spans="2:44" ht="12.75" customHeight="1">
      <c r="B64" s="22" t="s">
        <v>431</v>
      </c>
      <c r="AE64" s="22"/>
    </row>
    <row r="65" spans="2:31">
      <c r="C65" s="11" t="s">
        <v>120</v>
      </c>
      <c r="D65" s="11" t="s">
        <v>112</v>
      </c>
      <c r="E65" s="11" t="s">
        <v>119</v>
      </c>
      <c r="AE65" s="22"/>
    </row>
    <row r="66" spans="2:31">
      <c r="B66" s="22" t="s">
        <v>101</v>
      </c>
      <c r="C66" s="11">
        <v>6.3</v>
      </c>
      <c r="D66" s="11">
        <v>24.6</v>
      </c>
      <c r="E66" s="377">
        <f>D66/C66</f>
        <v>3.9047619047619051</v>
      </c>
      <c r="AE66" s="22"/>
    </row>
    <row r="67" spans="2:31">
      <c r="B67" s="22" t="s">
        <v>102</v>
      </c>
      <c r="C67" s="11">
        <v>2</v>
      </c>
      <c r="D67" s="11">
        <v>9.1999999999999993</v>
      </c>
      <c r="E67" s="377">
        <f>D67/C67</f>
        <v>4.5999999999999996</v>
      </c>
      <c r="AE67" s="22"/>
    </row>
    <row r="68" spans="2:31">
      <c r="B68" s="22" t="s">
        <v>113</v>
      </c>
      <c r="C68" s="11">
        <v>4.53</v>
      </c>
      <c r="D68" s="11">
        <v>9.1999999999999993</v>
      </c>
      <c r="E68" s="377">
        <f>D68/C68</f>
        <v>2.0309050772626929</v>
      </c>
      <c r="AE68" s="22"/>
    </row>
    <row r="69" spans="2:31">
      <c r="C69" s="11"/>
      <c r="D69" s="11"/>
      <c r="E69" s="377">
        <f>AVERAGE(E66:E68)</f>
        <v>3.5118889940081992</v>
      </c>
      <c r="AE69" s="22"/>
    </row>
    <row r="70" spans="2:31">
      <c r="AE70" s="22"/>
    </row>
    <row r="71" spans="2:31">
      <c r="B71" s="22" t="s">
        <v>420</v>
      </c>
      <c r="E71" s="22">
        <v>0.39</v>
      </c>
      <c r="F71" s="22" t="s">
        <v>421</v>
      </c>
      <c r="H71" s="22">
        <f>1-E71</f>
        <v>0.61</v>
      </c>
      <c r="AE71" s="22"/>
    </row>
    <row r="72" spans="2:31">
      <c r="B72" s="22" t="s">
        <v>422</v>
      </c>
      <c r="E72" s="22" t="s">
        <v>423</v>
      </c>
      <c r="F72" s="22" t="s">
        <v>424</v>
      </c>
      <c r="H72" s="22" t="s">
        <v>425</v>
      </c>
      <c r="AE72" s="22"/>
    </row>
    <row r="73" spans="2:31">
      <c r="E73" s="22" t="s">
        <v>429</v>
      </c>
      <c r="AE73" s="22"/>
    </row>
    <row r="74" spans="2:31">
      <c r="AE74" s="22"/>
    </row>
    <row r="75" spans="2:31">
      <c r="C75" s="378" t="e">
        <f>#REF!</f>
        <v>#REF!</v>
      </c>
      <c r="D75" s="379" t="s">
        <v>426</v>
      </c>
      <c r="AE75" s="22"/>
    </row>
    <row r="76" spans="2:31">
      <c r="D76" s="379" t="s">
        <v>427</v>
      </c>
      <c r="AE76" s="22"/>
    </row>
    <row r="77" spans="2:31">
      <c r="AE77" s="22"/>
    </row>
    <row r="78" spans="2:31">
      <c r="B78" s="22" t="s">
        <v>428</v>
      </c>
      <c r="AE78" s="22"/>
    </row>
    <row r="79" spans="2:31">
      <c r="C79" s="22" t="s">
        <v>432</v>
      </c>
      <c r="D79" s="379" t="s">
        <v>433</v>
      </c>
      <c r="AE79" s="22"/>
    </row>
    <row r="80" spans="2:31">
      <c r="B80" s="22" t="s">
        <v>434</v>
      </c>
      <c r="D80" s="379"/>
      <c r="AE80" s="22"/>
    </row>
    <row r="81" spans="3:31">
      <c r="C81" s="22" t="s">
        <v>425</v>
      </c>
      <c r="D81" s="22" t="e">
        <f xml:space="preserve"> C75/(H71+E69*E71)</f>
        <v>#REF!</v>
      </c>
      <c r="AE81" s="22"/>
    </row>
    <row r="82" spans="3:31">
      <c r="C82" s="22" t="s">
        <v>430</v>
      </c>
      <c r="D82" s="22" t="e">
        <f>D81*E69</f>
        <v>#REF!</v>
      </c>
      <c r="AE82" s="22"/>
    </row>
    <row r="83" spans="3:31">
      <c r="AE83" s="22"/>
    </row>
    <row r="84" spans="3:31">
      <c r="AE84" s="22"/>
    </row>
    <row r="85" spans="3:31">
      <c r="AE85" s="22"/>
    </row>
    <row r="86" spans="3:31">
      <c r="AE86" s="22"/>
    </row>
    <row r="87" spans="3:31">
      <c r="AE87" s="22"/>
    </row>
    <row r="88" spans="3:31">
      <c r="AE88" s="22"/>
    </row>
    <row r="89" spans="3:31">
      <c r="AE89" s="22"/>
    </row>
    <row r="90" spans="3:31">
      <c r="AE90" s="22"/>
    </row>
    <row r="91" spans="3:31">
      <c r="AE91" s="22"/>
    </row>
    <row r="92" spans="3:31">
      <c r="AE92" s="22"/>
    </row>
    <row r="93" spans="3:31">
      <c r="AE93" s="22"/>
    </row>
    <row r="94" spans="3:31">
      <c r="AE94" s="22"/>
    </row>
    <row r="95" spans="3:31">
      <c r="AE95" s="22"/>
    </row>
    <row r="96" spans="3:31">
      <c r="AE96" s="22"/>
    </row>
    <row r="97" spans="31:36">
      <c r="AE97" s="22"/>
    </row>
    <row r="98" spans="31:36">
      <c r="AE98" s="22"/>
    </row>
    <row r="99" spans="31:36">
      <c r="AE99" s="22"/>
    </row>
    <row r="100" spans="31:36">
      <c r="AE100" s="22"/>
    </row>
    <row r="101" spans="31:36">
      <c r="AE101" s="22"/>
    </row>
    <row r="102" spans="31:36">
      <c r="AE102" s="22"/>
    </row>
    <row r="103" spans="31:36">
      <c r="AE103" s="22"/>
      <c r="AJ103" s="349"/>
    </row>
    <row r="104" spans="31:36">
      <c r="AE104" s="22"/>
    </row>
    <row r="105" spans="31:36">
      <c r="AE105" s="22"/>
    </row>
  </sheetData>
  <protectedRanges>
    <protectedRange sqref="AA56:AA57 U19:AA24 U26:AA27 U29:Z29 AB15:AB59 AA36:AA37 AA59 AA46:AA47 AA49:AA54 AA39:AA44 AA29:AA34 U10:AB14 U16:AA17 T10:T59" name="범위2"/>
  </protectedRanges>
  <mergeCells count="25">
    <mergeCell ref="B10:C10"/>
    <mergeCell ref="B31:C31"/>
    <mergeCell ref="B41:C41"/>
    <mergeCell ref="B51:C51"/>
    <mergeCell ref="F1:F2"/>
    <mergeCell ref="B4:C4"/>
    <mergeCell ref="G1:G2"/>
    <mergeCell ref="B1:B2"/>
    <mergeCell ref="C1:C2"/>
    <mergeCell ref="D1:D2"/>
    <mergeCell ref="E1:E2"/>
    <mergeCell ref="H1:H2"/>
    <mergeCell ref="I1:I2"/>
    <mergeCell ref="K1:K2"/>
    <mergeCell ref="L1:L2"/>
    <mergeCell ref="M1:M2"/>
    <mergeCell ref="J1:J2"/>
    <mergeCell ref="Q1:Q2"/>
    <mergeCell ref="T1:T2"/>
    <mergeCell ref="U1:Z1"/>
    <mergeCell ref="N1:N2"/>
    <mergeCell ref="S1:S2"/>
    <mergeCell ref="R1:R2"/>
    <mergeCell ref="P1:P2"/>
    <mergeCell ref="O1:O2"/>
  </mergeCells>
  <phoneticPr fontId="3" type="noConversion"/>
  <conditionalFormatting sqref="T10:Z59">
    <cfRule type="cellIs" dxfId="0" priority="3" stopIfTrue="1" operator="greaterThan">
      <formula>0</formula>
    </cfRule>
  </conditionalFormatting>
  <pageMargins left="0.75" right="0.75" top="1" bottom="1" header="0.5" footer="0.5"/>
  <pageSetup paperSize="9" scale="41" orientation="landscape" r:id="rId1"/>
  <headerFooter alignWithMargins="0"/>
  <rowBreaks count="1" manualBreakCount="1">
    <brk id="59" max="16383" man="1"/>
  </rowBreaks>
  <colBreaks count="1" manualBreakCount="1">
    <brk id="13" max="1048575" man="1"/>
  </colBreaks>
  <ignoredErrors>
    <ignoredError sqref="R7" formula="1"/>
  </ignoredErrors>
  <drawing r:id="rId2"/>
  <legacyDrawing r:id="rId3"/>
  <controls>
    <mc:AlternateContent xmlns:mc="http://schemas.openxmlformats.org/markup-compatibility/2006">
      <mc:Choice Requires="x14">
        <control shapeId="2115" r:id="rId4" name="btnCallFatalities">
          <controlPr defaultSize="0" autoLine="0" r:id="rId5">
            <anchor moveWithCells="1">
              <from>
                <xdr:col>20</xdr:col>
                <xdr:colOff>0</xdr:colOff>
                <xdr:row>60</xdr:row>
                <xdr:rowOff>0</xdr:rowOff>
              </from>
              <to>
                <xdr:col>26</xdr:col>
                <xdr:colOff>19050</xdr:colOff>
                <xdr:row>62</xdr:row>
                <xdr:rowOff>142875</xdr:rowOff>
              </to>
            </anchor>
          </controlPr>
        </control>
      </mc:Choice>
      <mc:Fallback>
        <control shapeId="2115" r:id="rId4" name="btnCallFataliti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G2424"/>
  <sheetViews>
    <sheetView topLeftCell="O1" zoomScaleNormal="100" workbookViewId="0">
      <selection activeCell="Z43" sqref="Z43"/>
    </sheetView>
  </sheetViews>
  <sheetFormatPr defaultColWidth="8.88671875" defaultRowHeight="12"/>
  <cols>
    <col min="1" max="1" width="4.6640625" style="2" customWidth="1"/>
    <col min="2" max="2" width="13.5546875" style="212" customWidth="1"/>
    <col min="3" max="3" width="23" style="10" customWidth="1"/>
    <col min="4" max="4" width="9.44140625" style="12" customWidth="1"/>
    <col min="5" max="5" width="13.109375" style="1" customWidth="1"/>
    <col min="6" max="6" width="13.21875" style="69" customWidth="1"/>
    <col min="7" max="7" width="15.33203125" style="68" customWidth="1"/>
    <col min="8" max="8" width="8.44140625" style="69" customWidth="1"/>
    <col min="9" max="9" width="11.6640625" style="22" customWidth="1"/>
    <col min="10" max="11" width="13.77734375" style="22" customWidth="1"/>
    <col min="12" max="12" width="4.6640625" style="11" customWidth="1"/>
    <col min="13" max="13" width="13.88671875" style="1" customWidth="1"/>
    <col min="14" max="14" width="23" style="308" customWidth="1"/>
    <col min="15" max="15" width="12.77734375" style="1" customWidth="1"/>
    <col min="16" max="16" width="11.109375" style="1" customWidth="1"/>
    <col min="17" max="17" width="11" style="222" customWidth="1"/>
    <col min="18" max="18" width="7.44140625" style="1" customWidth="1"/>
    <col min="19" max="19" width="11.88671875" style="1" customWidth="1"/>
    <col min="20" max="20" width="7.44140625" style="85" customWidth="1"/>
    <col min="21" max="21" width="11.5546875" style="1" customWidth="1"/>
    <col min="22" max="32" width="8.77734375" style="1" customWidth="1"/>
    <col min="33" max="16384" width="8.88671875" style="1"/>
  </cols>
  <sheetData>
    <row r="1" spans="1:21" s="73" customFormat="1" ht="15.75" customHeight="1">
      <c r="A1" s="511" t="s">
        <v>229</v>
      </c>
      <c r="B1" s="516" t="s">
        <v>230</v>
      </c>
      <c r="C1" s="517"/>
      <c r="D1" s="524" t="s">
        <v>231</v>
      </c>
      <c r="E1" s="518" t="s">
        <v>232</v>
      </c>
      <c r="F1" s="520" t="s">
        <v>233</v>
      </c>
      <c r="G1" s="522" t="s">
        <v>234</v>
      </c>
      <c r="H1" s="514" t="s">
        <v>235</v>
      </c>
      <c r="I1" s="133" t="s">
        <v>236</v>
      </c>
      <c r="J1" s="217" t="s">
        <v>1380</v>
      </c>
      <c r="K1" s="216" t="s">
        <v>417</v>
      </c>
      <c r="L1" s="513" t="s">
        <v>81</v>
      </c>
      <c r="M1" s="526" t="s">
        <v>49</v>
      </c>
      <c r="N1" s="527"/>
      <c r="O1" s="528" t="s">
        <v>50</v>
      </c>
      <c r="P1" s="524" t="s">
        <v>51</v>
      </c>
      <c r="Q1" s="532" t="s">
        <v>52</v>
      </c>
      <c r="R1" s="524" t="s">
        <v>53</v>
      </c>
      <c r="S1" s="534" t="s">
        <v>59</v>
      </c>
      <c r="T1" s="530" t="s">
        <v>56</v>
      </c>
      <c r="U1" s="531"/>
    </row>
    <row r="2" spans="1:21" s="73" customFormat="1" ht="14.25" customHeight="1" thickBot="1">
      <c r="A2" s="512"/>
      <c r="B2" s="267" t="s">
        <v>237</v>
      </c>
      <c r="C2" s="268" t="s">
        <v>238</v>
      </c>
      <c r="D2" s="525"/>
      <c r="E2" s="519"/>
      <c r="F2" s="521"/>
      <c r="G2" s="523"/>
      <c r="H2" s="515"/>
      <c r="I2" s="134">
        <f>SUM(I25:I2426)</f>
        <v>8.9835601447127607E-4</v>
      </c>
      <c r="J2" s="217">
        <f>I2/(npersonpday*365)</f>
        <v>7.3112207542651647E-11</v>
      </c>
      <c r="K2" s="216">
        <f>J2/npersonpveh</f>
        <v>2.3360114791134778E-11</v>
      </c>
      <c r="L2" s="513"/>
      <c r="M2" s="74" t="s">
        <v>54</v>
      </c>
      <c r="N2" s="307" t="s">
        <v>55</v>
      </c>
      <c r="O2" s="529"/>
      <c r="P2" s="525"/>
      <c r="Q2" s="533"/>
      <c r="R2" s="525"/>
      <c r="S2" s="535"/>
      <c r="T2" s="75" t="s">
        <v>57</v>
      </c>
      <c r="U2" s="76" t="s">
        <v>58</v>
      </c>
    </row>
    <row r="3" spans="1:21">
      <c r="A3" s="129" t="s">
        <v>239</v>
      </c>
      <c r="B3" s="200" t="s">
        <v>240</v>
      </c>
      <c r="C3" s="201" t="s">
        <v>241</v>
      </c>
      <c r="D3" s="130" t="e">
        <f>표준시나리오!#REF!</f>
        <v>#REF!</v>
      </c>
      <c r="E3" s="131" t="e">
        <f>표준시나리오!#REF!</f>
        <v>#REF!</v>
      </c>
      <c r="F3" s="131" t="e">
        <f>E3/TOTALVK</f>
        <v>#REF!</v>
      </c>
      <c r="G3" s="151" t="e">
        <f>1/E3</f>
        <v>#REF!</v>
      </c>
      <c r="H3" s="132" t="s">
        <v>86</v>
      </c>
      <c r="I3" s="132" t="s">
        <v>86</v>
      </c>
      <c r="J3" s="219"/>
      <c r="K3" s="219"/>
      <c r="L3" s="11">
        <v>1</v>
      </c>
      <c r="M3" s="1" t="s">
        <v>413</v>
      </c>
      <c r="N3" s="308" t="s">
        <v>414</v>
      </c>
      <c r="O3" s="69">
        <v>9.0069317856000021E-9</v>
      </c>
      <c r="P3" s="69">
        <v>3.0994430064308693E-12</v>
      </c>
      <c r="Q3" s="248">
        <v>111025599.37211564</v>
      </c>
      <c r="R3" s="247">
        <v>257.39999389648437</v>
      </c>
      <c r="S3" s="69">
        <f t="shared" ref="S3:S41" si="0">S2+O3</f>
        <v>9.0069317856000021E-9</v>
      </c>
      <c r="T3" s="162">
        <v>0.10000000149011612</v>
      </c>
      <c r="U3" s="69">
        <v>3.8778729503974319E-5</v>
      </c>
    </row>
    <row r="4" spans="1:21">
      <c r="A4" s="112" t="s">
        <v>239</v>
      </c>
      <c r="B4" s="202" t="s">
        <v>18</v>
      </c>
      <c r="C4" s="203" t="s">
        <v>47</v>
      </c>
      <c r="D4" s="113" t="e">
        <f>표준시나리오!#REF!</f>
        <v>#REF!</v>
      </c>
      <c r="E4" s="114" t="e">
        <f>표준시나리오!#REF!</f>
        <v>#REF!</v>
      </c>
      <c r="F4" s="197" t="e">
        <f>E4/TOTALVK</f>
        <v>#REF!</v>
      </c>
      <c r="G4" s="151" t="e">
        <f t="shared" ref="G4:G23" si="1">1/E4</f>
        <v>#REF!</v>
      </c>
      <c r="H4" s="115" t="s">
        <v>86</v>
      </c>
      <c r="I4" s="115" t="s">
        <v>86</v>
      </c>
      <c r="J4" s="219"/>
      <c r="K4" s="219"/>
      <c r="L4" s="11">
        <v>1</v>
      </c>
      <c r="M4" s="1" t="s">
        <v>409</v>
      </c>
      <c r="N4" s="308" t="s">
        <v>410</v>
      </c>
      <c r="O4" s="69">
        <v>9.0069317856000021E-9</v>
      </c>
      <c r="P4" s="69">
        <v>3.0994430064308693E-12</v>
      </c>
      <c r="Q4" s="248">
        <v>111025599.37211564</v>
      </c>
      <c r="R4" s="247">
        <v>241.10000610351562</v>
      </c>
      <c r="S4" s="69">
        <f t="shared" si="0"/>
        <v>1.8013863571200004E-8</v>
      </c>
      <c r="T4" s="162">
        <v>0.30000001192092896</v>
      </c>
      <c r="U4" s="69">
        <v>3.8778729503974319E-5</v>
      </c>
    </row>
    <row r="5" spans="1:21" ht="12.75" thickBot="1">
      <c r="A5" s="124" t="s">
        <v>239</v>
      </c>
      <c r="B5" s="204" t="s">
        <v>242</v>
      </c>
      <c r="C5" s="205" t="s">
        <v>243</v>
      </c>
      <c r="D5" s="125" t="e">
        <f>표준시나리오!#REF!</f>
        <v>#REF!</v>
      </c>
      <c r="E5" s="126" t="e">
        <f>표준시나리오!#REF!</f>
        <v>#REF!</v>
      </c>
      <c r="F5" s="197" t="e">
        <f>E5/TOTALVK</f>
        <v>#REF!</v>
      </c>
      <c r="G5" s="151" t="e">
        <f t="shared" si="1"/>
        <v>#REF!</v>
      </c>
      <c r="H5" s="127" t="s">
        <v>86</v>
      </c>
      <c r="I5" s="127" t="s">
        <v>86</v>
      </c>
      <c r="J5" s="219"/>
      <c r="K5" s="219"/>
      <c r="L5" s="11">
        <v>2</v>
      </c>
      <c r="M5" s="1" t="s">
        <v>413</v>
      </c>
      <c r="N5" s="308" t="s">
        <v>414</v>
      </c>
      <c r="O5" s="69">
        <v>9.0069317856000021E-9</v>
      </c>
      <c r="P5" s="69">
        <v>3.0994430064308693E-12</v>
      </c>
      <c r="Q5" s="248">
        <v>111025599.37211564</v>
      </c>
      <c r="R5" s="247">
        <v>225.80000305175781</v>
      </c>
      <c r="S5" s="69">
        <f t="shared" si="0"/>
        <v>2.7020795356800008E-8</v>
      </c>
      <c r="T5" s="162">
        <v>0.30000001192092896</v>
      </c>
      <c r="U5" s="69">
        <v>3.7397534470073879E-5</v>
      </c>
    </row>
    <row r="6" spans="1:21">
      <c r="A6" s="116" t="s">
        <v>239</v>
      </c>
      <c r="B6" s="206" t="s">
        <v>244</v>
      </c>
      <c r="C6" s="207" t="s">
        <v>245</v>
      </c>
      <c r="D6" s="117">
        <f>표준시나리오!C11</f>
        <v>0.53</v>
      </c>
      <c r="E6" s="118">
        <f>표준시나리오!C12</f>
        <v>7.8163704639999994E-3</v>
      </c>
      <c r="F6" s="186">
        <f t="shared" ref="F6:F13" si="2">E6/VK.PC</f>
        <v>5.3000000000000003E-9</v>
      </c>
      <c r="G6" s="151">
        <f>표준시나리오!C13</f>
        <v>127.9366177186353</v>
      </c>
      <c r="H6" s="119" t="s">
        <v>86</v>
      </c>
      <c r="I6" s="120" t="s">
        <v>86</v>
      </c>
      <c r="J6" s="219"/>
      <c r="K6" s="219"/>
      <c r="L6" s="11">
        <v>2</v>
      </c>
      <c r="M6" s="1" t="s">
        <v>409</v>
      </c>
      <c r="N6" s="308" t="s">
        <v>410</v>
      </c>
      <c r="O6" s="69">
        <v>9.0069317856000021E-9</v>
      </c>
      <c r="P6" s="69">
        <v>3.0994430064308693E-12</v>
      </c>
      <c r="Q6" s="248">
        <v>111025599.37211564</v>
      </c>
      <c r="R6" s="247">
        <v>201.39999389648437</v>
      </c>
      <c r="S6" s="69">
        <f t="shared" si="0"/>
        <v>3.6027727142400008E-8</v>
      </c>
      <c r="T6" s="162">
        <v>0.40000000596046448</v>
      </c>
      <c r="U6" s="69">
        <v>3.7397534470073879E-5</v>
      </c>
    </row>
    <row r="7" spans="1:21">
      <c r="A7" s="121" t="s">
        <v>239</v>
      </c>
      <c r="B7" s="208" t="s">
        <v>246</v>
      </c>
      <c r="C7" s="203" t="s">
        <v>247</v>
      </c>
      <c r="D7" s="113">
        <f>표준시나리오!H7</f>
        <v>0.318</v>
      </c>
      <c r="E7" s="114">
        <f>표준시나리오!K7</f>
        <v>4.6898222783999998E-3</v>
      </c>
      <c r="F7" s="182">
        <f t="shared" si="2"/>
        <v>3.1800000000000002E-9</v>
      </c>
      <c r="G7" s="151">
        <f t="shared" si="1"/>
        <v>213.22769619772549</v>
      </c>
      <c r="H7" s="115" t="s">
        <v>86</v>
      </c>
      <c r="I7" s="122" t="s">
        <v>86</v>
      </c>
      <c r="J7" s="219"/>
      <c r="K7" s="219"/>
      <c r="L7" s="11">
        <v>1</v>
      </c>
      <c r="M7" s="1" t="s">
        <v>393</v>
      </c>
      <c r="N7" s="308" t="s">
        <v>394</v>
      </c>
      <c r="O7" s="69">
        <v>5.9089225401780028E-7</v>
      </c>
      <c r="P7" s="69">
        <v>2.0662953376205796E-11</v>
      </c>
      <c r="Q7" s="248">
        <v>1692355.9129442838</v>
      </c>
      <c r="R7" s="247">
        <v>160.39999389648437</v>
      </c>
      <c r="S7" s="69">
        <f t="shared" si="0"/>
        <v>6.2691998116020034E-7</v>
      </c>
      <c r="T7" s="162">
        <v>0.40000000596046448</v>
      </c>
      <c r="U7" s="69">
        <v>3.6806639400310814E-5</v>
      </c>
    </row>
    <row r="8" spans="1:21">
      <c r="A8" s="121" t="s">
        <v>239</v>
      </c>
      <c r="B8" s="208" t="s">
        <v>248</v>
      </c>
      <c r="C8" s="203" t="s">
        <v>249</v>
      </c>
      <c r="D8" s="113">
        <f>표준시나리오!F12</f>
        <v>0.2014</v>
      </c>
      <c r="E8" s="114">
        <f>표준시나리오!F13</f>
        <v>2.97022077632E-3</v>
      </c>
      <c r="F8" s="182">
        <f t="shared" si="2"/>
        <v>2.0140000000000003E-9</v>
      </c>
      <c r="G8" s="151">
        <f t="shared" si="1"/>
        <v>336.67530978588235</v>
      </c>
      <c r="H8" s="115" t="s">
        <v>86</v>
      </c>
      <c r="I8" s="122" t="s">
        <v>86</v>
      </c>
      <c r="J8" s="219"/>
      <c r="K8" s="219"/>
      <c r="L8" s="11">
        <v>1</v>
      </c>
      <c r="M8" s="1" t="s">
        <v>411</v>
      </c>
      <c r="N8" s="308" t="s">
        <v>412</v>
      </c>
      <c r="O8" s="69">
        <v>9.0069317856000021E-9</v>
      </c>
      <c r="P8" s="69">
        <v>3.0994430064308693E-12</v>
      </c>
      <c r="Q8" s="248">
        <v>111025599.37211564</v>
      </c>
      <c r="R8" s="247">
        <v>152.5</v>
      </c>
      <c r="S8" s="69">
        <f t="shared" si="0"/>
        <v>6.359269129458003E-7</v>
      </c>
      <c r="T8" s="162">
        <v>1</v>
      </c>
      <c r="U8" s="69">
        <v>3.6806639400310814E-5</v>
      </c>
    </row>
    <row r="9" spans="1:21">
      <c r="A9" s="121" t="s">
        <v>239</v>
      </c>
      <c r="B9" s="208" t="s">
        <v>250</v>
      </c>
      <c r="C9" s="203" t="s">
        <v>251</v>
      </c>
      <c r="D9" s="113">
        <f>표준시나리오!H11</f>
        <v>0.19737199999999999</v>
      </c>
      <c r="E9" s="114">
        <f>표준시나리오!K10</f>
        <v>2.9108163607936E-3</v>
      </c>
      <c r="F9" s="182">
        <f t="shared" si="2"/>
        <v>1.9737200000000001E-9</v>
      </c>
      <c r="G9" s="151">
        <f t="shared" si="1"/>
        <v>343.54623447539018</v>
      </c>
      <c r="H9" s="115" t="s">
        <v>86</v>
      </c>
      <c r="I9" s="122" t="s">
        <v>86</v>
      </c>
      <c r="J9" s="219"/>
      <c r="K9" s="219"/>
      <c r="L9" s="11">
        <v>3</v>
      </c>
      <c r="M9" s="1" t="s">
        <v>413</v>
      </c>
      <c r="N9" s="308" t="s">
        <v>414</v>
      </c>
      <c r="O9" s="69">
        <v>9.0069317855999988E-9</v>
      </c>
      <c r="P9" s="69">
        <v>3.0994430064308681E-12</v>
      </c>
      <c r="Q9" s="248">
        <v>111025599.37211569</v>
      </c>
      <c r="R9" s="247">
        <v>149.89999389648437</v>
      </c>
      <c r="S9" s="69">
        <f t="shared" si="0"/>
        <v>6.4493384473140026E-7</v>
      </c>
      <c r="T9" s="162">
        <v>1</v>
      </c>
      <c r="U9" s="69">
        <v>3.3036660170182586E-5</v>
      </c>
    </row>
    <row r="10" spans="1:21">
      <c r="A10" s="121" t="s">
        <v>239</v>
      </c>
      <c r="B10" s="208" t="s">
        <v>252</v>
      </c>
      <c r="C10" s="203" t="s">
        <v>253</v>
      </c>
      <c r="D10" s="113">
        <f>표준시나리오!H16</f>
        <v>4.0280000000000003E-3</v>
      </c>
      <c r="E10" s="114">
        <f>표준시나리오!K15</f>
        <v>5.94044155264E-5</v>
      </c>
      <c r="F10" s="182">
        <f t="shared" si="2"/>
        <v>4.0280000000000002E-11</v>
      </c>
      <c r="G10" s="151">
        <f t="shared" si="1"/>
        <v>16833.765489294117</v>
      </c>
      <c r="H10" s="115" t="s">
        <v>86</v>
      </c>
      <c r="I10" s="122" t="s">
        <v>86</v>
      </c>
      <c r="J10" s="219"/>
      <c r="K10" s="219"/>
      <c r="L10" s="11">
        <v>3</v>
      </c>
      <c r="M10" s="1" t="s">
        <v>409</v>
      </c>
      <c r="N10" s="308" t="s">
        <v>410</v>
      </c>
      <c r="O10" s="69">
        <v>9.0069317855999988E-9</v>
      </c>
      <c r="P10" s="69">
        <v>3.0994430064308681E-12</v>
      </c>
      <c r="Q10" s="248">
        <v>111025599.37211569</v>
      </c>
      <c r="R10" s="247">
        <v>145.10000610351562</v>
      </c>
      <c r="S10" s="69">
        <f t="shared" si="0"/>
        <v>6.5394077651700022E-7</v>
      </c>
      <c r="T10" s="162">
        <v>1.7999999523162842</v>
      </c>
      <c r="U10" s="69">
        <v>3.3036660170182586E-5</v>
      </c>
    </row>
    <row r="11" spans="1:21">
      <c r="A11" s="121" t="s">
        <v>239</v>
      </c>
      <c r="B11" s="208" t="s">
        <v>254</v>
      </c>
      <c r="C11" s="203" t="s">
        <v>255</v>
      </c>
      <c r="D11" s="113">
        <f>표준시나리오!F22</f>
        <v>1.0600000000000002E-2</v>
      </c>
      <c r="E11" s="114">
        <f>표준시나리오!F23</f>
        <v>1.5632740928000002E-4</v>
      </c>
      <c r="F11" s="182">
        <f t="shared" si="2"/>
        <v>1.0600000000000002E-10</v>
      </c>
      <c r="G11" s="151">
        <f t="shared" si="1"/>
        <v>6396.830885931764</v>
      </c>
      <c r="H11" s="115" t="s">
        <v>86</v>
      </c>
      <c r="I11" s="122" t="s">
        <v>86</v>
      </c>
      <c r="J11" s="219"/>
      <c r="K11" s="219"/>
      <c r="L11" s="380">
        <v>1</v>
      </c>
      <c r="M11" s="381" t="s">
        <v>389</v>
      </c>
      <c r="N11" s="382" t="s">
        <v>390</v>
      </c>
      <c r="O11" s="383">
        <v>5.9089225401780028E-7</v>
      </c>
      <c r="P11" s="383">
        <v>2.0662953376205796E-11</v>
      </c>
      <c r="Q11" s="384">
        <v>1692355.9129442838</v>
      </c>
      <c r="R11" s="385">
        <v>134.89999389648438</v>
      </c>
      <c r="S11" s="383">
        <f t="shared" si="0"/>
        <v>1.2448330305348006E-6</v>
      </c>
      <c r="T11" s="162">
        <v>1.7999999523162842</v>
      </c>
      <c r="U11" s="69">
        <v>2.926667730207555E-5</v>
      </c>
    </row>
    <row r="12" spans="1:21">
      <c r="A12" s="121" t="s">
        <v>239</v>
      </c>
      <c r="B12" s="208" t="s">
        <v>256</v>
      </c>
      <c r="C12" s="203" t="s">
        <v>257</v>
      </c>
      <c r="D12" s="113">
        <f>표준시나리오!H21</f>
        <v>1.0388000000000001E-2</v>
      </c>
      <c r="E12" s="114">
        <f>표준시나리오!K20</f>
        <v>1.532008610944E-4</v>
      </c>
      <c r="F12" s="182">
        <f t="shared" si="2"/>
        <v>1.0388000000000001E-10</v>
      </c>
      <c r="G12" s="151">
        <f t="shared" si="1"/>
        <v>6527.3784550324126</v>
      </c>
      <c r="H12" s="115" t="s">
        <v>86</v>
      </c>
      <c r="I12" s="122" t="s">
        <v>86</v>
      </c>
      <c r="J12" s="219"/>
      <c r="K12" s="219"/>
      <c r="L12" s="1">
        <v>2</v>
      </c>
      <c r="M12" s="1" t="s">
        <v>411</v>
      </c>
      <c r="N12" s="2" t="s">
        <v>412</v>
      </c>
      <c r="O12" s="69">
        <v>9.0069317856000021E-9</v>
      </c>
      <c r="P12" s="69">
        <v>3.0994430064308693E-12</v>
      </c>
      <c r="Q12" s="248">
        <v>111025599.37211564</v>
      </c>
      <c r="R12" s="247">
        <v>97.099998474121094</v>
      </c>
      <c r="S12" s="69">
        <f t="shared" si="0"/>
        <v>1.2538399623204007E-6</v>
      </c>
      <c r="T12" s="162">
        <v>1.8999999761581421</v>
      </c>
      <c r="U12" s="69">
        <v>2.926667730207555E-5</v>
      </c>
    </row>
    <row r="13" spans="1:21" ht="12.75" thickBot="1">
      <c r="A13" s="150" t="s">
        <v>239</v>
      </c>
      <c r="B13" s="209" t="s">
        <v>258</v>
      </c>
      <c r="C13" s="210" t="s">
        <v>259</v>
      </c>
      <c r="D13" s="149">
        <f>표준시나리오!H26</f>
        <v>2.1200000000000003E-4</v>
      </c>
      <c r="E13" s="148">
        <f>표준시나리오!K25</f>
        <v>3.1265481856000003E-6</v>
      </c>
      <c r="F13" s="182">
        <f t="shared" si="2"/>
        <v>2.1200000000000003E-12</v>
      </c>
      <c r="G13" s="147">
        <f t="shared" si="1"/>
        <v>319841.54429658822</v>
      </c>
      <c r="H13" s="146" t="s">
        <v>86</v>
      </c>
      <c r="I13" s="145" t="s">
        <v>86</v>
      </c>
      <c r="J13" s="219"/>
      <c r="K13" s="219"/>
      <c r="L13" s="11">
        <v>4</v>
      </c>
      <c r="M13" s="1" t="s">
        <v>413</v>
      </c>
      <c r="N13" s="308" t="s">
        <v>414</v>
      </c>
      <c r="O13" s="69">
        <v>9.0069317855999971E-9</v>
      </c>
      <c r="P13" s="69">
        <v>3.0994430064308677E-12</v>
      </c>
      <c r="Q13" s="248">
        <v>111025599.3721157</v>
      </c>
      <c r="R13" s="247">
        <v>94</v>
      </c>
      <c r="S13" s="69">
        <f t="shared" si="0"/>
        <v>1.2628468941060007E-6</v>
      </c>
      <c r="T13" s="162">
        <v>1.8999999761581421</v>
      </c>
      <c r="U13" s="69">
        <v>2.8675784051301889E-5</v>
      </c>
    </row>
    <row r="14" spans="1:21">
      <c r="A14" s="184" t="s">
        <v>239</v>
      </c>
      <c r="B14" s="206" t="s">
        <v>533</v>
      </c>
      <c r="C14" s="207" t="s">
        <v>346</v>
      </c>
      <c r="D14" s="185">
        <f>표준시나리오!C32</f>
        <v>1.49</v>
      </c>
      <c r="E14" s="186" t="e">
        <f>표준시나리오!#REF!</f>
        <v>#REF!</v>
      </c>
      <c r="F14" s="186" t="e">
        <f>E14/VK.HRR020</f>
        <v>#REF!</v>
      </c>
      <c r="G14" s="144" t="e">
        <f t="shared" si="1"/>
        <v>#REF!</v>
      </c>
      <c r="H14" s="187" t="s">
        <v>86</v>
      </c>
      <c r="I14" s="188" t="s">
        <v>86</v>
      </c>
      <c r="J14" s="219"/>
      <c r="K14" s="219"/>
      <c r="L14" s="1">
        <v>2</v>
      </c>
      <c r="M14" s="1" t="s">
        <v>393</v>
      </c>
      <c r="N14" s="2" t="s">
        <v>394</v>
      </c>
      <c r="O14" s="69">
        <v>5.9089225401780028E-7</v>
      </c>
      <c r="P14" s="69">
        <v>2.0662953376205796E-11</v>
      </c>
      <c r="Q14" s="248">
        <v>1692355.9129442838</v>
      </c>
      <c r="R14" s="247">
        <v>90.5</v>
      </c>
      <c r="S14" s="69">
        <f t="shared" si="0"/>
        <v>1.8537391481238009E-6</v>
      </c>
      <c r="T14" s="162">
        <v>2.4000000953674316</v>
      </c>
      <c r="U14" s="69">
        <v>2.8675784051301889E-5</v>
      </c>
    </row>
    <row r="15" spans="1:21">
      <c r="A15" s="189" t="s">
        <v>239</v>
      </c>
      <c r="B15" s="208" t="s">
        <v>338</v>
      </c>
      <c r="C15" s="203" t="s">
        <v>534</v>
      </c>
      <c r="D15" s="181">
        <f>표준시나리오!F32</f>
        <v>0.2235</v>
      </c>
      <c r="E15" s="182">
        <f>표준시나리오!F33</f>
        <v>3.5760448825999996E-3</v>
      </c>
      <c r="F15" s="182">
        <f>E15/VK.HRR020</f>
        <v>1.1853868151715834E-8</v>
      </c>
      <c r="G15" s="143">
        <f t="shared" si="1"/>
        <v>279.63854840461062</v>
      </c>
      <c r="H15" s="183" t="s">
        <v>86</v>
      </c>
      <c r="I15" s="190" t="s">
        <v>86</v>
      </c>
      <c r="J15" s="219"/>
      <c r="K15" s="219"/>
      <c r="L15" s="11">
        <v>2</v>
      </c>
      <c r="M15" s="1" t="s">
        <v>389</v>
      </c>
      <c r="N15" s="308" t="s">
        <v>390</v>
      </c>
      <c r="O15" s="69">
        <v>5.9089225401780028E-7</v>
      </c>
      <c r="P15" s="69">
        <v>2.0662953376205796E-11</v>
      </c>
      <c r="Q15" s="248">
        <v>1692355.9129442838</v>
      </c>
      <c r="R15" s="247">
        <v>81.099998474121094</v>
      </c>
      <c r="S15" s="69">
        <f t="shared" si="0"/>
        <v>2.4446314021416011E-6</v>
      </c>
      <c r="T15" s="162">
        <v>2.4000000953674316</v>
      </c>
      <c r="U15" s="69">
        <v>2.4905803002184257E-5</v>
      </c>
    </row>
    <row r="16" spans="1:21">
      <c r="A16" s="189" t="s">
        <v>239</v>
      </c>
      <c r="B16" s="208" t="s">
        <v>339</v>
      </c>
      <c r="C16" s="203" t="s">
        <v>347</v>
      </c>
      <c r="D16" s="181">
        <f>표준시나리오!H31</f>
        <v>0.21903</v>
      </c>
      <c r="E16" s="182">
        <f>표준시나리오!K30</f>
        <v>3.5045239849479997E-3</v>
      </c>
      <c r="F16" s="182">
        <f>E16/VK.HRR020</f>
        <v>1.1616790788681517E-8</v>
      </c>
      <c r="G16" s="143">
        <f t="shared" si="1"/>
        <v>285.34545755572509</v>
      </c>
      <c r="H16" s="183" t="s">
        <v>86</v>
      </c>
      <c r="I16" s="190" t="s">
        <v>86</v>
      </c>
      <c r="J16" s="219"/>
      <c r="K16" s="219"/>
      <c r="L16" s="11">
        <v>4</v>
      </c>
      <c r="M16" s="1" t="s">
        <v>409</v>
      </c>
      <c r="N16" s="308" t="s">
        <v>410</v>
      </c>
      <c r="O16" s="69">
        <v>9.0069317855999971E-9</v>
      </c>
      <c r="P16" s="69">
        <v>3.0994430064308677E-12</v>
      </c>
      <c r="Q16" s="248">
        <v>111025599.3721157</v>
      </c>
      <c r="R16" s="247">
        <v>67.599998474121094</v>
      </c>
      <c r="S16" s="69">
        <f t="shared" si="0"/>
        <v>2.4536383339272009E-6</v>
      </c>
      <c r="T16" s="162">
        <v>3</v>
      </c>
      <c r="U16" s="69">
        <v>2.4905803002184257E-5</v>
      </c>
    </row>
    <row r="17" spans="1:32" ht="12.75" thickBot="1">
      <c r="A17" s="191" t="s">
        <v>239</v>
      </c>
      <c r="B17" s="204" t="s">
        <v>340</v>
      </c>
      <c r="C17" s="205" t="s">
        <v>348</v>
      </c>
      <c r="D17" s="192">
        <f>표준시나리오!H36</f>
        <v>4.47E-3</v>
      </c>
      <c r="E17" s="193">
        <f>표준시나리오!K35</f>
        <v>7.1520897651999993E-5</v>
      </c>
      <c r="F17" s="182">
        <f>E17/VK.HRR020</f>
        <v>2.3707736303431665E-10</v>
      </c>
      <c r="G17" s="142">
        <f t="shared" si="1"/>
        <v>13981.92742023053</v>
      </c>
      <c r="H17" s="194" t="s">
        <v>86</v>
      </c>
      <c r="I17" s="195" t="s">
        <v>86</v>
      </c>
      <c r="J17" s="219"/>
      <c r="K17" s="219"/>
      <c r="L17" s="11">
        <v>3</v>
      </c>
      <c r="M17" s="1" t="s">
        <v>411</v>
      </c>
      <c r="N17" s="308" t="s">
        <v>412</v>
      </c>
      <c r="O17" s="69">
        <v>9.0069317855999988E-9</v>
      </c>
      <c r="P17" s="69">
        <v>3.0994430064308681E-12</v>
      </c>
      <c r="Q17" s="248">
        <v>111025599.37211569</v>
      </c>
      <c r="R17" s="247">
        <v>65.599998474121094</v>
      </c>
      <c r="S17" s="69">
        <f t="shared" si="0"/>
        <v>2.4626452657128008E-6</v>
      </c>
      <c r="T17" s="162">
        <v>3</v>
      </c>
      <c r="U17" s="69">
        <v>2.4314909751410596E-5</v>
      </c>
    </row>
    <row r="18" spans="1:32">
      <c r="A18" s="184" t="s">
        <v>239</v>
      </c>
      <c r="B18" s="206" t="s">
        <v>341</v>
      </c>
      <c r="C18" s="207" t="s">
        <v>349</v>
      </c>
      <c r="D18" s="185">
        <f>표준시나리오!C42</f>
        <v>1.96</v>
      </c>
      <c r="E18" s="186">
        <f>표준시나리오!F43</f>
        <v>5.6049529647999999E-4</v>
      </c>
      <c r="F18" s="186">
        <f>E18/VK.HRR030</f>
        <v>3.2179562043795619E-9</v>
      </c>
      <c r="G18" s="144">
        <f t="shared" si="1"/>
        <v>1784.1362920976496</v>
      </c>
      <c r="H18" s="187" t="s">
        <v>86</v>
      </c>
      <c r="I18" s="188" t="s">
        <v>86</v>
      </c>
      <c r="J18" s="219"/>
      <c r="K18" s="219"/>
      <c r="L18" s="1">
        <v>1</v>
      </c>
      <c r="M18" s="1" t="s">
        <v>391</v>
      </c>
      <c r="N18" s="2" t="s">
        <v>392</v>
      </c>
      <c r="O18" s="69">
        <v>5.9089225401780028E-7</v>
      </c>
      <c r="P18" s="69">
        <v>2.0662953376205796E-11</v>
      </c>
      <c r="Q18" s="248">
        <v>1692355.9129442838</v>
      </c>
      <c r="R18" s="247">
        <v>54.700000762939453</v>
      </c>
      <c r="S18" s="69">
        <f t="shared" si="0"/>
        <v>3.053537519730601E-6</v>
      </c>
      <c r="T18" s="162">
        <v>13</v>
      </c>
      <c r="U18" s="69">
        <v>2.4314909751410596E-5</v>
      </c>
    </row>
    <row r="19" spans="1:32">
      <c r="A19" s="189" t="s">
        <v>239</v>
      </c>
      <c r="B19" s="208" t="s">
        <v>342</v>
      </c>
      <c r="C19" s="203" t="s">
        <v>350</v>
      </c>
      <c r="D19" s="181">
        <f>표준시나리오!H41</f>
        <v>0.28811999999999999</v>
      </c>
      <c r="E19" s="182">
        <f>표준시나리오!K40</f>
        <v>5.4928539055040001E-4</v>
      </c>
      <c r="F19" s="182">
        <f>E19/VK.HRR030</f>
        <v>3.1535970802919709E-9</v>
      </c>
      <c r="G19" s="143">
        <f t="shared" si="1"/>
        <v>1820.5472368343362</v>
      </c>
      <c r="H19" s="183" t="s">
        <v>86</v>
      </c>
      <c r="I19" s="190" t="s">
        <v>86</v>
      </c>
      <c r="J19" s="219"/>
      <c r="K19" s="219"/>
      <c r="L19" s="1">
        <v>5</v>
      </c>
      <c r="M19" s="1" t="s">
        <v>413</v>
      </c>
      <c r="N19" s="2" t="s">
        <v>414</v>
      </c>
      <c r="O19" s="69">
        <v>9.0069317855999971E-9</v>
      </c>
      <c r="P19" s="69">
        <v>3.0994430064308677E-12</v>
      </c>
      <c r="Q19" s="248">
        <v>111025599.3721157</v>
      </c>
      <c r="R19" s="247">
        <v>46.200000762939453</v>
      </c>
      <c r="S19" s="69">
        <f t="shared" si="0"/>
        <v>3.0625444515162008E-6</v>
      </c>
      <c r="T19" s="162">
        <v>13</v>
      </c>
      <c r="U19" s="69">
        <v>2.3724018319626339E-5</v>
      </c>
    </row>
    <row r="20" spans="1:32" ht="12.75" thickBot="1">
      <c r="A20" s="191" t="s">
        <v>239</v>
      </c>
      <c r="B20" s="204" t="s">
        <v>343</v>
      </c>
      <c r="C20" s="205" t="s">
        <v>351</v>
      </c>
      <c r="D20" s="192">
        <f>표준시나리오!H46</f>
        <v>5.8799999999999998E-3</v>
      </c>
      <c r="E20" s="193">
        <f>표준시나리오!K45</f>
        <v>1.1209905929600001E-5</v>
      </c>
      <c r="F20" s="182">
        <f>E20/VK.HRR030</f>
        <v>6.435912408759125E-11</v>
      </c>
      <c r="G20" s="142">
        <f t="shared" si="1"/>
        <v>89206.814604882471</v>
      </c>
      <c r="H20" s="194" t="s">
        <v>86</v>
      </c>
      <c r="I20" s="195" t="s">
        <v>86</v>
      </c>
      <c r="J20" s="219"/>
      <c r="K20" s="219"/>
      <c r="L20" s="11">
        <v>1</v>
      </c>
      <c r="M20" s="1" t="s">
        <v>369</v>
      </c>
      <c r="N20" s="308" t="s">
        <v>370</v>
      </c>
      <c r="O20" s="69">
        <v>3.7699820755297511E-6</v>
      </c>
      <c r="P20" s="69">
        <v>1.9503025430928747E-11</v>
      </c>
      <c r="Q20" s="248">
        <v>265253.2505368694</v>
      </c>
      <c r="R20" s="247">
        <v>46</v>
      </c>
      <c r="S20" s="69">
        <f t="shared" si="0"/>
        <v>6.832526527045952E-6</v>
      </c>
      <c r="T20" s="162">
        <v>13.300000190734863</v>
      </c>
      <c r="U20" s="69">
        <v>2.3724018319626339E-5</v>
      </c>
    </row>
    <row r="21" spans="1:32">
      <c r="A21" s="154" t="s">
        <v>239</v>
      </c>
      <c r="B21" s="211" t="s">
        <v>112</v>
      </c>
      <c r="C21" s="201" t="s">
        <v>352</v>
      </c>
      <c r="D21" s="196">
        <f>표준시나리오!C52</f>
        <v>1.96</v>
      </c>
      <c r="E21" s="197">
        <f>표준시나리오!F53</f>
        <v>8.5435929599999988E-6</v>
      </c>
      <c r="F21" s="197">
        <f>E21/VK.HRR100</f>
        <v>2.9399999999999998E-9</v>
      </c>
      <c r="G21" s="151">
        <f t="shared" si="1"/>
        <v>117046.77466282291</v>
      </c>
      <c r="H21" s="198" t="s">
        <v>86</v>
      </c>
      <c r="I21" s="158" t="s">
        <v>86</v>
      </c>
      <c r="J21" s="219"/>
      <c r="K21" s="219"/>
      <c r="L21" s="11">
        <v>3</v>
      </c>
      <c r="M21" s="1" t="s">
        <v>393</v>
      </c>
      <c r="N21" s="308" t="s">
        <v>394</v>
      </c>
      <c r="O21" s="69">
        <v>5.9089225401780007E-7</v>
      </c>
      <c r="P21" s="69">
        <v>2.0662953376205789E-11</v>
      </c>
      <c r="Q21" s="248">
        <v>1692355.9129442843</v>
      </c>
      <c r="R21" s="247">
        <v>41.299999237060547</v>
      </c>
      <c r="S21" s="69">
        <f t="shared" si="0"/>
        <v>7.4234187810637521E-6</v>
      </c>
      <c r="T21" s="162">
        <v>13.300000190734863</v>
      </c>
      <c r="U21" s="69">
        <v>1.9954035451519303E-5</v>
      </c>
    </row>
    <row r="22" spans="1:32">
      <c r="A22" s="121" t="s">
        <v>239</v>
      </c>
      <c r="B22" s="208" t="s">
        <v>344</v>
      </c>
      <c r="C22" s="203" t="s">
        <v>353</v>
      </c>
      <c r="D22" s="113">
        <f>표준시나리오!H51</f>
        <v>0.28811999999999999</v>
      </c>
      <c r="E22" s="114">
        <f>표준시나리오!K50</f>
        <v>8.3727211008E-6</v>
      </c>
      <c r="F22" s="182">
        <f>E22/VK.HRR100</f>
        <v>2.8811999999999999E-9</v>
      </c>
      <c r="G22" s="151">
        <f t="shared" si="1"/>
        <v>119435.48434981928</v>
      </c>
      <c r="H22" s="115" t="s">
        <v>86</v>
      </c>
      <c r="I22" s="122" t="s">
        <v>86</v>
      </c>
      <c r="J22" s="219"/>
      <c r="K22" s="219"/>
      <c r="L22" s="11">
        <v>4</v>
      </c>
      <c r="M22" s="1" t="s">
        <v>411</v>
      </c>
      <c r="N22" s="308" t="s">
        <v>412</v>
      </c>
      <c r="O22" s="69">
        <v>9.0069317855999971E-9</v>
      </c>
      <c r="P22" s="69">
        <v>3.0994430064308677E-12</v>
      </c>
      <c r="Q22" s="248">
        <v>111025599.3721157</v>
      </c>
      <c r="R22" s="247">
        <v>37.5</v>
      </c>
      <c r="S22" s="69">
        <f t="shared" si="0"/>
        <v>7.4324257128493524E-6</v>
      </c>
      <c r="T22" s="162">
        <v>16</v>
      </c>
      <c r="U22" s="69">
        <v>1.9954035451519303E-5</v>
      </c>
    </row>
    <row r="23" spans="1:32" ht="12.75" thickBot="1">
      <c r="A23" s="123" t="s">
        <v>239</v>
      </c>
      <c r="B23" s="204" t="s">
        <v>345</v>
      </c>
      <c r="C23" s="205" t="s">
        <v>354</v>
      </c>
      <c r="D23" s="125">
        <f>표준시나리오!H56</f>
        <v>5.8799999999999998E-3</v>
      </c>
      <c r="E23" s="126">
        <f>표준시나리오!K55</f>
        <v>1.7087185919999998E-7</v>
      </c>
      <c r="F23" s="182">
        <f>E23/VK.HRR100</f>
        <v>5.8799999999999993E-11</v>
      </c>
      <c r="G23" s="151">
        <f t="shared" si="1"/>
        <v>5852338.7331411447</v>
      </c>
      <c r="H23" s="127" t="s">
        <v>86</v>
      </c>
      <c r="I23" s="128" t="s">
        <v>86</v>
      </c>
      <c r="J23" s="219"/>
      <c r="K23" s="219"/>
      <c r="L23" s="11">
        <v>1</v>
      </c>
      <c r="M23" s="1" t="s">
        <v>373</v>
      </c>
      <c r="N23" s="308" t="s">
        <v>374</v>
      </c>
      <c r="O23" s="69">
        <v>3.7699820755297511E-6</v>
      </c>
      <c r="P23" s="69">
        <v>1.9503025430928747E-11</v>
      </c>
      <c r="Q23" s="248">
        <v>265253.2505368694</v>
      </c>
      <c r="R23" s="247">
        <v>34.700000762939453</v>
      </c>
      <c r="S23" s="69">
        <f t="shared" si="0"/>
        <v>1.1202407788379103E-5</v>
      </c>
      <c r="T23" s="162">
        <v>16</v>
      </c>
      <c r="U23" s="69">
        <v>1.9942170183639973E-5</v>
      </c>
    </row>
    <row r="24" spans="1:32">
      <c r="A24" s="508" t="s">
        <v>260</v>
      </c>
      <c r="B24" s="509"/>
      <c r="C24" s="509"/>
      <c r="D24" s="509"/>
      <c r="E24" s="509"/>
      <c r="F24" s="509"/>
      <c r="G24" s="509"/>
      <c r="H24" s="509"/>
      <c r="I24" s="510"/>
      <c r="J24" s="218"/>
      <c r="K24" s="218"/>
      <c r="L24" s="11">
        <v>3</v>
      </c>
      <c r="M24" s="1" t="s">
        <v>389</v>
      </c>
      <c r="N24" s="308" t="s">
        <v>390</v>
      </c>
      <c r="O24" s="69">
        <v>5.9089225401780007E-7</v>
      </c>
      <c r="P24" s="69">
        <v>2.0662953376205789E-11</v>
      </c>
      <c r="Q24" s="248">
        <v>1692355.9129442843</v>
      </c>
      <c r="R24" s="247">
        <v>28.600000381469727</v>
      </c>
      <c r="S24" s="69">
        <f t="shared" si="0"/>
        <v>1.1793300042396902E-5</v>
      </c>
      <c r="T24" s="162">
        <v>17.5</v>
      </c>
      <c r="U24" s="69">
        <v>1.9942170183639973E-5</v>
      </c>
    </row>
    <row r="25" spans="1:32">
      <c r="A25" s="298">
        <v>1</v>
      </c>
      <c r="B25" s="298" t="s">
        <v>261</v>
      </c>
      <c r="C25" s="298" t="s">
        <v>262</v>
      </c>
      <c r="D25" s="298"/>
      <c r="E25" s="301">
        <v>0</v>
      </c>
      <c r="F25" s="301">
        <v>0</v>
      </c>
      <c r="G25" s="303" t="str">
        <f t="shared" ref="G25:G88" si="3">IF(E25 &lt;&gt; 0, 1/E25, "")</f>
        <v/>
      </c>
      <c r="H25" s="304">
        <v>0</v>
      </c>
      <c r="I25" s="300">
        <f t="shared" ref="I25:I88" si="4">H25*E25</f>
        <v>0</v>
      </c>
      <c r="J25" s="213">
        <v>0.5</v>
      </c>
      <c r="K25" s="111"/>
      <c r="L25" s="11">
        <v>2</v>
      </c>
      <c r="M25" s="1" t="s">
        <v>373</v>
      </c>
      <c r="N25" s="308" t="s">
        <v>374</v>
      </c>
      <c r="O25" s="69">
        <v>3.7699820755297511E-6</v>
      </c>
      <c r="P25" s="69">
        <v>1.9503025430928747E-11</v>
      </c>
      <c r="Q25" s="248">
        <v>265253.2505368694</v>
      </c>
      <c r="R25" s="247">
        <v>22.100000381469727</v>
      </c>
      <c r="S25" s="69">
        <f t="shared" si="0"/>
        <v>1.5563282117926652E-5</v>
      </c>
      <c r="T25" s="162">
        <v>17.5</v>
      </c>
      <c r="U25" s="69">
        <v>1.9933162548113614E-5</v>
      </c>
    </row>
    <row r="26" spans="1:32">
      <c r="A26" s="298">
        <v>1</v>
      </c>
      <c r="B26" s="298" t="s">
        <v>263</v>
      </c>
      <c r="C26" s="298" t="s">
        <v>264</v>
      </c>
      <c r="D26" s="298"/>
      <c r="E26" s="301">
        <v>0</v>
      </c>
      <c r="F26" s="301">
        <v>0</v>
      </c>
      <c r="G26" s="304" t="str">
        <f t="shared" si="3"/>
        <v/>
      </c>
      <c r="H26" s="304">
        <v>0</v>
      </c>
      <c r="I26" s="300">
        <f t="shared" si="4"/>
        <v>0</v>
      </c>
      <c r="J26" s="213"/>
      <c r="K26" s="111"/>
      <c r="L26" s="1">
        <v>2</v>
      </c>
      <c r="M26" s="1" t="s">
        <v>391</v>
      </c>
      <c r="N26" s="2" t="s">
        <v>392</v>
      </c>
      <c r="O26" s="69">
        <v>5.9089225401780028E-7</v>
      </c>
      <c r="P26" s="69">
        <v>2.0662953376205796E-11</v>
      </c>
      <c r="Q26" s="248">
        <v>1692355.9129442838</v>
      </c>
      <c r="R26" s="247">
        <v>21.600000381469727</v>
      </c>
      <c r="S26" s="69">
        <f t="shared" si="0"/>
        <v>1.6154174371944453E-5</v>
      </c>
      <c r="T26" s="162">
        <v>20.600000381469727</v>
      </c>
      <c r="U26" s="69">
        <v>1.9933162548113614E-5</v>
      </c>
    </row>
    <row r="27" spans="1:32">
      <c r="A27" s="298">
        <v>1</v>
      </c>
      <c r="B27" s="298" t="s">
        <v>265</v>
      </c>
      <c r="C27" s="298" t="s">
        <v>266</v>
      </c>
      <c r="D27" s="298"/>
      <c r="E27" s="301">
        <v>1.5343383354534485E-4</v>
      </c>
      <c r="F27" s="301">
        <v>1.0403797024919619E-10</v>
      </c>
      <c r="G27" s="304">
        <f t="shared" si="3"/>
        <v>6517.4673466296881</v>
      </c>
      <c r="H27" s="304">
        <v>0</v>
      </c>
      <c r="I27" s="300">
        <f t="shared" si="4"/>
        <v>0</v>
      </c>
      <c r="J27" s="213"/>
      <c r="K27" s="111"/>
      <c r="L27" s="1">
        <v>5</v>
      </c>
      <c r="M27" s="1" t="s">
        <v>409</v>
      </c>
      <c r="N27" s="2" t="s">
        <v>410</v>
      </c>
      <c r="O27" s="69">
        <v>9.0069317855999971E-9</v>
      </c>
      <c r="P27" s="69">
        <v>3.0994430064308677E-12</v>
      </c>
      <c r="Q27" s="248">
        <v>111025599.3721157</v>
      </c>
      <c r="R27" s="247">
        <v>20.600000381469727</v>
      </c>
      <c r="S27" s="69">
        <f t="shared" si="0"/>
        <v>1.6163181303730053E-5</v>
      </c>
      <c r="T27" s="162">
        <v>20.600000381469727</v>
      </c>
      <c r="U27" s="69">
        <v>1.6163181498995982E-5</v>
      </c>
    </row>
    <row r="28" spans="1:32">
      <c r="A28" s="298">
        <v>1</v>
      </c>
      <c r="B28" s="298" t="s">
        <v>267</v>
      </c>
      <c r="C28" s="298" t="s">
        <v>268</v>
      </c>
      <c r="D28" s="298"/>
      <c r="E28" s="301">
        <v>1.5343383354534485E-4</v>
      </c>
      <c r="F28" s="301">
        <v>1.0403797024919619E-10</v>
      </c>
      <c r="G28" s="304">
        <f t="shared" si="3"/>
        <v>6517.4673466296881</v>
      </c>
      <c r="H28" s="304">
        <v>0</v>
      </c>
      <c r="I28" s="300">
        <f t="shared" si="4"/>
        <v>0</v>
      </c>
      <c r="J28" s="213"/>
      <c r="K28" s="111"/>
      <c r="L28" s="1">
        <v>2</v>
      </c>
      <c r="M28" s="1" t="s">
        <v>369</v>
      </c>
      <c r="N28" s="2" t="s">
        <v>370</v>
      </c>
      <c r="O28" s="69">
        <v>3.7699820755297511E-6</v>
      </c>
      <c r="P28" s="69">
        <v>1.9503025430928747E-11</v>
      </c>
      <c r="Q28" s="248">
        <v>265253.2505368694</v>
      </c>
      <c r="R28" s="247">
        <v>17.5</v>
      </c>
      <c r="S28" s="69">
        <f t="shared" si="0"/>
        <v>1.9933163379259805E-5</v>
      </c>
      <c r="T28" s="162">
        <v>21.600000381469727</v>
      </c>
      <c r="U28" s="69">
        <v>1.6163181498995982E-5</v>
      </c>
    </row>
    <row r="29" spans="1:32">
      <c r="A29" s="298">
        <v>1</v>
      </c>
      <c r="B29" s="298" t="s">
        <v>269</v>
      </c>
      <c r="C29" s="298" t="s">
        <v>270</v>
      </c>
      <c r="D29" s="298"/>
      <c r="E29" s="301">
        <v>1.5343383354534485E-4</v>
      </c>
      <c r="F29" s="301">
        <v>1.0403797024919619E-10</v>
      </c>
      <c r="G29" s="304">
        <f t="shared" si="3"/>
        <v>6517.4673466296881</v>
      </c>
      <c r="H29" s="304">
        <v>0</v>
      </c>
      <c r="I29" s="300">
        <f t="shared" si="4"/>
        <v>0</v>
      </c>
      <c r="J29" s="213"/>
      <c r="K29" s="111"/>
      <c r="L29" s="1">
        <v>5</v>
      </c>
      <c r="M29" s="1" t="s">
        <v>411</v>
      </c>
      <c r="N29" s="2" t="s">
        <v>412</v>
      </c>
      <c r="O29" s="69">
        <v>9.0069317855999971E-9</v>
      </c>
      <c r="P29" s="69">
        <v>3.0994430064308677E-12</v>
      </c>
      <c r="Q29" s="248">
        <v>111025599.3721157</v>
      </c>
      <c r="R29" s="247">
        <v>16</v>
      </c>
      <c r="S29" s="69">
        <f t="shared" si="0"/>
        <v>1.9942170311045404E-5</v>
      </c>
      <c r="T29" s="162">
        <v>21.600000381469727</v>
      </c>
      <c r="U29" s="69">
        <v>1.6154173863469623E-5</v>
      </c>
    </row>
    <row r="30" spans="1:32">
      <c r="A30" s="298">
        <v>1</v>
      </c>
      <c r="B30" s="298" t="s">
        <v>271</v>
      </c>
      <c r="C30" s="298" t="s">
        <v>272</v>
      </c>
      <c r="D30" s="298"/>
      <c r="E30" s="301">
        <v>0</v>
      </c>
      <c r="F30" s="301">
        <v>0</v>
      </c>
      <c r="G30" s="304" t="str">
        <f t="shared" si="3"/>
        <v/>
      </c>
      <c r="H30" s="304">
        <v>0</v>
      </c>
      <c r="I30" s="300">
        <f t="shared" si="4"/>
        <v>0</v>
      </c>
      <c r="J30" s="213"/>
      <c r="K30" s="111"/>
      <c r="L30" s="11">
        <v>6</v>
      </c>
      <c r="M30" s="1" t="s">
        <v>411</v>
      </c>
      <c r="N30" s="308" t="s">
        <v>412</v>
      </c>
      <c r="O30" s="69">
        <v>1.1865670185599999E-8</v>
      </c>
      <c r="P30" s="69">
        <v>4.0831849678456588E-12</v>
      </c>
      <c r="Q30" s="248">
        <v>84276739.902444378</v>
      </c>
      <c r="R30" s="247">
        <v>13.300000190734863</v>
      </c>
      <c r="S30" s="69">
        <f t="shared" si="0"/>
        <v>1.9954035981231004E-5</v>
      </c>
      <c r="T30" s="162">
        <v>22.100000381469727</v>
      </c>
      <c r="U30" s="69">
        <v>1.6154173863469623E-5</v>
      </c>
    </row>
    <row r="31" spans="1:32">
      <c r="A31" s="298">
        <v>1</v>
      </c>
      <c r="B31" s="298" t="s">
        <v>273</v>
      </c>
      <c r="C31" s="298" t="s">
        <v>274</v>
      </c>
      <c r="D31" s="298"/>
      <c r="E31" s="301">
        <v>0</v>
      </c>
      <c r="F31" s="301">
        <v>0</v>
      </c>
      <c r="G31" s="304" t="str">
        <f t="shared" si="3"/>
        <v/>
      </c>
      <c r="H31" s="304">
        <v>0</v>
      </c>
      <c r="I31" s="300">
        <f t="shared" si="4"/>
        <v>0</v>
      </c>
      <c r="J31" s="213"/>
      <c r="K31" s="111"/>
      <c r="L31" s="11">
        <v>1</v>
      </c>
      <c r="M31" s="1" t="s">
        <v>371</v>
      </c>
      <c r="N31" s="308" t="s">
        <v>372</v>
      </c>
      <c r="O31" s="69">
        <v>3.7699820755297511E-6</v>
      </c>
      <c r="P31" s="69">
        <v>1.9503025430928747E-11</v>
      </c>
      <c r="Q31" s="248">
        <v>265253.2505368694</v>
      </c>
      <c r="R31" s="247">
        <v>13</v>
      </c>
      <c r="S31" s="69">
        <f t="shared" si="0"/>
        <v>2.3724018056760756E-5</v>
      </c>
      <c r="T31" s="162">
        <v>22.100000381469727</v>
      </c>
      <c r="U31" s="69">
        <v>1.5563282431685366E-5</v>
      </c>
    </row>
    <row r="32" spans="1:32">
      <c r="A32" s="298">
        <v>1</v>
      </c>
      <c r="B32" s="298" t="s">
        <v>275</v>
      </c>
      <c r="C32" s="298" t="s">
        <v>276</v>
      </c>
      <c r="D32" s="298"/>
      <c r="E32" s="301">
        <v>3.1313027254152012E-6</v>
      </c>
      <c r="F32" s="301">
        <v>2.1232238826366572E-12</v>
      </c>
      <c r="G32" s="304">
        <f t="shared" si="3"/>
        <v>319355.89998485474</v>
      </c>
      <c r="H32" s="304">
        <v>0</v>
      </c>
      <c r="I32" s="300">
        <f t="shared" si="4"/>
        <v>0</v>
      </c>
      <c r="J32" s="213"/>
      <c r="K32" s="111"/>
      <c r="L32" s="11">
        <v>3</v>
      </c>
      <c r="M32" s="1" t="s">
        <v>391</v>
      </c>
      <c r="N32" s="308" t="s">
        <v>392</v>
      </c>
      <c r="O32" s="69">
        <v>5.9089225401780007E-7</v>
      </c>
      <c r="P32" s="69">
        <v>2.0662953376205789E-11</v>
      </c>
      <c r="Q32" s="248">
        <v>1692355.9129442843</v>
      </c>
      <c r="R32" s="247">
        <v>3</v>
      </c>
      <c r="S32" s="69">
        <f t="shared" si="0"/>
        <v>2.4314910310778557E-5</v>
      </c>
      <c r="T32" s="162">
        <v>28.600000381469727</v>
      </c>
      <c r="U32" s="69">
        <v>1.5563282431685366E-5</v>
      </c>
      <c r="X32" s="1">
        <v>2</v>
      </c>
      <c r="Z32" s="1">
        <v>3</v>
      </c>
      <c r="AB32" s="1">
        <v>4</v>
      </c>
      <c r="AD32" s="1">
        <v>5</v>
      </c>
      <c r="AF32" s="1">
        <v>6</v>
      </c>
    </row>
    <row r="33" spans="1:33">
      <c r="A33" s="298">
        <v>1</v>
      </c>
      <c r="B33" s="298" t="s">
        <v>277</v>
      </c>
      <c r="C33" s="298" t="s">
        <v>278</v>
      </c>
      <c r="D33" s="298"/>
      <c r="E33" s="301">
        <v>3.1313027254152012E-6</v>
      </c>
      <c r="F33" s="301">
        <v>2.1232238826366572E-12</v>
      </c>
      <c r="G33" s="304">
        <f t="shared" si="3"/>
        <v>319355.89998485474</v>
      </c>
      <c r="H33" s="304">
        <v>0</v>
      </c>
      <c r="I33" s="300">
        <f t="shared" si="4"/>
        <v>0</v>
      </c>
      <c r="J33" s="213"/>
      <c r="K33" s="111"/>
      <c r="L33" s="1">
        <v>4</v>
      </c>
      <c r="M33" s="1" t="s">
        <v>393</v>
      </c>
      <c r="N33" s="2" t="s">
        <v>394</v>
      </c>
      <c r="O33" s="69">
        <v>5.9089225401779996E-7</v>
      </c>
      <c r="P33" s="69">
        <v>2.0662953376205786E-11</v>
      </c>
      <c r="Q33" s="248">
        <v>1692355.9129442847</v>
      </c>
      <c r="R33" s="247">
        <v>2.4000000953674316</v>
      </c>
      <c r="S33" s="69">
        <f t="shared" si="0"/>
        <v>2.4905802564796358E-5</v>
      </c>
      <c r="T33" s="162">
        <v>28.600000381469727</v>
      </c>
      <c r="U33" s="69">
        <v>1.1793300473073032E-5</v>
      </c>
      <c r="X33" s="58">
        <v>0.1</v>
      </c>
      <c r="Y33" s="58">
        <v>1</v>
      </c>
      <c r="Z33" s="58">
        <v>0.1</v>
      </c>
      <c r="AA33" s="72">
        <v>1E-3</v>
      </c>
      <c r="AB33" s="58">
        <v>0.1</v>
      </c>
      <c r="AC33" s="72">
        <v>0.01</v>
      </c>
      <c r="AD33" s="58">
        <v>0.1</v>
      </c>
      <c r="AE33" s="14">
        <v>1E-4</v>
      </c>
      <c r="AF33" s="58">
        <v>1000</v>
      </c>
      <c r="AG33" s="72">
        <v>9.9999999999999995E-7</v>
      </c>
    </row>
    <row r="34" spans="1:33">
      <c r="A34" s="298">
        <v>1</v>
      </c>
      <c r="B34" s="298" t="s">
        <v>279</v>
      </c>
      <c r="C34" s="298" t="s">
        <v>280</v>
      </c>
      <c r="D34" s="298"/>
      <c r="E34" s="301">
        <v>3.1313027254152012E-6</v>
      </c>
      <c r="F34" s="301">
        <v>2.1232238826366572E-12</v>
      </c>
      <c r="G34" s="304">
        <f t="shared" si="3"/>
        <v>319355.89998485474</v>
      </c>
      <c r="H34" s="304">
        <v>0</v>
      </c>
      <c r="I34" s="300">
        <f t="shared" si="4"/>
        <v>0</v>
      </c>
      <c r="J34" s="213"/>
      <c r="K34" s="111"/>
      <c r="L34" s="11">
        <v>3</v>
      </c>
      <c r="M34" s="1" t="s">
        <v>369</v>
      </c>
      <c r="N34" s="308" t="s">
        <v>370</v>
      </c>
      <c r="O34" s="69">
        <v>3.7699820755297499E-6</v>
      </c>
      <c r="P34" s="69">
        <v>1.9503025430928741E-11</v>
      </c>
      <c r="Q34" s="248">
        <v>265253.25053686951</v>
      </c>
      <c r="R34" s="247">
        <v>1.8999999761581421</v>
      </c>
      <c r="S34" s="69">
        <f t="shared" si="0"/>
        <v>2.8675784640326107E-5</v>
      </c>
      <c r="T34" s="162">
        <v>34.700000762939453</v>
      </c>
      <c r="U34" s="69">
        <v>1.1793300473073032E-5</v>
      </c>
      <c r="X34" s="58">
        <v>10000</v>
      </c>
      <c r="Y34" s="72">
        <v>1.0000000000000001E-5</v>
      </c>
      <c r="Z34" s="58">
        <v>10000</v>
      </c>
      <c r="AA34" s="72">
        <v>1E-8</v>
      </c>
      <c r="AB34" s="58">
        <v>1000</v>
      </c>
      <c r="AC34" s="72">
        <v>9.9999999999999995E-7</v>
      </c>
      <c r="AD34" s="58">
        <v>1000</v>
      </c>
      <c r="AE34" s="14">
        <v>1E-8</v>
      </c>
      <c r="AF34" s="58">
        <v>1000</v>
      </c>
      <c r="AG34" s="72">
        <v>1.0000000000000001E-9</v>
      </c>
    </row>
    <row r="35" spans="1:33">
      <c r="A35" s="298">
        <v>1</v>
      </c>
      <c r="B35" s="298" t="s">
        <v>281</v>
      </c>
      <c r="C35" s="298" t="s">
        <v>282</v>
      </c>
      <c r="D35" s="298"/>
      <c r="E35" s="301">
        <v>0</v>
      </c>
      <c r="F35" s="301">
        <v>0</v>
      </c>
      <c r="G35" s="304" t="str">
        <f t="shared" si="3"/>
        <v/>
      </c>
      <c r="H35" s="304">
        <v>0</v>
      </c>
      <c r="I35" s="300">
        <f t="shared" si="4"/>
        <v>0</v>
      </c>
      <c r="J35" s="213"/>
      <c r="K35" s="111"/>
      <c r="L35" s="11">
        <v>4</v>
      </c>
      <c r="M35" s="1" t="s">
        <v>389</v>
      </c>
      <c r="N35" s="308" t="s">
        <v>390</v>
      </c>
      <c r="O35" s="69">
        <v>5.9089225401779996E-7</v>
      </c>
      <c r="P35" s="69">
        <v>2.0662953376205786E-11</v>
      </c>
      <c r="Q35" s="248">
        <v>1692355.9129442847</v>
      </c>
      <c r="R35" s="247">
        <v>1.7999999523162842</v>
      </c>
      <c r="S35" s="69">
        <f t="shared" si="0"/>
        <v>2.9266676894343908E-5</v>
      </c>
      <c r="T35" s="162">
        <v>34.700000762939453</v>
      </c>
      <c r="U35" s="69">
        <v>1.1202408131794073E-5</v>
      </c>
    </row>
    <row r="36" spans="1:33">
      <c r="A36" s="298">
        <v>1</v>
      </c>
      <c r="B36" s="298" t="s">
        <v>283</v>
      </c>
      <c r="C36" s="298" t="s">
        <v>284</v>
      </c>
      <c r="D36" s="298"/>
      <c r="E36" s="301">
        <v>0</v>
      </c>
      <c r="F36" s="301">
        <v>0</v>
      </c>
      <c r="G36" s="304" t="str">
        <f t="shared" si="3"/>
        <v/>
      </c>
      <c r="H36" s="304">
        <v>0</v>
      </c>
      <c r="I36" s="300">
        <f t="shared" si="4"/>
        <v>0</v>
      </c>
      <c r="J36" s="213"/>
      <c r="K36" s="111"/>
      <c r="L36" s="1">
        <v>3</v>
      </c>
      <c r="M36" s="1" t="s">
        <v>373</v>
      </c>
      <c r="N36" s="2" t="s">
        <v>374</v>
      </c>
      <c r="O36" s="69">
        <v>3.7699820755297499E-6</v>
      </c>
      <c r="P36" s="69">
        <v>1.9503025430928741E-11</v>
      </c>
      <c r="Q36" s="248">
        <v>265253.25053686951</v>
      </c>
      <c r="R36" s="247">
        <v>1</v>
      </c>
      <c r="S36" s="69">
        <f t="shared" si="0"/>
        <v>3.3036658969873657E-5</v>
      </c>
      <c r="T36" s="162">
        <v>37.5</v>
      </c>
      <c r="U36" s="69">
        <v>1.1202408131794073E-5</v>
      </c>
    </row>
    <row r="37" spans="1:33">
      <c r="A37" s="298">
        <v>1</v>
      </c>
      <c r="B37" s="298" t="s">
        <v>285</v>
      </c>
      <c r="C37" s="298" t="s">
        <v>286</v>
      </c>
      <c r="D37" s="298"/>
      <c r="E37" s="301">
        <v>8.0754649234392026E-6</v>
      </c>
      <c r="F37" s="301">
        <v>5.4756826446945361E-12</v>
      </c>
      <c r="G37" s="304">
        <f t="shared" si="3"/>
        <v>123831.87958596408</v>
      </c>
      <c r="H37" s="304">
        <v>0</v>
      </c>
      <c r="I37" s="300">
        <f t="shared" si="4"/>
        <v>0</v>
      </c>
      <c r="J37" s="213"/>
      <c r="K37" s="111"/>
      <c r="L37" s="11">
        <v>2</v>
      </c>
      <c r="M37" s="1" t="s">
        <v>371</v>
      </c>
      <c r="N37" s="308" t="s">
        <v>372</v>
      </c>
      <c r="O37" s="69">
        <v>3.7699820755297511E-6</v>
      </c>
      <c r="P37" s="69">
        <v>1.9503025430928747E-11</v>
      </c>
      <c r="Q37" s="248">
        <v>265253.2505368694</v>
      </c>
      <c r="R37" s="247">
        <v>0.40000000596046448</v>
      </c>
      <c r="S37" s="69">
        <f t="shared" si="0"/>
        <v>3.6806641045403405E-5</v>
      </c>
      <c r="T37" s="162">
        <v>37.5</v>
      </c>
      <c r="U37" s="69">
        <v>7.4324257184343878E-6</v>
      </c>
    </row>
    <row r="38" spans="1:33">
      <c r="A38" s="298">
        <v>1</v>
      </c>
      <c r="B38" s="298" t="s">
        <v>287</v>
      </c>
      <c r="C38" s="298" t="s">
        <v>288</v>
      </c>
      <c r="D38" s="298"/>
      <c r="E38" s="301">
        <v>8.0754649234392026E-6</v>
      </c>
      <c r="F38" s="301">
        <v>5.4756826446945361E-12</v>
      </c>
      <c r="G38" s="304">
        <f t="shared" si="3"/>
        <v>123831.87958596408</v>
      </c>
      <c r="H38" s="304">
        <v>0</v>
      </c>
      <c r="I38" s="300">
        <f t="shared" si="4"/>
        <v>0</v>
      </c>
      <c r="J38" s="213"/>
      <c r="K38" s="111"/>
      <c r="L38" s="1">
        <v>4</v>
      </c>
      <c r="M38" s="1" t="s">
        <v>391</v>
      </c>
      <c r="N38" s="2" t="s">
        <v>392</v>
      </c>
      <c r="O38" s="69">
        <v>5.9089225401779996E-7</v>
      </c>
      <c r="P38" s="69">
        <v>2.0662953376205786E-11</v>
      </c>
      <c r="Q38" s="248">
        <v>1692355.9129442847</v>
      </c>
      <c r="R38" s="247">
        <v>0.30000001192092896</v>
      </c>
      <c r="S38" s="69">
        <f t="shared" si="0"/>
        <v>3.7397533299421206E-5</v>
      </c>
      <c r="T38" s="162">
        <v>41.299999237060547</v>
      </c>
      <c r="U38" s="69">
        <v>7.4324257184343878E-6</v>
      </c>
    </row>
    <row r="39" spans="1:33">
      <c r="A39" s="298">
        <v>1</v>
      </c>
      <c r="B39" s="298" t="s">
        <v>289</v>
      </c>
      <c r="C39" s="298" t="s">
        <v>290</v>
      </c>
      <c r="D39" s="298"/>
      <c r="E39" s="301">
        <v>8.0754649234392026E-6</v>
      </c>
      <c r="F39" s="301">
        <v>5.4756826446945361E-12</v>
      </c>
      <c r="G39" s="304">
        <f t="shared" si="3"/>
        <v>123831.87958596408</v>
      </c>
      <c r="H39" s="304">
        <v>0</v>
      </c>
      <c r="I39" s="300">
        <f t="shared" si="4"/>
        <v>0</v>
      </c>
      <c r="J39" s="213"/>
      <c r="K39" s="111"/>
      <c r="L39" s="1">
        <v>5</v>
      </c>
      <c r="M39" s="1" t="s">
        <v>391</v>
      </c>
      <c r="N39" s="2" t="s">
        <v>392</v>
      </c>
      <c r="O39" s="69">
        <v>5.9089225401779996E-7</v>
      </c>
      <c r="P39" s="69">
        <v>2.0662953376205786E-11</v>
      </c>
      <c r="Q39" s="248">
        <v>1692355.9129442847</v>
      </c>
      <c r="R39" s="247">
        <v>0.10000000149011612</v>
      </c>
      <c r="S39" s="69">
        <f t="shared" si="0"/>
        <v>3.7988425553439007E-5</v>
      </c>
      <c r="T39" s="162">
        <v>41.299999237060547</v>
      </c>
      <c r="U39" s="69">
        <v>7.4234189924027305E-6</v>
      </c>
    </row>
    <row r="40" spans="1:33">
      <c r="A40" s="298">
        <v>1</v>
      </c>
      <c r="B40" s="298" t="s">
        <v>291</v>
      </c>
      <c r="C40" s="298" t="s">
        <v>292</v>
      </c>
      <c r="D40" s="298"/>
      <c r="E40" s="301">
        <v>0</v>
      </c>
      <c r="F40" s="301">
        <v>0</v>
      </c>
      <c r="G40" s="304" t="str">
        <f t="shared" si="3"/>
        <v/>
      </c>
      <c r="H40" s="304">
        <v>0</v>
      </c>
      <c r="I40" s="300">
        <f t="shared" si="4"/>
        <v>0</v>
      </c>
      <c r="J40" s="213"/>
      <c r="K40" s="111"/>
      <c r="L40" s="11">
        <v>6</v>
      </c>
      <c r="M40" s="1" t="s">
        <v>391</v>
      </c>
      <c r="N40" s="308" t="s">
        <v>392</v>
      </c>
      <c r="O40" s="69">
        <v>7.7843740446780008E-7</v>
      </c>
      <c r="P40" s="69">
        <v>2.7221233118971063E-11</v>
      </c>
      <c r="Q40" s="248">
        <v>1284624.8063884818</v>
      </c>
      <c r="R40" s="247">
        <v>0.10000000149011612</v>
      </c>
      <c r="S40" s="69">
        <f t="shared" si="0"/>
        <v>3.8766862957906808E-5</v>
      </c>
      <c r="T40" s="162">
        <v>46</v>
      </c>
      <c r="U40" s="69">
        <v>7.4234189924027305E-6</v>
      </c>
    </row>
    <row r="41" spans="1:33">
      <c r="A41" s="298">
        <v>1</v>
      </c>
      <c r="B41" s="298" t="s">
        <v>293</v>
      </c>
      <c r="C41" s="298" t="s">
        <v>294</v>
      </c>
      <c r="D41" s="298"/>
      <c r="E41" s="301">
        <v>0</v>
      </c>
      <c r="F41" s="301">
        <v>0</v>
      </c>
      <c r="G41" s="304" t="str">
        <f t="shared" si="3"/>
        <v/>
      </c>
      <c r="H41" s="304">
        <v>0</v>
      </c>
      <c r="I41" s="300">
        <f t="shared" si="4"/>
        <v>0</v>
      </c>
      <c r="J41" s="213"/>
      <c r="K41" s="111"/>
      <c r="L41" s="1">
        <v>6</v>
      </c>
      <c r="M41" s="1" t="s">
        <v>413</v>
      </c>
      <c r="N41" s="2" t="s">
        <v>414</v>
      </c>
      <c r="O41" s="69">
        <v>1.1865670185599999E-8</v>
      </c>
      <c r="P41" s="69">
        <v>4.0831849678456588E-12</v>
      </c>
      <c r="Q41" s="248">
        <v>84276739.902444378</v>
      </c>
      <c r="R41" s="247">
        <v>0.10000000149011612</v>
      </c>
      <c r="S41" s="69">
        <f t="shared" si="0"/>
        <v>3.8778728628092405E-5</v>
      </c>
      <c r="T41" s="162">
        <v>46</v>
      </c>
      <c r="U41" s="69">
        <v>6.8325266511237714E-6</v>
      </c>
    </row>
    <row r="42" spans="1:33">
      <c r="A42" s="298">
        <v>1</v>
      </c>
      <c r="B42" s="298" t="s">
        <v>295</v>
      </c>
      <c r="C42" s="298" t="s">
        <v>296</v>
      </c>
      <c r="D42" s="298"/>
      <c r="E42" s="301">
        <v>1.6480540660080009E-7</v>
      </c>
      <c r="F42" s="301">
        <v>1.1174862540192932E-13</v>
      </c>
      <c r="G42" s="304">
        <f t="shared" si="3"/>
        <v>6067762.0997122386</v>
      </c>
      <c r="H42" s="304">
        <v>0</v>
      </c>
      <c r="I42" s="300">
        <f t="shared" si="4"/>
        <v>0</v>
      </c>
      <c r="J42" s="213"/>
      <c r="K42" s="111"/>
      <c r="O42" s="69"/>
      <c r="P42" s="69"/>
      <c r="Q42" s="248"/>
      <c r="R42" s="247"/>
      <c r="S42" s="69"/>
      <c r="T42" s="162">
        <v>46.200000762939453</v>
      </c>
      <c r="U42" s="69">
        <v>6.8325266511237714E-6</v>
      </c>
    </row>
    <row r="43" spans="1:33">
      <c r="A43" s="298">
        <v>1</v>
      </c>
      <c r="B43" s="298" t="s">
        <v>297</v>
      </c>
      <c r="C43" s="298" t="s">
        <v>298</v>
      </c>
      <c r="D43" s="298"/>
      <c r="E43" s="301">
        <v>1.6480540660080009E-7</v>
      </c>
      <c r="F43" s="301">
        <v>1.1174862540192932E-13</v>
      </c>
      <c r="G43" s="304">
        <f t="shared" si="3"/>
        <v>6067762.0997122386</v>
      </c>
      <c r="H43" s="304">
        <v>0</v>
      </c>
      <c r="I43" s="300">
        <f t="shared" si="4"/>
        <v>0</v>
      </c>
      <c r="J43" s="213"/>
      <c r="K43" s="111"/>
      <c r="L43" s="1"/>
      <c r="N43" s="2"/>
      <c r="O43" s="69"/>
      <c r="P43" s="69"/>
      <c r="Q43" s="248"/>
      <c r="R43" s="247"/>
      <c r="S43" s="69"/>
      <c r="T43" s="162">
        <v>46.200000762939453</v>
      </c>
      <c r="U43" s="69">
        <v>3.062544465137762E-6</v>
      </c>
    </row>
    <row r="44" spans="1:33">
      <c r="A44" s="298">
        <v>1</v>
      </c>
      <c r="B44" s="298" t="s">
        <v>299</v>
      </c>
      <c r="C44" s="298" t="s">
        <v>300</v>
      </c>
      <c r="D44" s="298"/>
      <c r="E44" s="301">
        <v>1.6480540660080009E-7</v>
      </c>
      <c r="F44" s="301">
        <v>1.1174862540192932E-13</v>
      </c>
      <c r="G44" s="304">
        <f t="shared" si="3"/>
        <v>6067762.0997122386</v>
      </c>
      <c r="H44" s="304">
        <v>0</v>
      </c>
      <c r="I44" s="300">
        <f t="shared" si="4"/>
        <v>0</v>
      </c>
      <c r="J44" s="213"/>
      <c r="K44" s="111"/>
      <c r="L44" s="1"/>
      <c r="N44" s="2"/>
      <c r="O44" s="69"/>
      <c r="P44" s="69"/>
      <c r="Q44" s="248"/>
      <c r="R44" s="247"/>
      <c r="S44" s="69"/>
      <c r="T44" s="162">
        <v>54.700000762939453</v>
      </c>
      <c r="U44" s="69">
        <v>3.062544465137762E-6</v>
      </c>
    </row>
    <row r="45" spans="1:33">
      <c r="A45" s="298">
        <v>1</v>
      </c>
      <c r="B45" s="298" t="s">
        <v>355</v>
      </c>
      <c r="C45" s="298" t="s">
        <v>356</v>
      </c>
      <c r="D45" s="298"/>
      <c r="E45" s="301">
        <v>0</v>
      </c>
      <c r="F45" s="301">
        <v>0</v>
      </c>
      <c r="G45" s="304" t="str">
        <f t="shared" si="3"/>
        <v/>
      </c>
      <c r="H45" s="304">
        <v>0</v>
      </c>
      <c r="I45" s="300">
        <f t="shared" si="4"/>
        <v>0</v>
      </c>
      <c r="J45" s="213"/>
      <c r="K45" s="111"/>
      <c r="O45" s="69"/>
      <c r="P45" s="69"/>
      <c r="Q45" s="248"/>
      <c r="R45" s="247"/>
      <c r="S45" s="69"/>
      <c r="T45" s="162">
        <v>54.700000762939453</v>
      </c>
      <c r="U45" s="69">
        <v>3.0535375117324293E-6</v>
      </c>
    </row>
    <row r="46" spans="1:33">
      <c r="A46" s="298">
        <v>1</v>
      </c>
      <c r="B46" s="298" t="s">
        <v>357</v>
      </c>
      <c r="C46" s="298" t="s">
        <v>358</v>
      </c>
      <c r="D46" s="298"/>
      <c r="E46" s="301">
        <v>0</v>
      </c>
      <c r="F46" s="301">
        <v>0</v>
      </c>
      <c r="G46" s="304" t="str">
        <f t="shared" si="3"/>
        <v/>
      </c>
      <c r="H46" s="304">
        <v>0</v>
      </c>
      <c r="I46" s="300">
        <f t="shared" si="4"/>
        <v>0</v>
      </c>
      <c r="J46" s="213"/>
      <c r="K46" s="111"/>
      <c r="L46" s="1"/>
      <c r="N46" s="2"/>
      <c r="O46" s="69"/>
      <c r="P46" s="69"/>
      <c r="Q46" s="248"/>
      <c r="R46" s="247"/>
      <c r="S46" s="69"/>
      <c r="T46" s="162">
        <v>65.599998474121094</v>
      </c>
      <c r="U46" s="69">
        <v>3.0535375117324293E-6</v>
      </c>
    </row>
    <row r="47" spans="1:33">
      <c r="A47" s="298">
        <v>1</v>
      </c>
      <c r="B47" s="298" t="s">
        <v>359</v>
      </c>
      <c r="C47" s="298" t="s">
        <v>360</v>
      </c>
      <c r="D47" s="298"/>
      <c r="E47" s="301">
        <v>1.8472912170095781E-4</v>
      </c>
      <c r="F47" s="301">
        <v>9.5564824611550873E-10</v>
      </c>
      <c r="G47" s="304">
        <f t="shared" si="3"/>
        <v>5413.3316436095793</v>
      </c>
      <c r="H47" s="304">
        <v>0</v>
      </c>
      <c r="I47" s="300">
        <f t="shared" si="4"/>
        <v>0</v>
      </c>
      <c r="J47" s="213"/>
      <c r="K47" s="111"/>
      <c r="O47" s="69"/>
      <c r="P47" s="69"/>
      <c r="Q47" s="248"/>
      <c r="R47" s="247"/>
      <c r="S47" s="69"/>
      <c r="T47" s="162">
        <v>65.599998474121094</v>
      </c>
      <c r="U47" s="69">
        <v>2.4626451704534702E-6</v>
      </c>
    </row>
    <row r="48" spans="1:33">
      <c r="A48" s="298">
        <v>1</v>
      </c>
      <c r="B48" s="298" t="s">
        <v>361</v>
      </c>
      <c r="C48" s="298" t="s">
        <v>362</v>
      </c>
      <c r="D48" s="298"/>
      <c r="E48" s="301">
        <v>1.8472912170095781E-4</v>
      </c>
      <c r="F48" s="301">
        <v>9.5564824611550873E-10</v>
      </c>
      <c r="G48" s="304">
        <f t="shared" si="3"/>
        <v>5413.3316436095793</v>
      </c>
      <c r="H48" s="304">
        <v>0</v>
      </c>
      <c r="I48" s="300">
        <f t="shared" si="4"/>
        <v>0</v>
      </c>
      <c r="J48" s="213"/>
      <c r="K48" s="111"/>
      <c r="O48" s="69"/>
      <c r="P48" s="69"/>
      <c r="Q48" s="248"/>
      <c r="R48" s="247"/>
      <c r="S48" s="69"/>
      <c r="T48" s="162">
        <v>67.599998474121094</v>
      </c>
      <c r="U48" s="69">
        <v>2.4626451704534702E-6</v>
      </c>
    </row>
    <row r="49" spans="1:21">
      <c r="A49" s="298">
        <v>1</v>
      </c>
      <c r="B49" s="298" t="s">
        <v>363</v>
      </c>
      <c r="C49" s="298" t="s">
        <v>364</v>
      </c>
      <c r="D49" s="298"/>
      <c r="E49" s="301">
        <v>1.8472912170095781E-4</v>
      </c>
      <c r="F49" s="301">
        <v>9.5564824611550873E-10</v>
      </c>
      <c r="G49" s="304">
        <f t="shared" si="3"/>
        <v>5413.3316436095793</v>
      </c>
      <c r="H49" s="304">
        <v>0</v>
      </c>
      <c r="I49" s="300">
        <f t="shared" si="4"/>
        <v>0</v>
      </c>
      <c r="J49" s="213"/>
      <c r="K49" s="111"/>
      <c r="O49" s="69"/>
      <c r="P49" s="69"/>
      <c r="Q49" s="248"/>
      <c r="R49" s="247"/>
      <c r="S49" s="69"/>
      <c r="T49" s="162">
        <v>67.599998474121094</v>
      </c>
      <c r="U49" s="69">
        <v>2.4536384444218129E-6</v>
      </c>
    </row>
    <row r="50" spans="1:21">
      <c r="A50" s="298">
        <v>1</v>
      </c>
      <c r="B50" s="298" t="s">
        <v>365</v>
      </c>
      <c r="C50" s="298" t="s">
        <v>366</v>
      </c>
      <c r="D50" s="298"/>
      <c r="E50" s="301">
        <v>0</v>
      </c>
      <c r="F50" s="301">
        <v>0</v>
      </c>
      <c r="G50" s="304" t="str">
        <f t="shared" si="3"/>
        <v/>
      </c>
      <c r="H50" s="304">
        <v>13.399999618530273</v>
      </c>
      <c r="I50" s="300">
        <f t="shared" si="4"/>
        <v>0</v>
      </c>
      <c r="J50" s="213"/>
      <c r="K50" s="111"/>
      <c r="L50" s="1"/>
      <c r="N50" s="2"/>
      <c r="O50" s="69"/>
      <c r="P50" s="69"/>
      <c r="Q50" s="248"/>
      <c r="R50" s="247"/>
      <c r="S50" s="69"/>
      <c r="T50" s="162">
        <v>81.099998474121094</v>
      </c>
      <c r="U50" s="69">
        <v>2.4536384444218129E-6</v>
      </c>
    </row>
    <row r="51" spans="1:21">
      <c r="A51" s="298">
        <v>1</v>
      </c>
      <c r="B51" s="298" t="s">
        <v>367</v>
      </c>
      <c r="C51" s="298" t="s">
        <v>368</v>
      </c>
      <c r="D51" s="298"/>
      <c r="E51" s="301">
        <v>0</v>
      </c>
      <c r="F51" s="301">
        <v>0</v>
      </c>
      <c r="G51" s="304" t="str">
        <f t="shared" si="3"/>
        <v/>
      </c>
      <c r="H51" s="304">
        <v>8.3999996185302734</v>
      </c>
      <c r="I51" s="300">
        <f t="shared" si="4"/>
        <v>0</v>
      </c>
      <c r="J51" s="213"/>
      <c r="K51" s="111"/>
      <c r="O51" s="69"/>
      <c r="P51" s="69"/>
      <c r="Q51" s="248"/>
      <c r="R51" s="247"/>
      <c r="S51" s="69"/>
      <c r="T51" s="162">
        <v>81.099998474121094</v>
      </c>
      <c r="U51" s="69">
        <v>2.4446314910164801E-6</v>
      </c>
    </row>
    <row r="52" spans="1:21">
      <c r="A52" s="298">
        <v>1</v>
      </c>
      <c r="B52" s="298" t="s">
        <v>369</v>
      </c>
      <c r="C52" s="298" t="s">
        <v>370</v>
      </c>
      <c r="D52" s="298"/>
      <c r="E52" s="301">
        <v>3.7699820755297511E-6</v>
      </c>
      <c r="F52" s="301">
        <v>1.9503025430928747E-11</v>
      </c>
      <c r="G52" s="304">
        <f t="shared" si="3"/>
        <v>265253.2505368694</v>
      </c>
      <c r="H52" s="304">
        <v>46</v>
      </c>
      <c r="I52" s="300">
        <f t="shared" si="4"/>
        <v>1.7341917547436856E-4</v>
      </c>
      <c r="J52" s="213"/>
      <c r="K52" s="111"/>
      <c r="O52" s="69"/>
      <c r="P52" s="69"/>
      <c r="Q52" s="248"/>
      <c r="R52" s="247"/>
      <c r="S52" s="69"/>
      <c r="T52" s="162">
        <v>90.5</v>
      </c>
      <c r="U52" s="69">
        <v>2.4446314910164801E-6</v>
      </c>
    </row>
    <row r="53" spans="1:21">
      <c r="A53" s="298">
        <v>1</v>
      </c>
      <c r="B53" s="298" t="s">
        <v>371</v>
      </c>
      <c r="C53" s="298" t="s">
        <v>372</v>
      </c>
      <c r="D53" s="298"/>
      <c r="E53" s="301">
        <v>3.7699820755297511E-6</v>
      </c>
      <c r="F53" s="301">
        <v>1.9503025430928747E-11</v>
      </c>
      <c r="G53" s="304">
        <f t="shared" si="3"/>
        <v>265253.2505368694</v>
      </c>
      <c r="H53" s="304">
        <v>13</v>
      </c>
      <c r="I53" s="300">
        <f t="shared" si="4"/>
        <v>4.9009766981886766E-5</v>
      </c>
      <c r="J53" s="213"/>
      <c r="K53" s="111"/>
      <c r="O53" s="69"/>
      <c r="P53" s="69"/>
      <c r="Q53" s="248"/>
      <c r="R53" s="247"/>
      <c r="S53" s="69"/>
      <c r="T53" s="162">
        <v>90.5</v>
      </c>
      <c r="U53" s="69">
        <v>1.8537391497375211E-6</v>
      </c>
    </row>
    <row r="54" spans="1:21">
      <c r="A54" s="298">
        <v>1</v>
      </c>
      <c r="B54" s="298" t="s">
        <v>373</v>
      </c>
      <c r="C54" s="298" t="s">
        <v>374</v>
      </c>
      <c r="D54" s="298"/>
      <c r="E54" s="301">
        <v>3.7699820755297511E-6</v>
      </c>
      <c r="F54" s="301">
        <v>1.9503025430928747E-11</v>
      </c>
      <c r="G54" s="304">
        <f t="shared" si="3"/>
        <v>265253.2505368694</v>
      </c>
      <c r="H54" s="304">
        <v>34.700000762939453</v>
      </c>
      <c r="I54" s="300">
        <f t="shared" si="4"/>
        <v>1.3081838089715043E-4</v>
      </c>
      <c r="J54" s="213"/>
      <c r="K54" s="111"/>
      <c r="O54" s="69"/>
      <c r="P54" s="69"/>
      <c r="Q54" s="248"/>
      <c r="R54" s="247"/>
      <c r="S54" s="69"/>
      <c r="T54" s="162">
        <v>94</v>
      </c>
      <c r="U54" s="69">
        <v>1.8537391497375211E-6</v>
      </c>
    </row>
    <row r="55" spans="1:21" s="58" customFormat="1">
      <c r="A55" s="298">
        <v>1</v>
      </c>
      <c r="B55" s="298" t="s">
        <v>375</v>
      </c>
      <c r="C55" s="298" t="s">
        <v>376</v>
      </c>
      <c r="D55" s="298"/>
      <c r="E55" s="301">
        <v>0</v>
      </c>
      <c r="F55" s="301">
        <v>0</v>
      </c>
      <c r="G55" s="303" t="str">
        <f t="shared" si="3"/>
        <v/>
      </c>
      <c r="H55" s="304">
        <v>0</v>
      </c>
      <c r="I55" s="300">
        <f t="shared" si="4"/>
        <v>0</v>
      </c>
      <c r="J55" s="213"/>
      <c r="K55" s="111"/>
      <c r="L55" s="11"/>
      <c r="M55" s="1"/>
      <c r="N55" s="308"/>
      <c r="O55" s="69"/>
      <c r="P55" s="69"/>
      <c r="Q55" s="248"/>
      <c r="R55" s="247"/>
      <c r="S55" s="69"/>
      <c r="T55" s="162">
        <v>94</v>
      </c>
      <c r="U55" s="69">
        <v>1.2628469221453997E-6</v>
      </c>
    </row>
    <row r="56" spans="1:21" s="58" customFormat="1">
      <c r="A56" s="298">
        <v>1</v>
      </c>
      <c r="B56" s="298" t="s">
        <v>377</v>
      </c>
      <c r="C56" s="298" t="s">
        <v>378</v>
      </c>
      <c r="D56" s="298"/>
      <c r="E56" s="301">
        <v>0</v>
      </c>
      <c r="F56" s="301">
        <v>0</v>
      </c>
      <c r="G56" s="303" t="str">
        <f t="shared" si="3"/>
        <v/>
      </c>
      <c r="H56" s="304">
        <v>0</v>
      </c>
      <c r="I56" s="300">
        <f t="shared" si="4"/>
        <v>0</v>
      </c>
      <c r="J56" s="213"/>
      <c r="K56" s="111"/>
      <c r="L56" s="11"/>
      <c r="M56" s="1"/>
      <c r="N56" s="308"/>
      <c r="O56" s="69"/>
      <c r="P56" s="69"/>
      <c r="Q56" s="248"/>
      <c r="R56" s="247"/>
      <c r="S56" s="69"/>
      <c r="T56" s="162">
        <v>97.099998474121094</v>
      </c>
      <c r="U56" s="69">
        <v>1.2628469221453997E-6</v>
      </c>
    </row>
    <row r="57" spans="1:21" s="58" customFormat="1">
      <c r="A57" s="298">
        <v>1</v>
      </c>
      <c r="B57" s="298" t="s">
        <v>379</v>
      </c>
      <c r="C57" s="298" t="s">
        <v>380</v>
      </c>
      <c r="D57" s="298"/>
      <c r="E57" s="301">
        <v>2.8953720446872213E-5</v>
      </c>
      <c r="F57" s="301">
        <v>1.0124847154340841E-9</v>
      </c>
      <c r="G57" s="303">
        <f t="shared" si="3"/>
        <v>34537.87577437314</v>
      </c>
      <c r="H57" s="304">
        <v>0</v>
      </c>
      <c r="I57" s="300">
        <f t="shared" si="4"/>
        <v>0</v>
      </c>
      <c r="J57" s="213"/>
      <c r="K57" s="111"/>
      <c r="L57" s="11"/>
      <c r="M57" s="1"/>
      <c r="N57" s="308"/>
      <c r="O57" s="69"/>
      <c r="P57" s="69"/>
      <c r="Q57" s="248"/>
      <c r="R57" s="247"/>
      <c r="S57" s="69"/>
      <c r="T57" s="162">
        <v>97.099998474121094</v>
      </c>
      <c r="U57" s="69">
        <v>1.253839968740067E-6</v>
      </c>
    </row>
    <row r="58" spans="1:21" s="58" customFormat="1">
      <c r="A58" s="298">
        <v>1</v>
      </c>
      <c r="B58" s="298" t="s">
        <v>381</v>
      </c>
      <c r="C58" s="298" t="s">
        <v>382</v>
      </c>
      <c r="D58" s="298"/>
      <c r="E58" s="301">
        <v>2.8953720446872213E-5</v>
      </c>
      <c r="F58" s="301">
        <v>1.0124847154340841E-9</v>
      </c>
      <c r="G58" s="303">
        <f t="shared" si="3"/>
        <v>34537.87577437314</v>
      </c>
      <c r="H58" s="304">
        <v>0</v>
      </c>
      <c r="I58" s="300">
        <f t="shared" si="4"/>
        <v>0</v>
      </c>
      <c r="J58" s="213"/>
      <c r="K58" s="111"/>
      <c r="L58" s="11"/>
      <c r="M58" s="1"/>
      <c r="N58" s="308"/>
      <c r="O58" s="69"/>
      <c r="P58" s="69"/>
      <c r="Q58" s="248"/>
      <c r="R58" s="247"/>
      <c r="S58" s="69"/>
      <c r="T58" s="162">
        <v>134.89999389648438</v>
      </c>
      <c r="U58" s="69">
        <v>1.253839968740067E-6</v>
      </c>
    </row>
    <row r="59" spans="1:21" s="58" customFormat="1">
      <c r="A59" s="298">
        <v>1</v>
      </c>
      <c r="B59" s="298" t="s">
        <v>383</v>
      </c>
      <c r="C59" s="298" t="s">
        <v>384</v>
      </c>
      <c r="D59" s="298"/>
      <c r="E59" s="301">
        <v>2.8953720446872213E-5</v>
      </c>
      <c r="F59" s="301">
        <v>1.0124847154340841E-9</v>
      </c>
      <c r="G59" s="303">
        <f t="shared" si="3"/>
        <v>34537.87577437314</v>
      </c>
      <c r="H59" s="304">
        <v>0</v>
      </c>
      <c r="I59" s="300">
        <f t="shared" si="4"/>
        <v>0</v>
      </c>
      <c r="J59" s="213"/>
      <c r="K59" s="111"/>
      <c r="L59" s="11"/>
      <c r="M59" s="1"/>
      <c r="N59" s="308"/>
      <c r="O59" s="69"/>
      <c r="P59" s="69"/>
      <c r="Q59" s="248"/>
      <c r="R59" s="247"/>
      <c r="S59" s="69"/>
      <c r="T59" s="162">
        <v>134.89999389648438</v>
      </c>
      <c r="U59" s="69">
        <v>1.2448330153347342E-6</v>
      </c>
    </row>
    <row r="60" spans="1:21" s="58" customFormat="1">
      <c r="A60" s="298">
        <v>1</v>
      </c>
      <c r="B60" s="298" t="s">
        <v>385</v>
      </c>
      <c r="C60" s="298" t="s">
        <v>386</v>
      </c>
      <c r="D60" s="298"/>
      <c r="E60" s="301">
        <v>0</v>
      </c>
      <c r="F60" s="301">
        <v>0</v>
      </c>
      <c r="G60" s="303" t="str">
        <f t="shared" si="3"/>
        <v/>
      </c>
      <c r="H60" s="304">
        <v>44</v>
      </c>
      <c r="I60" s="300">
        <f t="shared" si="4"/>
        <v>0</v>
      </c>
      <c r="J60" s="213"/>
      <c r="K60" s="111"/>
      <c r="L60" s="11"/>
      <c r="M60" s="1"/>
      <c r="N60" s="308"/>
      <c r="O60" s="69"/>
      <c r="P60" s="69"/>
      <c r="Q60" s="248"/>
      <c r="R60" s="247"/>
      <c r="S60" s="69"/>
      <c r="T60" s="162">
        <v>145.10000610351562</v>
      </c>
      <c r="U60" s="69">
        <v>1.2448330153347342E-6</v>
      </c>
    </row>
    <row r="61" spans="1:21" s="58" customFormat="1">
      <c r="A61" s="298">
        <v>1</v>
      </c>
      <c r="B61" s="298" t="s">
        <v>387</v>
      </c>
      <c r="C61" s="298" t="s">
        <v>388</v>
      </c>
      <c r="D61" s="298"/>
      <c r="E61" s="301">
        <v>0</v>
      </c>
      <c r="F61" s="301">
        <v>0</v>
      </c>
      <c r="G61" s="303" t="str">
        <f t="shared" si="3"/>
        <v/>
      </c>
      <c r="H61" s="304">
        <v>55.799999237060547</v>
      </c>
      <c r="I61" s="300">
        <f t="shared" si="4"/>
        <v>0</v>
      </c>
      <c r="J61" s="213"/>
      <c r="K61" s="111"/>
      <c r="L61" s="11"/>
      <c r="M61" s="1"/>
      <c r="N61" s="308"/>
      <c r="O61" s="69"/>
      <c r="P61" s="69"/>
      <c r="Q61" s="248"/>
      <c r="R61" s="247"/>
      <c r="S61" s="69"/>
      <c r="T61" s="162">
        <v>145.10000610351562</v>
      </c>
      <c r="U61" s="69">
        <v>6.5394078774261288E-7</v>
      </c>
    </row>
    <row r="62" spans="1:21" s="58" customFormat="1">
      <c r="A62" s="298">
        <v>1</v>
      </c>
      <c r="B62" s="298" t="s">
        <v>389</v>
      </c>
      <c r="C62" s="298" t="s">
        <v>390</v>
      </c>
      <c r="D62" s="298"/>
      <c r="E62" s="301">
        <v>5.9089225401780028E-7</v>
      </c>
      <c r="F62" s="301">
        <v>2.0662953376205796E-11</v>
      </c>
      <c r="G62" s="303">
        <f t="shared" si="3"/>
        <v>1692355.9129442838</v>
      </c>
      <c r="H62" s="304">
        <v>134.89999389648438</v>
      </c>
      <c r="I62" s="300">
        <f t="shared" si="4"/>
        <v>7.9711361460481158E-5</v>
      </c>
      <c r="J62" s="213"/>
      <c r="K62" s="111"/>
      <c r="L62" s="1"/>
      <c r="M62" s="1"/>
      <c r="N62" s="2"/>
      <c r="O62" s="69"/>
      <c r="P62" s="69"/>
      <c r="Q62" s="248"/>
      <c r="R62" s="247"/>
      <c r="S62" s="69"/>
      <c r="T62" s="162">
        <v>149.89999389648437</v>
      </c>
      <c r="U62" s="69">
        <v>6.5394078774261288E-7</v>
      </c>
    </row>
    <row r="63" spans="1:21" s="58" customFormat="1">
      <c r="A63" s="298">
        <v>1</v>
      </c>
      <c r="B63" s="298" t="s">
        <v>391</v>
      </c>
      <c r="C63" s="298" t="s">
        <v>392</v>
      </c>
      <c r="D63" s="298"/>
      <c r="E63" s="301">
        <v>5.9089225401780028E-7</v>
      </c>
      <c r="F63" s="301">
        <v>2.0662953376205796E-11</v>
      </c>
      <c r="G63" s="303">
        <f t="shared" si="3"/>
        <v>1692355.9129442838</v>
      </c>
      <c r="H63" s="304">
        <v>54.700000762939453</v>
      </c>
      <c r="I63" s="300">
        <f t="shared" si="4"/>
        <v>3.2321806745588686E-5</v>
      </c>
      <c r="J63" s="213"/>
      <c r="K63" s="111"/>
      <c r="L63" s="11"/>
      <c r="M63" s="1"/>
      <c r="N63" s="308"/>
      <c r="O63" s="69"/>
      <c r="P63" s="69"/>
      <c r="Q63" s="248"/>
      <c r="R63" s="247"/>
      <c r="S63" s="69"/>
      <c r="T63" s="162">
        <v>149.89999389648437</v>
      </c>
      <c r="U63" s="69">
        <v>6.4493383433728013E-7</v>
      </c>
    </row>
    <row r="64" spans="1:21" s="58" customFormat="1">
      <c r="A64" s="298">
        <v>1</v>
      </c>
      <c r="B64" s="298" t="s">
        <v>393</v>
      </c>
      <c r="C64" s="298" t="s">
        <v>394</v>
      </c>
      <c r="D64" s="298"/>
      <c r="E64" s="301">
        <v>5.9089225401780028E-7</v>
      </c>
      <c r="F64" s="301">
        <v>2.0662953376205796E-11</v>
      </c>
      <c r="G64" s="303">
        <f t="shared" si="3"/>
        <v>1692355.9129442838</v>
      </c>
      <c r="H64" s="304">
        <v>160.39999389648437</v>
      </c>
      <c r="I64" s="300">
        <f t="shared" si="4"/>
        <v>9.4779113937935064E-5</v>
      </c>
      <c r="J64" s="213"/>
      <c r="K64" s="111"/>
      <c r="L64" s="11"/>
      <c r="M64" s="1"/>
      <c r="N64" s="308"/>
      <c r="O64" s="69"/>
      <c r="P64" s="69"/>
      <c r="Q64" s="248"/>
      <c r="R64" s="247"/>
      <c r="S64" s="69"/>
      <c r="T64" s="162">
        <v>152.5</v>
      </c>
      <c r="U64" s="69">
        <v>6.4493383433728013E-7</v>
      </c>
    </row>
    <row r="65" spans="1:21" s="58" customFormat="1">
      <c r="A65" s="298">
        <v>1</v>
      </c>
      <c r="B65" s="298" t="s">
        <v>395</v>
      </c>
      <c r="C65" s="298" t="s">
        <v>396</v>
      </c>
      <c r="D65" s="298"/>
      <c r="E65" s="301">
        <v>0</v>
      </c>
      <c r="F65" s="301">
        <v>0</v>
      </c>
      <c r="G65" s="303" t="str">
        <f t="shared" si="3"/>
        <v/>
      </c>
      <c r="H65" s="304">
        <v>0</v>
      </c>
      <c r="I65" s="300">
        <f t="shared" si="4"/>
        <v>0</v>
      </c>
      <c r="J65" s="213"/>
      <c r="K65" s="111"/>
      <c r="L65" s="11"/>
      <c r="M65" s="1"/>
      <c r="N65" s="308"/>
      <c r="O65" s="69"/>
      <c r="P65" s="69"/>
      <c r="Q65" s="248"/>
      <c r="R65" s="247"/>
      <c r="S65" s="69"/>
      <c r="T65" s="162">
        <v>152.5</v>
      </c>
      <c r="U65" s="69">
        <v>6.3592693777536624E-7</v>
      </c>
    </row>
    <row r="66" spans="1:21" s="58" customFormat="1">
      <c r="A66" s="298">
        <v>1</v>
      </c>
      <c r="B66" s="298" t="s">
        <v>397</v>
      </c>
      <c r="C66" s="298" t="s">
        <v>398</v>
      </c>
      <c r="D66" s="298"/>
      <c r="E66" s="301">
        <v>0</v>
      </c>
      <c r="F66" s="301">
        <v>0</v>
      </c>
      <c r="G66" s="303" t="str">
        <f t="shared" si="3"/>
        <v/>
      </c>
      <c r="H66" s="304">
        <v>0</v>
      </c>
      <c r="I66" s="300">
        <f t="shared" si="4"/>
        <v>0</v>
      </c>
      <c r="J66" s="213"/>
      <c r="K66" s="111"/>
      <c r="L66" s="1"/>
      <c r="M66" s="1"/>
      <c r="N66" s="2"/>
      <c r="O66" s="69"/>
      <c r="P66" s="69"/>
      <c r="Q66" s="248"/>
      <c r="R66" s="247"/>
      <c r="S66" s="69"/>
      <c r="T66" s="162">
        <v>160.39999389648437</v>
      </c>
      <c r="U66" s="69">
        <v>6.3592693777536624E-7</v>
      </c>
    </row>
    <row r="67" spans="1:21" s="58" customFormat="1">
      <c r="A67" s="298">
        <v>1</v>
      </c>
      <c r="B67" s="298" t="s">
        <v>399</v>
      </c>
      <c r="C67" s="298" t="s">
        <v>400</v>
      </c>
      <c r="D67" s="298"/>
      <c r="E67" s="301">
        <v>4.4133965749440019E-7</v>
      </c>
      <c r="F67" s="301">
        <v>1.518727073151126E-10</v>
      </c>
      <c r="G67" s="303">
        <f t="shared" si="3"/>
        <v>2265828.5586146046</v>
      </c>
      <c r="H67" s="304">
        <v>0</v>
      </c>
      <c r="I67" s="300">
        <f t="shared" si="4"/>
        <v>0</v>
      </c>
      <c r="J67" s="213"/>
      <c r="K67" s="111"/>
      <c r="L67" s="11"/>
      <c r="M67" s="1"/>
      <c r="N67" s="308"/>
      <c r="O67" s="69"/>
      <c r="P67" s="69"/>
      <c r="Q67" s="248"/>
      <c r="R67" s="247"/>
      <c r="S67" s="69"/>
      <c r="T67" s="162">
        <v>160.39999389648437</v>
      </c>
      <c r="U67" s="69">
        <v>6.2691998437003349E-7</v>
      </c>
    </row>
    <row r="68" spans="1:21" s="58" customFormat="1">
      <c r="A68" s="298">
        <v>1</v>
      </c>
      <c r="B68" s="298" t="s">
        <v>401</v>
      </c>
      <c r="C68" s="298" t="s">
        <v>402</v>
      </c>
      <c r="D68" s="298"/>
      <c r="E68" s="301">
        <v>4.4133965749440019E-7</v>
      </c>
      <c r="F68" s="301">
        <v>1.518727073151126E-10</v>
      </c>
      <c r="G68" s="303">
        <f t="shared" si="3"/>
        <v>2265828.5586146046</v>
      </c>
      <c r="H68" s="304">
        <v>0</v>
      </c>
      <c r="I68" s="300">
        <f t="shared" si="4"/>
        <v>0</v>
      </c>
      <c r="J68" s="213"/>
      <c r="K68" s="111"/>
      <c r="L68" s="11"/>
      <c r="M68" s="1"/>
      <c r="N68" s="308"/>
      <c r="O68" s="69"/>
      <c r="P68" s="69"/>
      <c r="Q68" s="248"/>
      <c r="R68" s="247"/>
      <c r="S68" s="69"/>
      <c r="T68" s="162">
        <v>201.39999389648437</v>
      </c>
      <c r="U68" s="69">
        <v>6.2691998437003349E-7</v>
      </c>
    </row>
    <row r="69" spans="1:21" s="58" customFormat="1">
      <c r="A69" s="298">
        <v>1</v>
      </c>
      <c r="B69" s="298" t="s">
        <v>403</v>
      </c>
      <c r="C69" s="298" t="s">
        <v>404</v>
      </c>
      <c r="D69" s="298"/>
      <c r="E69" s="301">
        <v>4.4133965749440019E-7</v>
      </c>
      <c r="F69" s="301">
        <v>1.518727073151126E-10</v>
      </c>
      <c r="G69" s="303">
        <f t="shared" si="3"/>
        <v>2265828.5586146046</v>
      </c>
      <c r="H69" s="304">
        <v>0</v>
      </c>
      <c r="I69" s="300">
        <f t="shared" si="4"/>
        <v>0</v>
      </c>
      <c r="J69" s="213"/>
      <c r="K69" s="111"/>
      <c r="L69" s="1"/>
      <c r="M69" s="1"/>
      <c r="N69" s="2"/>
      <c r="O69" s="69"/>
      <c r="P69" s="69"/>
      <c r="Q69" s="248"/>
      <c r="R69" s="247"/>
      <c r="S69" s="69"/>
      <c r="T69" s="162">
        <v>201.39999389648437</v>
      </c>
      <c r="U69" s="69">
        <v>3.6027728356202715E-8</v>
      </c>
    </row>
    <row r="70" spans="1:21" s="58" customFormat="1">
      <c r="A70" s="298">
        <v>1</v>
      </c>
      <c r="B70" s="298" t="s">
        <v>405</v>
      </c>
      <c r="C70" s="298" t="s">
        <v>406</v>
      </c>
      <c r="D70" s="298"/>
      <c r="E70" s="301">
        <v>0</v>
      </c>
      <c r="F70" s="301">
        <v>0</v>
      </c>
      <c r="G70" s="303" t="str">
        <f t="shared" si="3"/>
        <v/>
      </c>
      <c r="H70" s="304">
        <v>154.30000305175781</v>
      </c>
      <c r="I70" s="300">
        <f t="shared" si="4"/>
        <v>0</v>
      </c>
      <c r="J70" s="213"/>
      <c r="K70" s="111"/>
      <c r="L70" s="1"/>
      <c r="M70" s="1"/>
      <c r="N70" s="2"/>
      <c r="O70" s="69"/>
      <c r="P70" s="69"/>
      <c r="Q70" s="248"/>
      <c r="R70" s="247"/>
      <c r="S70" s="69"/>
      <c r="T70" s="162">
        <v>225.80000305175781</v>
      </c>
      <c r="U70" s="69">
        <v>3.6027728356202715E-8</v>
      </c>
    </row>
    <row r="71" spans="1:21" s="58" customFormat="1">
      <c r="A71" s="298">
        <v>1</v>
      </c>
      <c r="B71" s="298" t="s">
        <v>407</v>
      </c>
      <c r="C71" s="298" t="s">
        <v>408</v>
      </c>
      <c r="D71" s="298"/>
      <c r="E71" s="301">
        <v>0</v>
      </c>
      <c r="F71" s="301">
        <v>0</v>
      </c>
      <c r="G71" s="303" t="str">
        <f t="shared" si="3"/>
        <v/>
      </c>
      <c r="H71" s="304">
        <v>151.39999389648437</v>
      </c>
      <c r="I71" s="300">
        <f t="shared" si="4"/>
        <v>0</v>
      </c>
      <c r="J71" s="213"/>
      <c r="K71" s="111"/>
      <c r="L71" s="1"/>
      <c r="M71" s="1"/>
      <c r="N71" s="2"/>
      <c r="O71" s="69"/>
      <c r="P71" s="69"/>
      <c r="Q71" s="248"/>
      <c r="R71" s="247"/>
      <c r="S71" s="69"/>
      <c r="T71" s="162">
        <v>225.80000305175781</v>
      </c>
      <c r="U71" s="69">
        <v>2.7020794490795197E-8</v>
      </c>
    </row>
    <row r="72" spans="1:21" s="58" customFormat="1">
      <c r="A72" s="298">
        <v>1</v>
      </c>
      <c r="B72" s="298" t="s">
        <v>409</v>
      </c>
      <c r="C72" s="298" t="s">
        <v>410</v>
      </c>
      <c r="D72" s="298"/>
      <c r="E72" s="301">
        <v>9.0069317856000021E-9</v>
      </c>
      <c r="F72" s="301">
        <v>3.0994430064308693E-12</v>
      </c>
      <c r="G72" s="303">
        <f t="shared" si="3"/>
        <v>111025599.37211564</v>
      </c>
      <c r="H72" s="304">
        <v>241.10000610351562</v>
      </c>
      <c r="I72" s="300">
        <f t="shared" si="4"/>
        <v>2.1715713084821093E-6</v>
      </c>
      <c r="J72" s="213"/>
      <c r="K72" s="111"/>
      <c r="L72" s="1"/>
      <c r="M72" s="1"/>
      <c r="N72" s="2"/>
      <c r="O72" s="69"/>
      <c r="P72" s="69"/>
      <c r="Q72" s="248"/>
      <c r="R72" s="247"/>
      <c r="S72" s="69"/>
      <c r="T72" s="162">
        <v>241.10000610351562</v>
      </c>
      <c r="U72" s="69">
        <v>2.7020794490795197E-8</v>
      </c>
    </row>
    <row r="73" spans="1:21" s="58" customFormat="1">
      <c r="A73" s="298">
        <v>1</v>
      </c>
      <c r="B73" s="298" t="s">
        <v>411</v>
      </c>
      <c r="C73" s="298" t="s">
        <v>412</v>
      </c>
      <c r="D73" s="298"/>
      <c r="E73" s="301">
        <v>9.0069317856000021E-9</v>
      </c>
      <c r="F73" s="301">
        <v>3.0994430064308693E-12</v>
      </c>
      <c r="G73" s="303">
        <f t="shared" si="3"/>
        <v>111025599.37211564</v>
      </c>
      <c r="H73" s="304">
        <v>152.5</v>
      </c>
      <c r="I73" s="300">
        <f t="shared" si="4"/>
        <v>1.3735570973040003E-6</v>
      </c>
      <c r="J73" s="213"/>
      <c r="K73" s="111"/>
      <c r="L73" s="11"/>
      <c r="M73" s="1"/>
      <c r="N73" s="308"/>
      <c r="O73" s="69"/>
      <c r="P73" s="69"/>
      <c r="Q73" s="248"/>
      <c r="R73" s="247"/>
      <c r="S73" s="69"/>
      <c r="T73" s="162">
        <v>241.10000610351562</v>
      </c>
      <c r="U73" s="69">
        <v>1.8013864178101358E-8</v>
      </c>
    </row>
    <row r="74" spans="1:21" s="58" customFormat="1">
      <c r="A74" s="298">
        <v>1</v>
      </c>
      <c r="B74" s="298" t="s">
        <v>413</v>
      </c>
      <c r="C74" s="298" t="s">
        <v>414</v>
      </c>
      <c r="D74" s="298"/>
      <c r="E74" s="301">
        <v>9.0069317856000021E-9</v>
      </c>
      <c r="F74" s="301">
        <v>3.0994430064308693E-12</v>
      </c>
      <c r="G74" s="303">
        <f t="shared" si="3"/>
        <v>111025599.37211564</v>
      </c>
      <c r="H74" s="304">
        <v>257.39999389648437</v>
      </c>
      <c r="I74" s="300">
        <f t="shared" si="4"/>
        <v>2.3183841866394918E-6</v>
      </c>
      <c r="J74" s="213"/>
      <c r="K74" s="111"/>
      <c r="L74" s="11"/>
      <c r="M74" s="1"/>
      <c r="N74" s="308"/>
      <c r="O74" s="69"/>
      <c r="P74" s="69"/>
      <c r="Q74" s="248"/>
      <c r="R74" s="247"/>
      <c r="S74" s="69"/>
      <c r="T74" s="162">
        <v>257.39999389648437</v>
      </c>
      <c r="U74" s="69">
        <v>1.8013864178101358E-8</v>
      </c>
    </row>
    <row r="75" spans="1:21" s="58" customFormat="1">
      <c r="A75" s="298">
        <v>2</v>
      </c>
      <c r="B75" s="298" t="s">
        <v>261</v>
      </c>
      <c r="C75" s="298" t="s">
        <v>262</v>
      </c>
      <c r="D75" s="298"/>
      <c r="E75" s="301">
        <v>0</v>
      </c>
      <c r="F75" s="301">
        <v>0</v>
      </c>
      <c r="G75" s="303" t="str">
        <f t="shared" si="3"/>
        <v/>
      </c>
      <c r="H75" s="304">
        <v>0</v>
      </c>
      <c r="I75" s="300">
        <f t="shared" si="4"/>
        <v>0</v>
      </c>
      <c r="J75" s="213"/>
      <c r="K75" s="111"/>
      <c r="L75" s="1"/>
      <c r="M75" s="1"/>
      <c r="N75" s="2"/>
      <c r="O75" s="69"/>
      <c r="P75" s="69"/>
      <c r="Q75" s="248"/>
      <c r="R75" s="247"/>
      <c r="S75" s="69"/>
      <c r="T75" s="162">
        <v>257.39999389648437</v>
      </c>
      <c r="U75" s="69">
        <v>9.0069320890506788E-9</v>
      </c>
    </row>
    <row r="76" spans="1:21" s="58" customFormat="1">
      <c r="A76" s="298">
        <v>2</v>
      </c>
      <c r="B76" s="298" t="s">
        <v>263</v>
      </c>
      <c r="C76" s="298" t="s">
        <v>264</v>
      </c>
      <c r="D76" s="298"/>
      <c r="E76" s="301">
        <v>0</v>
      </c>
      <c r="F76" s="301">
        <v>0</v>
      </c>
      <c r="G76" s="303" t="str">
        <f t="shared" si="3"/>
        <v/>
      </c>
      <c r="H76" s="304">
        <v>0</v>
      </c>
      <c r="I76" s="300">
        <f t="shared" si="4"/>
        <v>0</v>
      </c>
      <c r="J76" s="213"/>
      <c r="K76" s="111"/>
      <c r="L76" s="11"/>
      <c r="M76" s="1"/>
      <c r="N76" s="308"/>
      <c r="O76" s="69"/>
      <c r="P76" s="69"/>
      <c r="Q76" s="248"/>
      <c r="R76" s="247"/>
      <c r="S76" s="69"/>
      <c r="T76" s="162">
        <v>257.39999389648437</v>
      </c>
      <c r="U76" s="69">
        <v>1.0000000000000001E-9</v>
      </c>
    </row>
    <row r="77" spans="1:21" s="58" customFormat="1">
      <c r="A77" s="298">
        <v>2</v>
      </c>
      <c r="B77" s="298" t="s">
        <v>265</v>
      </c>
      <c r="C77" s="298" t="s">
        <v>266</v>
      </c>
      <c r="D77" s="298"/>
      <c r="E77" s="301">
        <v>1.5343383354534485E-4</v>
      </c>
      <c r="F77" s="301">
        <v>1.0403797024919619E-10</v>
      </c>
      <c r="G77" s="303">
        <f t="shared" si="3"/>
        <v>6517.4673466296881</v>
      </c>
      <c r="H77" s="304">
        <v>0</v>
      </c>
      <c r="I77" s="300">
        <f t="shared" si="4"/>
        <v>0</v>
      </c>
      <c r="J77" s="213"/>
      <c r="K77" s="111"/>
      <c r="L77" s="1"/>
      <c r="M77" s="1"/>
      <c r="N77" s="2"/>
      <c r="O77" s="69"/>
      <c r="P77" s="69"/>
      <c r="Q77" s="248"/>
      <c r="R77" s="247"/>
      <c r="S77" s="69"/>
      <c r="T77" s="162"/>
      <c r="U77" s="69"/>
    </row>
    <row r="78" spans="1:21" s="58" customFormat="1">
      <c r="A78" s="298">
        <v>2</v>
      </c>
      <c r="B78" s="298" t="s">
        <v>267</v>
      </c>
      <c r="C78" s="298" t="s">
        <v>268</v>
      </c>
      <c r="D78" s="298"/>
      <c r="E78" s="301">
        <v>1.5343383354534485E-4</v>
      </c>
      <c r="F78" s="301">
        <v>1.0403797024919619E-10</v>
      </c>
      <c r="G78" s="304">
        <f t="shared" si="3"/>
        <v>6517.4673466296881</v>
      </c>
      <c r="H78" s="304">
        <v>0</v>
      </c>
      <c r="I78" s="300">
        <f t="shared" si="4"/>
        <v>0</v>
      </c>
      <c r="J78" s="213"/>
      <c r="K78" s="111"/>
      <c r="L78" s="11"/>
      <c r="M78" s="1"/>
      <c r="N78" s="308"/>
      <c r="O78" s="69"/>
      <c r="P78" s="69"/>
      <c r="Q78" s="248"/>
      <c r="R78" s="247"/>
      <c r="S78" s="69"/>
      <c r="T78" s="162"/>
      <c r="U78" s="69"/>
    </row>
    <row r="79" spans="1:21" s="58" customFormat="1">
      <c r="A79" s="298">
        <v>2</v>
      </c>
      <c r="B79" s="298" t="s">
        <v>269</v>
      </c>
      <c r="C79" s="298" t="s">
        <v>270</v>
      </c>
      <c r="D79" s="298"/>
      <c r="E79" s="301">
        <v>1.5343383354534485E-4</v>
      </c>
      <c r="F79" s="301">
        <v>1.0403797024919619E-10</v>
      </c>
      <c r="G79" s="304">
        <f t="shared" si="3"/>
        <v>6517.4673466296881</v>
      </c>
      <c r="H79" s="304">
        <v>0</v>
      </c>
      <c r="I79" s="300">
        <f t="shared" si="4"/>
        <v>0</v>
      </c>
      <c r="J79" s="213"/>
      <c r="K79" s="111"/>
      <c r="L79" s="386"/>
      <c r="M79" s="387"/>
      <c r="N79" s="388"/>
      <c r="O79" s="389"/>
      <c r="P79" s="389"/>
      <c r="Q79" s="390"/>
      <c r="R79" s="391"/>
      <c r="S79" s="389"/>
      <c r="T79" s="162"/>
      <c r="U79" s="69"/>
    </row>
    <row r="80" spans="1:21" s="58" customFormat="1">
      <c r="A80" s="298">
        <v>2</v>
      </c>
      <c r="B80" s="298" t="s">
        <v>271</v>
      </c>
      <c r="C80" s="298" t="s">
        <v>272</v>
      </c>
      <c r="D80" s="298"/>
      <c r="E80" s="301">
        <v>0</v>
      </c>
      <c r="F80" s="301">
        <v>0</v>
      </c>
      <c r="G80" s="304" t="str">
        <f t="shared" si="3"/>
        <v/>
      </c>
      <c r="H80" s="304">
        <v>0</v>
      </c>
      <c r="I80" s="300">
        <f t="shared" si="4"/>
        <v>0</v>
      </c>
      <c r="J80" s="213"/>
      <c r="K80" s="111"/>
      <c r="L80" s="11"/>
      <c r="M80" s="1"/>
      <c r="N80" s="308"/>
      <c r="O80" s="69"/>
      <c r="P80" s="69"/>
      <c r="Q80" s="248"/>
      <c r="R80" s="247"/>
      <c r="S80" s="69"/>
      <c r="T80" s="162"/>
      <c r="U80" s="69"/>
    </row>
    <row r="81" spans="1:21" s="58" customFormat="1">
      <c r="A81" s="298">
        <v>2</v>
      </c>
      <c r="B81" s="298" t="s">
        <v>273</v>
      </c>
      <c r="C81" s="298" t="s">
        <v>274</v>
      </c>
      <c r="D81" s="298"/>
      <c r="E81" s="301">
        <v>0</v>
      </c>
      <c r="F81" s="301">
        <v>0</v>
      </c>
      <c r="G81" s="304" t="str">
        <f t="shared" si="3"/>
        <v/>
      </c>
      <c r="H81" s="304">
        <v>0</v>
      </c>
      <c r="I81" s="300">
        <f t="shared" si="4"/>
        <v>0</v>
      </c>
      <c r="J81" s="213"/>
      <c r="K81" s="111"/>
      <c r="L81" s="11"/>
      <c r="M81" s="1"/>
      <c r="N81" s="308"/>
      <c r="O81" s="69"/>
      <c r="P81" s="69"/>
      <c r="Q81" s="248"/>
      <c r="R81" s="247"/>
      <c r="S81" s="69"/>
      <c r="T81" s="1"/>
      <c r="U81" s="1"/>
    </row>
    <row r="82" spans="1:21" s="58" customFormat="1">
      <c r="A82" s="298">
        <v>2</v>
      </c>
      <c r="B82" s="298" t="s">
        <v>275</v>
      </c>
      <c r="C82" s="298" t="s">
        <v>276</v>
      </c>
      <c r="D82" s="298"/>
      <c r="E82" s="301">
        <v>3.1313027254152012E-6</v>
      </c>
      <c r="F82" s="301">
        <v>2.1232238826366572E-12</v>
      </c>
      <c r="G82" s="304">
        <f t="shared" si="3"/>
        <v>319355.89998485474</v>
      </c>
      <c r="H82" s="304">
        <v>0</v>
      </c>
      <c r="I82" s="300">
        <f t="shared" si="4"/>
        <v>0</v>
      </c>
      <c r="J82" s="213"/>
      <c r="K82" s="111"/>
      <c r="L82" s="11"/>
      <c r="M82" s="1"/>
      <c r="N82" s="308"/>
      <c r="O82" s="69"/>
      <c r="P82" s="69"/>
      <c r="Q82" s="248"/>
      <c r="R82" s="247"/>
      <c r="S82" s="69"/>
      <c r="T82" s="162"/>
      <c r="U82" s="69"/>
    </row>
    <row r="83" spans="1:21" s="58" customFormat="1">
      <c r="A83" s="298">
        <v>2</v>
      </c>
      <c r="B83" s="298" t="s">
        <v>277</v>
      </c>
      <c r="C83" s="298" t="s">
        <v>278</v>
      </c>
      <c r="D83" s="298"/>
      <c r="E83" s="301">
        <v>3.1313027254152012E-6</v>
      </c>
      <c r="F83" s="301">
        <v>2.1232238826366572E-12</v>
      </c>
      <c r="G83" s="304">
        <f t="shared" si="3"/>
        <v>319355.89998485474</v>
      </c>
      <c r="H83" s="304">
        <v>0</v>
      </c>
      <c r="I83" s="300">
        <f t="shared" si="4"/>
        <v>0</v>
      </c>
      <c r="J83" s="213"/>
      <c r="K83" s="111"/>
      <c r="L83" s="11"/>
      <c r="M83" s="1"/>
      <c r="N83" s="308"/>
      <c r="O83" s="69"/>
      <c r="P83" s="69"/>
      <c r="Q83" s="248"/>
      <c r="R83" s="247"/>
      <c r="S83" s="69"/>
      <c r="T83" s="162"/>
      <c r="U83" s="69"/>
    </row>
    <row r="84" spans="1:21" s="58" customFormat="1">
      <c r="A84" s="298">
        <v>2</v>
      </c>
      <c r="B84" s="298" t="s">
        <v>279</v>
      </c>
      <c r="C84" s="298" t="s">
        <v>280</v>
      </c>
      <c r="D84" s="298"/>
      <c r="E84" s="301">
        <v>3.1313027254152012E-6</v>
      </c>
      <c r="F84" s="301">
        <v>2.1232238826366572E-12</v>
      </c>
      <c r="G84" s="304">
        <f t="shared" si="3"/>
        <v>319355.89998485474</v>
      </c>
      <c r="H84" s="304">
        <v>0</v>
      </c>
      <c r="I84" s="300">
        <f t="shared" si="4"/>
        <v>0</v>
      </c>
      <c r="J84" s="213"/>
      <c r="K84" s="111"/>
      <c r="L84" s="11"/>
      <c r="M84" s="1"/>
      <c r="N84" s="308"/>
      <c r="O84" s="69"/>
      <c r="P84" s="69"/>
      <c r="Q84" s="248"/>
      <c r="R84" s="247"/>
      <c r="S84" s="69"/>
      <c r="T84" s="162"/>
      <c r="U84" s="69"/>
    </row>
    <row r="85" spans="1:21" s="58" customFormat="1">
      <c r="A85" s="298">
        <v>2</v>
      </c>
      <c r="B85" s="298" t="s">
        <v>281</v>
      </c>
      <c r="C85" s="298" t="s">
        <v>282</v>
      </c>
      <c r="D85" s="298"/>
      <c r="E85" s="301">
        <v>0</v>
      </c>
      <c r="F85" s="301">
        <v>0</v>
      </c>
      <c r="G85" s="304" t="str">
        <f t="shared" si="3"/>
        <v/>
      </c>
      <c r="H85" s="304">
        <v>0</v>
      </c>
      <c r="I85" s="300">
        <f t="shared" si="4"/>
        <v>0</v>
      </c>
      <c r="J85" s="213"/>
      <c r="K85" s="111"/>
      <c r="L85" s="11"/>
      <c r="M85" s="1"/>
      <c r="N85" s="308"/>
      <c r="O85" s="69"/>
      <c r="P85" s="69"/>
      <c r="Q85" s="248"/>
      <c r="R85" s="247"/>
      <c r="S85" s="69"/>
      <c r="T85" s="162"/>
      <c r="U85" s="69"/>
    </row>
    <row r="86" spans="1:21" s="58" customFormat="1">
      <c r="A86" s="298">
        <v>2</v>
      </c>
      <c r="B86" s="298" t="s">
        <v>283</v>
      </c>
      <c r="C86" s="298" t="s">
        <v>284</v>
      </c>
      <c r="D86" s="298"/>
      <c r="E86" s="301">
        <v>0</v>
      </c>
      <c r="F86" s="301">
        <v>0</v>
      </c>
      <c r="G86" s="304" t="str">
        <f t="shared" si="3"/>
        <v/>
      </c>
      <c r="H86" s="304">
        <v>0</v>
      </c>
      <c r="I86" s="300">
        <f t="shared" si="4"/>
        <v>0</v>
      </c>
      <c r="J86" s="213"/>
      <c r="K86" s="111"/>
      <c r="L86" s="11"/>
      <c r="M86" s="1"/>
      <c r="N86" s="308"/>
      <c r="O86" s="69"/>
      <c r="P86" s="69"/>
      <c r="Q86" s="248"/>
      <c r="R86" s="247"/>
      <c r="S86" s="69"/>
      <c r="T86" s="162"/>
      <c r="U86" s="69"/>
    </row>
    <row r="87" spans="1:21" s="58" customFormat="1">
      <c r="A87" s="298">
        <v>2</v>
      </c>
      <c r="B87" s="298" t="s">
        <v>285</v>
      </c>
      <c r="C87" s="298" t="s">
        <v>286</v>
      </c>
      <c r="D87" s="298"/>
      <c r="E87" s="301">
        <v>8.0754649234392026E-6</v>
      </c>
      <c r="F87" s="301">
        <v>5.4756826446945361E-12</v>
      </c>
      <c r="G87" s="304">
        <f t="shared" si="3"/>
        <v>123831.87958596408</v>
      </c>
      <c r="H87" s="304">
        <v>0</v>
      </c>
      <c r="I87" s="300">
        <f t="shared" si="4"/>
        <v>0</v>
      </c>
      <c r="J87" s="213"/>
      <c r="K87" s="111"/>
      <c r="L87" s="1"/>
      <c r="M87" s="1"/>
      <c r="N87" s="2"/>
      <c r="O87" s="69"/>
      <c r="P87" s="69"/>
      <c r="Q87" s="248"/>
      <c r="R87" s="247"/>
      <c r="S87" s="69"/>
      <c r="T87" s="162"/>
      <c r="U87" s="69"/>
    </row>
    <row r="88" spans="1:21" s="58" customFormat="1">
      <c r="A88" s="298">
        <v>2</v>
      </c>
      <c r="B88" s="298" t="s">
        <v>287</v>
      </c>
      <c r="C88" s="298" t="s">
        <v>288</v>
      </c>
      <c r="D88" s="298"/>
      <c r="E88" s="301">
        <v>8.0754649234392026E-6</v>
      </c>
      <c r="F88" s="301">
        <v>5.4756826446945361E-12</v>
      </c>
      <c r="G88" s="304">
        <f t="shared" si="3"/>
        <v>123831.87958596408</v>
      </c>
      <c r="H88" s="304">
        <v>0</v>
      </c>
      <c r="I88" s="300">
        <f t="shared" si="4"/>
        <v>0</v>
      </c>
      <c r="J88" s="213"/>
      <c r="K88" s="111"/>
      <c r="L88" s="11"/>
      <c r="M88" s="1"/>
      <c r="N88" s="308"/>
      <c r="O88" s="69"/>
      <c r="P88" s="69"/>
      <c r="Q88" s="248"/>
      <c r="R88" s="247"/>
      <c r="S88" s="69"/>
      <c r="T88" s="162"/>
      <c r="U88" s="69"/>
    </row>
    <row r="89" spans="1:21" s="58" customFormat="1">
      <c r="A89" s="298">
        <v>2</v>
      </c>
      <c r="B89" s="298" t="s">
        <v>289</v>
      </c>
      <c r="C89" s="298" t="s">
        <v>290</v>
      </c>
      <c r="D89" s="298"/>
      <c r="E89" s="301">
        <v>8.0754649234392026E-6</v>
      </c>
      <c r="F89" s="301">
        <v>5.4756826446945361E-12</v>
      </c>
      <c r="G89" s="304">
        <f t="shared" ref="G89:G152" si="5">IF(E89 &lt;&gt; 0, 1/E89, "")</f>
        <v>123831.87958596408</v>
      </c>
      <c r="H89" s="304">
        <v>0</v>
      </c>
      <c r="I89" s="300">
        <f t="shared" ref="I89:I152" si="6">H89*E89</f>
        <v>0</v>
      </c>
      <c r="J89" s="213"/>
      <c r="K89" s="111"/>
      <c r="L89" s="1"/>
      <c r="M89" s="1"/>
      <c r="N89" s="2"/>
      <c r="O89" s="69"/>
      <c r="P89" s="69"/>
      <c r="Q89" s="248"/>
      <c r="R89" s="247"/>
      <c r="S89" s="69"/>
      <c r="T89" s="162"/>
      <c r="U89" s="69"/>
    </row>
    <row r="90" spans="1:21" s="58" customFormat="1">
      <c r="A90" s="298">
        <v>2</v>
      </c>
      <c r="B90" s="298" t="s">
        <v>291</v>
      </c>
      <c r="C90" s="298" t="s">
        <v>292</v>
      </c>
      <c r="D90" s="298"/>
      <c r="E90" s="301">
        <v>0</v>
      </c>
      <c r="F90" s="301">
        <v>0</v>
      </c>
      <c r="G90" s="304" t="str">
        <f t="shared" si="5"/>
        <v/>
      </c>
      <c r="H90" s="304">
        <v>0</v>
      </c>
      <c r="I90" s="300">
        <f t="shared" si="6"/>
        <v>0</v>
      </c>
      <c r="J90" s="213"/>
      <c r="K90" s="111"/>
      <c r="L90" s="11"/>
      <c r="M90" s="1"/>
      <c r="N90" s="308"/>
      <c r="O90" s="69"/>
      <c r="P90" s="69"/>
      <c r="Q90" s="248"/>
      <c r="R90" s="247"/>
      <c r="S90" s="69"/>
      <c r="T90" s="162"/>
      <c r="U90" s="69"/>
    </row>
    <row r="91" spans="1:21" s="58" customFormat="1">
      <c r="A91" s="298">
        <v>2</v>
      </c>
      <c r="B91" s="298" t="s">
        <v>293</v>
      </c>
      <c r="C91" s="298" t="s">
        <v>294</v>
      </c>
      <c r="D91" s="298"/>
      <c r="E91" s="301">
        <v>0</v>
      </c>
      <c r="F91" s="301">
        <v>0</v>
      </c>
      <c r="G91" s="304" t="str">
        <f t="shared" si="5"/>
        <v/>
      </c>
      <c r="H91" s="304">
        <v>0</v>
      </c>
      <c r="I91" s="300">
        <f t="shared" si="6"/>
        <v>0</v>
      </c>
      <c r="J91" s="213"/>
      <c r="K91" s="111"/>
      <c r="L91" s="11"/>
      <c r="M91" s="1"/>
      <c r="N91" s="308"/>
      <c r="O91" s="69"/>
      <c r="P91" s="69"/>
      <c r="Q91" s="248"/>
      <c r="R91" s="247"/>
      <c r="S91" s="69"/>
      <c r="T91" s="162"/>
      <c r="U91" s="69"/>
    </row>
    <row r="92" spans="1:21" s="58" customFormat="1">
      <c r="A92" s="298">
        <v>2</v>
      </c>
      <c r="B92" s="298" t="s">
        <v>295</v>
      </c>
      <c r="C92" s="298" t="s">
        <v>296</v>
      </c>
      <c r="D92" s="298"/>
      <c r="E92" s="301">
        <v>1.6480540660080009E-7</v>
      </c>
      <c r="F92" s="301">
        <v>1.1174862540192932E-13</v>
      </c>
      <c r="G92" s="304">
        <f t="shared" si="5"/>
        <v>6067762.0997122386</v>
      </c>
      <c r="H92" s="304">
        <v>0</v>
      </c>
      <c r="I92" s="300">
        <f t="shared" si="6"/>
        <v>0</v>
      </c>
      <c r="J92" s="213"/>
      <c r="K92" s="111"/>
      <c r="L92" s="11"/>
      <c r="M92" s="1"/>
      <c r="N92" s="308"/>
      <c r="O92" s="69"/>
      <c r="P92" s="69"/>
      <c r="Q92" s="248"/>
      <c r="R92" s="247"/>
      <c r="S92" s="69"/>
      <c r="T92" s="162"/>
      <c r="U92" s="69"/>
    </row>
    <row r="93" spans="1:21" s="58" customFormat="1">
      <c r="A93" s="298">
        <v>2</v>
      </c>
      <c r="B93" s="298" t="s">
        <v>297</v>
      </c>
      <c r="C93" s="298" t="s">
        <v>298</v>
      </c>
      <c r="D93" s="298"/>
      <c r="E93" s="301">
        <v>1.6480540660080009E-7</v>
      </c>
      <c r="F93" s="301">
        <v>1.1174862540192932E-13</v>
      </c>
      <c r="G93" s="304">
        <f t="shared" si="5"/>
        <v>6067762.0997122386</v>
      </c>
      <c r="H93" s="304">
        <v>0</v>
      </c>
      <c r="I93" s="300">
        <f t="shared" si="6"/>
        <v>0</v>
      </c>
      <c r="J93" s="213"/>
      <c r="K93" s="111"/>
      <c r="L93" s="11"/>
      <c r="M93" s="1"/>
      <c r="N93" s="308"/>
      <c r="O93" s="69"/>
      <c r="P93" s="69"/>
      <c r="Q93" s="248"/>
      <c r="R93" s="247"/>
      <c r="S93" s="69"/>
      <c r="T93" s="162"/>
      <c r="U93" s="69"/>
    </row>
    <row r="94" spans="1:21" s="58" customFormat="1">
      <c r="A94" s="298">
        <v>2</v>
      </c>
      <c r="B94" s="298" t="s">
        <v>299</v>
      </c>
      <c r="C94" s="298" t="s">
        <v>300</v>
      </c>
      <c r="D94" s="298"/>
      <c r="E94" s="301">
        <v>1.6480540660080009E-7</v>
      </c>
      <c r="F94" s="301">
        <v>1.1174862540192932E-13</v>
      </c>
      <c r="G94" s="304">
        <f t="shared" si="5"/>
        <v>6067762.0997122386</v>
      </c>
      <c r="H94" s="304">
        <v>0</v>
      </c>
      <c r="I94" s="300">
        <f t="shared" si="6"/>
        <v>0</v>
      </c>
      <c r="J94" s="213"/>
      <c r="K94" s="111"/>
      <c r="L94" s="1"/>
      <c r="M94" s="1"/>
      <c r="N94" s="2"/>
      <c r="O94" s="69"/>
      <c r="P94" s="69"/>
      <c r="Q94" s="248"/>
      <c r="R94" s="247"/>
      <c r="S94" s="69"/>
      <c r="T94" s="162"/>
      <c r="U94" s="69"/>
    </row>
    <row r="95" spans="1:21" s="58" customFormat="1">
      <c r="A95" s="298">
        <v>2</v>
      </c>
      <c r="B95" s="298" t="s">
        <v>355</v>
      </c>
      <c r="C95" s="298" t="s">
        <v>356</v>
      </c>
      <c r="D95" s="298"/>
      <c r="E95" s="301">
        <v>0</v>
      </c>
      <c r="F95" s="301">
        <v>0</v>
      </c>
      <c r="G95" s="304" t="str">
        <f t="shared" si="5"/>
        <v/>
      </c>
      <c r="H95" s="304">
        <v>0</v>
      </c>
      <c r="I95" s="300">
        <f t="shared" si="6"/>
        <v>0</v>
      </c>
      <c r="J95" s="213"/>
      <c r="K95" s="111"/>
      <c r="L95" s="11"/>
      <c r="M95" s="1"/>
      <c r="N95" s="308"/>
      <c r="O95" s="69"/>
      <c r="P95" s="69"/>
      <c r="Q95" s="248"/>
      <c r="R95" s="247"/>
      <c r="S95" s="69"/>
      <c r="T95" s="162"/>
      <c r="U95" s="69"/>
    </row>
    <row r="96" spans="1:21" s="58" customFormat="1">
      <c r="A96" s="298">
        <v>2</v>
      </c>
      <c r="B96" s="298" t="s">
        <v>357</v>
      </c>
      <c r="C96" s="298" t="s">
        <v>358</v>
      </c>
      <c r="D96" s="298"/>
      <c r="E96" s="301">
        <v>0</v>
      </c>
      <c r="F96" s="301">
        <v>0</v>
      </c>
      <c r="G96" s="304" t="str">
        <f t="shared" si="5"/>
        <v/>
      </c>
      <c r="H96" s="304">
        <v>0</v>
      </c>
      <c r="I96" s="300">
        <f t="shared" si="6"/>
        <v>0</v>
      </c>
      <c r="J96" s="213"/>
      <c r="K96" s="111"/>
      <c r="L96" s="11"/>
      <c r="M96" s="1"/>
      <c r="N96" s="308"/>
      <c r="O96" s="69"/>
      <c r="P96" s="69"/>
      <c r="Q96" s="248"/>
      <c r="R96" s="247"/>
      <c r="S96" s="69"/>
      <c r="T96" s="162"/>
      <c r="U96" s="69"/>
    </row>
    <row r="97" spans="1:21" s="58" customFormat="1">
      <c r="A97" s="298">
        <v>2</v>
      </c>
      <c r="B97" s="298" t="s">
        <v>359</v>
      </c>
      <c r="C97" s="298" t="s">
        <v>360</v>
      </c>
      <c r="D97" s="298"/>
      <c r="E97" s="301">
        <v>1.8472912170095781E-4</v>
      </c>
      <c r="F97" s="301">
        <v>9.5564824611550873E-10</v>
      </c>
      <c r="G97" s="304">
        <f t="shared" si="5"/>
        <v>5413.3316436095793</v>
      </c>
      <c r="H97" s="304">
        <v>0</v>
      </c>
      <c r="I97" s="300">
        <f t="shared" si="6"/>
        <v>0</v>
      </c>
      <c r="J97" s="213"/>
      <c r="K97" s="111"/>
      <c r="L97" s="11"/>
      <c r="M97" s="1"/>
      <c r="N97" s="308"/>
      <c r="O97" s="69"/>
      <c r="P97" s="69"/>
      <c r="Q97" s="248"/>
      <c r="R97" s="247"/>
      <c r="S97" s="69"/>
      <c r="T97" s="162"/>
      <c r="U97" s="69"/>
    </row>
    <row r="98" spans="1:21">
      <c r="A98" s="298">
        <v>2</v>
      </c>
      <c r="B98" s="298" t="s">
        <v>361</v>
      </c>
      <c r="C98" s="298" t="s">
        <v>362</v>
      </c>
      <c r="D98" s="298"/>
      <c r="E98" s="301">
        <v>1.8472912170095781E-4</v>
      </c>
      <c r="F98" s="301">
        <v>9.5564824611550873E-10</v>
      </c>
      <c r="G98" s="304">
        <f t="shared" si="5"/>
        <v>5413.3316436095793</v>
      </c>
      <c r="H98" s="304">
        <v>0</v>
      </c>
      <c r="I98" s="300">
        <f t="shared" si="6"/>
        <v>0</v>
      </c>
      <c r="J98" s="213"/>
      <c r="K98" s="111"/>
      <c r="L98" s="1"/>
      <c r="N98" s="2"/>
      <c r="O98" s="69"/>
      <c r="P98" s="69"/>
      <c r="Q98" s="248"/>
      <c r="R98" s="247"/>
      <c r="S98" s="69"/>
      <c r="T98" s="162"/>
      <c r="U98" s="69"/>
    </row>
    <row r="99" spans="1:21">
      <c r="A99" s="298">
        <v>2</v>
      </c>
      <c r="B99" s="298" t="s">
        <v>363</v>
      </c>
      <c r="C99" s="298" t="s">
        <v>364</v>
      </c>
      <c r="D99" s="298"/>
      <c r="E99" s="301">
        <v>1.8472912170095781E-4</v>
      </c>
      <c r="F99" s="301">
        <v>9.5564824611550873E-10</v>
      </c>
      <c r="G99" s="304">
        <f t="shared" si="5"/>
        <v>5413.3316436095793</v>
      </c>
      <c r="H99" s="304">
        <v>0</v>
      </c>
      <c r="I99" s="300">
        <f t="shared" si="6"/>
        <v>0</v>
      </c>
      <c r="J99" s="213"/>
      <c r="K99" s="111"/>
      <c r="L99" s="1"/>
      <c r="N99" s="2"/>
      <c r="O99" s="69"/>
      <c r="P99" s="69"/>
      <c r="Q99" s="248"/>
      <c r="R99" s="247"/>
      <c r="S99" s="69"/>
      <c r="T99" s="162"/>
      <c r="U99" s="69"/>
    </row>
    <row r="100" spans="1:21">
      <c r="A100" s="298">
        <v>2</v>
      </c>
      <c r="B100" s="298" t="s">
        <v>365</v>
      </c>
      <c r="C100" s="298" t="s">
        <v>366</v>
      </c>
      <c r="D100" s="298"/>
      <c r="E100" s="301">
        <v>0</v>
      </c>
      <c r="F100" s="301">
        <v>0</v>
      </c>
      <c r="G100" s="304" t="str">
        <f t="shared" si="5"/>
        <v/>
      </c>
      <c r="H100" s="304">
        <v>0.60000002384185791</v>
      </c>
      <c r="I100" s="300">
        <f t="shared" si="6"/>
        <v>0</v>
      </c>
      <c r="J100" s="213"/>
      <c r="K100" s="111"/>
      <c r="O100" s="69"/>
      <c r="P100" s="69"/>
      <c r="Q100" s="248"/>
      <c r="R100" s="247"/>
      <c r="S100" s="69"/>
      <c r="T100" s="162"/>
      <c r="U100" s="69"/>
    </row>
    <row r="101" spans="1:21">
      <c r="A101" s="298">
        <v>2</v>
      </c>
      <c r="B101" s="298" t="s">
        <v>367</v>
      </c>
      <c r="C101" s="298" t="s">
        <v>368</v>
      </c>
      <c r="D101" s="298"/>
      <c r="E101" s="301">
        <v>0</v>
      </c>
      <c r="F101" s="301">
        <v>0</v>
      </c>
      <c r="G101" s="304" t="str">
        <f t="shared" si="5"/>
        <v/>
      </c>
      <c r="H101" s="304">
        <v>0.89999997615814209</v>
      </c>
      <c r="I101" s="300">
        <f t="shared" si="6"/>
        <v>0</v>
      </c>
      <c r="J101" s="213"/>
      <c r="K101" s="111"/>
      <c r="L101" s="1"/>
      <c r="N101" s="2"/>
      <c r="O101" s="69"/>
      <c r="P101" s="69"/>
      <c r="Q101" s="248"/>
      <c r="R101" s="247"/>
      <c r="S101" s="69"/>
      <c r="T101" s="162"/>
      <c r="U101" s="69"/>
    </row>
    <row r="102" spans="1:21">
      <c r="A102" s="298">
        <v>2</v>
      </c>
      <c r="B102" s="298" t="s">
        <v>369</v>
      </c>
      <c r="C102" s="298" t="s">
        <v>370</v>
      </c>
      <c r="D102" s="298"/>
      <c r="E102" s="301">
        <v>3.7699820755297511E-6</v>
      </c>
      <c r="F102" s="301">
        <v>1.9503025430928747E-11</v>
      </c>
      <c r="G102" s="304">
        <f t="shared" si="5"/>
        <v>265253.2505368694</v>
      </c>
      <c r="H102" s="304">
        <v>17.5</v>
      </c>
      <c r="I102" s="300">
        <f t="shared" si="6"/>
        <v>6.5974686321770644E-5</v>
      </c>
      <c r="J102" s="213"/>
      <c r="K102" s="111"/>
      <c r="O102" s="69"/>
      <c r="P102" s="69"/>
      <c r="Q102" s="248"/>
      <c r="R102" s="247"/>
      <c r="S102" s="69"/>
      <c r="T102" s="162"/>
      <c r="U102" s="69"/>
    </row>
    <row r="103" spans="1:21">
      <c r="A103" s="298">
        <v>2</v>
      </c>
      <c r="B103" s="298" t="s">
        <v>371</v>
      </c>
      <c r="C103" s="298" t="s">
        <v>372</v>
      </c>
      <c r="D103" s="298"/>
      <c r="E103" s="301">
        <v>3.7699820755297511E-6</v>
      </c>
      <c r="F103" s="301">
        <v>1.9503025430928747E-11</v>
      </c>
      <c r="G103" s="304">
        <f t="shared" si="5"/>
        <v>265253.2505368694</v>
      </c>
      <c r="H103" s="304">
        <v>0.40000000596046448</v>
      </c>
      <c r="I103" s="300">
        <f t="shared" si="6"/>
        <v>1.5079928526827447E-6</v>
      </c>
      <c r="J103" s="213"/>
      <c r="K103" s="111"/>
      <c r="L103" s="1"/>
      <c r="N103" s="2"/>
      <c r="O103" s="69"/>
      <c r="P103" s="69"/>
      <c r="Q103" s="248"/>
      <c r="R103" s="247"/>
      <c r="S103" s="69"/>
      <c r="T103" s="162"/>
      <c r="U103" s="69"/>
    </row>
    <row r="104" spans="1:21">
      <c r="A104" s="298">
        <v>2</v>
      </c>
      <c r="B104" s="298" t="s">
        <v>373</v>
      </c>
      <c r="C104" s="298" t="s">
        <v>374</v>
      </c>
      <c r="D104" s="298"/>
      <c r="E104" s="301">
        <v>3.7699820755297511E-6</v>
      </c>
      <c r="F104" s="301">
        <v>1.9503025430928747E-11</v>
      </c>
      <c r="G104" s="304">
        <f t="shared" si="5"/>
        <v>265253.2505368694</v>
      </c>
      <c r="H104" s="304">
        <v>22.100000381469727</v>
      </c>
      <c r="I104" s="300">
        <f t="shared" si="6"/>
        <v>8.3316605307341536E-5</v>
      </c>
      <c r="J104" s="213"/>
      <c r="K104" s="111"/>
      <c r="O104" s="69"/>
      <c r="P104" s="69"/>
      <c r="Q104" s="248"/>
      <c r="R104" s="247"/>
      <c r="S104" s="69"/>
      <c r="T104" s="162"/>
      <c r="U104" s="69"/>
    </row>
    <row r="105" spans="1:21">
      <c r="A105" s="298">
        <v>2</v>
      </c>
      <c r="B105" s="298" t="s">
        <v>375</v>
      </c>
      <c r="C105" s="298" t="s">
        <v>376</v>
      </c>
      <c r="D105" s="298"/>
      <c r="E105" s="301">
        <v>0</v>
      </c>
      <c r="F105" s="301">
        <v>0</v>
      </c>
      <c r="G105" s="304" t="str">
        <f t="shared" si="5"/>
        <v/>
      </c>
      <c r="H105" s="304">
        <v>0</v>
      </c>
      <c r="I105" s="300">
        <f t="shared" si="6"/>
        <v>0</v>
      </c>
      <c r="J105" s="213"/>
      <c r="K105" s="111"/>
      <c r="O105" s="69"/>
      <c r="P105" s="69"/>
      <c r="Q105" s="248"/>
      <c r="R105" s="247"/>
      <c r="S105" s="69"/>
      <c r="T105" s="162"/>
      <c r="U105" s="69"/>
    </row>
    <row r="106" spans="1:21">
      <c r="A106" s="298">
        <v>2</v>
      </c>
      <c r="B106" s="298" t="s">
        <v>377</v>
      </c>
      <c r="C106" s="298" t="s">
        <v>378</v>
      </c>
      <c r="D106" s="298"/>
      <c r="E106" s="301">
        <v>0</v>
      </c>
      <c r="F106" s="301">
        <v>0</v>
      </c>
      <c r="G106" s="304" t="str">
        <f t="shared" si="5"/>
        <v/>
      </c>
      <c r="H106" s="304">
        <v>0</v>
      </c>
      <c r="I106" s="300">
        <f t="shared" si="6"/>
        <v>0</v>
      </c>
      <c r="J106" s="213"/>
      <c r="K106" s="111"/>
      <c r="O106" s="69"/>
      <c r="P106" s="69"/>
      <c r="Q106" s="248"/>
      <c r="R106" s="247"/>
      <c r="S106" s="69"/>
      <c r="T106" s="162"/>
      <c r="U106" s="69"/>
    </row>
    <row r="107" spans="1:21">
      <c r="A107" s="298">
        <v>2</v>
      </c>
      <c r="B107" s="298" t="s">
        <v>379</v>
      </c>
      <c r="C107" s="298" t="s">
        <v>380</v>
      </c>
      <c r="D107" s="298"/>
      <c r="E107" s="301">
        <v>2.8953720446872213E-5</v>
      </c>
      <c r="F107" s="301">
        <v>1.0124847154340841E-9</v>
      </c>
      <c r="G107" s="303">
        <f t="shared" si="5"/>
        <v>34537.87577437314</v>
      </c>
      <c r="H107" s="304">
        <v>0</v>
      </c>
      <c r="I107" s="300">
        <f t="shared" si="6"/>
        <v>0</v>
      </c>
      <c r="J107" s="213"/>
      <c r="K107" s="111"/>
      <c r="O107" s="69"/>
      <c r="P107" s="69"/>
      <c r="Q107" s="248"/>
      <c r="R107" s="247"/>
      <c r="S107" s="69"/>
      <c r="T107" s="162"/>
      <c r="U107" s="69"/>
    </row>
    <row r="108" spans="1:21">
      <c r="A108" s="298">
        <v>2</v>
      </c>
      <c r="B108" s="298" t="s">
        <v>381</v>
      </c>
      <c r="C108" s="298" t="s">
        <v>382</v>
      </c>
      <c r="D108" s="298"/>
      <c r="E108" s="301">
        <v>2.8953720446872213E-5</v>
      </c>
      <c r="F108" s="301">
        <v>1.0124847154340841E-9</v>
      </c>
      <c r="G108" s="303">
        <f t="shared" si="5"/>
        <v>34537.87577437314</v>
      </c>
      <c r="H108" s="304">
        <v>0</v>
      </c>
      <c r="I108" s="300">
        <f t="shared" si="6"/>
        <v>0</v>
      </c>
      <c r="J108" s="213"/>
      <c r="K108" s="111"/>
      <c r="O108" s="69"/>
      <c r="P108" s="69"/>
      <c r="Q108" s="248"/>
      <c r="R108" s="247"/>
      <c r="S108" s="69"/>
      <c r="T108" s="162"/>
      <c r="U108" s="69"/>
    </row>
    <row r="109" spans="1:21">
      <c r="A109" s="298">
        <v>2</v>
      </c>
      <c r="B109" s="298" t="s">
        <v>383</v>
      </c>
      <c r="C109" s="298" t="s">
        <v>384</v>
      </c>
      <c r="D109" s="298"/>
      <c r="E109" s="301">
        <v>2.8953720446872213E-5</v>
      </c>
      <c r="F109" s="301">
        <v>1.0124847154340841E-9</v>
      </c>
      <c r="G109" s="303">
        <f t="shared" si="5"/>
        <v>34537.87577437314</v>
      </c>
      <c r="H109" s="304">
        <v>0</v>
      </c>
      <c r="I109" s="300">
        <f t="shared" si="6"/>
        <v>0</v>
      </c>
      <c r="J109" s="213"/>
      <c r="K109" s="111"/>
      <c r="L109" s="1"/>
      <c r="N109" s="2"/>
      <c r="O109" s="69"/>
      <c r="P109" s="69"/>
      <c r="Q109" s="248"/>
      <c r="R109" s="247"/>
      <c r="S109" s="69"/>
      <c r="T109" s="162"/>
      <c r="U109" s="69"/>
    </row>
    <row r="110" spans="1:21">
      <c r="A110" s="298">
        <v>2</v>
      </c>
      <c r="B110" s="298" t="s">
        <v>385</v>
      </c>
      <c r="C110" s="298" t="s">
        <v>386</v>
      </c>
      <c r="D110" s="298"/>
      <c r="E110" s="301">
        <v>0</v>
      </c>
      <c r="F110" s="301">
        <v>0</v>
      </c>
      <c r="G110" s="303" t="str">
        <f t="shared" si="5"/>
        <v/>
      </c>
      <c r="H110" s="304">
        <v>24.799999237060547</v>
      </c>
      <c r="I110" s="300">
        <f t="shared" si="6"/>
        <v>0</v>
      </c>
      <c r="J110" s="213"/>
      <c r="K110" s="111"/>
      <c r="O110" s="69"/>
      <c r="P110" s="69"/>
      <c r="Q110" s="248"/>
      <c r="R110" s="247"/>
      <c r="S110" s="69"/>
      <c r="T110" s="162"/>
      <c r="U110" s="69"/>
    </row>
    <row r="111" spans="1:21">
      <c r="A111" s="298">
        <v>2</v>
      </c>
      <c r="B111" s="298" t="s">
        <v>387</v>
      </c>
      <c r="C111" s="298" t="s">
        <v>388</v>
      </c>
      <c r="D111" s="298"/>
      <c r="E111" s="301">
        <v>0</v>
      </c>
      <c r="F111" s="301">
        <v>0</v>
      </c>
      <c r="G111" s="303" t="str">
        <f t="shared" si="5"/>
        <v/>
      </c>
      <c r="H111" s="304">
        <v>20.600000381469727</v>
      </c>
      <c r="I111" s="300">
        <f t="shared" si="6"/>
        <v>0</v>
      </c>
      <c r="J111" s="213"/>
      <c r="K111" s="111"/>
      <c r="L111" s="1"/>
      <c r="N111" s="2"/>
      <c r="O111" s="69"/>
      <c r="P111" s="69"/>
      <c r="Q111" s="248"/>
      <c r="R111" s="247"/>
      <c r="S111" s="69"/>
      <c r="T111" s="162"/>
      <c r="U111" s="69"/>
    </row>
    <row r="112" spans="1:21">
      <c r="A112" s="298">
        <v>2</v>
      </c>
      <c r="B112" s="298" t="s">
        <v>389</v>
      </c>
      <c r="C112" s="298" t="s">
        <v>390</v>
      </c>
      <c r="D112" s="298"/>
      <c r="E112" s="301">
        <v>5.9089225401780028E-7</v>
      </c>
      <c r="F112" s="301">
        <v>2.0662953376205796E-11</v>
      </c>
      <c r="G112" s="303">
        <f t="shared" si="5"/>
        <v>1692355.9129442838</v>
      </c>
      <c r="H112" s="304">
        <v>81.099998474121094</v>
      </c>
      <c r="I112" s="300">
        <f t="shared" si="6"/>
        <v>4.7921360899213574E-5</v>
      </c>
      <c r="J112" s="213"/>
      <c r="K112" s="111"/>
      <c r="O112" s="69"/>
      <c r="P112" s="69"/>
      <c r="Q112" s="248"/>
      <c r="R112" s="247"/>
      <c r="S112" s="69"/>
      <c r="T112" s="162"/>
      <c r="U112" s="69"/>
    </row>
    <row r="113" spans="1:21">
      <c r="A113" s="298">
        <v>2</v>
      </c>
      <c r="B113" s="298" t="s">
        <v>391</v>
      </c>
      <c r="C113" s="298" t="s">
        <v>392</v>
      </c>
      <c r="D113" s="298"/>
      <c r="E113" s="301">
        <v>5.9089225401780028E-7</v>
      </c>
      <c r="F113" s="301">
        <v>2.0662953376205796E-11</v>
      </c>
      <c r="G113" s="303">
        <f t="shared" si="5"/>
        <v>1692355.9129442838</v>
      </c>
      <c r="H113" s="304">
        <v>21.600000381469727</v>
      </c>
      <c r="I113" s="300">
        <f t="shared" si="6"/>
        <v>1.2763272912191992E-5</v>
      </c>
      <c r="J113" s="213"/>
      <c r="K113" s="111"/>
      <c r="O113" s="69"/>
      <c r="P113" s="69"/>
      <c r="Q113" s="248"/>
      <c r="R113" s="247"/>
      <c r="S113" s="69"/>
      <c r="T113" s="162"/>
      <c r="U113" s="69"/>
    </row>
    <row r="114" spans="1:21">
      <c r="A114" s="298">
        <v>2</v>
      </c>
      <c r="B114" s="298" t="s">
        <v>393</v>
      </c>
      <c r="C114" s="298" t="s">
        <v>394</v>
      </c>
      <c r="D114" s="298"/>
      <c r="E114" s="301">
        <v>5.9089225401780028E-7</v>
      </c>
      <c r="F114" s="301">
        <v>2.0662953376205796E-11</v>
      </c>
      <c r="G114" s="303">
        <f t="shared" si="5"/>
        <v>1692355.9129442838</v>
      </c>
      <c r="H114" s="304">
        <v>90.5</v>
      </c>
      <c r="I114" s="300">
        <f t="shared" si="6"/>
        <v>5.3475748988610925E-5</v>
      </c>
      <c r="J114" s="213"/>
      <c r="K114" s="111"/>
      <c r="L114" s="2"/>
      <c r="N114" s="2"/>
      <c r="O114" s="69"/>
      <c r="P114" s="69"/>
      <c r="Q114" s="248"/>
      <c r="R114" s="247"/>
      <c r="S114" s="69"/>
      <c r="T114" s="162"/>
      <c r="U114" s="69"/>
    </row>
    <row r="115" spans="1:21">
      <c r="A115" s="298">
        <v>2</v>
      </c>
      <c r="B115" s="298" t="s">
        <v>395</v>
      </c>
      <c r="C115" s="298" t="s">
        <v>396</v>
      </c>
      <c r="D115" s="298"/>
      <c r="E115" s="301">
        <v>0</v>
      </c>
      <c r="F115" s="301">
        <v>0</v>
      </c>
      <c r="G115" s="303" t="str">
        <f t="shared" si="5"/>
        <v/>
      </c>
      <c r="H115" s="304">
        <v>0</v>
      </c>
      <c r="I115" s="300">
        <f t="shared" si="6"/>
        <v>0</v>
      </c>
      <c r="J115" s="213"/>
      <c r="K115" s="111"/>
      <c r="O115" s="69"/>
      <c r="P115" s="69"/>
      <c r="Q115" s="248"/>
      <c r="R115" s="247"/>
      <c r="S115" s="69"/>
      <c r="T115" s="162"/>
      <c r="U115" s="69"/>
    </row>
    <row r="116" spans="1:21">
      <c r="A116" s="298">
        <v>2</v>
      </c>
      <c r="B116" s="298" t="s">
        <v>397</v>
      </c>
      <c r="C116" s="298" t="s">
        <v>398</v>
      </c>
      <c r="D116" s="298"/>
      <c r="E116" s="301">
        <v>0</v>
      </c>
      <c r="F116" s="301">
        <v>0</v>
      </c>
      <c r="G116" s="303" t="str">
        <f t="shared" si="5"/>
        <v/>
      </c>
      <c r="H116" s="304">
        <v>0</v>
      </c>
      <c r="I116" s="300">
        <f t="shared" si="6"/>
        <v>0</v>
      </c>
      <c r="J116" s="213"/>
      <c r="K116" s="111"/>
      <c r="L116" s="1"/>
      <c r="N116" s="2"/>
      <c r="O116" s="69"/>
      <c r="P116" s="69"/>
      <c r="Q116" s="248"/>
      <c r="R116" s="247"/>
      <c r="S116" s="69"/>
      <c r="T116" s="162"/>
      <c r="U116" s="69"/>
    </row>
    <row r="117" spans="1:21">
      <c r="A117" s="298">
        <v>2</v>
      </c>
      <c r="B117" s="298" t="s">
        <v>399</v>
      </c>
      <c r="C117" s="298" t="s">
        <v>400</v>
      </c>
      <c r="D117" s="298"/>
      <c r="E117" s="301">
        <v>4.4133965749440019E-7</v>
      </c>
      <c r="F117" s="301">
        <v>1.518727073151126E-10</v>
      </c>
      <c r="G117" s="303">
        <f t="shared" si="5"/>
        <v>2265828.5586146046</v>
      </c>
      <c r="H117" s="304">
        <v>0</v>
      </c>
      <c r="I117" s="300">
        <f t="shared" si="6"/>
        <v>0</v>
      </c>
      <c r="J117" s="213"/>
      <c r="K117" s="111"/>
      <c r="L117" s="1"/>
      <c r="N117" s="2"/>
      <c r="O117" s="69"/>
      <c r="P117" s="69"/>
      <c r="Q117" s="248"/>
      <c r="R117" s="247"/>
      <c r="S117" s="69"/>
      <c r="T117" s="162"/>
      <c r="U117" s="69"/>
    </row>
    <row r="118" spans="1:21">
      <c r="A118" s="298">
        <v>2</v>
      </c>
      <c r="B118" s="298" t="s">
        <v>401</v>
      </c>
      <c r="C118" s="298" t="s">
        <v>402</v>
      </c>
      <c r="D118" s="298"/>
      <c r="E118" s="301">
        <v>4.4133965749440019E-7</v>
      </c>
      <c r="F118" s="301">
        <v>1.518727073151126E-10</v>
      </c>
      <c r="G118" s="303">
        <f t="shared" si="5"/>
        <v>2265828.5586146046</v>
      </c>
      <c r="H118" s="304">
        <v>0</v>
      </c>
      <c r="I118" s="300">
        <f t="shared" si="6"/>
        <v>0</v>
      </c>
      <c r="J118" s="213"/>
      <c r="K118" s="111"/>
      <c r="O118" s="69"/>
      <c r="P118" s="69"/>
      <c r="Q118" s="248"/>
      <c r="R118" s="247"/>
      <c r="S118" s="69"/>
      <c r="T118" s="162"/>
      <c r="U118" s="69"/>
    </row>
    <row r="119" spans="1:21">
      <c r="A119" s="298">
        <v>2</v>
      </c>
      <c r="B119" s="298" t="s">
        <v>403</v>
      </c>
      <c r="C119" s="298" t="s">
        <v>404</v>
      </c>
      <c r="D119" s="298"/>
      <c r="E119" s="301">
        <v>4.4133965749440019E-7</v>
      </c>
      <c r="F119" s="301">
        <v>1.518727073151126E-10</v>
      </c>
      <c r="G119" s="303">
        <f t="shared" si="5"/>
        <v>2265828.5586146046</v>
      </c>
      <c r="H119" s="304">
        <v>0</v>
      </c>
      <c r="I119" s="300">
        <f t="shared" si="6"/>
        <v>0</v>
      </c>
      <c r="J119" s="213"/>
      <c r="K119" s="111"/>
      <c r="O119" s="69"/>
      <c r="P119" s="69"/>
      <c r="Q119" s="248"/>
      <c r="R119" s="247"/>
      <c r="S119" s="69"/>
      <c r="T119" s="162"/>
      <c r="U119" s="69"/>
    </row>
    <row r="120" spans="1:21">
      <c r="A120" s="298">
        <v>2</v>
      </c>
      <c r="B120" s="298" t="s">
        <v>405</v>
      </c>
      <c r="C120" s="298" t="s">
        <v>406</v>
      </c>
      <c r="D120" s="298"/>
      <c r="E120" s="301">
        <v>0</v>
      </c>
      <c r="F120" s="301">
        <v>0</v>
      </c>
      <c r="G120" s="303" t="str">
        <f t="shared" si="5"/>
        <v/>
      </c>
      <c r="H120" s="304">
        <v>100.59999847412109</v>
      </c>
      <c r="I120" s="300">
        <f t="shared" si="6"/>
        <v>0</v>
      </c>
      <c r="J120" s="213"/>
      <c r="K120" s="111"/>
      <c r="O120" s="69"/>
      <c r="P120" s="69"/>
      <c r="Q120" s="248"/>
      <c r="R120" s="247"/>
      <c r="S120" s="69"/>
      <c r="T120" s="162"/>
      <c r="U120" s="69"/>
    </row>
    <row r="121" spans="1:21">
      <c r="A121" s="298">
        <v>2</v>
      </c>
      <c r="B121" s="298" t="s">
        <v>407</v>
      </c>
      <c r="C121" s="298" t="s">
        <v>408</v>
      </c>
      <c r="D121" s="298"/>
      <c r="E121" s="301">
        <v>0</v>
      </c>
      <c r="F121" s="301">
        <v>0</v>
      </c>
      <c r="G121" s="303" t="str">
        <f t="shared" si="5"/>
        <v/>
      </c>
      <c r="H121" s="304">
        <v>113.69999694824219</v>
      </c>
      <c r="I121" s="300">
        <f t="shared" si="6"/>
        <v>0</v>
      </c>
      <c r="J121" s="213"/>
      <c r="K121" s="111"/>
      <c r="O121" s="69"/>
      <c r="P121" s="69"/>
      <c r="Q121" s="248"/>
      <c r="R121" s="247"/>
      <c r="S121" s="69"/>
      <c r="T121" s="162"/>
      <c r="U121" s="69"/>
    </row>
    <row r="122" spans="1:21">
      <c r="A122" s="298">
        <v>2</v>
      </c>
      <c r="B122" s="298" t="s">
        <v>409</v>
      </c>
      <c r="C122" s="298" t="s">
        <v>410</v>
      </c>
      <c r="D122" s="298"/>
      <c r="E122" s="301">
        <v>9.0069317856000021E-9</v>
      </c>
      <c r="F122" s="301">
        <v>3.0994430064308693E-12</v>
      </c>
      <c r="G122" s="303">
        <f t="shared" si="5"/>
        <v>111025599.37211564</v>
      </c>
      <c r="H122" s="304">
        <v>201.39999389648437</v>
      </c>
      <c r="I122" s="300">
        <f t="shared" si="6"/>
        <v>1.8139960066458915E-6</v>
      </c>
      <c r="J122" s="213"/>
      <c r="K122" s="111"/>
      <c r="O122" s="69"/>
      <c r="P122" s="69"/>
      <c r="Q122" s="248"/>
      <c r="R122" s="247"/>
      <c r="S122" s="69"/>
      <c r="T122" s="162"/>
      <c r="U122" s="69"/>
    </row>
    <row r="123" spans="1:21">
      <c r="A123" s="298">
        <v>2</v>
      </c>
      <c r="B123" s="298" t="s">
        <v>411</v>
      </c>
      <c r="C123" s="298" t="s">
        <v>412</v>
      </c>
      <c r="D123" s="298"/>
      <c r="E123" s="301">
        <v>9.0069317856000021E-9</v>
      </c>
      <c r="F123" s="301">
        <v>3.0994430064308693E-12</v>
      </c>
      <c r="G123" s="303">
        <f t="shared" si="5"/>
        <v>111025599.37211564</v>
      </c>
      <c r="H123" s="304">
        <v>97.099998474121094</v>
      </c>
      <c r="I123" s="300">
        <f t="shared" si="6"/>
        <v>8.7457306263827296E-7</v>
      </c>
      <c r="J123" s="213"/>
      <c r="K123" s="111"/>
      <c r="L123" s="1"/>
      <c r="N123" s="2"/>
      <c r="O123" s="69"/>
      <c r="P123" s="69"/>
      <c r="Q123" s="248"/>
      <c r="R123" s="247"/>
      <c r="S123" s="69"/>
      <c r="T123" s="162"/>
      <c r="U123" s="69"/>
    </row>
    <row r="124" spans="1:21">
      <c r="A124" s="298">
        <v>2</v>
      </c>
      <c r="B124" s="298" t="s">
        <v>413</v>
      </c>
      <c r="C124" s="298" t="s">
        <v>414</v>
      </c>
      <c r="D124" s="298"/>
      <c r="E124" s="301">
        <v>9.0069317856000021E-9</v>
      </c>
      <c r="F124" s="301">
        <v>3.0994430064308693E-12</v>
      </c>
      <c r="G124" s="303">
        <f t="shared" si="5"/>
        <v>111025599.37211564</v>
      </c>
      <c r="H124" s="304">
        <v>225.80000305175781</v>
      </c>
      <c r="I124" s="300">
        <f t="shared" si="6"/>
        <v>2.033765224675455E-6</v>
      </c>
      <c r="J124" s="213"/>
      <c r="K124" s="111"/>
      <c r="L124" s="1"/>
      <c r="N124" s="2"/>
      <c r="O124" s="69"/>
      <c r="P124" s="69"/>
      <c r="Q124" s="248"/>
      <c r="R124" s="247"/>
      <c r="S124" s="69"/>
      <c r="T124" s="162"/>
      <c r="U124" s="69"/>
    </row>
    <row r="125" spans="1:21">
      <c r="A125" s="298">
        <v>3</v>
      </c>
      <c r="B125" s="298" t="s">
        <v>261</v>
      </c>
      <c r="C125" s="298" t="s">
        <v>262</v>
      </c>
      <c r="D125" s="298"/>
      <c r="E125" s="301">
        <v>0</v>
      </c>
      <c r="F125" s="301">
        <v>0</v>
      </c>
      <c r="G125" s="303" t="str">
        <f t="shared" si="5"/>
        <v/>
      </c>
      <c r="H125" s="304">
        <v>0</v>
      </c>
      <c r="I125" s="300">
        <f t="shared" si="6"/>
        <v>0</v>
      </c>
      <c r="J125" s="213"/>
      <c r="K125" s="111"/>
      <c r="O125" s="69"/>
      <c r="P125" s="69"/>
      <c r="Q125" s="248"/>
      <c r="R125" s="247"/>
      <c r="S125" s="69"/>
      <c r="T125" s="162"/>
      <c r="U125" s="69"/>
    </row>
    <row r="126" spans="1:21">
      <c r="A126" s="298">
        <v>3</v>
      </c>
      <c r="B126" s="298" t="s">
        <v>263</v>
      </c>
      <c r="C126" s="298" t="s">
        <v>264</v>
      </c>
      <c r="D126" s="298"/>
      <c r="E126" s="301">
        <v>0</v>
      </c>
      <c r="F126" s="301">
        <v>0</v>
      </c>
      <c r="G126" s="303" t="str">
        <f t="shared" si="5"/>
        <v/>
      </c>
      <c r="H126" s="304">
        <v>0</v>
      </c>
      <c r="I126" s="300">
        <f t="shared" si="6"/>
        <v>0</v>
      </c>
      <c r="J126" s="213"/>
      <c r="K126" s="111"/>
      <c r="O126" s="69"/>
      <c r="P126" s="69"/>
      <c r="Q126" s="248"/>
      <c r="R126" s="247"/>
      <c r="S126" s="69"/>
      <c r="T126" s="162"/>
      <c r="U126" s="69"/>
    </row>
    <row r="127" spans="1:21">
      <c r="A127" s="298">
        <v>3</v>
      </c>
      <c r="B127" s="298" t="s">
        <v>265</v>
      </c>
      <c r="C127" s="298" t="s">
        <v>266</v>
      </c>
      <c r="D127" s="298"/>
      <c r="E127" s="301">
        <v>1.534338335453448E-4</v>
      </c>
      <c r="F127" s="301">
        <v>1.0403797024919615E-10</v>
      </c>
      <c r="G127" s="303">
        <f t="shared" si="5"/>
        <v>6517.4673466296908</v>
      </c>
      <c r="H127" s="304">
        <v>0</v>
      </c>
      <c r="I127" s="300">
        <f t="shared" si="6"/>
        <v>0</v>
      </c>
      <c r="J127" s="213"/>
      <c r="K127" s="111"/>
      <c r="O127" s="69"/>
      <c r="P127" s="69"/>
      <c r="Q127" s="248"/>
      <c r="R127" s="247"/>
      <c r="S127" s="69"/>
      <c r="T127" s="162"/>
      <c r="U127" s="69"/>
    </row>
    <row r="128" spans="1:21">
      <c r="A128" s="298">
        <v>3</v>
      </c>
      <c r="B128" s="298" t="s">
        <v>267</v>
      </c>
      <c r="C128" s="298" t="s">
        <v>268</v>
      </c>
      <c r="D128" s="298"/>
      <c r="E128" s="301">
        <v>1.534338335453448E-4</v>
      </c>
      <c r="F128" s="301">
        <v>1.0403797024919615E-10</v>
      </c>
      <c r="G128" s="303">
        <f t="shared" si="5"/>
        <v>6517.4673466296908</v>
      </c>
      <c r="H128" s="304">
        <v>0</v>
      </c>
      <c r="I128" s="300">
        <f t="shared" si="6"/>
        <v>0</v>
      </c>
      <c r="J128" s="213"/>
      <c r="K128" s="111"/>
      <c r="O128" s="69"/>
      <c r="P128" s="69"/>
      <c r="Q128" s="248"/>
      <c r="R128" s="247"/>
      <c r="S128" s="69"/>
      <c r="T128" s="162"/>
      <c r="U128" s="69"/>
    </row>
    <row r="129" spans="1:21">
      <c r="A129" s="298">
        <v>3</v>
      </c>
      <c r="B129" s="298" t="s">
        <v>269</v>
      </c>
      <c r="C129" s="298" t="s">
        <v>270</v>
      </c>
      <c r="D129" s="298"/>
      <c r="E129" s="301">
        <v>1.534338335453448E-4</v>
      </c>
      <c r="F129" s="301">
        <v>1.0403797024919615E-10</v>
      </c>
      <c r="G129" s="303">
        <f t="shared" si="5"/>
        <v>6517.4673466296908</v>
      </c>
      <c r="H129" s="304">
        <v>0</v>
      </c>
      <c r="I129" s="300">
        <f t="shared" si="6"/>
        <v>0</v>
      </c>
      <c r="J129" s="213"/>
      <c r="K129" s="111"/>
      <c r="O129" s="69"/>
      <c r="P129" s="69"/>
      <c r="Q129" s="248"/>
      <c r="R129" s="247"/>
      <c r="S129" s="69"/>
      <c r="T129" s="162"/>
      <c r="U129" s="69"/>
    </row>
    <row r="130" spans="1:21">
      <c r="A130" s="298">
        <v>3</v>
      </c>
      <c r="B130" s="298" t="s">
        <v>271</v>
      </c>
      <c r="C130" s="298" t="s">
        <v>272</v>
      </c>
      <c r="D130" s="298"/>
      <c r="E130" s="301">
        <v>0</v>
      </c>
      <c r="F130" s="301">
        <v>0</v>
      </c>
      <c r="G130" s="304" t="str">
        <f t="shared" si="5"/>
        <v/>
      </c>
      <c r="H130" s="304">
        <v>0</v>
      </c>
      <c r="I130" s="300">
        <f t="shared" si="6"/>
        <v>0</v>
      </c>
      <c r="J130" s="213"/>
      <c r="K130" s="111"/>
      <c r="O130" s="69"/>
      <c r="P130" s="69"/>
      <c r="Q130" s="248"/>
      <c r="R130" s="247"/>
      <c r="S130" s="69"/>
      <c r="T130" s="162"/>
      <c r="U130" s="69"/>
    </row>
    <row r="131" spans="1:21">
      <c r="A131" s="298">
        <v>3</v>
      </c>
      <c r="B131" s="298" t="s">
        <v>273</v>
      </c>
      <c r="C131" s="298" t="s">
        <v>274</v>
      </c>
      <c r="D131" s="298"/>
      <c r="E131" s="301">
        <v>0</v>
      </c>
      <c r="F131" s="301">
        <v>0</v>
      </c>
      <c r="G131" s="304" t="str">
        <f t="shared" si="5"/>
        <v/>
      </c>
      <c r="H131" s="304">
        <v>0</v>
      </c>
      <c r="I131" s="300">
        <f t="shared" si="6"/>
        <v>0</v>
      </c>
      <c r="J131" s="213"/>
      <c r="K131" s="111"/>
      <c r="L131" s="1"/>
      <c r="N131" s="2"/>
      <c r="O131" s="69"/>
      <c r="P131" s="69"/>
      <c r="Q131" s="248"/>
      <c r="R131" s="247"/>
      <c r="S131" s="69"/>
      <c r="T131" s="162"/>
      <c r="U131" s="69"/>
    </row>
    <row r="132" spans="1:21">
      <c r="A132" s="298">
        <v>3</v>
      </c>
      <c r="B132" s="298" t="s">
        <v>275</v>
      </c>
      <c r="C132" s="298" t="s">
        <v>276</v>
      </c>
      <c r="D132" s="298"/>
      <c r="E132" s="301">
        <v>3.1313027254152003E-6</v>
      </c>
      <c r="F132" s="301">
        <v>2.1232238826366563E-12</v>
      </c>
      <c r="G132" s="304">
        <f t="shared" si="5"/>
        <v>319355.8999848548</v>
      </c>
      <c r="H132" s="304">
        <v>0</v>
      </c>
      <c r="I132" s="300">
        <f t="shared" si="6"/>
        <v>0</v>
      </c>
      <c r="J132" s="213"/>
      <c r="K132" s="111"/>
      <c r="O132" s="69"/>
      <c r="P132" s="69"/>
      <c r="Q132" s="248"/>
      <c r="R132" s="247"/>
      <c r="S132" s="69"/>
      <c r="T132" s="162"/>
      <c r="U132" s="69"/>
    </row>
    <row r="133" spans="1:21">
      <c r="A133" s="298">
        <v>3</v>
      </c>
      <c r="B133" s="298" t="s">
        <v>277</v>
      </c>
      <c r="C133" s="298" t="s">
        <v>278</v>
      </c>
      <c r="D133" s="298"/>
      <c r="E133" s="301">
        <v>3.1313027254152003E-6</v>
      </c>
      <c r="F133" s="301">
        <v>2.1232238826366563E-12</v>
      </c>
      <c r="G133" s="304">
        <f t="shared" si="5"/>
        <v>319355.8999848548</v>
      </c>
      <c r="H133" s="304">
        <v>0</v>
      </c>
      <c r="I133" s="300">
        <f t="shared" si="6"/>
        <v>0</v>
      </c>
      <c r="J133" s="213"/>
      <c r="K133" s="111"/>
      <c r="L133" s="1"/>
      <c r="N133" s="2"/>
      <c r="O133" s="69"/>
      <c r="P133" s="69"/>
      <c r="Q133" s="248"/>
      <c r="R133" s="247"/>
      <c r="S133" s="69"/>
      <c r="T133" s="162"/>
      <c r="U133" s="69"/>
    </row>
    <row r="134" spans="1:21">
      <c r="A134" s="298">
        <v>3</v>
      </c>
      <c r="B134" s="298" t="s">
        <v>279</v>
      </c>
      <c r="C134" s="298" t="s">
        <v>280</v>
      </c>
      <c r="D134" s="298"/>
      <c r="E134" s="301">
        <v>3.1313027254152003E-6</v>
      </c>
      <c r="F134" s="301">
        <v>2.1232238826366563E-12</v>
      </c>
      <c r="G134" s="304">
        <f t="shared" si="5"/>
        <v>319355.8999848548</v>
      </c>
      <c r="H134" s="304">
        <v>0</v>
      </c>
      <c r="I134" s="300">
        <f t="shared" si="6"/>
        <v>0</v>
      </c>
      <c r="J134" s="213"/>
      <c r="K134" s="111"/>
      <c r="L134" s="1"/>
      <c r="N134" s="2"/>
      <c r="O134" s="69"/>
      <c r="P134" s="69"/>
      <c r="Q134" s="248"/>
      <c r="R134" s="247"/>
      <c r="S134" s="69"/>
      <c r="T134" s="162"/>
      <c r="U134" s="69"/>
    </row>
    <row r="135" spans="1:21">
      <c r="A135" s="298">
        <v>3</v>
      </c>
      <c r="B135" s="298" t="s">
        <v>281</v>
      </c>
      <c r="C135" s="298" t="s">
        <v>282</v>
      </c>
      <c r="D135" s="298"/>
      <c r="E135" s="301">
        <v>0</v>
      </c>
      <c r="F135" s="301">
        <v>0</v>
      </c>
      <c r="G135" s="304" t="str">
        <f t="shared" si="5"/>
        <v/>
      </c>
      <c r="H135" s="304">
        <v>0</v>
      </c>
      <c r="I135" s="300">
        <f t="shared" si="6"/>
        <v>0</v>
      </c>
      <c r="J135" s="213"/>
      <c r="K135" s="111"/>
      <c r="L135" s="1"/>
      <c r="N135" s="2"/>
      <c r="O135" s="69"/>
      <c r="P135" s="69"/>
      <c r="Q135" s="248"/>
      <c r="R135" s="247"/>
      <c r="S135" s="69"/>
      <c r="T135" s="162"/>
      <c r="U135" s="69"/>
    </row>
    <row r="136" spans="1:21">
      <c r="A136" s="298">
        <v>3</v>
      </c>
      <c r="B136" s="298" t="s">
        <v>283</v>
      </c>
      <c r="C136" s="298" t="s">
        <v>284</v>
      </c>
      <c r="D136" s="298"/>
      <c r="E136" s="301">
        <v>0</v>
      </c>
      <c r="F136" s="301">
        <v>0</v>
      </c>
      <c r="G136" s="304" t="str">
        <f t="shared" si="5"/>
        <v/>
      </c>
      <c r="H136" s="304">
        <v>0</v>
      </c>
      <c r="I136" s="300">
        <f t="shared" si="6"/>
        <v>0</v>
      </c>
      <c r="J136" s="213"/>
      <c r="K136" s="111"/>
      <c r="O136" s="69"/>
      <c r="P136" s="69"/>
      <c r="Q136" s="248"/>
      <c r="R136" s="247"/>
      <c r="S136" s="69"/>
      <c r="T136" s="162"/>
      <c r="U136" s="69"/>
    </row>
    <row r="137" spans="1:21">
      <c r="A137" s="298">
        <v>3</v>
      </c>
      <c r="B137" s="298" t="s">
        <v>285</v>
      </c>
      <c r="C137" s="298" t="s">
        <v>286</v>
      </c>
      <c r="D137" s="298"/>
      <c r="E137" s="301">
        <v>8.0754649234392009E-6</v>
      </c>
      <c r="F137" s="301">
        <v>5.4756826446945337E-12</v>
      </c>
      <c r="G137" s="304">
        <f t="shared" si="5"/>
        <v>123831.87958596411</v>
      </c>
      <c r="H137" s="304">
        <v>0</v>
      </c>
      <c r="I137" s="300">
        <f t="shared" si="6"/>
        <v>0</v>
      </c>
      <c r="J137" s="213"/>
      <c r="K137" s="111"/>
      <c r="O137" s="69"/>
      <c r="P137" s="69"/>
      <c r="Q137" s="248"/>
      <c r="R137" s="247"/>
      <c r="S137" s="69"/>
      <c r="T137" s="162"/>
      <c r="U137" s="69"/>
    </row>
    <row r="138" spans="1:21">
      <c r="A138" s="298">
        <v>3</v>
      </c>
      <c r="B138" s="298" t="s">
        <v>287</v>
      </c>
      <c r="C138" s="298" t="s">
        <v>288</v>
      </c>
      <c r="D138" s="298"/>
      <c r="E138" s="301">
        <v>8.0754649234392009E-6</v>
      </c>
      <c r="F138" s="301">
        <v>5.4756826446945337E-12</v>
      </c>
      <c r="G138" s="304">
        <f t="shared" si="5"/>
        <v>123831.87958596411</v>
      </c>
      <c r="H138" s="304">
        <v>0</v>
      </c>
      <c r="I138" s="300">
        <f t="shared" si="6"/>
        <v>0</v>
      </c>
      <c r="J138" s="213"/>
      <c r="K138" s="111"/>
      <c r="O138" s="69"/>
      <c r="P138" s="69"/>
      <c r="Q138" s="248"/>
      <c r="R138" s="247"/>
      <c r="S138" s="69"/>
      <c r="T138" s="162"/>
      <c r="U138" s="69"/>
    </row>
    <row r="139" spans="1:21">
      <c r="A139" s="298">
        <v>3</v>
      </c>
      <c r="B139" s="298" t="s">
        <v>289</v>
      </c>
      <c r="C139" s="298" t="s">
        <v>290</v>
      </c>
      <c r="D139" s="298"/>
      <c r="E139" s="301">
        <v>8.0754649234392009E-6</v>
      </c>
      <c r="F139" s="301">
        <v>5.4756826446945337E-12</v>
      </c>
      <c r="G139" s="304">
        <f t="shared" si="5"/>
        <v>123831.87958596411</v>
      </c>
      <c r="H139" s="304">
        <v>0</v>
      </c>
      <c r="I139" s="300">
        <f t="shared" si="6"/>
        <v>0</v>
      </c>
      <c r="J139" s="213"/>
      <c r="K139" s="111"/>
      <c r="L139" s="1"/>
      <c r="N139" s="2"/>
      <c r="O139" s="69"/>
      <c r="P139" s="69"/>
      <c r="Q139" s="248"/>
      <c r="R139" s="247"/>
      <c r="S139" s="69"/>
      <c r="T139" s="1"/>
    </row>
    <row r="140" spans="1:21">
      <c r="A140" s="298">
        <v>3</v>
      </c>
      <c r="B140" s="298" t="s">
        <v>291</v>
      </c>
      <c r="C140" s="298" t="s">
        <v>292</v>
      </c>
      <c r="D140" s="298"/>
      <c r="E140" s="301">
        <v>0</v>
      </c>
      <c r="F140" s="301">
        <v>0</v>
      </c>
      <c r="G140" s="304" t="str">
        <f t="shared" si="5"/>
        <v/>
      </c>
      <c r="H140" s="304">
        <v>0</v>
      </c>
      <c r="I140" s="300">
        <f t="shared" si="6"/>
        <v>0</v>
      </c>
      <c r="J140" s="213"/>
      <c r="K140" s="111"/>
      <c r="O140" s="69"/>
      <c r="P140" s="69"/>
      <c r="Q140" s="248"/>
      <c r="R140" s="247"/>
      <c r="S140" s="69"/>
      <c r="T140" s="162"/>
      <c r="U140" s="69"/>
    </row>
    <row r="141" spans="1:21">
      <c r="A141" s="298">
        <v>3</v>
      </c>
      <c r="B141" s="298" t="s">
        <v>293</v>
      </c>
      <c r="C141" s="298" t="s">
        <v>294</v>
      </c>
      <c r="D141" s="298"/>
      <c r="E141" s="301">
        <v>0</v>
      </c>
      <c r="F141" s="301">
        <v>0</v>
      </c>
      <c r="G141" s="304" t="str">
        <f t="shared" si="5"/>
        <v/>
      </c>
      <c r="H141" s="304">
        <v>0</v>
      </c>
      <c r="I141" s="300">
        <f t="shared" si="6"/>
        <v>0</v>
      </c>
      <c r="J141" s="213"/>
      <c r="K141" s="111"/>
      <c r="O141" s="69"/>
      <c r="P141" s="69"/>
      <c r="Q141" s="248"/>
      <c r="R141" s="247"/>
      <c r="S141" s="69"/>
      <c r="T141" s="162"/>
      <c r="U141" s="69"/>
    </row>
    <row r="142" spans="1:21">
      <c r="A142" s="298">
        <v>3</v>
      </c>
      <c r="B142" s="298" t="s">
        <v>295</v>
      </c>
      <c r="C142" s="298" t="s">
        <v>296</v>
      </c>
      <c r="D142" s="298"/>
      <c r="E142" s="301">
        <v>1.6480540660080004E-7</v>
      </c>
      <c r="F142" s="301">
        <v>1.1174862540192928E-13</v>
      </c>
      <c r="G142" s="304">
        <f t="shared" si="5"/>
        <v>6067762.0997122405</v>
      </c>
      <c r="H142" s="304">
        <v>0</v>
      </c>
      <c r="I142" s="300">
        <f t="shared" si="6"/>
        <v>0</v>
      </c>
      <c r="J142" s="213"/>
      <c r="K142" s="111"/>
      <c r="O142" s="69"/>
      <c r="P142" s="69"/>
      <c r="Q142" s="248"/>
      <c r="R142" s="247"/>
      <c r="S142" s="69"/>
      <c r="T142" s="162"/>
      <c r="U142" s="69"/>
    </row>
    <row r="143" spans="1:21">
      <c r="A143" s="298">
        <v>3</v>
      </c>
      <c r="B143" s="298" t="s">
        <v>297</v>
      </c>
      <c r="C143" s="298" t="s">
        <v>298</v>
      </c>
      <c r="D143" s="298"/>
      <c r="E143" s="301">
        <v>1.6480540660080004E-7</v>
      </c>
      <c r="F143" s="301">
        <v>1.1174862540192928E-13</v>
      </c>
      <c r="G143" s="304">
        <f t="shared" si="5"/>
        <v>6067762.0997122405</v>
      </c>
      <c r="H143" s="304">
        <v>0</v>
      </c>
      <c r="I143" s="300">
        <f t="shared" si="6"/>
        <v>0</v>
      </c>
      <c r="J143" s="213"/>
      <c r="K143" s="111"/>
      <c r="O143" s="69"/>
      <c r="P143" s="69"/>
      <c r="Q143" s="248"/>
      <c r="R143" s="247"/>
      <c r="S143" s="69"/>
      <c r="T143" s="162"/>
      <c r="U143" s="69"/>
    </row>
    <row r="144" spans="1:21">
      <c r="A144" s="298">
        <v>3</v>
      </c>
      <c r="B144" s="298" t="s">
        <v>299</v>
      </c>
      <c r="C144" s="298" t="s">
        <v>300</v>
      </c>
      <c r="D144" s="298"/>
      <c r="E144" s="301">
        <v>1.6480540660080004E-7</v>
      </c>
      <c r="F144" s="301">
        <v>1.1174862540192928E-13</v>
      </c>
      <c r="G144" s="304">
        <f t="shared" si="5"/>
        <v>6067762.0997122405</v>
      </c>
      <c r="H144" s="304">
        <v>0</v>
      </c>
      <c r="I144" s="300">
        <f t="shared" si="6"/>
        <v>0</v>
      </c>
      <c r="J144" s="213"/>
      <c r="K144" s="111"/>
      <c r="O144" s="69"/>
      <c r="P144" s="69"/>
      <c r="Q144" s="248"/>
      <c r="R144" s="247"/>
      <c r="S144" s="69"/>
      <c r="T144" s="162"/>
      <c r="U144" s="69"/>
    </row>
    <row r="145" spans="1:21">
      <c r="A145" s="298">
        <v>3</v>
      </c>
      <c r="B145" s="298" t="s">
        <v>355</v>
      </c>
      <c r="C145" s="298" t="s">
        <v>356</v>
      </c>
      <c r="D145" s="298"/>
      <c r="E145" s="301">
        <v>0</v>
      </c>
      <c r="F145" s="301">
        <v>0</v>
      </c>
      <c r="G145" s="304" t="str">
        <f t="shared" si="5"/>
        <v/>
      </c>
      <c r="H145" s="304">
        <v>0</v>
      </c>
      <c r="I145" s="300">
        <f t="shared" si="6"/>
        <v>0</v>
      </c>
      <c r="J145" s="213"/>
      <c r="O145" s="69"/>
      <c r="P145" s="69"/>
      <c r="Q145" s="248"/>
      <c r="R145" s="247"/>
      <c r="S145" s="69"/>
      <c r="T145" s="162"/>
      <c r="U145" s="69"/>
    </row>
    <row r="146" spans="1:21">
      <c r="A146" s="298">
        <v>3</v>
      </c>
      <c r="B146" s="298" t="s">
        <v>357</v>
      </c>
      <c r="C146" s="298" t="s">
        <v>358</v>
      </c>
      <c r="D146" s="298"/>
      <c r="E146" s="301">
        <v>0</v>
      </c>
      <c r="F146" s="301">
        <v>0</v>
      </c>
      <c r="G146" s="304" t="str">
        <f t="shared" si="5"/>
        <v/>
      </c>
      <c r="H146" s="304">
        <v>0</v>
      </c>
      <c r="I146" s="300">
        <f t="shared" si="6"/>
        <v>0</v>
      </c>
      <c r="J146" s="213"/>
      <c r="O146" s="69"/>
      <c r="P146" s="69"/>
      <c r="Q146" s="248"/>
      <c r="R146" s="247"/>
      <c r="S146" s="69"/>
      <c r="T146" s="162"/>
      <c r="U146" s="69"/>
    </row>
    <row r="147" spans="1:21">
      <c r="A147" s="298">
        <v>3</v>
      </c>
      <c r="B147" s="298" t="s">
        <v>359</v>
      </c>
      <c r="C147" s="298" t="s">
        <v>360</v>
      </c>
      <c r="D147" s="298"/>
      <c r="E147" s="301">
        <v>1.8472912170095776E-4</v>
      </c>
      <c r="F147" s="301">
        <v>9.5564824611550831E-10</v>
      </c>
      <c r="G147" s="304">
        <f t="shared" si="5"/>
        <v>5413.3316436095811</v>
      </c>
      <c r="H147" s="304">
        <v>0</v>
      </c>
      <c r="I147" s="300">
        <f t="shared" si="6"/>
        <v>0</v>
      </c>
      <c r="J147" s="213"/>
      <c r="O147" s="69"/>
      <c r="P147" s="69"/>
      <c r="Q147" s="248"/>
      <c r="R147" s="247"/>
      <c r="S147" s="69"/>
      <c r="T147" s="162"/>
      <c r="U147" s="69"/>
    </row>
    <row r="148" spans="1:21">
      <c r="A148" s="298">
        <v>3</v>
      </c>
      <c r="B148" s="298" t="s">
        <v>361</v>
      </c>
      <c r="C148" s="298" t="s">
        <v>362</v>
      </c>
      <c r="D148" s="298"/>
      <c r="E148" s="301">
        <v>1.8472912170095776E-4</v>
      </c>
      <c r="F148" s="301">
        <v>9.5564824611550831E-10</v>
      </c>
      <c r="G148" s="304">
        <f t="shared" si="5"/>
        <v>5413.3316436095811</v>
      </c>
      <c r="H148" s="304">
        <v>0</v>
      </c>
      <c r="I148" s="300">
        <f t="shared" si="6"/>
        <v>0</v>
      </c>
      <c r="J148" s="213"/>
      <c r="O148" s="69"/>
      <c r="P148" s="69"/>
      <c r="Q148" s="248"/>
      <c r="R148" s="247"/>
      <c r="S148" s="69"/>
      <c r="T148" s="162"/>
      <c r="U148" s="69"/>
    </row>
    <row r="149" spans="1:21">
      <c r="A149" s="298">
        <v>3</v>
      </c>
      <c r="B149" s="298" t="s">
        <v>363</v>
      </c>
      <c r="C149" s="298" t="s">
        <v>364</v>
      </c>
      <c r="D149" s="298"/>
      <c r="E149" s="301">
        <v>1.8472912170095776E-4</v>
      </c>
      <c r="F149" s="301">
        <v>9.5564824611550831E-10</v>
      </c>
      <c r="G149" s="304">
        <f t="shared" si="5"/>
        <v>5413.3316436095811</v>
      </c>
      <c r="H149" s="304">
        <v>0</v>
      </c>
      <c r="I149" s="300">
        <f t="shared" si="6"/>
        <v>0</v>
      </c>
      <c r="J149" s="213"/>
      <c r="O149" s="69"/>
      <c r="P149" s="69"/>
      <c r="Q149" s="248"/>
      <c r="R149" s="247"/>
      <c r="S149" s="69"/>
      <c r="T149" s="162"/>
      <c r="U149" s="69"/>
    </row>
    <row r="150" spans="1:21">
      <c r="A150" s="298">
        <v>3</v>
      </c>
      <c r="B150" s="298" t="s">
        <v>365</v>
      </c>
      <c r="C150" s="298" t="s">
        <v>366</v>
      </c>
      <c r="D150" s="298"/>
      <c r="E150" s="301">
        <v>0</v>
      </c>
      <c r="F150" s="301">
        <v>0</v>
      </c>
      <c r="G150" s="304" t="str">
        <f t="shared" si="5"/>
        <v/>
      </c>
      <c r="H150" s="304">
        <v>0</v>
      </c>
      <c r="I150" s="300">
        <f t="shared" si="6"/>
        <v>0</v>
      </c>
      <c r="J150" s="213"/>
      <c r="L150" s="1"/>
      <c r="N150" s="2"/>
      <c r="O150" s="69"/>
      <c r="P150" s="69"/>
      <c r="Q150" s="248"/>
      <c r="R150" s="247"/>
      <c r="S150" s="69"/>
      <c r="T150" s="162"/>
      <c r="U150" s="69"/>
    </row>
    <row r="151" spans="1:21">
      <c r="A151" s="298">
        <v>3</v>
      </c>
      <c r="B151" s="298" t="s">
        <v>367</v>
      </c>
      <c r="C151" s="298" t="s">
        <v>368</v>
      </c>
      <c r="D151" s="298"/>
      <c r="E151" s="301">
        <v>0</v>
      </c>
      <c r="F151" s="301">
        <v>0</v>
      </c>
      <c r="G151" s="304" t="str">
        <f t="shared" si="5"/>
        <v/>
      </c>
      <c r="H151" s="304">
        <v>0</v>
      </c>
      <c r="I151" s="300">
        <f t="shared" si="6"/>
        <v>0</v>
      </c>
      <c r="J151" s="213"/>
      <c r="O151" s="69"/>
      <c r="P151" s="69"/>
      <c r="Q151" s="248"/>
      <c r="R151" s="247"/>
      <c r="S151" s="69"/>
      <c r="T151" s="162"/>
      <c r="U151" s="69"/>
    </row>
    <row r="152" spans="1:21">
      <c r="A152" s="298">
        <v>3</v>
      </c>
      <c r="B152" s="298" t="s">
        <v>369</v>
      </c>
      <c r="C152" s="298" t="s">
        <v>370</v>
      </c>
      <c r="D152" s="298"/>
      <c r="E152" s="301">
        <v>3.7699820755297499E-6</v>
      </c>
      <c r="F152" s="301">
        <v>1.9503025430928741E-11</v>
      </c>
      <c r="G152" s="304">
        <f t="shared" si="5"/>
        <v>265253.25053686951</v>
      </c>
      <c r="H152" s="304">
        <v>1.8999999761581421</v>
      </c>
      <c r="I152" s="300">
        <f t="shared" si="6"/>
        <v>7.1629658536231481E-6</v>
      </c>
      <c r="J152" s="213"/>
      <c r="O152" s="69"/>
      <c r="P152" s="69"/>
      <c r="Q152" s="248"/>
      <c r="R152" s="247"/>
      <c r="S152" s="69"/>
      <c r="T152" s="162"/>
      <c r="U152" s="69"/>
    </row>
    <row r="153" spans="1:21">
      <c r="A153" s="298">
        <v>3</v>
      </c>
      <c r="B153" s="298" t="s">
        <v>371</v>
      </c>
      <c r="C153" s="298" t="s">
        <v>372</v>
      </c>
      <c r="D153" s="298"/>
      <c r="E153" s="301">
        <v>3.7699820755297499E-6</v>
      </c>
      <c r="F153" s="301">
        <v>1.9503025430928741E-11</v>
      </c>
      <c r="G153" s="304">
        <f t="shared" ref="G153:G216" si="7">IF(E153 &lt;&gt; 0, 1/E153, "")</f>
        <v>265253.25053686951</v>
      </c>
      <c r="H153" s="304">
        <v>0</v>
      </c>
      <c r="I153" s="300">
        <f t="shared" ref="I153:I216" si="8">H153*E153</f>
        <v>0</v>
      </c>
      <c r="J153" s="213"/>
      <c r="O153" s="69"/>
      <c r="P153" s="69"/>
      <c r="Q153" s="248"/>
      <c r="R153" s="247"/>
      <c r="S153" s="69"/>
      <c r="T153" s="162"/>
      <c r="U153" s="69"/>
    </row>
    <row r="154" spans="1:21">
      <c r="A154" s="298">
        <v>3</v>
      </c>
      <c r="B154" s="298" t="s">
        <v>373</v>
      </c>
      <c r="C154" s="298" t="s">
        <v>374</v>
      </c>
      <c r="D154" s="298"/>
      <c r="E154" s="301">
        <v>3.7699820755297499E-6</v>
      </c>
      <c r="F154" s="301">
        <v>1.9503025430928741E-11</v>
      </c>
      <c r="G154" s="304">
        <f t="shared" si="7"/>
        <v>265253.25053686951</v>
      </c>
      <c r="H154" s="304">
        <v>1</v>
      </c>
      <c r="I154" s="300">
        <f t="shared" si="8"/>
        <v>3.7699820755297499E-6</v>
      </c>
      <c r="J154" s="213"/>
      <c r="L154" s="1"/>
      <c r="N154" s="2"/>
      <c r="O154" s="69"/>
      <c r="P154" s="69"/>
      <c r="Q154" s="248"/>
      <c r="R154" s="247"/>
      <c r="S154" s="69"/>
      <c r="T154" s="162"/>
      <c r="U154" s="69"/>
    </row>
    <row r="155" spans="1:21">
      <c r="A155" s="298">
        <v>3</v>
      </c>
      <c r="B155" s="298" t="s">
        <v>375</v>
      </c>
      <c r="C155" s="298" t="s">
        <v>376</v>
      </c>
      <c r="D155" s="298"/>
      <c r="E155" s="301">
        <v>0</v>
      </c>
      <c r="F155" s="301">
        <v>0</v>
      </c>
      <c r="G155" s="304" t="str">
        <f t="shared" si="7"/>
        <v/>
      </c>
      <c r="H155" s="304">
        <v>0</v>
      </c>
      <c r="I155" s="300">
        <f t="shared" si="8"/>
        <v>0</v>
      </c>
      <c r="J155" s="213"/>
      <c r="L155" s="1"/>
      <c r="N155" s="2"/>
      <c r="O155" s="69"/>
      <c r="P155" s="69"/>
      <c r="Q155" s="248"/>
      <c r="R155" s="247"/>
      <c r="S155" s="69"/>
      <c r="T155" s="162"/>
      <c r="U155" s="69"/>
    </row>
    <row r="156" spans="1:21">
      <c r="A156" s="298">
        <v>3</v>
      </c>
      <c r="B156" s="298" t="s">
        <v>377</v>
      </c>
      <c r="C156" s="298" t="s">
        <v>378</v>
      </c>
      <c r="D156" s="298"/>
      <c r="E156" s="301">
        <v>0</v>
      </c>
      <c r="F156" s="301">
        <v>0</v>
      </c>
      <c r="G156" s="304" t="str">
        <f t="shared" si="7"/>
        <v/>
      </c>
      <c r="H156" s="304">
        <v>0</v>
      </c>
      <c r="I156" s="300">
        <f t="shared" si="8"/>
        <v>0</v>
      </c>
      <c r="J156" s="213"/>
      <c r="L156" s="1"/>
      <c r="N156" s="2"/>
      <c r="O156" s="69"/>
      <c r="P156" s="69"/>
      <c r="Q156" s="248"/>
      <c r="R156" s="247"/>
      <c r="S156" s="69"/>
      <c r="T156" s="162"/>
      <c r="U156" s="69"/>
    </row>
    <row r="157" spans="1:21">
      <c r="A157" s="298">
        <v>3</v>
      </c>
      <c r="B157" s="298" t="s">
        <v>379</v>
      </c>
      <c r="C157" s="298" t="s">
        <v>380</v>
      </c>
      <c r="D157" s="298"/>
      <c r="E157" s="301">
        <v>2.8953720446872203E-5</v>
      </c>
      <c r="F157" s="301">
        <v>1.0124847154340837E-9</v>
      </c>
      <c r="G157" s="304">
        <f t="shared" si="7"/>
        <v>34537.875774373148</v>
      </c>
      <c r="H157" s="304">
        <v>0</v>
      </c>
      <c r="I157" s="300">
        <f t="shared" si="8"/>
        <v>0</v>
      </c>
      <c r="J157" s="213"/>
      <c r="L157" s="1"/>
      <c r="N157" s="2"/>
      <c r="O157" s="69"/>
      <c r="P157" s="69"/>
      <c r="Q157" s="248"/>
      <c r="R157" s="247"/>
      <c r="S157" s="69"/>
      <c r="T157" s="162"/>
      <c r="U157" s="69"/>
    </row>
    <row r="158" spans="1:21">
      <c r="A158" s="298">
        <v>3</v>
      </c>
      <c r="B158" s="298" t="s">
        <v>381</v>
      </c>
      <c r="C158" s="298" t="s">
        <v>382</v>
      </c>
      <c r="D158" s="298"/>
      <c r="E158" s="301">
        <v>2.8953720446872203E-5</v>
      </c>
      <c r="F158" s="301">
        <v>1.0124847154340837E-9</v>
      </c>
      <c r="G158" s="304">
        <f t="shared" si="7"/>
        <v>34537.875774373148</v>
      </c>
      <c r="H158" s="304">
        <v>0</v>
      </c>
      <c r="I158" s="300">
        <f t="shared" si="8"/>
        <v>0</v>
      </c>
      <c r="J158" s="213"/>
      <c r="O158" s="69"/>
      <c r="P158" s="69"/>
      <c r="Q158" s="248"/>
      <c r="R158" s="247"/>
      <c r="S158" s="69"/>
      <c r="T158" s="162"/>
      <c r="U158" s="69"/>
    </row>
    <row r="159" spans="1:21">
      <c r="A159" s="298">
        <v>3</v>
      </c>
      <c r="B159" s="298" t="s">
        <v>383</v>
      </c>
      <c r="C159" s="298" t="s">
        <v>384</v>
      </c>
      <c r="D159" s="298"/>
      <c r="E159" s="301">
        <v>2.8953720446872203E-5</v>
      </c>
      <c r="F159" s="301">
        <v>1.0124847154340837E-9</v>
      </c>
      <c r="G159" s="304">
        <f t="shared" si="7"/>
        <v>34537.875774373148</v>
      </c>
      <c r="H159" s="304">
        <v>0</v>
      </c>
      <c r="I159" s="300">
        <f t="shared" si="8"/>
        <v>0</v>
      </c>
      <c r="J159" s="213"/>
      <c r="O159" s="69"/>
      <c r="P159" s="69"/>
      <c r="Q159" s="248"/>
      <c r="R159" s="247"/>
      <c r="S159" s="69"/>
      <c r="T159" s="162"/>
      <c r="U159" s="69"/>
    </row>
    <row r="160" spans="1:21">
      <c r="A160" s="298">
        <v>3</v>
      </c>
      <c r="B160" s="298" t="s">
        <v>385</v>
      </c>
      <c r="C160" s="298" t="s">
        <v>386</v>
      </c>
      <c r="D160" s="298"/>
      <c r="E160" s="301">
        <v>0</v>
      </c>
      <c r="F160" s="301">
        <v>0</v>
      </c>
      <c r="G160" s="304" t="str">
        <f t="shared" si="7"/>
        <v/>
      </c>
      <c r="H160" s="304">
        <v>0.80000001192092896</v>
      </c>
      <c r="I160" s="300">
        <f t="shared" si="8"/>
        <v>0</v>
      </c>
      <c r="J160" s="213"/>
      <c r="O160" s="69"/>
      <c r="P160" s="69"/>
      <c r="Q160" s="248"/>
      <c r="R160" s="247"/>
      <c r="S160" s="69"/>
      <c r="T160" s="162"/>
      <c r="U160" s="69"/>
    </row>
    <row r="161" spans="1:21">
      <c r="A161" s="298">
        <v>3</v>
      </c>
      <c r="B161" s="298" t="s">
        <v>387</v>
      </c>
      <c r="C161" s="298" t="s">
        <v>388</v>
      </c>
      <c r="D161" s="298"/>
      <c r="E161" s="301">
        <v>0</v>
      </c>
      <c r="F161" s="301">
        <v>0</v>
      </c>
      <c r="G161" s="304" t="str">
        <f t="shared" si="7"/>
        <v/>
      </c>
      <c r="H161" s="304">
        <v>2.5</v>
      </c>
      <c r="I161" s="300">
        <f t="shared" si="8"/>
        <v>0</v>
      </c>
      <c r="J161" s="213"/>
      <c r="O161" s="69"/>
      <c r="P161" s="69"/>
      <c r="Q161" s="248"/>
      <c r="R161" s="247"/>
      <c r="S161" s="69"/>
      <c r="T161" s="162"/>
      <c r="U161" s="69"/>
    </row>
    <row r="162" spans="1:21">
      <c r="A162" s="298">
        <v>3</v>
      </c>
      <c r="B162" s="298" t="s">
        <v>389</v>
      </c>
      <c r="C162" s="298" t="s">
        <v>390</v>
      </c>
      <c r="D162" s="298"/>
      <c r="E162" s="301">
        <v>5.9089225401780007E-7</v>
      </c>
      <c r="F162" s="301">
        <v>2.0662953376205789E-11</v>
      </c>
      <c r="G162" s="304">
        <f t="shared" si="7"/>
        <v>1692355.9129442843</v>
      </c>
      <c r="H162" s="304">
        <v>28.600000381469727</v>
      </c>
      <c r="I162" s="300">
        <f t="shared" si="8"/>
        <v>1.6899518690316587E-5</v>
      </c>
      <c r="J162" s="213"/>
      <c r="L162" s="1"/>
      <c r="N162" s="2"/>
      <c r="O162" s="69"/>
      <c r="P162" s="69"/>
      <c r="Q162" s="248"/>
      <c r="R162" s="247"/>
      <c r="S162" s="69"/>
      <c r="T162" s="162"/>
      <c r="U162" s="69"/>
    </row>
    <row r="163" spans="1:21">
      <c r="A163" s="298">
        <v>3</v>
      </c>
      <c r="B163" s="298" t="s">
        <v>391</v>
      </c>
      <c r="C163" s="298" t="s">
        <v>392</v>
      </c>
      <c r="D163" s="298"/>
      <c r="E163" s="301">
        <v>5.9089225401780007E-7</v>
      </c>
      <c r="F163" s="301">
        <v>2.0662953376205789E-11</v>
      </c>
      <c r="G163" s="304">
        <f t="shared" si="7"/>
        <v>1692355.9129442843</v>
      </c>
      <c r="H163" s="304">
        <v>3</v>
      </c>
      <c r="I163" s="300">
        <f t="shared" si="8"/>
        <v>1.7726767620534001E-6</v>
      </c>
      <c r="J163" s="213"/>
      <c r="O163" s="69"/>
      <c r="P163" s="69"/>
      <c r="Q163" s="248"/>
      <c r="R163" s="247"/>
      <c r="S163" s="69"/>
      <c r="T163" s="162"/>
      <c r="U163" s="69"/>
    </row>
    <row r="164" spans="1:21">
      <c r="A164" s="298">
        <v>3</v>
      </c>
      <c r="B164" s="298" t="s">
        <v>393</v>
      </c>
      <c r="C164" s="298" t="s">
        <v>394</v>
      </c>
      <c r="D164" s="298"/>
      <c r="E164" s="301">
        <v>5.9089225401780007E-7</v>
      </c>
      <c r="F164" s="301">
        <v>2.0662953376205789E-11</v>
      </c>
      <c r="G164" s="304">
        <f t="shared" si="7"/>
        <v>1692355.9129442843</v>
      </c>
      <c r="H164" s="304">
        <v>41.299999237060547</v>
      </c>
      <c r="I164" s="300">
        <f t="shared" si="8"/>
        <v>2.4403849640120131E-5</v>
      </c>
      <c r="J164" s="213"/>
      <c r="O164" s="69"/>
      <c r="P164" s="69"/>
      <c r="Q164" s="248"/>
      <c r="R164" s="247"/>
      <c r="S164" s="69"/>
      <c r="T164" s="162"/>
      <c r="U164" s="69"/>
    </row>
    <row r="165" spans="1:21">
      <c r="A165" s="298">
        <v>3</v>
      </c>
      <c r="B165" s="298" t="s">
        <v>395</v>
      </c>
      <c r="C165" s="298" t="s">
        <v>396</v>
      </c>
      <c r="D165" s="298"/>
      <c r="E165" s="301">
        <v>0</v>
      </c>
      <c r="F165" s="301">
        <v>0</v>
      </c>
      <c r="G165" s="304" t="str">
        <f t="shared" si="7"/>
        <v/>
      </c>
      <c r="H165" s="304">
        <v>0</v>
      </c>
      <c r="I165" s="300">
        <f t="shared" si="8"/>
        <v>0</v>
      </c>
      <c r="J165" s="213"/>
      <c r="L165" s="1"/>
      <c r="N165" s="2"/>
      <c r="O165" s="69"/>
      <c r="P165" s="69"/>
      <c r="Q165" s="248"/>
      <c r="R165" s="247"/>
      <c r="S165" s="69"/>
      <c r="T165" s="162"/>
      <c r="U165" s="69"/>
    </row>
    <row r="166" spans="1:21">
      <c r="A166" s="298">
        <v>3</v>
      </c>
      <c r="B166" s="298" t="s">
        <v>397</v>
      </c>
      <c r="C166" s="298" t="s">
        <v>398</v>
      </c>
      <c r="D166" s="298"/>
      <c r="E166" s="301">
        <v>0</v>
      </c>
      <c r="F166" s="301">
        <v>0</v>
      </c>
      <c r="G166" s="304" t="str">
        <f t="shared" si="7"/>
        <v/>
      </c>
      <c r="H166" s="304">
        <v>0</v>
      </c>
      <c r="I166" s="300">
        <f t="shared" si="8"/>
        <v>0</v>
      </c>
      <c r="J166" s="213"/>
      <c r="O166" s="69"/>
      <c r="P166" s="69"/>
      <c r="Q166" s="248"/>
      <c r="R166" s="247"/>
      <c r="S166" s="69"/>
      <c r="T166" s="162"/>
      <c r="U166" s="69"/>
    </row>
    <row r="167" spans="1:21">
      <c r="A167" s="298">
        <v>3</v>
      </c>
      <c r="B167" s="298" t="s">
        <v>399</v>
      </c>
      <c r="C167" s="298" t="s">
        <v>400</v>
      </c>
      <c r="D167" s="298"/>
      <c r="E167" s="301">
        <v>4.4133965749440004E-7</v>
      </c>
      <c r="F167" s="301">
        <v>1.5187270731511255E-10</v>
      </c>
      <c r="G167" s="304">
        <f t="shared" si="7"/>
        <v>2265828.5586146051</v>
      </c>
      <c r="H167" s="304">
        <v>0</v>
      </c>
      <c r="I167" s="300">
        <f t="shared" si="8"/>
        <v>0</v>
      </c>
      <c r="J167" s="213"/>
      <c r="O167" s="69"/>
      <c r="P167" s="69"/>
      <c r="Q167" s="248"/>
      <c r="R167" s="247"/>
      <c r="S167" s="69"/>
      <c r="T167" s="162"/>
      <c r="U167" s="69"/>
    </row>
    <row r="168" spans="1:21">
      <c r="A168" s="298">
        <v>3</v>
      </c>
      <c r="B168" s="298" t="s">
        <v>401</v>
      </c>
      <c r="C168" s="298" t="s">
        <v>402</v>
      </c>
      <c r="D168" s="298"/>
      <c r="E168" s="301">
        <v>4.4133965749440004E-7</v>
      </c>
      <c r="F168" s="301">
        <v>1.5187270731511255E-10</v>
      </c>
      <c r="G168" s="304">
        <f t="shared" si="7"/>
        <v>2265828.5586146051</v>
      </c>
      <c r="H168" s="304">
        <v>0</v>
      </c>
      <c r="I168" s="300">
        <f t="shared" si="8"/>
        <v>0</v>
      </c>
      <c r="J168" s="213"/>
      <c r="O168" s="69"/>
      <c r="P168" s="69"/>
      <c r="Q168" s="248"/>
      <c r="R168" s="247"/>
      <c r="S168" s="69"/>
      <c r="T168" s="162"/>
      <c r="U168" s="69"/>
    </row>
    <row r="169" spans="1:21">
      <c r="A169" s="298">
        <v>3</v>
      </c>
      <c r="B169" s="298" t="s">
        <v>403</v>
      </c>
      <c r="C169" s="298" t="s">
        <v>404</v>
      </c>
      <c r="D169" s="298"/>
      <c r="E169" s="301">
        <v>4.4133965749440004E-7</v>
      </c>
      <c r="F169" s="301">
        <v>1.5187270731511255E-10</v>
      </c>
      <c r="G169" s="304">
        <f t="shared" si="7"/>
        <v>2265828.5586146051</v>
      </c>
      <c r="H169" s="304">
        <v>0</v>
      </c>
      <c r="I169" s="300">
        <f t="shared" si="8"/>
        <v>0</v>
      </c>
      <c r="J169" s="213"/>
      <c r="O169" s="69"/>
      <c r="P169" s="69"/>
      <c r="Q169" s="248"/>
      <c r="R169" s="247"/>
      <c r="S169" s="69"/>
      <c r="T169" s="162"/>
      <c r="U169" s="69"/>
    </row>
    <row r="170" spans="1:21">
      <c r="A170" s="298">
        <v>3</v>
      </c>
      <c r="B170" s="298" t="s">
        <v>405</v>
      </c>
      <c r="C170" s="298" t="s">
        <v>406</v>
      </c>
      <c r="D170" s="298"/>
      <c r="E170" s="301">
        <v>0</v>
      </c>
      <c r="F170" s="301">
        <v>0</v>
      </c>
      <c r="G170" s="304" t="str">
        <f t="shared" si="7"/>
        <v/>
      </c>
      <c r="H170" s="304">
        <v>67.599998474121094</v>
      </c>
      <c r="I170" s="300">
        <f t="shared" si="8"/>
        <v>0</v>
      </c>
      <c r="J170" s="213"/>
      <c r="O170" s="69"/>
      <c r="P170" s="69"/>
      <c r="Q170" s="248"/>
      <c r="R170" s="247"/>
      <c r="S170" s="69"/>
      <c r="T170" s="162"/>
      <c r="U170" s="69"/>
    </row>
    <row r="171" spans="1:21">
      <c r="A171" s="298">
        <v>3</v>
      </c>
      <c r="B171" s="298" t="s">
        <v>407</v>
      </c>
      <c r="C171" s="298" t="s">
        <v>408</v>
      </c>
      <c r="D171" s="298"/>
      <c r="E171" s="301">
        <v>0</v>
      </c>
      <c r="F171" s="301">
        <v>0</v>
      </c>
      <c r="G171" s="304" t="str">
        <f t="shared" si="7"/>
        <v/>
      </c>
      <c r="H171" s="304">
        <v>60.5</v>
      </c>
      <c r="I171" s="300">
        <f t="shared" si="8"/>
        <v>0</v>
      </c>
      <c r="J171" s="213"/>
      <c r="L171" s="1"/>
      <c r="N171" s="2"/>
      <c r="O171" s="69"/>
      <c r="P171" s="69"/>
      <c r="Q171" s="248"/>
      <c r="R171" s="247"/>
      <c r="S171" s="69"/>
      <c r="T171" s="162"/>
      <c r="U171" s="69"/>
    </row>
    <row r="172" spans="1:21">
      <c r="A172" s="298">
        <v>3</v>
      </c>
      <c r="B172" s="298" t="s">
        <v>409</v>
      </c>
      <c r="C172" s="298" t="s">
        <v>410</v>
      </c>
      <c r="D172" s="298"/>
      <c r="E172" s="301">
        <v>9.0069317855999988E-9</v>
      </c>
      <c r="F172" s="301">
        <v>3.0994430064308681E-12</v>
      </c>
      <c r="G172" s="304">
        <f t="shared" si="7"/>
        <v>111025599.37211569</v>
      </c>
      <c r="H172" s="304">
        <v>145.10000610351562</v>
      </c>
      <c r="I172" s="300">
        <f t="shared" si="8"/>
        <v>1.3069058570645087E-6</v>
      </c>
      <c r="J172" s="213"/>
      <c r="O172" s="69"/>
      <c r="P172" s="69"/>
      <c r="Q172" s="248"/>
      <c r="R172" s="247"/>
      <c r="S172" s="69"/>
      <c r="T172" s="162"/>
      <c r="U172" s="69"/>
    </row>
    <row r="173" spans="1:21">
      <c r="A173" s="298">
        <v>3</v>
      </c>
      <c r="B173" s="298" t="s">
        <v>411</v>
      </c>
      <c r="C173" s="298" t="s">
        <v>412</v>
      </c>
      <c r="D173" s="298"/>
      <c r="E173" s="301">
        <v>9.0069317855999988E-9</v>
      </c>
      <c r="F173" s="301">
        <v>3.0994430064308681E-12</v>
      </c>
      <c r="G173" s="304">
        <f t="shared" si="7"/>
        <v>111025599.37211569</v>
      </c>
      <c r="H173" s="304">
        <v>65.599998474121094</v>
      </c>
      <c r="I173" s="300">
        <f t="shared" si="8"/>
        <v>5.9085471139187266E-7</v>
      </c>
      <c r="J173" s="213"/>
      <c r="O173" s="69"/>
      <c r="P173" s="69"/>
      <c r="Q173" s="248"/>
      <c r="R173" s="247"/>
      <c r="S173" s="69"/>
      <c r="T173" s="162"/>
      <c r="U173" s="69"/>
    </row>
    <row r="174" spans="1:21">
      <c r="A174" s="298">
        <v>3</v>
      </c>
      <c r="B174" s="298" t="s">
        <v>413</v>
      </c>
      <c r="C174" s="298" t="s">
        <v>414</v>
      </c>
      <c r="D174" s="298"/>
      <c r="E174" s="301">
        <v>9.0069317855999988E-9</v>
      </c>
      <c r="F174" s="301">
        <v>3.0994430064308681E-12</v>
      </c>
      <c r="G174" s="304">
        <f t="shared" si="7"/>
        <v>111025599.37211569</v>
      </c>
      <c r="H174" s="304">
        <v>149.89999389648437</v>
      </c>
      <c r="I174" s="300">
        <f t="shared" si="8"/>
        <v>1.3501390196874909E-6</v>
      </c>
      <c r="J174" s="213"/>
      <c r="L174" s="1"/>
      <c r="N174" s="2"/>
      <c r="O174" s="69"/>
      <c r="P174" s="69"/>
      <c r="Q174" s="248"/>
      <c r="R174" s="247"/>
      <c r="S174" s="69"/>
      <c r="T174" s="162"/>
      <c r="U174" s="69"/>
    </row>
    <row r="175" spans="1:21">
      <c r="A175" s="298">
        <v>4</v>
      </c>
      <c r="B175" s="298" t="s">
        <v>261</v>
      </c>
      <c r="C175" s="298" t="s">
        <v>262</v>
      </c>
      <c r="D175" s="298"/>
      <c r="E175" s="301">
        <v>0</v>
      </c>
      <c r="F175" s="301">
        <v>0</v>
      </c>
      <c r="G175" s="304" t="str">
        <f t="shared" si="7"/>
        <v/>
      </c>
      <c r="H175" s="304">
        <v>0</v>
      </c>
      <c r="I175" s="300">
        <f t="shared" si="8"/>
        <v>0</v>
      </c>
      <c r="J175" s="213"/>
      <c r="O175" s="69"/>
      <c r="P175" s="69"/>
      <c r="Q175" s="248"/>
      <c r="R175" s="247"/>
      <c r="S175" s="69"/>
      <c r="T175" s="162"/>
      <c r="U175" s="69"/>
    </row>
    <row r="176" spans="1:21">
      <c r="A176" s="298">
        <v>4</v>
      </c>
      <c r="B176" s="298" t="s">
        <v>263</v>
      </c>
      <c r="C176" s="298" t="s">
        <v>264</v>
      </c>
      <c r="D176" s="298"/>
      <c r="E176" s="301">
        <v>0</v>
      </c>
      <c r="F176" s="301">
        <v>0</v>
      </c>
      <c r="G176" s="304" t="str">
        <f t="shared" si="7"/>
        <v/>
      </c>
      <c r="H176" s="304">
        <v>0</v>
      </c>
      <c r="I176" s="300">
        <f t="shared" si="8"/>
        <v>0</v>
      </c>
      <c r="J176" s="213"/>
      <c r="O176" s="69"/>
      <c r="P176" s="69"/>
      <c r="Q176" s="248"/>
      <c r="R176" s="247"/>
      <c r="S176" s="69"/>
      <c r="T176" s="162"/>
      <c r="U176" s="69"/>
    </row>
    <row r="177" spans="1:21">
      <c r="A177" s="298">
        <v>4</v>
      </c>
      <c r="B177" s="298" t="s">
        <v>265</v>
      </c>
      <c r="C177" s="298" t="s">
        <v>266</v>
      </c>
      <c r="D177" s="298"/>
      <c r="E177" s="301">
        <v>1.5343383354534477E-4</v>
      </c>
      <c r="F177" s="301">
        <v>1.0403797024919612E-10</v>
      </c>
      <c r="G177" s="304">
        <f t="shared" si="7"/>
        <v>6517.4673466296917</v>
      </c>
      <c r="H177" s="304">
        <v>0</v>
      </c>
      <c r="I177" s="300">
        <f t="shared" si="8"/>
        <v>0</v>
      </c>
      <c r="J177" s="213"/>
      <c r="O177" s="69"/>
      <c r="P177" s="69"/>
      <c r="Q177" s="248"/>
      <c r="R177" s="247"/>
      <c r="S177" s="69"/>
      <c r="T177" s="162"/>
      <c r="U177" s="69"/>
    </row>
    <row r="178" spans="1:21">
      <c r="A178" s="298">
        <v>4</v>
      </c>
      <c r="B178" s="298" t="s">
        <v>267</v>
      </c>
      <c r="C178" s="298" t="s">
        <v>268</v>
      </c>
      <c r="D178" s="298"/>
      <c r="E178" s="301">
        <v>1.5343383354534477E-4</v>
      </c>
      <c r="F178" s="301">
        <v>1.0403797024919612E-10</v>
      </c>
      <c r="G178" s="304">
        <f t="shared" si="7"/>
        <v>6517.4673466296917</v>
      </c>
      <c r="H178" s="304">
        <v>0</v>
      </c>
      <c r="I178" s="300">
        <f t="shared" si="8"/>
        <v>0</v>
      </c>
      <c r="J178" s="213"/>
      <c r="L178" s="1"/>
      <c r="N178" s="2"/>
      <c r="O178" s="69"/>
      <c r="P178" s="69"/>
      <c r="Q178" s="248"/>
      <c r="R178" s="247"/>
      <c r="S178" s="69"/>
      <c r="T178" s="162"/>
      <c r="U178" s="69"/>
    </row>
    <row r="179" spans="1:21">
      <c r="A179" s="298">
        <v>4</v>
      </c>
      <c r="B179" s="298" t="s">
        <v>269</v>
      </c>
      <c r="C179" s="298" t="s">
        <v>270</v>
      </c>
      <c r="D179" s="298"/>
      <c r="E179" s="301">
        <v>1.5343383354534477E-4</v>
      </c>
      <c r="F179" s="301">
        <v>1.0403797024919612E-10</v>
      </c>
      <c r="G179" s="304">
        <f t="shared" si="7"/>
        <v>6517.4673466296917</v>
      </c>
      <c r="H179" s="304">
        <v>0</v>
      </c>
      <c r="I179" s="300">
        <f t="shared" si="8"/>
        <v>0</v>
      </c>
      <c r="J179" s="213"/>
      <c r="O179" s="69"/>
      <c r="P179" s="69"/>
      <c r="Q179" s="248"/>
      <c r="R179" s="247"/>
      <c r="S179" s="69"/>
      <c r="T179" s="162"/>
      <c r="U179" s="69"/>
    </row>
    <row r="180" spans="1:21">
      <c r="A180" s="298">
        <v>4</v>
      </c>
      <c r="B180" s="298" t="s">
        <v>271</v>
      </c>
      <c r="C180" s="298" t="s">
        <v>272</v>
      </c>
      <c r="D180" s="298"/>
      <c r="E180" s="301">
        <v>0</v>
      </c>
      <c r="F180" s="301">
        <v>0</v>
      </c>
      <c r="G180" s="304" t="str">
        <f t="shared" si="7"/>
        <v/>
      </c>
      <c r="H180" s="304">
        <v>0</v>
      </c>
      <c r="I180" s="300">
        <f t="shared" si="8"/>
        <v>0</v>
      </c>
      <c r="J180" s="213"/>
      <c r="O180" s="69"/>
      <c r="P180" s="69"/>
      <c r="Q180" s="248"/>
      <c r="R180" s="247"/>
      <c r="S180" s="69"/>
      <c r="T180" s="162"/>
      <c r="U180" s="69"/>
    </row>
    <row r="181" spans="1:21">
      <c r="A181" s="298">
        <v>4</v>
      </c>
      <c r="B181" s="298" t="s">
        <v>273</v>
      </c>
      <c r="C181" s="298" t="s">
        <v>274</v>
      </c>
      <c r="D181" s="298"/>
      <c r="E181" s="301">
        <v>0</v>
      </c>
      <c r="F181" s="301">
        <v>0</v>
      </c>
      <c r="G181" s="304" t="str">
        <f t="shared" si="7"/>
        <v/>
      </c>
      <c r="H181" s="304">
        <v>0</v>
      </c>
      <c r="I181" s="300">
        <f t="shared" si="8"/>
        <v>0</v>
      </c>
      <c r="J181" s="213"/>
      <c r="O181" s="69"/>
      <c r="P181" s="69"/>
      <c r="Q181" s="248"/>
      <c r="R181" s="247"/>
      <c r="S181" s="69"/>
      <c r="T181" s="162"/>
      <c r="U181" s="69"/>
    </row>
    <row r="182" spans="1:21">
      <c r="A182" s="298">
        <v>4</v>
      </c>
      <c r="B182" s="298" t="s">
        <v>275</v>
      </c>
      <c r="C182" s="298" t="s">
        <v>276</v>
      </c>
      <c r="D182" s="298"/>
      <c r="E182" s="301">
        <v>3.1313027254151995E-6</v>
      </c>
      <c r="F182" s="301">
        <v>2.1232238826366559E-12</v>
      </c>
      <c r="G182" s="304">
        <f t="shared" si="7"/>
        <v>319355.89998485491</v>
      </c>
      <c r="H182" s="304">
        <v>0</v>
      </c>
      <c r="I182" s="300">
        <f t="shared" si="8"/>
        <v>0</v>
      </c>
      <c r="J182" s="213"/>
      <c r="O182" s="69"/>
      <c r="P182" s="69"/>
      <c r="Q182" s="248"/>
      <c r="R182" s="247"/>
      <c r="S182" s="69"/>
      <c r="T182" s="162"/>
      <c r="U182" s="69"/>
    </row>
    <row r="183" spans="1:21">
      <c r="A183" s="298">
        <v>4</v>
      </c>
      <c r="B183" s="298" t="s">
        <v>277</v>
      </c>
      <c r="C183" s="298" t="s">
        <v>278</v>
      </c>
      <c r="D183" s="298"/>
      <c r="E183" s="301">
        <v>3.1313027254151995E-6</v>
      </c>
      <c r="F183" s="301">
        <v>2.1232238826366559E-12</v>
      </c>
      <c r="G183" s="304">
        <f t="shared" si="7"/>
        <v>319355.89998485491</v>
      </c>
      <c r="H183" s="304">
        <v>0</v>
      </c>
      <c r="I183" s="300">
        <f t="shared" si="8"/>
        <v>0</v>
      </c>
      <c r="J183" s="213"/>
      <c r="O183" s="69"/>
      <c r="P183" s="69"/>
      <c r="Q183" s="248"/>
      <c r="R183" s="247"/>
      <c r="S183" s="69"/>
      <c r="T183" s="162"/>
      <c r="U183" s="69"/>
    </row>
    <row r="184" spans="1:21">
      <c r="A184" s="298">
        <v>4</v>
      </c>
      <c r="B184" s="298" t="s">
        <v>279</v>
      </c>
      <c r="C184" s="298" t="s">
        <v>280</v>
      </c>
      <c r="D184" s="298"/>
      <c r="E184" s="301">
        <v>3.1313027254151995E-6</v>
      </c>
      <c r="F184" s="301">
        <v>2.1232238826366559E-12</v>
      </c>
      <c r="G184" s="304">
        <f t="shared" si="7"/>
        <v>319355.89998485491</v>
      </c>
      <c r="H184" s="304">
        <v>0</v>
      </c>
      <c r="I184" s="300">
        <f t="shared" si="8"/>
        <v>0</v>
      </c>
      <c r="J184" s="213"/>
      <c r="O184" s="69"/>
      <c r="P184" s="69"/>
      <c r="Q184" s="248"/>
      <c r="R184" s="247"/>
      <c r="S184" s="69"/>
      <c r="T184" s="162"/>
      <c r="U184" s="69"/>
    </row>
    <row r="185" spans="1:21">
      <c r="A185" s="298">
        <v>4</v>
      </c>
      <c r="B185" s="298" t="s">
        <v>281</v>
      </c>
      <c r="C185" s="298" t="s">
        <v>282</v>
      </c>
      <c r="D185" s="298"/>
      <c r="E185" s="301">
        <v>0</v>
      </c>
      <c r="F185" s="301">
        <v>0</v>
      </c>
      <c r="G185" s="304" t="str">
        <f t="shared" si="7"/>
        <v/>
      </c>
      <c r="H185" s="304">
        <v>0</v>
      </c>
      <c r="I185" s="300">
        <f t="shared" si="8"/>
        <v>0</v>
      </c>
      <c r="J185" s="213"/>
      <c r="L185" s="1"/>
      <c r="N185" s="2"/>
      <c r="O185" s="69"/>
      <c r="P185" s="69"/>
      <c r="Q185" s="248"/>
      <c r="R185" s="247"/>
      <c r="S185" s="69"/>
      <c r="T185" s="1"/>
    </row>
    <row r="186" spans="1:21">
      <c r="A186" s="298">
        <v>4</v>
      </c>
      <c r="B186" s="298" t="s">
        <v>283</v>
      </c>
      <c r="C186" s="298" t="s">
        <v>284</v>
      </c>
      <c r="D186" s="298"/>
      <c r="E186" s="301">
        <v>0</v>
      </c>
      <c r="F186" s="301">
        <v>0</v>
      </c>
      <c r="G186" s="304" t="str">
        <f t="shared" si="7"/>
        <v/>
      </c>
      <c r="H186" s="304">
        <v>0</v>
      </c>
      <c r="I186" s="300">
        <f t="shared" si="8"/>
        <v>0</v>
      </c>
      <c r="J186" s="213"/>
      <c r="O186" s="69"/>
      <c r="P186" s="69"/>
      <c r="Q186" s="248"/>
      <c r="R186" s="247"/>
      <c r="S186" s="69"/>
      <c r="T186" s="162"/>
      <c r="U186" s="69"/>
    </row>
    <row r="187" spans="1:21">
      <c r="A187" s="298">
        <v>4</v>
      </c>
      <c r="B187" s="298" t="s">
        <v>285</v>
      </c>
      <c r="C187" s="298" t="s">
        <v>286</v>
      </c>
      <c r="D187" s="298"/>
      <c r="E187" s="301">
        <v>8.0754649234391992E-6</v>
      </c>
      <c r="F187" s="301">
        <v>5.4756826446945329E-12</v>
      </c>
      <c r="G187" s="304">
        <f t="shared" si="7"/>
        <v>123831.87958596414</v>
      </c>
      <c r="H187" s="304">
        <v>0</v>
      </c>
      <c r="I187" s="300">
        <f t="shared" si="8"/>
        <v>0</v>
      </c>
      <c r="J187" s="213"/>
      <c r="L187" s="1"/>
      <c r="N187" s="2"/>
      <c r="O187" s="69"/>
      <c r="P187" s="69"/>
      <c r="Q187" s="248"/>
      <c r="R187" s="247"/>
      <c r="S187" s="69"/>
      <c r="T187" s="162"/>
      <c r="U187" s="69"/>
    </row>
    <row r="188" spans="1:21">
      <c r="A188" s="298">
        <v>4</v>
      </c>
      <c r="B188" s="298" t="s">
        <v>287</v>
      </c>
      <c r="C188" s="298" t="s">
        <v>288</v>
      </c>
      <c r="D188" s="298"/>
      <c r="E188" s="301">
        <v>8.0754649234391992E-6</v>
      </c>
      <c r="F188" s="301">
        <v>5.4756826446945329E-12</v>
      </c>
      <c r="G188" s="304">
        <f t="shared" si="7"/>
        <v>123831.87958596414</v>
      </c>
      <c r="H188" s="304">
        <v>0</v>
      </c>
      <c r="I188" s="300">
        <f t="shared" si="8"/>
        <v>0</v>
      </c>
      <c r="J188" s="213"/>
      <c r="L188" s="1"/>
      <c r="N188" s="2"/>
      <c r="O188" s="69"/>
      <c r="P188" s="69"/>
      <c r="Q188" s="248"/>
      <c r="R188" s="247"/>
      <c r="S188" s="69"/>
      <c r="T188" s="162"/>
      <c r="U188" s="69"/>
    </row>
    <row r="189" spans="1:21">
      <c r="A189" s="298">
        <v>4</v>
      </c>
      <c r="B189" s="298" t="s">
        <v>289</v>
      </c>
      <c r="C189" s="298" t="s">
        <v>290</v>
      </c>
      <c r="D189" s="298"/>
      <c r="E189" s="301">
        <v>8.0754649234391992E-6</v>
      </c>
      <c r="F189" s="301">
        <v>5.4756826446945329E-12</v>
      </c>
      <c r="G189" s="304">
        <f t="shared" si="7"/>
        <v>123831.87958596414</v>
      </c>
      <c r="H189" s="304">
        <v>0</v>
      </c>
      <c r="I189" s="300">
        <f t="shared" si="8"/>
        <v>0</v>
      </c>
      <c r="J189" s="213"/>
      <c r="L189" s="1"/>
      <c r="N189" s="2"/>
      <c r="O189" s="69"/>
      <c r="P189" s="69"/>
      <c r="Q189" s="248"/>
      <c r="R189" s="247"/>
      <c r="S189" s="69"/>
      <c r="T189" s="162"/>
      <c r="U189" s="69"/>
    </row>
    <row r="190" spans="1:21">
      <c r="A190" s="298">
        <v>4</v>
      </c>
      <c r="B190" s="298" t="s">
        <v>291</v>
      </c>
      <c r="C190" s="298" t="s">
        <v>292</v>
      </c>
      <c r="D190" s="298"/>
      <c r="E190" s="301">
        <v>0</v>
      </c>
      <c r="F190" s="301">
        <v>0</v>
      </c>
      <c r="G190" s="304" t="str">
        <f t="shared" si="7"/>
        <v/>
      </c>
      <c r="H190" s="304">
        <v>0</v>
      </c>
      <c r="I190" s="300">
        <f t="shared" si="8"/>
        <v>0</v>
      </c>
      <c r="J190" s="213"/>
      <c r="O190" s="69"/>
      <c r="P190" s="69"/>
      <c r="Q190" s="248"/>
      <c r="R190" s="247"/>
      <c r="S190" s="69"/>
      <c r="T190" s="162"/>
      <c r="U190" s="69"/>
    </row>
    <row r="191" spans="1:21">
      <c r="A191" s="298">
        <v>4</v>
      </c>
      <c r="B191" s="298" t="s">
        <v>293</v>
      </c>
      <c r="C191" s="298" t="s">
        <v>294</v>
      </c>
      <c r="D191" s="298"/>
      <c r="E191" s="301">
        <v>0</v>
      </c>
      <c r="F191" s="301">
        <v>0</v>
      </c>
      <c r="G191" s="304" t="str">
        <f t="shared" si="7"/>
        <v/>
      </c>
      <c r="H191" s="304">
        <v>0</v>
      </c>
      <c r="I191" s="300">
        <f t="shared" si="8"/>
        <v>0</v>
      </c>
      <c r="J191" s="213"/>
      <c r="L191" s="1"/>
      <c r="N191" s="2"/>
      <c r="O191" s="69"/>
      <c r="P191" s="69"/>
      <c r="Q191" s="248"/>
      <c r="R191" s="247"/>
      <c r="S191" s="69"/>
      <c r="T191" s="162"/>
      <c r="U191" s="69"/>
    </row>
    <row r="192" spans="1:21">
      <c r="A192" s="298">
        <v>4</v>
      </c>
      <c r="B192" s="298" t="s">
        <v>295</v>
      </c>
      <c r="C192" s="298" t="s">
        <v>296</v>
      </c>
      <c r="D192" s="298"/>
      <c r="E192" s="301">
        <v>1.6480540660080001E-7</v>
      </c>
      <c r="F192" s="301">
        <v>1.1174862540192927E-13</v>
      </c>
      <c r="G192" s="304">
        <f t="shared" si="7"/>
        <v>6067762.0997122414</v>
      </c>
      <c r="H192" s="304">
        <v>0</v>
      </c>
      <c r="I192" s="300">
        <f t="shared" si="8"/>
        <v>0</v>
      </c>
      <c r="J192" s="213"/>
      <c r="L192" s="1"/>
      <c r="N192" s="2"/>
      <c r="O192" s="69"/>
      <c r="P192" s="69"/>
      <c r="Q192" s="248"/>
      <c r="R192" s="247"/>
      <c r="S192" s="69"/>
      <c r="T192" s="162"/>
      <c r="U192" s="69"/>
    </row>
    <row r="193" spans="1:21">
      <c r="A193" s="298">
        <v>4</v>
      </c>
      <c r="B193" s="298" t="s">
        <v>297</v>
      </c>
      <c r="C193" s="298" t="s">
        <v>298</v>
      </c>
      <c r="D193" s="298"/>
      <c r="E193" s="301">
        <v>1.6480540660080001E-7</v>
      </c>
      <c r="F193" s="301">
        <v>1.1174862540192927E-13</v>
      </c>
      <c r="G193" s="304">
        <f t="shared" si="7"/>
        <v>6067762.0997122414</v>
      </c>
      <c r="H193" s="304">
        <v>0</v>
      </c>
      <c r="I193" s="300">
        <f t="shared" si="8"/>
        <v>0</v>
      </c>
      <c r="J193" s="213"/>
      <c r="L193" s="1"/>
      <c r="N193" s="2"/>
      <c r="O193" s="69"/>
      <c r="P193" s="69"/>
      <c r="Q193" s="248"/>
      <c r="R193" s="247"/>
      <c r="S193" s="69"/>
      <c r="T193" s="162"/>
      <c r="U193" s="69"/>
    </row>
    <row r="194" spans="1:21">
      <c r="A194" s="298">
        <v>4</v>
      </c>
      <c r="B194" s="298" t="s">
        <v>299</v>
      </c>
      <c r="C194" s="298" t="s">
        <v>300</v>
      </c>
      <c r="D194" s="298"/>
      <c r="E194" s="301">
        <v>1.6480540660080001E-7</v>
      </c>
      <c r="F194" s="301">
        <v>1.1174862540192927E-13</v>
      </c>
      <c r="G194" s="304">
        <f t="shared" si="7"/>
        <v>6067762.0997122414</v>
      </c>
      <c r="H194" s="304">
        <v>0</v>
      </c>
      <c r="I194" s="300">
        <f t="shared" si="8"/>
        <v>0</v>
      </c>
      <c r="J194" s="213"/>
      <c r="O194" s="69"/>
      <c r="P194" s="69"/>
      <c r="Q194" s="248"/>
      <c r="R194" s="247"/>
      <c r="S194" s="69"/>
      <c r="T194" s="162"/>
      <c r="U194" s="69"/>
    </row>
    <row r="195" spans="1:21">
      <c r="A195" s="298">
        <v>4</v>
      </c>
      <c r="B195" s="298" t="s">
        <v>355</v>
      </c>
      <c r="C195" s="298" t="s">
        <v>356</v>
      </c>
      <c r="D195" s="298"/>
      <c r="E195" s="301">
        <v>0</v>
      </c>
      <c r="F195" s="301">
        <v>0</v>
      </c>
      <c r="G195" s="304" t="str">
        <f t="shared" si="7"/>
        <v/>
      </c>
      <c r="H195" s="304">
        <v>0</v>
      </c>
      <c r="I195" s="300">
        <f t="shared" si="8"/>
        <v>0</v>
      </c>
      <c r="J195" s="213"/>
      <c r="O195" s="69"/>
      <c r="P195" s="69"/>
      <c r="Q195" s="248"/>
      <c r="R195" s="247"/>
      <c r="S195" s="69"/>
      <c r="T195" s="162"/>
      <c r="U195" s="69"/>
    </row>
    <row r="196" spans="1:21">
      <c r="A196" s="298">
        <v>4</v>
      </c>
      <c r="B196" s="298" t="s">
        <v>357</v>
      </c>
      <c r="C196" s="298" t="s">
        <v>358</v>
      </c>
      <c r="D196" s="298"/>
      <c r="E196" s="301">
        <v>0</v>
      </c>
      <c r="F196" s="301">
        <v>0</v>
      </c>
      <c r="G196" s="304" t="str">
        <f t="shared" si="7"/>
        <v/>
      </c>
      <c r="H196" s="304">
        <v>0</v>
      </c>
      <c r="I196" s="300">
        <f t="shared" si="8"/>
        <v>0</v>
      </c>
      <c r="J196" s="213"/>
      <c r="O196" s="69"/>
      <c r="P196" s="69"/>
      <c r="Q196" s="248"/>
      <c r="R196" s="247"/>
      <c r="S196" s="69"/>
      <c r="T196" s="162"/>
      <c r="U196" s="69"/>
    </row>
    <row r="197" spans="1:21">
      <c r="A197" s="298">
        <v>4</v>
      </c>
      <c r="B197" s="298" t="s">
        <v>359</v>
      </c>
      <c r="C197" s="298" t="s">
        <v>360</v>
      </c>
      <c r="D197" s="298"/>
      <c r="E197" s="301">
        <v>1.8472912170095773E-4</v>
      </c>
      <c r="F197" s="301">
        <v>9.5564824611550831E-10</v>
      </c>
      <c r="G197" s="304">
        <f t="shared" si="7"/>
        <v>5413.331643609582</v>
      </c>
      <c r="H197" s="304">
        <v>0</v>
      </c>
      <c r="I197" s="300">
        <f t="shared" si="8"/>
        <v>0</v>
      </c>
      <c r="J197" s="213"/>
      <c r="O197" s="69"/>
      <c r="P197" s="69"/>
      <c r="Q197" s="248"/>
      <c r="R197" s="247"/>
      <c r="S197" s="69"/>
      <c r="T197" s="162"/>
      <c r="U197" s="69"/>
    </row>
    <row r="198" spans="1:21">
      <c r="A198" s="298">
        <v>4</v>
      </c>
      <c r="B198" s="298" t="s">
        <v>361</v>
      </c>
      <c r="C198" s="298" t="s">
        <v>362</v>
      </c>
      <c r="D198" s="298"/>
      <c r="E198" s="301">
        <v>1.8472912170095773E-4</v>
      </c>
      <c r="F198" s="301">
        <v>9.5564824611550831E-10</v>
      </c>
      <c r="G198" s="304">
        <f t="shared" si="7"/>
        <v>5413.331643609582</v>
      </c>
      <c r="H198" s="304">
        <v>0</v>
      </c>
      <c r="I198" s="300">
        <f t="shared" si="8"/>
        <v>0</v>
      </c>
      <c r="J198" s="213"/>
      <c r="L198" s="1"/>
      <c r="N198" s="2"/>
      <c r="O198" s="69"/>
      <c r="P198" s="69"/>
      <c r="Q198" s="248"/>
      <c r="R198" s="247"/>
      <c r="S198" s="69"/>
      <c r="T198" s="162"/>
      <c r="U198" s="69"/>
    </row>
    <row r="199" spans="1:21">
      <c r="A199" s="298">
        <v>4</v>
      </c>
      <c r="B199" s="298" t="s">
        <v>363</v>
      </c>
      <c r="C199" s="298" t="s">
        <v>364</v>
      </c>
      <c r="D199" s="298"/>
      <c r="E199" s="301">
        <v>1.8472912170095773E-4</v>
      </c>
      <c r="F199" s="301">
        <v>9.5564824611550831E-10</v>
      </c>
      <c r="G199" s="304">
        <f t="shared" si="7"/>
        <v>5413.331643609582</v>
      </c>
      <c r="H199" s="304">
        <v>0</v>
      </c>
      <c r="I199" s="300">
        <f t="shared" si="8"/>
        <v>0</v>
      </c>
      <c r="J199" s="213"/>
      <c r="L199" s="1"/>
      <c r="N199" s="2"/>
      <c r="O199" s="69"/>
      <c r="P199" s="69"/>
      <c r="Q199" s="248"/>
      <c r="R199" s="247"/>
      <c r="S199" s="69"/>
      <c r="T199" s="162"/>
      <c r="U199" s="69"/>
    </row>
    <row r="200" spans="1:21">
      <c r="A200" s="298">
        <v>4</v>
      </c>
      <c r="B200" s="298" t="s">
        <v>365</v>
      </c>
      <c r="C200" s="298" t="s">
        <v>366</v>
      </c>
      <c r="D200" s="298"/>
      <c r="E200" s="301">
        <v>0</v>
      </c>
      <c r="F200" s="301">
        <v>0</v>
      </c>
      <c r="G200" s="304" t="str">
        <f t="shared" si="7"/>
        <v/>
      </c>
      <c r="H200" s="304">
        <v>0</v>
      </c>
      <c r="I200" s="300">
        <f t="shared" si="8"/>
        <v>0</v>
      </c>
      <c r="J200" s="213"/>
      <c r="O200" s="69"/>
      <c r="P200" s="69"/>
      <c r="Q200" s="248"/>
      <c r="R200" s="247"/>
      <c r="S200" s="69"/>
      <c r="T200" s="162"/>
      <c r="U200" s="69"/>
    </row>
    <row r="201" spans="1:21">
      <c r="A201" s="298">
        <v>4</v>
      </c>
      <c r="B201" s="298" t="s">
        <v>367</v>
      </c>
      <c r="C201" s="298" t="s">
        <v>368</v>
      </c>
      <c r="D201" s="298"/>
      <c r="E201" s="301">
        <v>0</v>
      </c>
      <c r="F201" s="301">
        <v>0</v>
      </c>
      <c r="G201" s="304" t="str">
        <f t="shared" si="7"/>
        <v/>
      </c>
      <c r="H201" s="304">
        <v>0</v>
      </c>
      <c r="I201" s="300">
        <f t="shared" si="8"/>
        <v>0</v>
      </c>
      <c r="J201" s="213"/>
      <c r="O201" s="69"/>
      <c r="P201" s="69"/>
      <c r="Q201" s="248"/>
      <c r="R201" s="247"/>
      <c r="S201" s="69"/>
      <c r="T201" s="162"/>
      <c r="U201" s="69"/>
    </row>
    <row r="202" spans="1:21">
      <c r="A202" s="298">
        <v>4</v>
      </c>
      <c r="B202" s="298" t="s">
        <v>369</v>
      </c>
      <c r="C202" s="298" t="s">
        <v>370</v>
      </c>
      <c r="D202" s="298"/>
      <c r="E202" s="301">
        <v>3.769982075529749E-6</v>
      </c>
      <c r="F202" s="301">
        <v>1.9503025430928738E-11</v>
      </c>
      <c r="G202" s="304">
        <f t="shared" si="7"/>
        <v>265253.25053686957</v>
      </c>
      <c r="H202" s="304">
        <v>0</v>
      </c>
      <c r="I202" s="300">
        <f t="shared" si="8"/>
        <v>0</v>
      </c>
      <c r="J202" s="213"/>
      <c r="O202" s="69"/>
      <c r="P202" s="69"/>
      <c r="Q202" s="248"/>
      <c r="R202" s="247"/>
      <c r="S202" s="69"/>
      <c r="T202" s="162"/>
      <c r="U202" s="69"/>
    </row>
    <row r="203" spans="1:21">
      <c r="A203" s="298">
        <v>4</v>
      </c>
      <c r="B203" s="298" t="s">
        <v>371</v>
      </c>
      <c r="C203" s="298" t="s">
        <v>372</v>
      </c>
      <c r="D203" s="298"/>
      <c r="E203" s="301">
        <v>3.769982075529749E-6</v>
      </c>
      <c r="F203" s="301">
        <v>1.9503025430928738E-11</v>
      </c>
      <c r="G203" s="304">
        <f t="shared" si="7"/>
        <v>265253.25053686957</v>
      </c>
      <c r="H203" s="304">
        <v>0</v>
      </c>
      <c r="I203" s="300">
        <f t="shared" si="8"/>
        <v>0</v>
      </c>
      <c r="J203" s="213"/>
      <c r="O203" s="69"/>
      <c r="P203" s="69"/>
      <c r="Q203" s="248"/>
      <c r="R203" s="247"/>
      <c r="S203" s="69"/>
      <c r="T203" s="162"/>
      <c r="U203" s="69"/>
    </row>
    <row r="204" spans="1:21">
      <c r="A204" s="298">
        <v>4</v>
      </c>
      <c r="B204" s="298" t="s">
        <v>373</v>
      </c>
      <c r="C204" s="298" t="s">
        <v>374</v>
      </c>
      <c r="D204" s="298"/>
      <c r="E204" s="301">
        <v>3.769982075529749E-6</v>
      </c>
      <c r="F204" s="301">
        <v>1.9503025430928738E-11</v>
      </c>
      <c r="G204" s="304">
        <f t="shared" si="7"/>
        <v>265253.25053686957</v>
      </c>
      <c r="H204" s="304">
        <v>0</v>
      </c>
      <c r="I204" s="300">
        <f t="shared" si="8"/>
        <v>0</v>
      </c>
      <c r="J204" s="213"/>
      <c r="O204" s="69"/>
      <c r="P204" s="69"/>
      <c r="Q204" s="248"/>
      <c r="R204" s="247"/>
      <c r="S204" s="69"/>
      <c r="T204" s="162"/>
      <c r="U204" s="69"/>
    </row>
    <row r="205" spans="1:21">
      <c r="A205" s="298">
        <v>4</v>
      </c>
      <c r="B205" s="298" t="s">
        <v>375</v>
      </c>
      <c r="C205" s="298" t="s">
        <v>376</v>
      </c>
      <c r="D205" s="298"/>
      <c r="E205" s="301">
        <v>0</v>
      </c>
      <c r="F205" s="301">
        <v>0</v>
      </c>
      <c r="G205" s="304" t="str">
        <f t="shared" si="7"/>
        <v/>
      </c>
      <c r="H205" s="304">
        <v>0</v>
      </c>
      <c r="I205" s="300">
        <f t="shared" si="8"/>
        <v>0</v>
      </c>
      <c r="J205" s="213"/>
      <c r="O205" s="69"/>
      <c r="P205" s="69"/>
      <c r="Q205" s="248"/>
      <c r="R205" s="247"/>
      <c r="S205" s="69"/>
      <c r="T205" s="162"/>
      <c r="U205" s="69"/>
    </row>
    <row r="206" spans="1:21">
      <c r="A206" s="298">
        <v>4</v>
      </c>
      <c r="B206" s="298" t="s">
        <v>377</v>
      </c>
      <c r="C206" s="298" t="s">
        <v>378</v>
      </c>
      <c r="D206" s="298"/>
      <c r="E206" s="301">
        <v>0</v>
      </c>
      <c r="F206" s="301">
        <v>0</v>
      </c>
      <c r="G206" s="304" t="str">
        <f t="shared" si="7"/>
        <v/>
      </c>
      <c r="H206" s="304">
        <v>0</v>
      </c>
      <c r="I206" s="300">
        <f t="shared" si="8"/>
        <v>0</v>
      </c>
      <c r="J206" s="213"/>
      <c r="L206" s="1"/>
      <c r="N206" s="2"/>
      <c r="O206" s="69"/>
      <c r="P206" s="69"/>
      <c r="Q206" s="248"/>
      <c r="R206" s="247"/>
      <c r="S206" s="69"/>
      <c r="T206" s="162"/>
      <c r="U206" s="69"/>
    </row>
    <row r="207" spans="1:21">
      <c r="A207" s="298">
        <v>4</v>
      </c>
      <c r="B207" s="298" t="s">
        <v>379</v>
      </c>
      <c r="C207" s="298" t="s">
        <v>380</v>
      </c>
      <c r="D207" s="298"/>
      <c r="E207" s="301">
        <v>2.8953720446872196E-5</v>
      </c>
      <c r="F207" s="301">
        <v>1.0124847154340835E-9</v>
      </c>
      <c r="G207" s="304">
        <f t="shared" si="7"/>
        <v>34537.875774373162</v>
      </c>
      <c r="H207" s="304">
        <v>0</v>
      </c>
      <c r="I207" s="300">
        <f t="shared" si="8"/>
        <v>0</v>
      </c>
      <c r="J207" s="213"/>
      <c r="O207" s="69"/>
      <c r="P207" s="69"/>
      <c r="Q207" s="248"/>
      <c r="R207" s="247"/>
      <c r="S207" s="69"/>
      <c r="T207" s="162"/>
      <c r="U207" s="69"/>
    </row>
    <row r="208" spans="1:21">
      <c r="A208" s="298">
        <v>4</v>
      </c>
      <c r="B208" s="298" t="s">
        <v>381</v>
      </c>
      <c r="C208" s="298" t="s">
        <v>382</v>
      </c>
      <c r="D208" s="298"/>
      <c r="E208" s="301">
        <v>2.8953720446872196E-5</v>
      </c>
      <c r="F208" s="301">
        <v>1.0124847154340835E-9</v>
      </c>
      <c r="G208" s="304">
        <f t="shared" si="7"/>
        <v>34537.875774373162</v>
      </c>
      <c r="H208" s="304">
        <v>0</v>
      </c>
      <c r="I208" s="300">
        <f t="shared" si="8"/>
        <v>0</v>
      </c>
      <c r="J208" s="213"/>
      <c r="O208" s="69"/>
      <c r="P208" s="69"/>
      <c r="Q208" s="248"/>
      <c r="R208" s="247"/>
      <c r="S208" s="69"/>
      <c r="T208" s="162"/>
      <c r="U208" s="69"/>
    </row>
    <row r="209" spans="1:21">
      <c r="A209" s="298">
        <v>4</v>
      </c>
      <c r="B209" s="298" t="s">
        <v>383</v>
      </c>
      <c r="C209" s="298" t="s">
        <v>384</v>
      </c>
      <c r="D209" s="298"/>
      <c r="E209" s="301">
        <v>2.8953720446872196E-5</v>
      </c>
      <c r="F209" s="301">
        <v>1.0124847154340835E-9</v>
      </c>
      <c r="G209" s="304">
        <f t="shared" si="7"/>
        <v>34537.875774373162</v>
      </c>
      <c r="H209" s="304">
        <v>0</v>
      </c>
      <c r="I209" s="300">
        <f t="shared" si="8"/>
        <v>0</v>
      </c>
      <c r="J209" s="213"/>
      <c r="O209" s="69"/>
      <c r="P209" s="69"/>
      <c r="Q209" s="248"/>
      <c r="R209" s="247"/>
      <c r="S209" s="69"/>
      <c r="T209" s="162"/>
      <c r="U209" s="69"/>
    </row>
    <row r="210" spans="1:21">
      <c r="A210" s="298">
        <v>4</v>
      </c>
      <c r="B210" s="298" t="s">
        <v>385</v>
      </c>
      <c r="C210" s="298" t="s">
        <v>386</v>
      </c>
      <c r="D210" s="298"/>
      <c r="E210" s="301">
        <v>0</v>
      </c>
      <c r="F210" s="301">
        <v>0</v>
      </c>
      <c r="G210" s="304" t="str">
        <f t="shared" si="7"/>
        <v/>
      </c>
      <c r="H210" s="304">
        <v>0.10000000149011612</v>
      </c>
      <c r="I210" s="300">
        <f t="shared" si="8"/>
        <v>0</v>
      </c>
      <c r="J210" s="213"/>
      <c r="O210" s="69"/>
      <c r="P210" s="69"/>
      <c r="Q210" s="248"/>
      <c r="R210" s="247"/>
      <c r="S210" s="69"/>
      <c r="T210" s="162"/>
      <c r="U210" s="69"/>
    </row>
    <row r="211" spans="1:21">
      <c r="A211" s="298">
        <v>4</v>
      </c>
      <c r="B211" s="298" t="s">
        <v>387</v>
      </c>
      <c r="C211" s="298" t="s">
        <v>388</v>
      </c>
      <c r="D211" s="298"/>
      <c r="E211" s="301">
        <v>0</v>
      </c>
      <c r="F211" s="301">
        <v>0</v>
      </c>
      <c r="G211" s="304" t="str">
        <f t="shared" si="7"/>
        <v/>
      </c>
      <c r="H211" s="304">
        <v>0.10000000149011612</v>
      </c>
      <c r="I211" s="300">
        <f t="shared" si="8"/>
        <v>0</v>
      </c>
      <c r="J211" s="213"/>
      <c r="O211" s="69"/>
      <c r="P211" s="69"/>
      <c r="Q211" s="248"/>
      <c r="R211" s="247"/>
      <c r="S211" s="69"/>
      <c r="T211" s="162"/>
      <c r="U211" s="69"/>
    </row>
    <row r="212" spans="1:21">
      <c r="A212" s="298">
        <v>4</v>
      </c>
      <c r="B212" s="298" t="s">
        <v>389</v>
      </c>
      <c r="C212" s="298" t="s">
        <v>390</v>
      </c>
      <c r="D212" s="298"/>
      <c r="E212" s="301">
        <v>5.9089225401779996E-7</v>
      </c>
      <c r="F212" s="301">
        <v>2.0662953376205786E-11</v>
      </c>
      <c r="G212" s="304">
        <f t="shared" si="7"/>
        <v>1692355.9129442847</v>
      </c>
      <c r="H212" s="304">
        <v>1.7999999523162842</v>
      </c>
      <c r="I212" s="300">
        <f t="shared" si="8"/>
        <v>1.0636060290561016E-6</v>
      </c>
      <c r="J212" s="213"/>
      <c r="O212" s="69"/>
      <c r="P212" s="69"/>
      <c r="Q212" s="248"/>
      <c r="R212" s="247"/>
      <c r="S212" s="69"/>
      <c r="T212" s="162"/>
      <c r="U212" s="69"/>
    </row>
    <row r="213" spans="1:21">
      <c r="A213" s="298">
        <v>4</v>
      </c>
      <c r="B213" s="298" t="s">
        <v>391</v>
      </c>
      <c r="C213" s="298" t="s">
        <v>392</v>
      </c>
      <c r="D213" s="298"/>
      <c r="E213" s="301">
        <v>5.9089225401779996E-7</v>
      </c>
      <c r="F213" s="301">
        <v>2.0662953376205786E-11</v>
      </c>
      <c r="G213" s="304">
        <f t="shared" si="7"/>
        <v>1692355.9129442847</v>
      </c>
      <c r="H213" s="304">
        <v>0.30000001192092896</v>
      </c>
      <c r="I213" s="300">
        <f t="shared" si="8"/>
        <v>1.7726768324932458E-7</v>
      </c>
      <c r="J213" s="213"/>
      <c r="L213" s="1"/>
      <c r="N213" s="2"/>
      <c r="O213" s="69"/>
      <c r="P213" s="69"/>
      <c r="Q213" s="248"/>
      <c r="R213" s="247"/>
      <c r="S213" s="69"/>
      <c r="T213" s="162"/>
      <c r="U213" s="69"/>
    </row>
    <row r="214" spans="1:21">
      <c r="A214" s="298">
        <v>4</v>
      </c>
      <c r="B214" s="298" t="s">
        <v>393</v>
      </c>
      <c r="C214" s="298" t="s">
        <v>394</v>
      </c>
      <c r="D214" s="298"/>
      <c r="E214" s="301">
        <v>5.9089225401779996E-7</v>
      </c>
      <c r="F214" s="301">
        <v>2.0662953376205786E-11</v>
      </c>
      <c r="G214" s="304">
        <f t="shared" si="7"/>
        <v>1692355.9129442847</v>
      </c>
      <c r="H214" s="304">
        <v>2.4000000953674316</v>
      </c>
      <c r="I214" s="300">
        <f t="shared" si="8"/>
        <v>1.4181414659945967E-6</v>
      </c>
      <c r="J214" s="213"/>
      <c r="O214" s="69"/>
      <c r="P214" s="69"/>
      <c r="Q214" s="248"/>
      <c r="R214" s="247"/>
      <c r="S214" s="69"/>
      <c r="T214" s="162"/>
      <c r="U214" s="69"/>
    </row>
    <row r="215" spans="1:21">
      <c r="A215" s="298">
        <v>4</v>
      </c>
      <c r="B215" s="298" t="s">
        <v>395</v>
      </c>
      <c r="C215" s="298" t="s">
        <v>396</v>
      </c>
      <c r="D215" s="298"/>
      <c r="E215" s="301">
        <v>0</v>
      </c>
      <c r="F215" s="301">
        <v>0</v>
      </c>
      <c r="G215" s="304" t="str">
        <f t="shared" si="7"/>
        <v/>
      </c>
      <c r="H215" s="304">
        <v>0</v>
      </c>
      <c r="I215" s="300">
        <f t="shared" si="8"/>
        <v>0</v>
      </c>
      <c r="J215" s="213"/>
      <c r="L215" s="1"/>
      <c r="N215" s="2"/>
      <c r="O215" s="69"/>
      <c r="P215" s="69"/>
      <c r="Q215" s="248"/>
      <c r="R215" s="247"/>
      <c r="S215" s="69"/>
      <c r="T215" s="162"/>
      <c r="U215" s="69"/>
    </row>
    <row r="216" spans="1:21">
      <c r="A216" s="298">
        <v>4</v>
      </c>
      <c r="B216" s="298" t="s">
        <v>397</v>
      </c>
      <c r="C216" s="298" t="s">
        <v>398</v>
      </c>
      <c r="D216" s="298"/>
      <c r="E216" s="301">
        <v>0</v>
      </c>
      <c r="F216" s="301">
        <v>0</v>
      </c>
      <c r="G216" s="304" t="str">
        <f t="shared" si="7"/>
        <v/>
      </c>
      <c r="H216" s="304">
        <v>0</v>
      </c>
      <c r="I216" s="300">
        <f t="shared" si="8"/>
        <v>0</v>
      </c>
      <c r="J216" s="213"/>
      <c r="L216" s="1"/>
      <c r="N216" s="2"/>
      <c r="O216" s="69"/>
      <c r="P216" s="69"/>
      <c r="Q216" s="248"/>
      <c r="R216" s="247"/>
      <c r="S216" s="69"/>
      <c r="T216" s="162"/>
      <c r="U216" s="69"/>
    </row>
    <row r="217" spans="1:21">
      <c r="A217" s="298">
        <v>4</v>
      </c>
      <c r="B217" s="298" t="s">
        <v>399</v>
      </c>
      <c r="C217" s="298" t="s">
        <v>400</v>
      </c>
      <c r="D217" s="298"/>
      <c r="E217" s="301">
        <v>4.4133965749439993E-7</v>
      </c>
      <c r="F217" s="301">
        <v>1.5187270731511252E-10</v>
      </c>
      <c r="G217" s="304">
        <f t="shared" ref="G217:G280" si="9">IF(E217 &lt;&gt; 0, 1/E217, "")</f>
        <v>2265828.5586146056</v>
      </c>
      <c r="H217" s="304">
        <v>0</v>
      </c>
      <c r="I217" s="300">
        <f t="shared" ref="I217:I280" si="10">H217*E217</f>
        <v>0</v>
      </c>
      <c r="J217" s="213"/>
      <c r="O217" s="69"/>
      <c r="P217" s="69"/>
      <c r="Q217" s="248"/>
      <c r="R217" s="247"/>
      <c r="S217" s="69"/>
      <c r="T217" s="162"/>
      <c r="U217" s="69"/>
    </row>
    <row r="218" spans="1:21">
      <c r="A218" s="298">
        <v>4</v>
      </c>
      <c r="B218" s="298" t="s">
        <v>401</v>
      </c>
      <c r="C218" s="298" t="s">
        <v>402</v>
      </c>
      <c r="D218" s="298"/>
      <c r="E218" s="301">
        <v>4.4133965749439993E-7</v>
      </c>
      <c r="F218" s="301">
        <v>1.5187270731511252E-10</v>
      </c>
      <c r="G218" s="304">
        <f t="shared" si="9"/>
        <v>2265828.5586146056</v>
      </c>
      <c r="H218" s="304">
        <v>0</v>
      </c>
      <c r="I218" s="300">
        <f t="shared" si="10"/>
        <v>0</v>
      </c>
      <c r="J218" s="213"/>
      <c r="O218" s="69"/>
      <c r="P218" s="69"/>
      <c r="Q218" s="248"/>
      <c r="R218" s="247"/>
      <c r="S218" s="69"/>
      <c r="T218" s="162"/>
      <c r="U218" s="69"/>
    </row>
    <row r="219" spans="1:21">
      <c r="A219" s="298">
        <v>4</v>
      </c>
      <c r="B219" s="298" t="s">
        <v>403</v>
      </c>
      <c r="C219" s="298" t="s">
        <v>404</v>
      </c>
      <c r="D219" s="298"/>
      <c r="E219" s="301">
        <v>4.4133965749439993E-7</v>
      </c>
      <c r="F219" s="301">
        <v>1.5187270731511252E-10</v>
      </c>
      <c r="G219" s="304">
        <f t="shared" si="9"/>
        <v>2265828.5586146056</v>
      </c>
      <c r="H219" s="304">
        <v>0</v>
      </c>
      <c r="I219" s="300">
        <f t="shared" si="10"/>
        <v>0</v>
      </c>
      <c r="J219" s="213"/>
      <c r="O219" s="69"/>
      <c r="P219" s="69"/>
      <c r="Q219" s="248"/>
      <c r="R219" s="247"/>
      <c r="S219" s="69"/>
      <c r="T219" s="162"/>
      <c r="U219" s="69"/>
    </row>
    <row r="220" spans="1:21">
      <c r="A220" s="298">
        <v>4</v>
      </c>
      <c r="B220" s="298" t="s">
        <v>405</v>
      </c>
      <c r="C220" s="298" t="s">
        <v>406</v>
      </c>
      <c r="D220" s="298"/>
      <c r="E220" s="301">
        <v>0</v>
      </c>
      <c r="F220" s="301">
        <v>0</v>
      </c>
      <c r="G220" s="304" t="str">
        <f t="shared" si="9"/>
        <v/>
      </c>
      <c r="H220" s="304">
        <v>27.600000381469727</v>
      </c>
      <c r="I220" s="300">
        <f t="shared" si="10"/>
        <v>0</v>
      </c>
      <c r="J220" s="213"/>
      <c r="O220" s="69"/>
      <c r="P220" s="69"/>
      <c r="Q220" s="248"/>
      <c r="R220" s="247"/>
      <c r="S220" s="69"/>
      <c r="T220" s="162"/>
      <c r="U220" s="69"/>
    </row>
    <row r="221" spans="1:21">
      <c r="A221" s="298">
        <v>4</v>
      </c>
      <c r="B221" s="298" t="s">
        <v>407</v>
      </c>
      <c r="C221" s="298" t="s">
        <v>408</v>
      </c>
      <c r="D221" s="298"/>
      <c r="E221" s="301">
        <v>0</v>
      </c>
      <c r="F221" s="301">
        <v>0</v>
      </c>
      <c r="G221" s="304" t="str">
        <f t="shared" si="9"/>
        <v/>
      </c>
      <c r="H221" s="304">
        <v>30.700000762939453</v>
      </c>
      <c r="I221" s="300">
        <f t="shared" si="10"/>
        <v>0</v>
      </c>
      <c r="J221" s="213"/>
      <c r="O221" s="69"/>
      <c r="P221" s="69"/>
      <c r="Q221" s="248"/>
      <c r="R221" s="247"/>
      <c r="S221" s="69"/>
      <c r="T221" s="162"/>
      <c r="U221" s="69"/>
    </row>
    <row r="222" spans="1:21">
      <c r="A222" s="298">
        <v>4</v>
      </c>
      <c r="B222" s="298" t="s">
        <v>409</v>
      </c>
      <c r="C222" s="298" t="s">
        <v>410</v>
      </c>
      <c r="D222" s="298"/>
      <c r="E222" s="301">
        <v>9.0069317855999971E-9</v>
      </c>
      <c r="F222" s="301">
        <v>3.0994430064308677E-12</v>
      </c>
      <c r="G222" s="304">
        <f t="shared" si="9"/>
        <v>111025599.3721157</v>
      </c>
      <c r="H222" s="304">
        <v>67.599998474121094</v>
      </c>
      <c r="I222" s="300">
        <f t="shared" si="10"/>
        <v>6.0886857496307258E-7</v>
      </c>
      <c r="J222" s="213"/>
      <c r="O222" s="69"/>
      <c r="P222" s="69"/>
      <c r="Q222" s="248"/>
      <c r="R222" s="247"/>
      <c r="S222" s="69"/>
      <c r="T222" s="162"/>
      <c r="U222" s="69"/>
    </row>
    <row r="223" spans="1:21">
      <c r="A223" s="298">
        <v>4</v>
      </c>
      <c r="B223" s="298" t="s">
        <v>411</v>
      </c>
      <c r="C223" s="298" t="s">
        <v>412</v>
      </c>
      <c r="D223" s="298"/>
      <c r="E223" s="301">
        <v>9.0069317855999971E-9</v>
      </c>
      <c r="F223" s="301">
        <v>3.0994430064308677E-12</v>
      </c>
      <c r="G223" s="304">
        <f t="shared" si="9"/>
        <v>111025599.3721157</v>
      </c>
      <c r="H223" s="304">
        <v>37.5</v>
      </c>
      <c r="I223" s="300">
        <f t="shared" si="10"/>
        <v>3.377599419599999E-7</v>
      </c>
      <c r="J223" s="213"/>
      <c r="L223" s="1"/>
      <c r="N223" s="2"/>
      <c r="O223" s="69"/>
      <c r="P223" s="69"/>
      <c r="Q223" s="248"/>
      <c r="R223" s="247"/>
      <c r="S223" s="69"/>
      <c r="T223" s="162"/>
      <c r="U223" s="69"/>
    </row>
    <row r="224" spans="1:21">
      <c r="A224" s="298">
        <v>4</v>
      </c>
      <c r="B224" s="298" t="s">
        <v>413</v>
      </c>
      <c r="C224" s="298" t="s">
        <v>414</v>
      </c>
      <c r="D224" s="298"/>
      <c r="E224" s="301">
        <v>9.0069317855999971E-9</v>
      </c>
      <c r="F224" s="301">
        <v>3.0994430064308677E-12</v>
      </c>
      <c r="G224" s="304">
        <f t="shared" si="9"/>
        <v>111025599.3721157</v>
      </c>
      <c r="H224" s="304">
        <v>94</v>
      </c>
      <c r="I224" s="300">
        <f t="shared" si="10"/>
        <v>8.466515878463997E-7</v>
      </c>
      <c r="J224" s="213"/>
      <c r="O224" s="69"/>
      <c r="P224" s="69"/>
      <c r="Q224" s="248"/>
      <c r="R224" s="247"/>
      <c r="S224" s="69"/>
      <c r="T224" s="162"/>
      <c r="U224" s="69"/>
    </row>
    <row r="225" spans="1:21">
      <c r="A225" s="298">
        <v>5</v>
      </c>
      <c r="B225" s="298" t="s">
        <v>261</v>
      </c>
      <c r="C225" s="298" t="s">
        <v>262</v>
      </c>
      <c r="D225" s="298"/>
      <c r="E225" s="301">
        <v>0</v>
      </c>
      <c r="F225" s="301">
        <v>0</v>
      </c>
      <c r="G225" s="304" t="str">
        <f t="shared" si="9"/>
        <v/>
      </c>
      <c r="H225" s="304">
        <v>0</v>
      </c>
      <c r="I225" s="300">
        <f t="shared" si="10"/>
        <v>0</v>
      </c>
      <c r="J225" s="213"/>
      <c r="O225" s="69"/>
      <c r="P225" s="69"/>
      <c r="Q225" s="248"/>
      <c r="R225" s="247"/>
      <c r="S225" s="69"/>
      <c r="T225" s="162"/>
      <c r="U225" s="69"/>
    </row>
    <row r="226" spans="1:21">
      <c r="A226" s="298">
        <v>5</v>
      </c>
      <c r="B226" s="298" t="s">
        <v>263</v>
      </c>
      <c r="C226" s="298" t="s">
        <v>264</v>
      </c>
      <c r="D226" s="298"/>
      <c r="E226" s="301">
        <v>0</v>
      </c>
      <c r="F226" s="301">
        <v>0</v>
      </c>
      <c r="G226" s="304" t="str">
        <f t="shared" si="9"/>
        <v/>
      </c>
      <c r="H226" s="304">
        <v>0</v>
      </c>
      <c r="I226" s="300">
        <f t="shared" si="10"/>
        <v>0</v>
      </c>
      <c r="J226" s="213"/>
      <c r="O226" s="69"/>
      <c r="P226" s="69"/>
      <c r="Q226" s="248"/>
      <c r="R226" s="247"/>
      <c r="S226" s="69"/>
      <c r="T226" s="162"/>
      <c r="U226" s="69"/>
    </row>
    <row r="227" spans="1:21">
      <c r="A227" s="298">
        <v>5</v>
      </c>
      <c r="B227" s="298" t="s">
        <v>265</v>
      </c>
      <c r="C227" s="298" t="s">
        <v>266</v>
      </c>
      <c r="D227" s="298"/>
      <c r="E227" s="301">
        <v>1.5343383354534477E-4</v>
      </c>
      <c r="F227" s="301">
        <v>1.0403797024919612E-10</v>
      </c>
      <c r="G227" s="304">
        <f t="shared" si="9"/>
        <v>6517.4673466296917</v>
      </c>
      <c r="H227" s="304">
        <v>0</v>
      </c>
      <c r="I227" s="300">
        <f t="shared" si="10"/>
        <v>0</v>
      </c>
      <c r="J227" s="213"/>
      <c r="L227" s="1"/>
      <c r="N227" s="2"/>
      <c r="O227" s="69"/>
      <c r="P227" s="69"/>
      <c r="Q227" s="248"/>
      <c r="R227" s="247"/>
      <c r="S227" s="69"/>
      <c r="T227" s="162"/>
      <c r="U227" s="69"/>
    </row>
    <row r="228" spans="1:21">
      <c r="A228" s="298">
        <v>5</v>
      </c>
      <c r="B228" s="298" t="s">
        <v>267</v>
      </c>
      <c r="C228" s="298" t="s">
        <v>268</v>
      </c>
      <c r="D228" s="298"/>
      <c r="E228" s="301">
        <v>1.5343383354534477E-4</v>
      </c>
      <c r="F228" s="301">
        <v>1.0403797024919612E-10</v>
      </c>
      <c r="G228" s="304">
        <f t="shared" si="9"/>
        <v>6517.4673466296917</v>
      </c>
      <c r="H228" s="304">
        <v>0</v>
      </c>
      <c r="I228" s="300">
        <f t="shared" si="10"/>
        <v>0</v>
      </c>
      <c r="J228" s="213"/>
      <c r="O228" s="69"/>
      <c r="P228" s="69"/>
      <c r="Q228" s="248"/>
      <c r="R228" s="247"/>
      <c r="S228" s="69"/>
      <c r="T228" s="162"/>
      <c r="U228" s="69"/>
    </row>
    <row r="229" spans="1:21">
      <c r="A229" s="298">
        <v>5</v>
      </c>
      <c r="B229" s="298" t="s">
        <v>269</v>
      </c>
      <c r="C229" s="298" t="s">
        <v>270</v>
      </c>
      <c r="D229" s="298"/>
      <c r="E229" s="301">
        <v>1.5343383354534477E-4</v>
      </c>
      <c r="F229" s="301">
        <v>1.0403797024919612E-10</v>
      </c>
      <c r="G229" s="304">
        <f t="shared" si="9"/>
        <v>6517.4673466296917</v>
      </c>
      <c r="H229" s="304">
        <v>0</v>
      </c>
      <c r="I229" s="300">
        <f t="shared" si="10"/>
        <v>0</v>
      </c>
      <c r="J229" s="213"/>
      <c r="O229" s="69"/>
      <c r="P229" s="69"/>
      <c r="Q229" s="248"/>
      <c r="R229" s="247"/>
      <c r="S229" s="69"/>
      <c r="T229" s="162"/>
      <c r="U229" s="69"/>
    </row>
    <row r="230" spans="1:21">
      <c r="A230" s="298">
        <v>5</v>
      </c>
      <c r="B230" s="298" t="s">
        <v>271</v>
      </c>
      <c r="C230" s="298" t="s">
        <v>272</v>
      </c>
      <c r="D230" s="298"/>
      <c r="E230" s="301">
        <v>0</v>
      </c>
      <c r="F230" s="301">
        <v>0</v>
      </c>
      <c r="G230" s="304" t="str">
        <f t="shared" si="9"/>
        <v/>
      </c>
      <c r="H230" s="304">
        <v>0</v>
      </c>
      <c r="I230" s="300">
        <f t="shared" si="10"/>
        <v>0</v>
      </c>
      <c r="J230" s="213"/>
      <c r="L230" s="1"/>
      <c r="N230" s="2"/>
      <c r="O230" s="69"/>
      <c r="P230" s="69"/>
      <c r="Q230" s="248"/>
      <c r="R230" s="247"/>
      <c r="S230" s="69"/>
      <c r="T230" s="162"/>
      <c r="U230" s="69"/>
    </row>
    <row r="231" spans="1:21">
      <c r="A231" s="298">
        <v>5</v>
      </c>
      <c r="B231" s="298" t="s">
        <v>273</v>
      </c>
      <c r="C231" s="298" t="s">
        <v>274</v>
      </c>
      <c r="D231" s="298"/>
      <c r="E231" s="301">
        <v>0</v>
      </c>
      <c r="F231" s="301">
        <v>0</v>
      </c>
      <c r="G231" s="304" t="str">
        <f t="shared" si="9"/>
        <v/>
      </c>
      <c r="H231" s="304">
        <v>0</v>
      </c>
      <c r="I231" s="300">
        <f t="shared" si="10"/>
        <v>0</v>
      </c>
      <c r="J231" s="213"/>
      <c r="L231" s="1"/>
      <c r="N231" s="2"/>
      <c r="O231" s="69"/>
      <c r="P231" s="69"/>
      <c r="Q231" s="248"/>
      <c r="R231" s="247"/>
      <c r="S231" s="69"/>
      <c r="T231" s="162"/>
      <c r="U231" s="69"/>
    </row>
    <row r="232" spans="1:21">
      <c r="A232" s="298">
        <v>5</v>
      </c>
      <c r="B232" s="298" t="s">
        <v>275</v>
      </c>
      <c r="C232" s="298" t="s">
        <v>276</v>
      </c>
      <c r="D232" s="298"/>
      <c r="E232" s="301">
        <v>3.1313027254151995E-6</v>
      </c>
      <c r="F232" s="301">
        <v>2.1232238826366559E-12</v>
      </c>
      <c r="G232" s="304">
        <f t="shared" si="9"/>
        <v>319355.89998485491</v>
      </c>
      <c r="H232" s="304">
        <v>0</v>
      </c>
      <c r="I232" s="300">
        <f t="shared" si="10"/>
        <v>0</v>
      </c>
      <c r="J232" s="213"/>
      <c r="O232" s="69"/>
      <c r="P232" s="69"/>
      <c r="Q232" s="248"/>
      <c r="R232" s="247"/>
      <c r="S232" s="69"/>
      <c r="T232" s="162"/>
      <c r="U232" s="69"/>
    </row>
    <row r="233" spans="1:21">
      <c r="A233" s="298">
        <v>5</v>
      </c>
      <c r="B233" s="298" t="s">
        <v>277</v>
      </c>
      <c r="C233" s="298" t="s">
        <v>278</v>
      </c>
      <c r="D233" s="298"/>
      <c r="E233" s="301">
        <v>3.1313027254151995E-6</v>
      </c>
      <c r="F233" s="301">
        <v>2.1232238826366559E-12</v>
      </c>
      <c r="G233" s="304">
        <f t="shared" si="9"/>
        <v>319355.89998485491</v>
      </c>
      <c r="H233" s="304">
        <v>0</v>
      </c>
      <c r="I233" s="300">
        <f t="shared" si="10"/>
        <v>0</v>
      </c>
      <c r="J233" s="213"/>
      <c r="O233" s="69"/>
      <c r="P233" s="69"/>
      <c r="Q233" s="248"/>
      <c r="R233" s="247"/>
      <c r="S233" s="69"/>
      <c r="T233" s="162"/>
      <c r="U233" s="69"/>
    </row>
    <row r="234" spans="1:21">
      <c r="A234" s="298">
        <v>5</v>
      </c>
      <c r="B234" s="298" t="s">
        <v>279</v>
      </c>
      <c r="C234" s="298" t="s">
        <v>280</v>
      </c>
      <c r="D234" s="298"/>
      <c r="E234" s="301">
        <v>3.1313027254151995E-6</v>
      </c>
      <c r="F234" s="301">
        <v>2.1232238826366559E-12</v>
      </c>
      <c r="G234" s="304">
        <f t="shared" si="9"/>
        <v>319355.89998485491</v>
      </c>
      <c r="H234" s="304">
        <v>0</v>
      </c>
      <c r="I234" s="300">
        <f t="shared" si="10"/>
        <v>0</v>
      </c>
      <c r="J234" s="213"/>
      <c r="O234" s="69"/>
      <c r="P234" s="69"/>
      <c r="Q234" s="248"/>
      <c r="R234" s="247"/>
      <c r="S234" s="69"/>
      <c r="T234" s="162"/>
      <c r="U234" s="69"/>
    </row>
    <row r="235" spans="1:21">
      <c r="A235" s="298">
        <v>5</v>
      </c>
      <c r="B235" s="298" t="s">
        <v>281</v>
      </c>
      <c r="C235" s="298" t="s">
        <v>282</v>
      </c>
      <c r="D235" s="298"/>
      <c r="E235" s="301">
        <v>0</v>
      </c>
      <c r="F235" s="301">
        <v>0</v>
      </c>
      <c r="G235" s="304" t="str">
        <f t="shared" si="9"/>
        <v/>
      </c>
      <c r="H235" s="304">
        <v>0</v>
      </c>
      <c r="I235" s="300">
        <f t="shared" si="10"/>
        <v>0</v>
      </c>
      <c r="J235" s="213"/>
      <c r="O235" s="69"/>
      <c r="P235" s="69"/>
      <c r="Q235" s="248"/>
      <c r="R235" s="247"/>
      <c r="S235" s="69"/>
      <c r="T235" s="162"/>
      <c r="U235" s="69"/>
    </row>
    <row r="236" spans="1:21">
      <c r="A236" s="298">
        <v>5</v>
      </c>
      <c r="B236" s="298" t="s">
        <v>283</v>
      </c>
      <c r="C236" s="298" t="s">
        <v>284</v>
      </c>
      <c r="D236" s="298"/>
      <c r="E236" s="301">
        <v>0</v>
      </c>
      <c r="F236" s="301">
        <v>0</v>
      </c>
      <c r="G236" s="304" t="str">
        <f t="shared" si="9"/>
        <v/>
      </c>
      <c r="H236" s="304">
        <v>0</v>
      </c>
      <c r="I236" s="300">
        <f t="shared" si="10"/>
        <v>0</v>
      </c>
      <c r="J236" s="213"/>
      <c r="L236" s="1"/>
      <c r="N236" s="2"/>
      <c r="O236" s="69"/>
      <c r="P236" s="69"/>
      <c r="Q236" s="248"/>
      <c r="R236" s="247"/>
      <c r="S236" s="69"/>
      <c r="T236" s="162"/>
      <c r="U236" s="69"/>
    </row>
    <row r="237" spans="1:21">
      <c r="A237" s="298">
        <v>5</v>
      </c>
      <c r="B237" s="298" t="s">
        <v>285</v>
      </c>
      <c r="C237" s="298" t="s">
        <v>286</v>
      </c>
      <c r="D237" s="298"/>
      <c r="E237" s="301">
        <v>8.0754649234391992E-6</v>
      </c>
      <c r="F237" s="301">
        <v>5.4756826446945329E-12</v>
      </c>
      <c r="G237" s="304">
        <f t="shared" si="9"/>
        <v>123831.87958596414</v>
      </c>
      <c r="H237" s="304">
        <v>0</v>
      </c>
      <c r="I237" s="300">
        <f t="shared" si="10"/>
        <v>0</v>
      </c>
      <c r="J237" s="213"/>
      <c r="O237" s="69"/>
      <c r="P237" s="69"/>
      <c r="Q237" s="248"/>
      <c r="R237" s="247"/>
      <c r="S237" s="69"/>
      <c r="T237" s="162"/>
      <c r="U237" s="69"/>
    </row>
    <row r="238" spans="1:21">
      <c r="A238" s="298">
        <v>5</v>
      </c>
      <c r="B238" s="298" t="s">
        <v>287</v>
      </c>
      <c r="C238" s="298" t="s">
        <v>288</v>
      </c>
      <c r="D238" s="298"/>
      <c r="E238" s="301">
        <v>8.0754649234391992E-6</v>
      </c>
      <c r="F238" s="301">
        <v>5.4756826446945329E-12</v>
      </c>
      <c r="G238" s="304">
        <f t="shared" si="9"/>
        <v>123831.87958596414</v>
      </c>
      <c r="H238" s="304">
        <v>0</v>
      </c>
      <c r="I238" s="300">
        <f t="shared" si="10"/>
        <v>0</v>
      </c>
      <c r="J238" s="213"/>
      <c r="L238" s="1"/>
      <c r="N238" s="2"/>
      <c r="O238" s="69"/>
      <c r="P238" s="69"/>
      <c r="Q238" s="248"/>
      <c r="R238" s="247"/>
      <c r="S238" s="69"/>
      <c r="T238" s="162"/>
      <c r="U238" s="69"/>
    </row>
    <row r="239" spans="1:21">
      <c r="A239" s="298">
        <v>5</v>
      </c>
      <c r="B239" s="298" t="s">
        <v>289</v>
      </c>
      <c r="C239" s="298" t="s">
        <v>290</v>
      </c>
      <c r="D239" s="298"/>
      <c r="E239" s="301">
        <v>8.0754649234391992E-6</v>
      </c>
      <c r="F239" s="301">
        <v>5.4756826446945329E-12</v>
      </c>
      <c r="G239" s="304">
        <f t="shared" si="9"/>
        <v>123831.87958596414</v>
      </c>
      <c r="H239" s="304">
        <v>0</v>
      </c>
      <c r="I239" s="300">
        <f t="shared" si="10"/>
        <v>0</v>
      </c>
      <c r="J239" s="213"/>
      <c r="L239" s="1"/>
      <c r="N239" s="2"/>
      <c r="O239" s="69"/>
      <c r="P239" s="69"/>
      <c r="Q239" s="248"/>
      <c r="R239" s="247"/>
      <c r="S239" s="69"/>
      <c r="T239" s="162"/>
      <c r="U239" s="69"/>
    </row>
    <row r="240" spans="1:21">
      <c r="A240" s="298">
        <v>5</v>
      </c>
      <c r="B240" s="298" t="s">
        <v>291</v>
      </c>
      <c r="C240" s="298" t="s">
        <v>292</v>
      </c>
      <c r="D240" s="298"/>
      <c r="E240" s="301">
        <v>0</v>
      </c>
      <c r="F240" s="301">
        <v>0</v>
      </c>
      <c r="G240" s="304" t="str">
        <f t="shared" si="9"/>
        <v/>
      </c>
      <c r="H240" s="304">
        <v>0</v>
      </c>
      <c r="I240" s="300">
        <f t="shared" si="10"/>
        <v>0</v>
      </c>
      <c r="J240" s="213"/>
      <c r="O240" s="69"/>
      <c r="P240" s="69"/>
      <c r="Q240" s="248"/>
      <c r="R240" s="247"/>
      <c r="S240" s="69"/>
      <c r="T240" s="162"/>
      <c r="U240" s="69"/>
    </row>
    <row r="241" spans="1:21">
      <c r="A241" s="298">
        <v>5</v>
      </c>
      <c r="B241" s="298" t="s">
        <v>293</v>
      </c>
      <c r="C241" s="298" t="s">
        <v>294</v>
      </c>
      <c r="D241" s="298"/>
      <c r="E241" s="301">
        <v>0</v>
      </c>
      <c r="F241" s="301">
        <v>0</v>
      </c>
      <c r="G241" s="304" t="str">
        <f t="shared" si="9"/>
        <v/>
      </c>
      <c r="H241" s="304">
        <v>0</v>
      </c>
      <c r="I241" s="300">
        <f t="shared" si="10"/>
        <v>0</v>
      </c>
      <c r="J241" s="213"/>
      <c r="O241" s="69"/>
      <c r="P241" s="69"/>
      <c r="Q241" s="248"/>
      <c r="R241" s="247"/>
      <c r="S241" s="69"/>
      <c r="T241" s="162"/>
      <c r="U241" s="69"/>
    </row>
    <row r="242" spans="1:21">
      <c r="A242" s="298">
        <v>5</v>
      </c>
      <c r="B242" s="298" t="s">
        <v>295</v>
      </c>
      <c r="C242" s="298" t="s">
        <v>296</v>
      </c>
      <c r="D242" s="298"/>
      <c r="E242" s="301">
        <v>1.6480540660080001E-7</v>
      </c>
      <c r="F242" s="301">
        <v>1.1174862540192927E-13</v>
      </c>
      <c r="G242" s="304">
        <f t="shared" si="9"/>
        <v>6067762.0997122414</v>
      </c>
      <c r="H242" s="304">
        <v>0</v>
      </c>
      <c r="I242" s="300">
        <f t="shared" si="10"/>
        <v>0</v>
      </c>
      <c r="J242" s="213"/>
      <c r="O242" s="69"/>
      <c r="P242" s="69"/>
      <c r="Q242" s="248"/>
      <c r="R242" s="247"/>
      <c r="S242" s="69"/>
      <c r="T242" s="162"/>
      <c r="U242" s="69"/>
    </row>
    <row r="243" spans="1:21">
      <c r="A243" s="298">
        <v>5</v>
      </c>
      <c r="B243" s="298" t="s">
        <v>297</v>
      </c>
      <c r="C243" s="298" t="s">
        <v>298</v>
      </c>
      <c r="D243" s="298"/>
      <c r="E243" s="301">
        <v>1.6480540660080001E-7</v>
      </c>
      <c r="F243" s="301">
        <v>1.1174862540192927E-13</v>
      </c>
      <c r="G243" s="304">
        <f t="shared" si="9"/>
        <v>6067762.0997122414</v>
      </c>
      <c r="H243" s="304">
        <v>0</v>
      </c>
      <c r="I243" s="300">
        <f t="shared" si="10"/>
        <v>0</v>
      </c>
      <c r="J243" s="213"/>
      <c r="O243" s="69"/>
      <c r="P243" s="69"/>
      <c r="Q243" s="248"/>
      <c r="R243" s="247"/>
      <c r="S243" s="69"/>
      <c r="T243" s="162"/>
      <c r="U243" s="69"/>
    </row>
    <row r="244" spans="1:21">
      <c r="A244" s="298">
        <v>5</v>
      </c>
      <c r="B244" s="298" t="s">
        <v>299</v>
      </c>
      <c r="C244" s="298" t="s">
        <v>300</v>
      </c>
      <c r="D244" s="298"/>
      <c r="E244" s="301">
        <v>1.6480540660080001E-7</v>
      </c>
      <c r="F244" s="301">
        <v>1.1174862540192927E-13</v>
      </c>
      <c r="G244" s="304">
        <f t="shared" si="9"/>
        <v>6067762.0997122414</v>
      </c>
      <c r="H244" s="304">
        <v>0</v>
      </c>
      <c r="I244" s="300">
        <f t="shared" si="10"/>
        <v>0</v>
      </c>
      <c r="J244" s="213"/>
      <c r="L244" s="1"/>
      <c r="N244" s="2"/>
      <c r="O244" s="69"/>
      <c r="P244" s="69"/>
      <c r="Q244" s="248"/>
      <c r="R244" s="247"/>
      <c r="S244" s="69"/>
      <c r="T244" s="162"/>
      <c r="U244" s="69"/>
    </row>
    <row r="245" spans="1:21">
      <c r="A245" s="298">
        <v>5</v>
      </c>
      <c r="B245" s="298" t="s">
        <v>355</v>
      </c>
      <c r="C245" s="298" t="s">
        <v>356</v>
      </c>
      <c r="D245" s="298"/>
      <c r="E245" s="301">
        <v>0</v>
      </c>
      <c r="F245" s="301">
        <v>0</v>
      </c>
      <c r="G245" s="304" t="str">
        <f t="shared" si="9"/>
        <v/>
      </c>
      <c r="H245" s="304">
        <v>0</v>
      </c>
      <c r="I245" s="300">
        <f t="shared" si="10"/>
        <v>0</v>
      </c>
      <c r="J245" s="213"/>
      <c r="L245" s="1"/>
      <c r="N245" s="2"/>
      <c r="O245" s="69"/>
      <c r="P245" s="69"/>
      <c r="Q245" s="248"/>
      <c r="R245" s="247"/>
      <c r="S245" s="69"/>
      <c r="T245" s="162"/>
      <c r="U245" s="69"/>
    </row>
    <row r="246" spans="1:21">
      <c r="A246" s="298">
        <v>5</v>
      </c>
      <c r="B246" s="298" t="s">
        <v>357</v>
      </c>
      <c r="C246" s="298" t="s">
        <v>358</v>
      </c>
      <c r="D246" s="298"/>
      <c r="E246" s="301">
        <v>0</v>
      </c>
      <c r="F246" s="301">
        <v>0</v>
      </c>
      <c r="G246" s="304" t="str">
        <f t="shared" si="9"/>
        <v/>
      </c>
      <c r="H246" s="304">
        <v>0</v>
      </c>
      <c r="I246" s="300">
        <f t="shared" si="10"/>
        <v>0</v>
      </c>
      <c r="J246" s="213"/>
      <c r="O246" s="69"/>
      <c r="P246" s="69"/>
      <c r="Q246" s="248"/>
      <c r="R246" s="247"/>
      <c r="S246" s="69"/>
      <c r="T246" s="162"/>
      <c r="U246" s="69"/>
    </row>
    <row r="247" spans="1:21">
      <c r="A247" s="298">
        <v>5</v>
      </c>
      <c r="B247" s="298" t="s">
        <v>359</v>
      </c>
      <c r="C247" s="298" t="s">
        <v>360</v>
      </c>
      <c r="D247" s="298"/>
      <c r="E247" s="301">
        <v>1.8472912170095773E-4</v>
      </c>
      <c r="F247" s="301">
        <v>9.5564824611550831E-10</v>
      </c>
      <c r="G247" s="304">
        <f t="shared" si="9"/>
        <v>5413.331643609582</v>
      </c>
      <c r="H247" s="304">
        <v>0</v>
      </c>
      <c r="I247" s="300">
        <f t="shared" si="10"/>
        <v>0</v>
      </c>
      <c r="J247" s="213"/>
      <c r="O247" s="69"/>
      <c r="P247" s="69"/>
      <c r="Q247" s="248"/>
      <c r="R247" s="247"/>
      <c r="S247" s="69"/>
      <c r="T247" s="162"/>
      <c r="U247" s="69"/>
    </row>
    <row r="248" spans="1:21">
      <c r="A248" s="298">
        <v>5</v>
      </c>
      <c r="B248" s="298" t="s">
        <v>361</v>
      </c>
      <c r="C248" s="298" t="s">
        <v>362</v>
      </c>
      <c r="D248" s="298"/>
      <c r="E248" s="301">
        <v>1.8472912170095773E-4</v>
      </c>
      <c r="F248" s="301">
        <v>9.5564824611550831E-10</v>
      </c>
      <c r="G248" s="304">
        <f t="shared" si="9"/>
        <v>5413.331643609582</v>
      </c>
      <c r="H248" s="304">
        <v>0</v>
      </c>
      <c r="I248" s="300">
        <f t="shared" si="10"/>
        <v>0</v>
      </c>
      <c r="J248" s="213"/>
      <c r="O248" s="69"/>
      <c r="P248" s="69"/>
      <c r="Q248" s="248"/>
      <c r="R248" s="247"/>
      <c r="S248" s="69"/>
      <c r="T248" s="162"/>
      <c r="U248" s="69"/>
    </row>
    <row r="249" spans="1:21">
      <c r="A249" s="298">
        <v>5</v>
      </c>
      <c r="B249" s="298" t="s">
        <v>363</v>
      </c>
      <c r="C249" s="298" t="s">
        <v>364</v>
      </c>
      <c r="D249" s="298"/>
      <c r="E249" s="301">
        <v>1.8472912170095773E-4</v>
      </c>
      <c r="F249" s="301">
        <v>9.5564824611550831E-10</v>
      </c>
      <c r="G249" s="304">
        <f t="shared" si="9"/>
        <v>5413.331643609582</v>
      </c>
      <c r="H249" s="304">
        <v>0</v>
      </c>
      <c r="I249" s="300">
        <f t="shared" si="10"/>
        <v>0</v>
      </c>
      <c r="J249" s="213"/>
      <c r="O249" s="69"/>
      <c r="P249" s="69"/>
      <c r="Q249" s="248"/>
      <c r="R249" s="247"/>
      <c r="S249" s="69"/>
      <c r="T249" s="162"/>
      <c r="U249" s="69"/>
    </row>
    <row r="250" spans="1:21">
      <c r="A250" s="298">
        <v>5</v>
      </c>
      <c r="B250" s="298" t="s">
        <v>365</v>
      </c>
      <c r="C250" s="298" t="s">
        <v>366</v>
      </c>
      <c r="D250" s="298"/>
      <c r="E250" s="301">
        <v>0</v>
      </c>
      <c r="F250" s="301">
        <v>0</v>
      </c>
      <c r="G250" s="304" t="str">
        <f t="shared" si="9"/>
        <v/>
      </c>
      <c r="H250" s="304">
        <v>0</v>
      </c>
      <c r="I250" s="300">
        <f t="shared" si="10"/>
        <v>0</v>
      </c>
      <c r="J250" s="213"/>
      <c r="L250" s="1"/>
      <c r="N250" s="2"/>
      <c r="O250" s="69"/>
      <c r="P250" s="69"/>
      <c r="Q250" s="248"/>
      <c r="R250" s="247"/>
      <c r="S250" s="69"/>
      <c r="T250" s="162"/>
      <c r="U250" s="69"/>
    </row>
    <row r="251" spans="1:21">
      <c r="A251" s="298">
        <v>5</v>
      </c>
      <c r="B251" s="298" t="s">
        <v>367</v>
      </c>
      <c r="C251" s="298" t="s">
        <v>368</v>
      </c>
      <c r="D251" s="298"/>
      <c r="E251" s="301">
        <v>0</v>
      </c>
      <c r="F251" s="301">
        <v>0</v>
      </c>
      <c r="G251" s="304" t="str">
        <f t="shared" si="9"/>
        <v/>
      </c>
      <c r="H251" s="304">
        <v>0</v>
      </c>
      <c r="I251" s="300">
        <f t="shared" si="10"/>
        <v>0</v>
      </c>
      <c r="J251" s="213"/>
      <c r="O251" s="69"/>
      <c r="P251" s="69"/>
      <c r="Q251" s="248"/>
      <c r="R251" s="247"/>
      <c r="S251" s="69"/>
      <c r="T251" s="162"/>
      <c r="U251" s="69"/>
    </row>
    <row r="252" spans="1:21">
      <c r="A252" s="298">
        <v>5</v>
      </c>
      <c r="B252" s="298" t="s">
        <v>369</v>
      </c>
      <c r="C252" s="298" t="s">
        <v>370</v>
      </c>
      <c r="D252" s="298"/>
      <c r="E252" s="301">
        <v>3.769982075529749E-6</v>
      </c>
      <c r="F252" s="301">
        <v>1.9503025430928738E-11</v>
      </c>
      <c r="G252" s="304">
        <f t="shared" si="9"/>
        <v>265253.25053686957</v>
      </c>
      <c r="H252" s="304">
        <v>0</v>
      </c>
      <c r="I252" s="300">
        <f t="shared" si="10"/>
        <v>0</v>
      </c>
      <c r="J252" s="213"/>
      <c r="L252" s="1"/>
      <c r="N252" s="2"/>
      <c r="O252" s="69"/>
      <c r="P252" s="69"/>
      <c r="Q252" s="248"/>
      <c r="R252" s="247"/>
      <c r="S252" s="69"/>
      <c r="T252" s="162"/>
      <c r="U252" s="69"/>
    </row>
    <row r="253" spans="1:21">
      <c r="A253" s="298">
        <v>5</v>
      </c>
      <c r="B253" s="298" t="s">
        <v>371</v>
      </c>
      <c r="C253" s="298" t="s">
        <v>372</v>
      </c>
      <c r="D253" s="298"/>
      <c r="E253" s="301">
        <v>3.769982075529749E-6</v>
      </c>
      <c r="F253" s="301">
        <v>1.9503025430928738E-11</v>
      </c>
      <c r="G253" s="304">
        <f t="shared" si="9"/>
        <v>265253.25053686957</v>
      </c>
      <c r="H253" s="304">
        <v>0</v>
      </c>
      <c r="I253" s="300">
        <f t="shared" si="10"/>
        <v>0</v>
      </c>
      <c r="J253" s="213"/>
      <c r="O253" s="69"/>
      <c r="P253" s="69"/>
      <c r="Q253" s="248"/>
      <c r="R253" s="247"/>
      <c r="S253" s="69"/>
      <c r="T253" s="162"/>
      <c r="U253" s="69"/>
    </row>
    <row r="254" spans="1:21">
      <c r="A254" s="298">
        <v>5</v>
      </c>
      <c r="B254" s="298" t="s">
        <v>373</v>
      </c>
      <c r="C254" s="298" t="s">
        <v>374</v>
      </c>
      <c r="D254" s="298"/>
      <c r="E254" s="301">
        <v>3.769982075529749E-6</v>
      </c>
      <c r="F254" s="301">
        <v>1.9503025430928738E-11</v>
      </c>
      <c r="G254" s="304">
        <f t="shared" si="9"/>
        <v>265253.25053686957</v>
      </c>
      <c r="H254" s="304">
        <v>0</v>
      </c>
      <c r="I254" s="300">
        <f t="shared" si="10"/>
        <v>0</v>
      </c>
      <c r="J254" s="213"/>
      <c r="L254" s="1"/>
      <c r="N254" s="2"/>
      <c r="O254" s="69"/>
      <c r="P254" s="69"/>
      <c r="Q254" s="248"/>
      <c r="R254" s="247"/>
      <c r="S254" s="69"/>
      <c r="T254" s="162"/>
      <c r="U254" s="69"/>
    </row>
    <row r="255" spans="1:21">
      <c r="A255" s="298">
        <v>5</v>
      </c>
      <c r="B255" s="298" t="s">
        <v>375</v>
      </c>
      <c r="C255" s="298" t="s">
        <v>376</v>
      </c>
      <c r="D255" s="298"/>
      <c r="E255" s="301">
        <v>0</v>
      </c>
      <c r="F255" s="301">
        <v>0</v>
      </c>
      <c r="G255" s="304" t="str">
        <f t="shared" si="9"/>
        <v/>
      </c>
      <c r="H255" s="304">
        <v>0</v>
      </c>
      <c r="I255" s="300">
        <f t="shared" si="10"/>
        <v>0</v>
      </c>
      <c r="J255" s="213"/>
      <c r="O255" s="69"/>
      <c r="P255" s="69"/>
      <c r="Q255" s="248"/>
      <c r="R255" s="247"/>
      <c r="S255" s="69"/>
      <c r="T255" s="162"/>
      <c r="U255" s="69"/>
    </row>
    <row r="256" spans="1:21">
      <c r="A256" s="298">
        <v>5</v>
      </c>
      <c r="B256" s="298" t="s">
        <v>377</v>
      </c>
      <c r="C256" s="298" t="s">
        <v>378</v>
      </c>
      <c r="D256" s="298"/>
      <c r="E256" s="301">
        <v>0</v>
      </c>
      <c r="F256" s="301">
        <v>0</v>
      </c>
      <c r="G256" s="304" t="str">
        <f t="shared" si="9"/>
        <v/>
      </c>
      <c r="H256" s="304">
        <v>0</v>
      </c>
      <c r="I256" s="300">
        <f t="shared" si="10"/>
        <v>0</v>
      </c>
      <c r="J256" s="213"/>
      <c r="O256" s="69"/>
      <c r="P256" s="69"/>
      <c r="Q256" s="248"/>
      <c r="R256" s="247"/>
      <c r="S256" s="69"/>
      <c r="T256" s="162"/>
      <c r="U256" s="69"/>
    </row>
    <row r="257" spans="1:21">
      <c r="A257" s="298">
        <v>5</v>
      </c>
      <c r="B257" s="298" t="s">
        <v>379</v>
      </c>
      <c r="C257" s="298" t="s">
        <v>380</v>
      </c>
      <c r="D257" s="298"/>
      <c r="E257" s="301">
        <v>2.8953720446872196E-5</v>
      </c>
      <c r="F257" s="301">
        <v>1.0124847154340835E-9</v>
      </c>
      <c r="G257" s="304">
        <f t="shared" si="9"/>
        <v>34537.875774373162</v>
      </c>
      <c r="H257" s="304">
        <v>0</v>
      </c>
      <c r="I257" s="300">
        <f t="shared" si="10"/>
        <v>0</v>
      </c>
      <c r="J257" s="213"/>
      <c r="O257" s="69"/>
      <c r="P257" s="69"/>
      <c r="Q257" s="248"/>
      <c r="R257" s="247"/>
      <c r="S257" s="69"/>
      <c r="T257" s="162"/>
      <c r="U257" s="69"/>
    </row>
    <row r="258" spans="1:21">
      <c r="A258" s="298">
        <v>5</v>
      </c>
      <c r="B258" s="298" t="s">
        <v>381</v>
      </c>
      <c r="C258" s="298" t="s">
        <v>382</v>
      </c>
      <c r="D258" s="298"/>
      <c r="E258" s="301">
        <v>2.8953720446872196E-5</v>
      </c>
      <c r="F258" s="301">
        <v>1.0124847154340835E-9</v>
      </c>
      <c r="G258" s="304">
        <f t="shared" si="9"/>
        <v>34537.875774373162</v>
      </c>
      <c r="H258" s="304">
        <v>0</v>
      </c>
      <c r="I258" s="300">
        <f t="shared" si="10"/>
        <v>0</v>
      </c>
      <c r="J258" s="213"/>
      <c r="O258" s="69"/>
      <c r="P258" s="69"/>
      <c r="Q258" s="248"/>
      <c r="R258" s="247"/>
      <c r="S258" s="69"/>
      <c r="T258" s="162"/>
      <c r="U258" s="69"/>
    </row>
    <row r="259" spans="1:21">
      <c r="A259" s="298">
        <v>5</v>
      </c>
      <c r="B259" s="298" t="s">
        <v>383</v>
      </c>
      <c r="C259" s="298" t="s">
        <v>384</v>
      </c>
      <c r="D259" s="298"/>
      <c r="E259" s="301">
        <v>2.8953720446872196E-5</v>
      </c>
      <c r="F259" s="301">
        <v>1.0124847154340835E-9</v>
      </c>
      <c r="G259" s="304">
        <f t="shared" si="9"/>
        <v>34537.875774373162</v>
      </c>
      <c r="H259" s="304">
        <v>0</v>
      </c>
      <c r="I259" s="300">
        <f t="shared" si="10"/>
        <v>0</v>
      </c>
      <c r="J259" s="213"/>
      <c r="L259" s="1"/>
      <c r="N259" s="2"/>
      <c r="O259" s="69"/>
      <c r="P259" s="69"/>
      <c r="Q259" s="248"/>
      <c r="R259" s="247"/>
      <c r="S259" s="69"/>
      <c r="T259" s="162"/>
      <c r="U259" s="69"/>
    </row>
    <row r="260" spans="1:21">
      <c r="A260" s="298">
        <v>5</v>
      </c>
      <c r="B260" s="298" t="s">
        <v>385</v>
      </c>
      <c r="C260" s="298" t="s">
        <v>386</v>
      </c>
      <c r="D260" s="298"/>
      <c r="E260" s="301">
        <v>0</v>
      </c>
      <c r="F260" s="301">
        <v>0</v>
      </c>
      <c r="G260" s="304" t="str">
        <f t="shared" si="9"/>
        <v/>
      </c>
      <c r="H260" s="304">
        <v>0.10000000149011612</v>
      </c>
      <c r="I260" s="300">
        <f t="shared" si="10"/>
        <v>0</v>
      </c>
      <c r="J260" s="213"/>
      <c r="O260" s="69"/>
      <c r="P260" s="69"/>
      <c r="Q260" s="248"/>
      <c r="R260" s="247"/>
      <c r="S260" s="69"/>
      <c r="T260" s="162"/>
      <c r="U260" s="69"/>
    </row>
    <row r="261" spans="1:21">
      <c r="A261" s="298">
        <v>5</v>
      </c>
      <c r="B261" s="298" t="s">
        <v>387</v>
      </c>
      <c r="C261" s="298" t="s">
        <v>388</v>
      </c>
      <c r="D261" s="298"/>
      <c r="E261" s="301">
        <v>0</v>
      </c>
      <c r="F261" s="301">
        <v>0</v>
      </c>
      <c r="G261" s="304" t="str">
        <f t="shared" si="9"/>
        <v/>
      </c>
      <c r="H261" s="304">
        <v>0</v>
      </c>
      <c r="I261" s="300">
        <f t="shared" si="10"/>
        <v>0</v>
      </c>
      <c r="J261" s="213"/>
      <c r="O261" s="69"/>
      <c r="P261" s="69"/>
      <c r="Q261" s="248"/>
      <c r="R261" s="247"/>
      <c r="S261" s="69"/>
      <c r="T261" s="162"/>
      <c r="U261" s="69"/>
    </row>
    <row r="262" spans="1:21">
      <c r="A262" s="298">
        <v>5</v>
      </c>
      <c r="B262" s="298" t="s">
        <v>389</v>
      </c>
      <c r="C262" s="298" t="s">
        <v>390</v>
      </c>
      <c r="D262" s="298"/>
      <c r="E262" s="301">
        <v>5.9089225401779996E-7</v>
      </c>
      <c r="F262" s="301">
        <v>2.0662953376205786E-11</v>
      </c>
      <c r="G262" s="304">
        <f t="shared" si="9"/>
        <v>1692355.9129442847</v>
      </c>
      <c r="H262" s="304">
        <v>0</v>
      </c>
      <c r="I262" s="300">
        <f t="shared" si="10"/>
        <v>0</v>
      </c>
      <c r="J262" s="213"/>
      <c r="O262" s="69"/>
      <c r="P262" s="69"/>
      <c r="Q262" s="248"/>
      <c r="R262" s="247"/>
      <c r="S262" s="69"/>
      <c r="T262" s="162"/>
      <c r="U262" s="69"/>
    </row>
    <row r="263" spans="1:21">
      <c r="A263" s="298">
        <v>5</v>
      </c>
      <c r="B263" s="298" t="s">
        <v>391</v>
      </c>
      <c r="C263" s="298" t="s">
        <v>392</v>
      </c>
      <c r="D263" s="298"/>
      <c r="E263" s="301">
        <v>5.9089225401779996E-7</v>
      </c>
      <c r="F263" s="301">
        <v>2.0662953376205786E-11</v>
      </c>
      <c r="G263" s="304">
        <f t="shared" si="9"/>
        <v>1692355.9129442847</v>
      </c>
      <c r="H263" s="304">
        <v>0.10000000149011612</v>
      </c>
      <c r="I263" s="300">
        <f t="shared" si="10"/>
        <v>5.9089226282278071E-8</v>
      </c>
      <c r="J263" s="213"/>
      <c r="O263" s="69"/>
      <c r="P263" s="69"/>
      <c r="Q263" s="248"/>
      <c r="R263" s="247"/>
      <c r="S263" s="69"/>
      <c r="T263" s="1"/>
    </row>
    <row r="264" spans="1:21">
      <c r="A264" s="298">
        <v>5</v>
      </c>
      <c r="B264" s="298" t="s">
        <v>393</v>
      </c>
      <c r="C264" s="298" t="s">
        <v>394</v>
      </c>
      <c r="D264" s="298"/>
      <c r="E264" s="301">
        <v>5.9089225401779996E-7</v>
      </c>
      <c r="F264" s="301">
        <v>2.0662953376205786E-11</v>
      </c>
      <c r="G264" s="304">
        <f t="shared" si="9"/>
        <v>1692355.9129442847</v>
      </c>
      <c r="H264" s="304">
        <v>0</v>
      </c>
      <c r="I264" s="300">
        <f t="shared" si="10"/>
        <v>0</v>
      </c>
      <c r="J264" s="213"/>
      <c r="L264" s="1"/>
      <c r="N264" s="2"/>
      <c r="O264" s="69"/>
      <c r="P264" s="69"/>
      <c r="Q264" s="248"/>
      <c r="R264" s="247"/>
      <c r="S264" s="69"/>
      <c r="T264" s="162"/>
      <c r="U264" s="69"/>
    </row>
    <row r="265" spans="1:21">
      <c r="A265" s="298">
        <v>5</v>
      </c>
      <c r="B265" s="298" t="s">
        <v>395</v>
      </c>
      <c r="C265" s="298" t="s">
        <v>396</v>
      </c>
      <c r="D265" s="298"/>
      <c r="E265" s="301">
        <v>0</v>
      </c>
      <c r="F265" s="301">
        <v>0</v>
      </c>
      <c r="G265" s="304" t="str">
        <f t="shared" si="9"/>
        <v/>
      </c>
      <c r="H265" s="304">
        <v>0</v>
      </c>
      <c r="I265" s="300">
        <f t="shared" si="10"/>
        <v>0</v>
      </c>
      <c r="J265" s="213"/>
      <c r="O265" s="69"/>
      <c r="P265" s="69"/>
      <c r="Q265" s="248"/>
      <c r="R265" s="247"/>
      <c r="S265" s="69"/>
      <c r="T265" s="162"/>
      <c r="U265" s="69"/>
    </row>
    <row r="266" spans="1:21">
      <c r="A266" s="298">
        <v>5</v>
      </c>
      <c r="B266" s="298" t="s">
        <v>397</v>
      </c>
      <c r="C266" s="298" t="s">
        <v>398</v>
      </c>
      <c r="D266" s="298"/>
      <c r="E266" s="301">
        <v>0</v>
      </c>
      <c r="F266" s="301">
        <v>0</v>
      </c>
      <c r="G266" s="304" t="str">
        <f t="shared" si="9"/>
        <v/>
      </c>
      <c r="H266" s="304">
        <v>0</v>
      </c>
      <c r="I266" s="300">
        <f t="shared" si="10"/>
        <v>0</v>
      </c>
      <c r="J266" s="213"/>
      <c r="O266" s="69"/>
      <c r="P266" s="69"/>
      <c r="Q266" s="248"/>
      <c r="R266" s="247"/>
      <c r="S266" s="69"/>
      <c r="T266" s="162"/>
      <c r="U266" s="69"/>
    </row>
    <row r="267" spans="1:21">
      <c r="A267" s="298">
        <v>5</v>
      </c>
      <c r="B267" s="298" t="s">
        <v>399</v>
      </c>
      <c r="C267" s="298" t="s">
        <v>400</v>
      </c>
      <c r="D267" s="298"/>
      <c r="E267" s="301">
        <v>4.4133965749439993E-7</v>
      </c>
      <c r="F267" s="301">
        <v>1.5187270731511252E-10</v>
      </c>
      <c r="G267" s="304">
        <f t="shared" si="9"/>
        <v>2265828.5586146056</v>
      </c>
      <c r="H267" s="304">
        <v>0</v>
      </c>
      <c r="I267" s="300">
        <f t="shared" si="10"/>
        <v>0</v>
      </c>
      <c r="J267" s="213"/>
      <c r="O267" s="69"/>
      <c r="P267" s="69"/>
      <c r="Q267" s="248"/>
      <c r="R267" s="247"/>
      <c r="S267" s="69"/>
      <c r="T267" s="162"/>
      <c r="U267" s="69"/>
    </row>
    <row r="268" spans="1:21">
      <c r="A268" s="298">
        <v>5</v>
      </c>
      <c r="B268" s="298" t="s">
        <v>401</v>
      </c>
      <c r="C268" s="298" t="s">
        <v>402</v>
      </c>
      <c r="D268" s="298"/>
      <c r="E268" s="301">
        <v>4.4133965749439993E-7</v>
      </c>
      <c r="F268" s="301">
        <v>1.5187270731511252E-10</v>
      </c>
      <c r="G268" s="304">
        <f t="shared" si="9"/>
        <v>2265828.5586146056</v>
      </c>
      <c r="H268" s="304">
        <v>0</v>
      </c>
      <c r="I268" s="300">
        <f t="shared" si="10"/>
        <v>0</v>
      </c>
      <c r="J268" s="213"/>
      <c r="O268" s="69"/>
      <c r="P268" s="69"/>
      <c r="Q268" s="248"/>
      <c r="R268" s="247"/>
      <c r="S268" s="69"/>
      <c r="T268" s="162"/>
      <c r="U268" s="69"/>
    </row>
    <row r="269" spans="1:21">
      <c r="A269" s="298">
        <v>5</v>
      </c>
      <c r="B269" s="298" t="s">
        <v>403</v>
      </c>
      <c r="C269" s="298" t="s">
        <v>404</v>
      </c>
      <c r="D269" s="298"/>
      <c r="E269" s="301">
        <v>4.4133965749439993E-7</v>
      </c>
      <c r="F269" s="301">
        <v>1.5187270731511252E-10</v>
      </c>
      <c r="G269" s="304">
        <f t="shared" si="9"/>
        <v>2265828.5586146056</v>
      </c>
      <c r="H269" s="304">
        <v>0</v>
      </c>
      <c r="I269" s="300">
        <f t="shared" si="10"/>
        <v>0</v>
      </c>
      <c r="J269" s="213"/>
      <c r="O269" s="69"/>
      <c r="P269" s="69"/>
      <c r="Q269" s="248"/>
      <c r="R269" s="247"/>
      <c r="S269" s="69"/>
      <c r="T269" s="162"/>
      <c r="U269" s="69"/>
    </row>
    <row r="270" spans="1:21">
      <c r="A270" s="298">
        <v>5</v>
      </c>
      <c r="B270" s="298" t="s">
        <v>405</v>
      </c>
      <c r="C270" s="298" t="s">
        <v>406</v>
      </c>
      <c r="D270" s="298"/>
      <c r="E270" s="301">
        <v>0</v>
      </c>
      <c r="F270" s="301">
        <v>0</v>
      </c>
      <c r="G270" s="304" t="str">
        <f t="shared" si="9"/>
        <v/>
      </c>
      <c r="H270" s="304">
        <v>15.399999618530273</v>
      </c>
      <c r="I270" s="300">
        <f t="shared" si="10"/>
        <v>0</v>
      </c>
      <c r="J270" s="213"/>
      <c r="O270" s="69"/>
      <c r="P270" s="69"/>
      <c r="Q270" s="248"/>
      <c r="R270" s="247"/>
      <c r="S270" s="69"/>
      <c r="T270" s="162"/>
      <c r="U270" s="69"/>
    </row>
    <row r="271" spans="1:21">
      <c r="A271" s="298">
        <v>5</v>
      </c>
      <c r="B271" s="298" t="s">
        <v>407</v>
      </c>
      <c r="C271" s="298" t="s">
        <v>408</v>
      </c>
      <c r="D271" s="298"/>
      <c r="E271" s="301">
        <v>0</v>
      </c>
      <c r="F271" s="301">
        <v>0</v>
      </c>
      <c r="G271" s="304" t="str">
        <f t="shared" si="9"/>
        <v/>
      </c>
      <c r="H271" s="304">
        <v>14.300000190734863</v>
      </c>
      <c r="I271" s="300">
        <f t="shared" si="10"/>
        <v>0</v>
      </c>
      <c r="J271" s="213"/>
      <c r="O271" s="69"/>
      <c r="P271" s="69"/>
      <c r="Q271" s="248"/>
      <c r="R271" s="247"/>
      <c r="S271" s="69"/>
      <c r="T271" s="162"/>
      <c r="U271" s="69"/>
    </row>
    <row r="272" spans="1:21">
      <c r="A272" s="298">
        <v>5</v>
      </c>
      <c r="B272" s="298" t="s">
        <v>409</v>
      </c>
      <c r="C272" s="298" t="s">
        <v>410</v>
      </c>
      <c r="D272" s="298"/>
      <c r="E272" s="301">
        <v>9.0069317855999971E-9</v>
      </c>
      <c r="F272" s="301">
        <v>3.0994430064308677E-12</v>
      </c>
      <c r="G272" s="304">
        <f t="shared" si="9"/>
        <v>111025599.3721157</v>
      </c>
      <c r="H272" s="304">
        <v>20.600000381469727</v>
      </c>
      <c r="I272" s="300">
        <f t="shared" si="10"/>
        <v>1.8554279821923176E-7</v>
      </c>
      <c r="J272" s="213"/>
      <c r="O272" s="69"/>
      <c r="P272" s="69"/>
      <c r="Q272" s="248"/>
      <c r="R272" s="247"/>
      <c r="S272" s="69"/>
      <c r="T272" s="162"/>
      <c r="U272" s="69"/>
    </row>
    <row r="273" spans="1:21">
      <c r="A273" s="298">
        <v>5</v>
      </c>
      <c r="B273" s="298" t="s">
        <v>411</v>
      </c>
      <c r="C273" s="298" t="s">
        <v>412</v>
      </c>
      <c r="D273" s="298"/>
      <c r="E273" s="301">
        <v>9.0069317855999971E-9</v>
      </c>
      <c r="F273" s="301">
        <v>3.0994430064308677E-12</v>
      </c>
      <c r="G273" s="304">
        <f t="shared" si="9"/>
        <v>111025599.3721157</v>
      </c>
      <c r="H273" s="304">
        <v>16</v>
      </c>
      <c r="I273" s="300">
        <f t="shared" si="10"/>
        <v>1.4411090856959995E-7</v>
      </c>
      <c r="J273" s="213"/>
      <c r="L273" s="1"/>
      <c r="N273" s="2"/>
      <c r="O273" s="69"/>
      <c r="P273" s="69"/>
      <c r="Q273" s="248"/>
      <c r="R273" s="247"/>
      <c r="S273" s="69"/>
      <c r="T273" s="162"/>
      <c r="U273" s="69"/>
    </row>
    <row r="274" spans="1:21">
      <c r="A274" s="298">
        <v>5</v>
      </c>
      <c r="B274" s="298" t="s">
        <v>413</v>
      </c>
      <c r="C274" s="298" t="s">
        <v>414</v>
      </c>
      <c r="D274" s="298"/>
      <c r="E274" s="301">
        <v>9.0069317855999971E-9</v>
      </c>
      <c r="F274" s="301">
        <v>3.0994430064308677E-12</v>
      </c>
      <c r="G274" s="304">
        <f t="shared" si="9"/>
        <v>111025599.3721157</v>
      </c>
      <c r="H274" s="304">
        <v>46.200000762939453</v>
      </c>
      <c r="I274" s="300">
        <f t="shared" si="10"/>
        <v>4.1612025536646348E-7</v>
      </c>
      <c r="J274" s="213"/>
      <c r="L274" s="1"/>
      <c r="N274" s="2"/>
      <c r="O274" s="69"/>
      <c r="P274" s="69"/>
      <c r="Q274" s="248"/>
      <c r="R274" s="247"/>
      <c r="S274" s="69"/>
      <c r="T274" s="162"/>
      <c r="U274" s="69"/>
    </row>
    <row r="275" spans="1:21">
      <c r="A275" s="298">
        <v>6</v>
      </c>
      <c r="B275" s="298" t="s">
        <v>261</v>
      </c>
      <c r="C275" s="298" t="s">
        <v>262</v>
      </c>
      <c r="D275" s="298"/>
      <c r="E275" s="301">
        <v>0</v>
      </c>
      <c r="F275" s="301">
        <v>0</v>
      </c>
      <c r="G275" s="304" t="str">
        <f t="shared" si="9"/>
        <v/>
      </c>
      <c r="H275" s="304">
        <v>0</v>
      </c>
      <c r="I275" s="300">
        <f t="shared" si="10"/>
        <v>0</v>
      </c>
      <c r="J275" s="213"/>
      <c r="O275" s="69"/>
      <c r="P275" s="69"/>
      <c r="Q275" s="248"/>
      <c r="R275" s="247"/>
      <c r="S275" s="69"/>
      <c r="T275" s="162"/>
      <c r="U275" s="69"/>
    </row>
    <row r="276" spans="1:21">
      <c r="A276" s="298">
        <v>6</v>
      </c>
      <c r="B276" s="298" t="s">
        <v>263</v>
      </c>
      <c r="C276" s="298" t="s">
        <v>264</v>
      </c>
      <c r="D276" s="298"/>
      <c r="E276" s="301">
        <v>0</v>
      </c>
      <c r="F276" s="301">
        <v>0</v>
      </c>
      <c r="G276" s="304" t="str">
        <f t="shared" si="9"/>
        <v/>
      </c>
      <c r="H276" s="304">
        <v>0</v>
      </c>
      <c r="I276" s="300">
        <f t="shared" si="10"/>
        <v>0</v>
      </c>
      <c r="J276" s="213"/>
      <c r="L276" s="1"/>
      <c r="N276" s="2"/>
      <c r="O276" s="69"/>
      <c r="P276" s="69"/>
      <c r="Q276" s="248"/>
      <c r="R276" s="247"/>
      <c r="S276" s="69"/>
      <c r="T276" s="162"/>
      <c r="U276" s="69"/>
    </row>
    <row r="277" spans="1:21">
      <c r="A277" s="298">
        <v>6</v>
      </c>
      <c r="B277" s="298" t="s">
        <v>265</v>
      </c>
      <c r="C277" s="298" t="s">
        <v>266</v>
      </c>
      <c r="D277" s="298"/>
      <c r="E277" s="301">
        <v>2.0213268041754479E-4</v>
      </c>
      <c r="F277" s="301">
        <v>1.3705890875401928E-10</v>
      </c>
      <c r="G277" s="304">
        <f t="shared" si="9"/>
        <v>4947.2455316691166</v>
      </c>
      <c r="H277" s="304">
        <v>0</v>
      </c>
      <c r="I277" s="300">
        <f t="shared" si="10"/>
        <v>0</v>
      </c>
      <c r="J277" s="213"/>
      <c r="O277" s="69"/>
      <c r="P277" s="69"/>
      <c r="Q277" s="248"/>
      <c r="R277" s="247"/>
      <c r="S277" s="69"/>
      <c r="T277" s="162"/>
      <c r="U277" s="69"/>
    </row>
    <row r="278" spans="1:21">
      <c r="A278" s="298">
        <v>6</v>
      </c>
      <c r="B278" s="298" t="s">
        <v>267</v>
      </c>
      <c r="C278" s="298" t="s">
        <v>268</v>
      </c>
      <c r="D278" s="298"/>
      <c r="E278" s="301">
        <v>2.0213268041754479E-4</v>
      </c>
      <c r="F278" s="301">
        <v>1.3705890875401928E-10</v>
      </c>
      <c r="G278" s="304">
        <f t="shared" si="9"/>
        <v>4947.2455316691166</v>
      </c>
      <c r="H278" s="304">
        <v>0</v>
      </c>
      <c r="I278" s="300">
        <f t="shared" si="10"/>
        <v>0</v>
      </c>
      <c r="J278" s="213"/>
      <c r="O278" s="69"/>
      <c r="P278" s="69"/>
      <c r="Q278" s="248"/>
      <c r="R278" s="247"/>
      <c r="S278" s="69"/>
      <c r="T278" s="162"/>
      <c r="U278" s="69"/>
    </row>
    <row r="279" spans="1:21">
      <c r="A279" s="298">
        <v>6</v>
      </c>
      <c r="B279" s="298" t="s">
        <v>269</v>
      </c>
      <c r="C279" s="298" t="s">
        <v>270</v>
      </c>
      <c r="D279" s="298"/>
      <c r="E279" s="301">
        <v>2.0213268041754479E-4</v>
      </c>
      <c r="F279" s="301">
        <v>1.3705890875401928E-10</v>
      </c>
      <c r="G279" s="304">
        <f t="shared" si="9"/>
        <v>4947.2455316691166</v>
      </c>
      <c r="H279" s="304">
        <v>0</v>
      </c>
      <c r="I279" s="300">
        <f t="shared" si="10"/>
        <v>0</v>
      </c>
      <c r="J279" s="213"/>
      <c r="L279" s="1"/>
      <c r="N279" s="2"/>
      <c r="O279" s="69"/>
      <c r="P279" s="69"/>
      <c r="Q279" s="248"/>
      <c r="R279" s="247"/>
      <c r="S279" s="69"/>
      <c r="T279" s="162"/>
      <c r="U279" s="69"/>
    </row>
    <row r="280" spans="1:21">
      <c r="A280" s="298">
        <v>6</v>
      </c>
      <c r="B280" s="298" t="s">
        <v>271</v>
      </c>
      <c r="C280" s="298" t="s">
        <v>272</v>
      </c>
      <c r="D280" s="298"/>
      <c r="E280" s="301">
        <v>0</v>
      </c>
      <c r="F280" s="301">
        <v>0</v>
      </c>
      <c r="G280" s="304" t="str">
        <f t="shared" si="9"/>
        <v/>
      </c>
      <c r="H280" s="304">
        <v>0</v>
      </c>
      <c r="I280" s="300">
        <f t="shared" si="10"/>
        <v>0</v>
      </c>
      <c r="J280" s="213"/>
      <c r="O280" s="69"/>
      <c r="P280" s="69"/>
      <c r="Q280" s="248"/>
      <c r="R280" s="247"/>
      <c r="S280" s="69"/>
      <c r="T280" s="162"/>
      <c r="U280" s="69"/>
    </row>
    <row r="281" spans="1:21">
      <c r="A281" s="298">
        <v>6</v>
      </c>
      <c r="B281" s="298" t="s">
        <v>273</v>
      </c>
      <c r="C281" s="298" t="s">
        <v>274</v>
      </c>
      <c r="D281" s="298"/>
      <c r="E281" s="301">
        <v>0</v>
      </c>
      <c r="F281" s="301">
        <v>0</v>
      </c>
      <c r="G281" s="304" t="str">
        <f t="shared" ref="G281:G324" si="11">IF(E281 &lt;&gt; 0, 1/E281, "")</f>
        <v/>
      </c>
      <c r="H281" s="304">
        <v>0</v>
      </c>
      <c r="I281" s="300">
        <f t="shared" ref="I281:I344" si="12">H281*E281</f>
        <v>0</v>
      </c>
      <c r="J281" s="213"/>
      <c r="L281" s="1"/>
      <c r="N281" s="2"/>
      <c r="O281" s="69"/>
      <c r="P281" s="69"/>
      <c r="Q281" s="248"/>
      <c r="R281" s="247"/>
      <c r="S281" s="69"/>
      <c r="T281" s="162"/>
      <c r="U281" s="69"/>
    </row>
    <row r="282" spans="1:21">
      <c r="A282" s="298">
        <v>6</v>
      </c>
      <c r="B282" s="298" t="s">
        <v>275</v>
      </c>
      <c r="C282" s="298" t="s">
        <v>276</v>
      </c>
      <c r="D282" s="298"/>
      <c r="E282" s="301">
        <v>4.1251567432152E-6</v>
      </c>
      <c r="F282" s="301">
        <v>2.797120586816721E-12</v>
      </c>
      <c r="G282" s="304">
        <f t="shared" si="11"/>
        <v>242415.0310517867</v>
      </c>
      <c r="H282" s="304">
        <v>0</v>
      </c>
      <c r="I282" s="300">
        <f t="shared" si="12"/>
        <v>0</v>
      </c>
      <c r="J282" s="213"/>
      <c r="O282" s="69"/>
      <c r="P282" s="69"/>
      <c r="Q282" s="248"/>
      <c r="R282" s="247"/>
      <c r="S282" s="69"/>
      <c r="T282" s="162"/>
      <c r="U282" s="69"/>
    </row>
    <row r="283" spans="1:21">
      <c r="A283" s="298">
        <v>6</v>
      </c>
      <c r="B283" s="298" t="s">
        <v>277</v>
      </c>
      <c r="C283" s="298" t="s">
        <v>278</v>
      </c>
      <c r="D283" s="298"/>
      <c r="E283" s="301">
        <v>4.1251567432152E-6</v>
      </c>
      <c r="F283" s="301">
        <v>2.797120586816721E-12</v>
      </c>
      <c r="G283" s="304">
        <f t="shared" si="11"/>
        <v>242415.0310517867</v>
      </c>
      <c r="H283" s="304">
        <v>0</v>
      </c>
      <c r="I283" s="300">
        <f t="shared" si="12"/>
        <v>0</v>
      </c>
      <c r="J283" s="213"/>
      <c r="O283" s="69"/>
      <c r="P283" s="69"/>
      <c r="Q283" s="248"/>
      <c r="R283" s="247"/>
      <c r="S283" s="69"/>
      <c r="T283" s="162"/>
      <c r="U283" s="69"/>
    </row>
    <row r="284" spans="1:21">
      <c r="A284" s="298">
        <v>6</v>
      </c>
      <c r="B284" s="298" t="s">
        <v>279</v>
      </c>
      <c r="C284" s="298" t="s">
        <v>280</v>
      </c>
      <c r="D284" s="298"/>
      <c r="E284" s="301">
        <v>4.1251567432152E-6</v>
      </c>
      <c r="F284" s="301">
        <v>2.797120586816721E-12</v>
      </c>
      <c r="G284" s="304">
        <f t="shared" si="11"/>
        <v>242415.0310517867</v>
      </c>
      <c r="H284" s="304">
        <v>0</v>
      </c>
      <c r="I284" s="300">
        <f t="shared" si="12"/>
        <v>0</v>
      </c>
      <c r="J284" s="213"/>
      <c r="O284" s="69"/>
      <c r="P284" s="69"/>
      <c r="Q284" s="248"/>
      <c r="R284" s="247"/>
      <c r="S284" s="69"/>
      <c r="T284" s="162"/>
      <c r="U284" s="69"/>
    </row>
    <row r="285" spans="1:21">
      <c r="A285" s="298">
        <v>6</v>
      </c>
      <c r="B285" s="298" t="s">
        <v>281</v>
      </c>
      <c r="C285" s="298" t="s">
        <v>282</v>
      </c>
      <c r="D285" s="298"/>
      <c r="E285" s="301">
        <v>0</v>
      </c>
      <c r="F285" s="301">
        <v>0</v>
      </c>
      <c r="G285" s="304" t="str">
        <f t="shared" si="11"/>
        <v/>
      </c>
      <c r="H285" s="304">
        <v>0</v>
      </c>
      <c r="I285" s="300">
        <f t="shared" si="12"/>
        <v>0</v>
      </c>
      <c r="J285" s="213"/>
      <c r="O285" s="69"/>
      <c r="P285" s="69"/>
      <c r="Q285" s="248"/>
      <c r="R285" s="247"/>
      <c r="S285" s="69"/>
      <c r="T285" s="162"/>
      <c r="U285" s="69"/>
    </row>
    <row r="286" spans="1:21">
      <c r="A286" s="298">
        <v>6</v>
      </c>
      <c r="B286" s="298" t="s">
        <v>283</v>
      </c>
      <c r="C286" s="298" t="s">
        <v>284</v>
      </c>
      <c r="D286" s="298"/>
      <c r="E286" s="301">
        <v>0</v>
      </c>
      <c r="F286" s="301">
        <v>0</v>
      </c>
      <c r="G286" s="304" t="str">
        <f t="shared" si="11"/>
        <v/>
      </c>
      <c r="H286" s="304">
        <v>0</v>
      </c>
      <c r="I286" s="300">
        <f t="shared" si="12"/>
        <v>0</v>
      </c>
      <c r="J286" s="213"/>
      <c r="O286" s="69"/>
      <c r="P286" s="69"/>
      <c r="Q286" s="248"/>
      <c r="R286" s="247"/>
      <c r="S286" s="69"/>
      <c r="T286" s="162"/>
      <c r="U286" s="69"/>
    </row>
    <row r="287" spans="1:21">
      <c r="A287" s="298">
        <v>6</v>
      </c>
      <c r="B287" s="298" t="s">
        <v>285</v>
      </c>
      <c r="C287" s="298" t="s">
        <v>286</v>
      </c>
      <c r="D287" s="298"/>
      <c r="E287" s="301">
        <v>1.06385621272392E-5</v>
      </c>
      <c r="F287" s="301">
        <v>7.2136267765273316E-12</v>
      </c>
      <c r="G287" s="304">
        <f t="shared" si="11"/>
        <v>93997.66510171321</v>
      </c>
      <c r="H287" s="304">
        <v>0</v>
      </c>
      <c r="I287" s="300">
        <f t="shared" si="12"/>
        <v>0</v>
      </c>
      <c r="J287" s="213"/>
      <c r="L287" s="1"/>
      <c r="N287" s="2"/>
      <c r="O287" s="69"/>
      <c r="P287" s="69"/>
      <c r="Q287" s="248"/>
      <c r="R287" s="247"/>
      <c r="S287" s="69"/>
      <c r="T287" s="162"/>
      <c r="U287" s="69"/>
    </row>
    <row r="288" spans="1:21">
      <c r="A288" s="298">
        <v>6</v>
      </c>
      <c r="B288" s="298" t="s">
        <v>287</v>
      </c>
      <c r="C288" s="298" t="s">
        <v>288</v>
      </c>
      <c r="D288" s="298"/>
      <c r="E288" s="301">
        <v>1.06385621272392E-5</v>
      </c>
      <c r="F288" s="301">
        <v>7.2136267765273316E-12</v>
      </c>
      <c r="G288" s="304">
        <f t="shared" si="11"/>
        <v>93997.66510171321</v>
      </c>
      <c r="H288" s="304">
        <v>0</v>
      </c>
      <c r="I288" s="300">
        <f t="shared" si="12"/>
        <v>0</v>
      </c>
      <c r="J288" s="213"/>
      <c r="O288" s="69"/>
      <c r="P288" s="69"/>
      <c r="Q288" s="248"/>
      <c r="R288" s="247"/>
      <c r="S288" s="69"/>
      <c r="T288" s="162"/>
      <c r="U288" s="69"/>
    </row>
    <row r="289" spans="1:21">
      <c r="A289" s="298">
        <v>6</v>
      </c>
      <c r="B289" s="298" t="s">
        <v>289</v>
      </c>
      <c r="C289" s="298" t="s">
        <v>290</v>
      </c>
      <c r="D289" s="298"/>
      <c r="E289" s="301">
        <v>1.06385621272392E-5</v>
      </c>
      <c r="F289" s="301">
        <v>7.2136267765273316E-12</v>
      </c>
      <c r="G289" s="304">
        <f t="shared" si="11"/>
        <v>93997.66510171321</v>
      </c>
      <c r="H289" s="304">
        <v>0</v>
      </c>
      <c r="I289" s="300">
        <f t="shared" si="12"/>
        <v>0</v>
      </c>
      <c r="J289" s="213"/>
      <c r="O289" s="69"/>
      <c r="P289" s="69"/>
      <c r="Q289" s="248"/>
      <c r="R289" s="247"/>
      <c r="S289" s="69"/>
      <c r="T289" s="1"/>
    </row>
    <row r="290" spans="1:21">
      <c r="A290" s="298">
        <v>6</v>
      </c>
      <c r="B290" s="298" t="s">
        <v>291</v>
      </c>
      <c r="C290" s="298" t="s">
        <v>292</v>
      </c>
      <c r="D290" s="298"/>
      <c r="E290" s="301">
        <v>0</v>
      </c>
      <c r="F290" s="301">
        <v>0</v>
      </c>
      <c r="G290" s="304" t="str">
        <f t="shared" si="11"/>
        <v/>
      </c>
      <c r="H290" s="304">
        <v>0</v>
      </c>
      <c r="I290" s="300">
        <f t="shared" si="12"/>
        <v>0</v>
      </c>
      <c r="J290" s="213"/>
      <c r="O290" s="69"/>
      <c r="P290" s="69"/>
      <c r="Q290" s="248"/>
      <c r="R290" s="247"/>
      <c r="S290" s="69"/>
      <c r="T290" s="162"/>
      <c r="U290" s="69"/>
    </row>
    <row r="291" spans="1:21">
      <c r="A291" s="298">
        <v>6</v>
      </c>
      <c r="B291" s="298" t="s">
        <v>293</v>
      </c>
      <c r="C291" s="298" t="s">
        <v>294</v>
      </c>
      <c r="D291" s="298"/>
      <c r="E291" s="301">
        <v>0</v>
      </c>
      <c r="F291" s="301">
        <v>0</v>
      </c>
      <c r="G291" s="304" t="str">
        <f t="shared" si="11"/>
        <v/>
      </c>
      <c r="H291" s="304">
        <v>0</v>
      </c>
      <c r="I291" s="300">
        <f t="shared" si="12"/>
        <v>0</v>
      </c>
      <c r="J291" s="213"/>
      <c r="O291" s="69"/>
      <c r="P291" s="69"/>
      <c r="Q291" s="248"/>
      <c r="R291" s="247"/>
      <c r="S291" s="69"/>
      <c r="T291" s="162"/>
      <c r="U291" s="69"/>
    </row>
    <row r="292" spans="1:21">
      <c r="A292" s="298">
        <v>6</v>
      </c>
      <c r="B292" s="298" t="s">
        <v>295</v>
      </c>
      <c r="C292" s="298" t="s">
        <v>296</v>
      </c>
      <c r="D292" s="298"/>
      <c r="E292" s="301">
        <v>2.1711351280080003E-7</v>
      </c>
      <c r="F292" s="301">
        <v>1.4721687299035374E-13</v>
      </c>
      <c r="G292" s="304">
        <f t="shared" si="11"/>
        <v>4605885.5899839466</v>
      </c>
      <c r="H292" s="304">
        <v>0</v>
      </c>
      <c r="I292" s="300">
        <f t="shared" si="12"/>
        <v>0</v>
      </c>
      <c r="J292" s="213"/>
      <c r="O292" s="69"/>
      <c r="P292" s="69"/>
      <c r="Q292" s="248"/>
      <c r="R292" s="247"/>
      <c r="S292" s="69"/>
      <c r="T292" s="162"/>
      <c r="U292" s="69"/>
    </row>
    <row r="293" spans="1:21">
      <c r="A293" s="298">
        <v>6</v>
      </c>
      <c r="B293" s="298" t="s">
        <v>297</v>
      </c>
      <c r="C293" s="298" t="s">
        <v>298</v>
      </c>
      <c r="D293" s="298"/>
      <c r="E293" s="301">
        <v>2.1711351280080003E-7</v>
      </c>
      <c r="F293" s="301">
        <v>1.4721687299035374E-13</v>
      </c>
      <c r="G293" s="304">
        <f t="shared" si="11"/>
        <v>4605885.5899839466</v>
      </c>
      <c r="H293" s="304">
        <v>0</v>
      </c>
      <c r="I293" s="300">
        <f t="shared" si="12"/>
        <v>0</v>
      </c>
      <c r="J293" s="213"/>
      <c r="L293" s="1"/>
      <c r="N293" s="2"/>
      <c r="O293" s="69"/>
      <c r="P293" s="69"/>
      <c r="Q293" s="248"/>
      <c r="R293" s="247"/>
      <c r="S293" s="69"/>
      <c r="T293" s="162"/>
      <c r="U293" s="69"/>
    </row>
    <row r="294" spans="1:21">
      <c r="A294" s="298">
        <v>6</v>
      </c>
      <c r="B294" s="298" t="s">
        <v>299</v>
      </c>
      <c r="C294" s="298" t="s">
        <v>300</v>
      </c>
      <c r="D294" s="298"/>
      <c r="E294" s="301">
        <v>2.1711351280080003E-7</v>
      </c>
      <c r="F294" s="301">
        <v>1.4721687299035374E-13</v>
      </c>
      <c r="G294" s="304">
        <f t="shared" si="11"/>
        <v>4605885.5899839466</v>
      </c>
      <c r="H294" s="304">
        <v>0</v>
      </c>
      <c r="I294" s="300">
        <f t="shared" si="12"/>
        <v>0</v>
      </c>
      <c r="J294" s="213"/>
      <c r="O294" s="69"/>
      <c r="P294" s="69"/>
      <c r="Q294" s="248"/>
      <c r="R294" s="247"/>
      <c r="S294" s="69"/>
      <c r="T294" s="162"/>
      <c r="U294" s="69"/>
    </row>
    <row r="295" spans="1:21">
      <c r="A295" s="298">
        <v>6</v>
      </c>
      <c r="B295" s="298" t="s">
        <v>355</v>
      </c>
      <c r="C295" s="298" t="s">
        <v>356</v>
      </c>
      <c r="D295" s="298"/>
      <c r="E295" s="301">
        <v>0</v>
      </c>
      <c r="F295" s="301">
        <v>0</v>
      </c>
      <c r="G295" s="304" t="str">
        <f t="shared" si="11"/>
        <v/>
      </c>
      <c r="H295" s="304">
        <v>0</v>
      </c>
      <c r="I295" s="300">
        <f t="shared" si="12"/>
        <v>0</v>
      </c>
      <c r="J295" s="213"/>
      <c r="L295" s="1"/>
      <c r="N295" s="2"/>
      <c r="O295" s="69"/>
      <c r="P295" s="69"/>
      <c r="Q295" s="248"/>
      <c r="R295" s="247"/>
      <c r="S295" s="69"/>
      <c r="T295" s="162"/>
      <c r="U295" s="69"/>
    </row>
    <row r="296" spans="1:21">
      <c r="A296" s="298">
        <v>6</v>
      </c>
      <c r="B296" s="298" t="s">
        <v>357</v>
      </c>
      <c r="C296" s="298" t="s">
        <v>358</v>
      </c>
      <c r="D296" s="298"/>
      <c r="E296" s="301">
        <v>0</v>
      </c>
      <c r="F296" s="301">
        <v>0</v>
      </c>
      <c r="G296" s="304" t="str">
        <f t="shared" si="11"/>
        <v/>
      </c>
      <c r="H296" s="304">
        <v>0</v>
      </c>
      <c r="I296" s="300">
        <f t="shared" si="12"/>
        <v>0</v>
      </c>
      <c r="J296" s="213"/>
      <c r="O296" s="69"/>
      <c r="P296" s="69"/>
      <c r="Q296" s="248"/>
      <c r="R296" s="247"/>
      <c r="S296" s="69"/>
      <c r="T296" s="162"/>
      <c r="U296" s="69"/>
    </row>
    <row r="297" spans="1:21">
      <c r="A297" s="298">
        <v>6</v>
      </c>
      <c r="B297" s="298" t="s">
        <v>359</v>
      </c>
      <c r="C297" s="298" t="s">
        <v>360</v>
      </c>
      <c r="D297" s="298"/>
      <c r="E297" s="301">
        <v>2.4336087848289526E-4</v>
      </c>
      <c r="F297" s="301">
        <v>1.2589644478026143E-9</v>
      </c>
      <c r="G297" s="304">
        <f t="shared" si="11"/>
        <v>4109.1238913746993</v>
      </c>
      <c r="H297" s="304">
        <v>0</v>
      </c>
      <c r="I297" s="300">
        <f t="shared" si="12"/>
        <v>0</v>
      </c>
      <c r="J297" s="213"/>
      <c r="L297" s="1"/>
      <c r="N297" s="2"/>
      <c r="O297" s="69"/>
      <c r="P297" s="69"/>
      <c r="Q297" s="248"/>
      <c r="R297" s="247"/>
      <c r="S297" s="69"/>
      <c r="T297" s="162"/>
      <c r="U297" s="69"/>
    </row>
    <row r="298" spans="1:21">
      <c r="A298" s="298">
        <v>6</v>
      </c>
      <c r="B298" s="298" t="s">
        <v>361</v>
      </c>
      <c r="C298" s="298" t="s">
        <v>362</v>
      </c>
      <c r="D298" s="298"/>
      <c r="E298" s="301">
        <v>2.4336087848289526E-4</v>
      </c>
      <c r="F298" s="301">
        <v>1.2589644478026143E-9</v>
      </c>
      <c r="G298" s="304">
        <f t="shared" si="11"/>
        <v>4109.1238913746993</v>
      </c>
      <c r="H298" s="304">
        <v>0</v>
      </c>
      <c r="I298" s="300">
        <f t="shared" si="12"/>
        <v>0</v>
      </c>
      <c r="J298" s="213"/>
      <c r="O298" s="69"/>
      <c r="P298" s="69"/>
      <c r="Q298" s="248"/>
      <c r="R298" s="247"/>
      <c r="S298" s="69"/>
      <c r="T298" s="162"/>
      <c r="U298" s="69"/>
    </row>
    <row r="299" spans="1:21">
      <c r="A299" s="298">
        <v>6</v>
      </c>
      <c r="B299" s="298" t="s">
        <v>363</v>
      </c>
      <c r="C299" s="298" t="s">
        <v>364</v>
      </c>
      <c r="D299" s="298"/>
      <c r="E299" s="301">
        <v>2.4336087848289526E-4</v>
      </c>
      <c r="F299" s="301">
        <v>1.2589644478026143E-9</v>
      </c>
      <c r="G299" s="304">
        <f t="shared" si="11"/>
        <v>4109.1238913746993</v>
      </c>
      <c r="H299" s="304">
        <v>0</v>
      </c>
      <c r="I299" s="300">
        <f t="shared" si="12"/>
        <v>0</v>
      </c>
      <c r="J299" s="213"/>
      <c r="O299" s="69"/>
      <c r="P299" s="69"/>
      <c r="Q299" s="248"/>
      <c r="R299" s="247"/>
      <c r="S299" s="69"/>
      <c r="T299" s="162"/>
      <c r="U299" s="69"/>
    </row>
    <row r="300" spans="1:21">
      <c r="A300" s="298">
        <v>6</v>
      </c>
      <c r="B300" s="298" t="s">
        <v>365</v>
      </c>
      <c r="C300" s="298" t="s">
        <v>366</v>
      </c>
      <c r="D300" s="298"/>
      <c r="E300" s="301">
        <v>0</v>
      </c>
      <c r="F300" s="301">
        <v>0</v>
      </c>
      <c r="G300" s="304" t="str">
        <f t="shared" si="11"/>
        <v/>
      </c>
      <c r="H300" s="304">
        <v>0</v>
      </c>
      <c r="I300" s="300">
        <f t="shared" si="12"/>
        <v>0</v>
      </c>
      <c r="J300" s="213"/>
      <c r="O300" s="69"/>
      <c r="P300" s="69"/>
      <c r="Q300" s="248"/>
      <c r="R300" s="247"/>
      <c r="S300" s="69"/>
      <c r="T300" s="162"/>
      <c r="U300" s="69"/>
    </row>
    <row r="301" spans="1:21">
      <c r="A301" s="298">
        <v>6</v>
      </c>
      <c r="B301" s="298" t="s">
        <v>367</v>
      </c>
      <c r="C301" s="298" t="s">
        <v>368</v>
      </c>
      <c r="D301" s="298"/>
      <c r="E301" s="301">
        <v>0</v>
      </c>
      <c r="F301" s="301">
        <v>0</v>
      </c>
      <c r="G301" s="304" t="str">
        <f t="shared" si="11"/>
        <v/>
      </c>
      <c r="H301" s="304">
        <v>0</v>
      </c>
      <c r="I301" s="300">
        <f t="shared" si="12"/>
        <v>0</v>
      </c>
      <c r="J301" s="213"/>
      <c r="O301" s="69"/>
      <c r="P301" s="69"/>
      <c r="Q301" s="248"/>
      <c r="R301" s="247"/>
      <c r="S301" s="69"/>
      <c r="T301" s="162"/>
      <c r="U301" s="69"/>
    </row>
    <row r="302" spans="1:21">
      <c r="A302" s="298">
        <v>6</v>
      </c>
      <c r="B302" s="298" t="s">
        <v>369</v>
      </c>
      <c r="C302" s="298" t="s">
        <v>370</v>
      </c>
      <c r="D302" s="298"/>
      <c r="E302" s="301">
        <v>4.9665485404672497E-6</v>
      </c>
      <c r="F302" s="301">
        <v>2.5693151995971719E-11</v>
      </c>
      <c r="G302" s="304">
        <f t="shared" si="11"/>
        <v>201347.07067736032</v>
      </c>
      <c r="H302" s="304">
        <v>0</v>
      </c>
      <c r="I302" s="300">
        <f t="shared" si="12"/>
        <v>0</v>
      </c>
      <c r="J302" s="213"/>
      <c r="O302" s="69"/>
      <c r="P302" s="69"/>
      <c r="Q302" s="248"/>
      <c r="R302" s="247"/>
      <c r="S302" s="69"/>
      <c r="T302" s="162"/>
      <c r="U302" s="69"/>
    </row>
    <row r="303" spans="1:21">
      <c r="A303" s="298">
        <v>6</v>
      </c>
      <c r="B303" s="298" t="s">
        <v>371</v>
      </c>
      <c r="C303" s="298" t="s">
        <v>372</v>
      </c>
      <c r="D303" s="298"/>
      <c r="E303" s="301">
        <v>4.9665485404672497E-6</v>
      </c>
      <c r="F303" s="301">
        <v>2.5693151995971719E-11</v>
      </c>
      <c r="G303" s="304">
        <f t="shared" si="11"/>
        <v>201347.07067736032</v>
      </c>
      <c r="H303" s="304">
        <v>0</v>
      </c>
      <c r="I303" s="300">
        <f t="shared" si="12"/>
        <v>0</v>
      </c>
      <c r="J303" s="213"/>
      <c r="O303" s="69"/>
      <c r="P303" s="69"/>
      <c r="Q303" s="248"/>
      <c r="R303" s="247"/>
      <c r="S303" s="69"/>
      <c r="T303" s="162"/>
      <c r="U303" s="69"/>
    </row>
    <row r="304" spans="1:21">
      <c r="A304" s="298">
        <v>6</v>
      </c>
      <c r="B304" s="298" t="s">
        <v>373</v>
      </c>
      <c r="C304" s="298" t="s">
        <v>374</v>
      </c>
      <c r="D304" s="298"/>
      <c r="E304" s="301">
        <v>4.9665485404672497E-6</v>
      </c>
      <c r="F304" s="301">
        <v>2.5693151995971719E-11</v>
      </c>
      <c r="G304" s="304">
        <f t="shared" si="11"/>
        <v>201347.07067736032</v>
      </c>
      <c r="H304" s="304">
        <v>0</v>
      </c>
      <c r="I304" s="300">
        <f t="shared" si="12"/>
        <v>0</v>
      </c>
      <c r="J304" s="213"/>
      <c r="O304" s="69"/>
      <c r="P304" s="69"/>
      <c r="Q304" s="248"/>
      <c r="R304" s="247"/>
      <c r="S304" s="69"/>
      <c r="T304" s="162"/>
      <c r="U304" s="69"/>
    </row>
    <row r="305" spans="1:21">
      <c r="A305" s="298">
        <v>6</v>
      </c>
      <c r="B305" s="298" t="s">
        <v>375</v>
      </c>
      <c r="C305" s="298" t="s">
        <v>376</v>
      </c>
      <c r="D305" s="298"/>
      <c r="E305" s="301">
        <v>0</v>
      </c>
      <c r="F305" s="301">
        <v>0</v>
      </c>
      <c r="G305" s="304" t="str">
        <f t="shared" si="11"/>
        <v/>
      </c>
      <c r="H305" s="304">
        <v>0</v>
      </c>
      <c r="I305" s="300">
        <f t="shared" si="12"/>
        <v>0</v>
      </c>
      <c r="J305" s="213"/>
      <c r="O305" s="69"/>
      <c r="P305" s="69"/>
      <c r="Q305" s="248"/>
      <c r="R305" s="247"/>
      <c r="S305" s="69"/>
      <c r="T305" s="162"/>
      <c r="U305" s="69"/>
    </row>
    <row r="306" spans="1:21">
      <c r="A306" s="298">
        <v>6</v>
      </c>
      <c r="B306" s="298" t="s">
        <v>377</v>
      </c>
      <c r="C306" s="298" t="s">
        <v>378</v>
      </c>
      <c r="D306" s="298"/>
      <c r="E306" s="301">
        <v>0</v>
      </c>
      <c r="F306" s="301">
        <v>0</v>
      </c>
      <c r="G306" s="304" t="str">
        <f t="shared" si="11"/>
        <v/>
      </c>
      <c r="H306" s="304">
        <v>0</v>
      </c>
      <c r="I306" s="300">
        <f t="shared" si="12"/>
        <v>0</v>
      </c>
      <c r="J306" s="213"/>
      <c r="O306" s="69"/>
      <c r="P306" s="69"/>
      <c r="Q306" s="248"/>
      <c r="R306" s="247"/>
      <c r="S306" s="69"/>
      <c r="T306" s="162"/>
      <c r="U306" s="69"/>
    </row>
    <row r="307" spans="1:21">
      <c r="A307" s="298">
        <v>6</v>
      </c>
      <c r="B307" s="298" t="s">
        <v>379</v>
      </c>
      <c r="C307" s="298" t="s">
        <v>380</v>
      </c>
      <c r="D307" s="298"/>
      <c r="E307" s="301">
        <v>3.8143432818922199E-5</v>
      </c>
      <c r="F307" s="301">
        <v>1.3338404228295822E-9</v>
      </c>
      <c r="G307" s="304">
        <f t="shared" si="11"/>
        <v>26216.832783438407</v>
      </c>
      <c r="H307" s="304">
        <v>0</v>
      </c>
      <c r="I307" s="300">
        <f t="shared" si="12"/>
        <v>0</v>
      </c>
      <c r="J307" s="213"/>
      <c r="O307" s="69"/>
      <c r="P307" s="69"/>
      <c r="Q307" s="248"/>
      <c r="R307" s="247"/>
      <c r="S307" s="69"/>
      <c r="T307" s="162"/>
      <c r="U307" s="69"/>
    </row>
    <row r="308" spans="1:21">
      <c r="A308" s="298">
        <v>6</v>
      </c>
      <c r="B308" s="298" t="s">
        <v>381</v>
      </c>
      <c r="C308" s="298" t="s">
        <v>382</v>
      </c>
      <c r="D308" s="298"/>
      <c r="E308" s="301">
        <v>3.8143432818922199E-5</v>
      </c>
      <c r="F308" s="301">
        <v>1.3338404228295822E-9</v>
      </c>
      <c r="G308" s="304">
        <f t="shared" si="11"/>
        <v>26216.832783438407</v>
      </c>
      <c r="H308" s="304">
        <v>0</v>
      </c>
      <c r="I308" s="300">
        <f t="shared" si="12"/>
        <v>0</v>
      </c>
      <c r="J308" s="213"/>
      <c r="O308" s="69"/>
      <c r="P308" s="69"/>
      <c r="Q308" s="248"/>
      <c r="R308" s="247"/>
      <c r="S308" s="69"/>
      <c r="T308" s="162"/>
      <c r="U308" s="69"/>
    </row>
    <row r="309" spans="1:21">
      <c r="A309" s="298">
        <v>6</v>
      </c>
      <c r="B309" s="298" t="s">
        <v>383</v>
      </c>
      <c r="C309" s="298" t="s">
        <v>384</v>
      </c>
      <c r="D309" s="298"/>
      <c r="E309" s="301">
        <v>3.8143432818922199E-5</v>
      </c>
      <c r="F309" s="301">
        <v>1.3338404228295822E-9</v>
      </c>
      <c r="G309" s="304">
        <f t="shared" si="11"/>
        <v>26216.832783438407</v>
      </c>
      <c r="H309" s="304">
        <v>0</v>
      </c>
      <c r="I309" s="300">
        <f t="shared" si="12"/>
        <v>0</v>
      </c>
      <c r="J309" s="213"/>
      <c r="O309" s="69"/>
      <c r="P309" s="69"/>
      <c r="Q309" s="248"/>
      <c r="R309" s="247"/>
      <c r="S309" s="69"/>
      <c r="T309" s="162"/>
      <c r="U309" s="69"/>
    </row>
    <row r="310" spans="1:21">
      <c r="A310" s="298">
        <v>6</v>
      </c>
      <c r="B310" s="298" t="s">
        <v>385</v>
      </c>
      <c r="C310" s="298" t="s">
        <v>386</v>
      </c>
      <c r="D310" s="298"/>
      <c r="E310" s="301">
        <v>0</v>
      </c>
      <c r="F310" s="301">
        <v>0</v>
      </c>
      <c r="G310" s="304" t="str">
        <f t="shared" si="11"/>
        <v/>
      </c>
      <c r="H310" s="304">
        <v>0.10000000149011612</v>
      </c>
      <c r="I310" s="300">
        <f t="shared" si="12"/>
        <v>0</v>
      </c>
      <c r="J310" s="213"/>
      <c r="O310" s="69"/>
      <c r="P310" s="69"/>
      <c r="Q310" s="248"/>
      <c r="R310" s="247"/>
      <c r="S310" s="69"/>
      <c r="T310" s="162"/>
      <c r="U310" s="69"/>
    </row>
    <row r="311" spans="1:21">
      <c r="A311" s="298">
        <v>6</v>
      </c>
      <c r="B311" s="298" t="s">
        <v>387</v>
      </c>
      <c r="C311" s="298" t="s">
        <v>388</v>
      </c>
      <c r="D311" s="298"/>
      <c r="E311" s="301">
        <v>0</v>
      </c>
      <c r="F311" s="301">
        <v>0</v>
      </c>
      <c r="G311" s="304" t="str">
        <f t="shared" si="11"/>
        <v/>
      </c>
      <c r="H311" s="304">
        <v>0.10000000149011612</v>
      </c>
      <c r="I311" s="300">
        <f t="shared" si="12"/>
        <v>0</v>
      </c>
      <c r="J311" s="213"/>
      <c r="O311" s="69"/>
      <c r="P311" s="69"/>
      <c r="Q311" s="248"/>
      <c r="R311" s="247"/>
      <c r="S311" s="69"/>
      <c r="T311" s="162"/>
      <c r="U311" s="69"/>
    </row>
    <row r="312" spans="1:21">
      <c r="A312" s="298">
        <v>6</v>
      </c>
      <c r="B312" s="298" t="s">
        <v>389</v>
      </c>
      <c r="C312" s="298" t="s">
        <v>390</v>
      </c>
      <c r="D312" s="298"/>
      <c r="E312" s="301">
        <v>7.7843740446780008E-7</v>
      </c>
      <c r="F312" s="301">
        <v>2.7221233118971063E-11</v>
      </c>
      <c r="G312" s="304">
        <f t="shared" si="11"/>
        <v>1284624.8063884818</v>
      </c>
      <c r="H312" s="304">
        <v>0</v>
      </c>
      <c r="I312" s="300">
        <f t="shared" si="12"/>
        <v>0</v>
      </c>
      <c r="J312" s="213"/>
      <c r="O312" s="69"/>
      <c r="P312" s="69"/>
      <c r="Q312" s="248"/>
      <c r="R312" s="247"/>
      <c r="S312" s="69"/>
      <c r="T312" s="162"/>
      <c r="U312" s="69"/>
    </row>
    <row r="313" spans="1:21">
      <c r="A313" s="298">
        <v>6</v>
      </c>
      <c r="B313" s="298" t="s">
        <v>391</v>
      </c>
      <c r="C313" s="298" t="s">
        <v>392</v>
      </c>
      <c r="D313" s="298"/>
      <c r="E313" s="301">
        <v>7.7843740446780008E-7</v>
      </c>
      <c r="F313" s="301">
        <v>2.7221233118971063E-11</v>
      </c>
      <c r="G313" s="304">
        <f t="shared" si="11"/>
        <v>1284624.8063884818</v>
      </c>
      <c r="H313" s="304">
        <v>0.10000000149011612</v>
      </c>
      <c r="I313" s="300">
        <f t="shared" si="12"/>
        <v>7.7843741606742133E-8</v>
      </c>
      <c r="J313" s="213"/>
      <c r="O313" s="69"/>
      <c r="P313" s="69"/>
      <c r="Q313" s="248"/>
      <c r="R313" s="247"/>
      <c r="S313" s="69"/>
      <c r="T313" s="162"/>
      <c r="U313" s="69"/>
    </row>
    <row r="314" spans="1:21">
      <c r="A314" s="298">
        <v>6</v>
      </c>
      <c r="B314" s="298" t="s">
        <v>393</v>
      </c>
      <c r="C314" s="298" t="s">
        <v>394</v>
      </c>
      <c r="D314" s="298"/>
      <c r="E314" s="301">
        <v>7.7843740446780008E-7</v>
      </c>
      <c r="F314" s="301">
        <v>2.7221233118971063E-11</v>
      </c>
      <c r="G314" s="304">
        <f t="shared" si="11"/>
        <v>1284624.8063884818</v>
      </c>
      <c r="H314" s="304">
        <v>0</v>
      </c>
      <c r="I314" s="300">
        <f t="shared" si="12"/>
        <v>0</v>
      </c>
      <c r="J314" s="213"/>
      <c r="L314" s="1"/>
      <c r="N314" s="2"/>
      <c r="O314" s="69"/>
      <c r="P314" s="69"/>
      <c r="Q314" s="248"/>
      <c r="R314" s="247"/>
      <c r="S314" s="69"/>
      <c r="T314" s="162"/>
      <c r="U314" s="69"/>
    </row>
    <row r="315" spans="1:21">
      <c r="A315" s="298">
        <v>6</v>
      </c>
      <c r="B315" s="298" t="s">
        <v>395</v>
      </c>
      <c r="C315" s="298" t="s">
        <v>396</v>
      </c>
      <c r="D315" s="298"/>
      <c r="E315" s="301">
        <v>0</v>
      </c>
      <c r="F315" s="301">
        <v>0</v>
      </c>
      <c r="G315" s="304" t="str">
        <f t="shared" si="11"/>
        <v/>
      </c>
      <c r="H315" s="304">
        <v>0</v>
      </c>
      <c r="I315" s="300">
        <f t="shared" si="12"/>
        <v>0</v>
      </c>
      <c r="J315" s="213"/>
      <c r="L315" s="1"/>
      <c r="N315" s="2"/>
      <c r="O315" s="69"/>
      <c r="P315" s="69"/>
      <c r="Q315" s="248"/>
      <c r="R315" s="247"/>
      <c r="S315" s="69"/>
      <c r="T315" s="162"/>
      <c r="U315" s="69"/>
    </row>
    <row r="316" spans="1:21">
      <c r="A316" s="298">
        <v>6</v>
      </c>
      <c r="B316" s="298" t="s">
        <v>397</v>
      </c>
      <c r="C316" s="298" t="s">
        <v>398</v>
      </c>
      <c r="D316" s="298"/>
      <c r="E316" s="301">
        <v>0</v>
      </c>
      <c r="F316" s="301">
        <v>0</v>
      </c>
      <c r="G316" s="304" t="str">
        <f t="shared" si="11"/>
        <v/>
      </c>
      <c r="H316" s="304">
        <v>0</v>
      </c>
      <c r="I316" s="300">
        <f t="shared" si="12"/>
        <v>0</v>
      </c>
      <c r="J316" s="213"/>
      <c r="L316" s="1"/>
      <c r="N316" s="2"/>
      <c r="O316" s="69"/>
      <c r="P316" s="69"/>
      <c r="Q316" s="248"/>
      <c r="R316" s="247"/>
      <c r="S316" s="69"/>
      <c r="T316" s="162"/>
      <c r="U316" s="69"/>
    </row>
    <row r="317" spans="1:21">
      <c r="A317" s="298">
        <v>6</v>
      </c>
      <c r="B317" s="298" t="s">
        <v>399</v>
      </c>
      <c r="C317" s="298" t="s">
        <v>400</v>
      </c>
      <c r="D317" s="298"/>
      <c r="E317" s="301">
        <v>5.8141783909439999E-7</v>
      </c>
      <c r="F317" s="301">
        <v>2.0007606342443731E-10</v>
      </c>
      <c r="G317" s="304">
        <f t="shared" si="11"/>
        <v>1719933.4673968239</v>
      </c>
      <c r="H317" s="304">
        <v>0</v>
      </c>
      <c r="I317" s="300">
        <f t="shared" si="12"/>
        <v>0</v>
      </c>
      <c r="J317" s="213"/>
      <c r="O317" s="69"/>
      <c r="P317" s="69"/>
      <c r="Q317" s="248"/>
      <c r="R317" s="247"/>
      <c r="S317" s="69"/>
      <c r="T317" s="162"/>
      <c r="U317" s="69"/>
    </row>
    <row r="318" spans="1:21">
      <c r="A318" s="298">
        <v>6</v>
      </c>
      <c r="B318" s="298" t="s">
        <v>401</v>
      </c>
      <c r="C318" s="298" t="s">
        <v>402</v>
      </c>
      <c r="D318" s="298"/>
      <c r="E318" s="301">
        <v>5.8141783909439999E-7</v>
      </c>
      <c r="F318" s="301">
        <v>2.0007606342443731E-10</v>
      </c>
      <c r="G318" s="304">
        <f t="shared" si="11"/>
        <v>1719933.4673968239</v>
      </c>
      <c r="H318" s="304">
        <v>0</v>
      </c>
      <c r="I318" s="300">
        <f t="shared" si="12"/>
        <v>0</v>
      </c>
      <c r="J318" s="213"/>
      <c r="O318" s="69"/>
      <c r="P318" s="69"/>
      <c r="Q318" s="248"/>
      <c r="R318" s="247"/>
      <c r="S318" s="69"/>
      <c r="T318" s="162"/>
      <c r="U318" s="69"/>
    </row>
    <row r="319" spans="1:21">
      <c r="A319" s="298">
        <v>6</v>
      </c>
      <c r="B319" s="298" t="s">
        <v>403</v>
      </c>
      <c r="C319" s="298" t="s">
        <v>404</v>
      </c>
      <c r="D319" s="298"/>
      <c r="E319" s="301">
        <v>5.8141783909439999E-7</v>
      </c>
      <c r="F319" s="301">
        <v>2.0007606342443731E-10</v>
      </c>
      <c r="G319" s="304">
        <f t="shared" si="11"/>
        <v>1719933.4673968239</v>
      </c>
      <c r="H319" s="304">
        <v>0</v>
      </c>
      <c r="I319" s="300">
        <f t="shared" si="12"/>
        <v>0</v>
      </c>
      <c r="J319" s="213"/>
      <c r="L319" s="1"/>
      <c r="N319" s="2"/>
      <c r="O319" s="69"/>
      <c r="P319" s="69"/>
      <c r="Q319" s="248"/>
      <c r="R319" s="247"/>
      <c r="S319" s="69"/>
      <c r="T319" s="162"/>
      <c r="U319" s="69"/>
    </row>
    <row r="320" spans="1:21">
      <c r="A320" s="298">
        <v>6</v>
      </c>
      <c r="B320" s="298" t="s">
        <v>405</v>
      </c>
      <c r="C320" s="298" t="s">
        <v>406</v>
      </c>
      <c r="D320" s="298"/>
      <c r="E320" s="301">
        <v>0</v>
      </c>
      <c r="F320" s="301">
        <v>0</v>
      </c>
      <c r="G320" s="304" t="str">
        <f t="shared" si="11"/>
        <v/>
      </c>
      <c r="H320" s="304">
        <v>12.699999809265137</v>
      </c>
      <c r="I320" s="300">
        <f t="shared" si="12"/>
        <v>0</v>
      </c>
      <c r="J320" s="213"/>
      <c r="L320" s="1"/>
      <c r="N320" s="2"/>
      <c r="O320" s="69"/>
      <c r="P320" s="69"/>
      <c r="Q320" s="248"/>
      <c r="R320" s="247"/>
      <c r="S320" s="69"/>
      <c r="T320" s="162"/>
      <c r="U320" s="69"/>
    </row>
    <row r="321" spans="1:21">
      <c r="A321" s="298">
        <v>6</v>
      </c>
      <c r="B321" s="298" t="s">
        <v>407</v>
      </c>
      <c r="C321" s="298" t="s">
        <v>408</v>
      </c>
      <c r="D321" s="298"/>
      <c r="E321" s="301">
        <v>0</v>
      </c>
      <c r="F321" s="301">
        <v>0</v>
      </c>
      <c r="G321" s="304" t="str">
        <f t="shared" si="11"/>
        <v/>
      </c>
      <c r="H321" s="304">
        <v>15.600000381469727</v>
      </c>
      <c r="I321" s="300">
        <f t="shared" si="12"/>
        <v>0</v>
      </c>
      <c r="J321" s="213"/>
      <c r="O321" s="69"/>
      <c r="P321" s="69"/>
      <c r="Q321" s="248"/>
      <c r="R321" s="247"/>
      <c r="S321" s="69"/>
      <c r="T321" s="162"/>
      <c r="U321" s="69"/>
    </row>
    <row r="322" spans="1:21">
      <c r="A322" s="298">
        <v>6</v>
      </c>
      <c r="B322" s="298" t="s">
        <v>409</v>
      </c>
      <c r="C322" s="298" t="s">
        <v>410</v>
      </c>
      <c r="D322" s="298"/>
      <c r="E322" s="301">
        <v>1.1865670185599999E-8</v>
      </c>
      <c r="F322" s="301">
        <v>4.0831849678456588E-12</v>
      </c>
      <c r="G322" s="304">
        <f t="shared" si="11"/>
        <v>84276739.902444378</v>
      </c>
      <c r="H322" s="304">
        <v>0</v>
      </c>
      <c r="I322" s="300">
        <f t="shared" si="12"/>
        <v>0</v>
      </c>
      <c r="J322" s="213"/>
      <c r="O322" s="69"/>
      <c r="P322" s="69"/>
      <c r="Q322" s="248"/>
      <c r="R322" s="247"/>
      <c r="S322" s="69"/>
      <c r="T322" s="162"/>
      <c r="U322" s="69"/>
    </row>
    <row r="323" spans="1:21">
      <c r="A323" s="298">
        <v>6</v>
      </c>
      <c r="B323" s="298" t="s">
        <v>411</v>
      </c>
      <c r="C323" s="298" t="s">
        <v>412</v>
      </c>
      <c r="D323" s="298"/>
      <c r="E323" s="301">
        <v>1.1865670185599999E-8</v>
      </c>
      <c r="F323" s="301">
        <v>4.0831849678456588E-12</v>
      </c>
      <c r="G323" s="304">
        <f t="shared" si="11"/>
        <v>84276739.902444378</v>
      </c>
      <c r="H323" s="304">
        <v>13.300000190734863</v>
      </c>
      <c r="I323" s="300">
        <f t="shared" si="12"/>
        <v>1.5781341573167697E-7</v>
      </c>
      <c r="J323" s="213"/>
      <c r="L323" s="1"/>
      <c r="N323" s="2"/>
      <c r="O323" s="69"/>
      <c r="P323" s="69"/>
      <c r="Q323" s="248"/>
      <c r="R323" s="247"/>
      <c r="S323" s="69"/>
      <c r="T323" s="162"/>
      <c r="U323" s="69"/>
    </row>
    <row r="324" spans="1:21">
      <c r="A324" s="298">
        <v>6</v>
      </c>
      <c r="B324" s="298" t="s">
        <v>413</v>
      </c>
      <c r="C324" s="298" t="s">
        <v>414</v>
      </c>
      <c r="D324" s="298"/>
      <c r="E324" s="301">
        <v>1.1865670185599999E-8</v>
      </c>
      <c r="F324" s="301">
        <v>4.0831849678456588E-12</v>
      </c>
      <c r="G324" s="304">
        <f t="shared" si="11"/>
        <v>84276739.902444378</v>
      </c>
      <c r="H324" s="304">
        <v>0.10000000149011612</v>
      </c>
      <c r="I324" s="300">
        <f t="shared" si="12"/>
        <v>1.1865670362412264E-9</v>
      </c>
      <c r="J324" s="213"/>
      <c r="O324" s="69"/>
      <c r="P324" s="69"/>
      <c r="Q324" s="248"/>
      <c r="R324" s="247"/>
      <c r="S324" s="69"/>
      <c r="T324" s="162"/>
      <c r="U324" s="69"/>
    </row>
    <row r="325" spans="1:21">
      <c r="A325" s="297"/>
      <c r="B325" s="297"/>
      <c r="C325" s="297"/>
      <c r="D325" s="297"/>
      <c r="E325" s="299"/>
      <c r="F325" s="299"/>
      <c r="G325" s="302"/>
      <c r="H325" s="305"/>
      <c r="I325" s="306"/>
      <c r="O325" s="69"/>
      <c r="P325" s="69"/>
      <c r="Q325" s="248"/>
      <c r="R325" s="247"/>
      <c r="S325" s="69"/>
      <c r="T325" s="162"/>
      <c r="U325" s="69"/>
    </row>
    <row r="326" spans="1:21">
      <c r="A326" s="289"/>
      <c r="B326" s="289"/>
      <c r="C326" s="289"/>
      <c r="D326" s="289"/>
      <c r="E326" s="290"/>
      <c r="F326" s="290"/>
      <c r="G326" s="292"/>
      <c r="H326" s="292"/>
      <c r="I326" s="293"/>
      <c r="O326" s="69"/>
      <c r="P326" s="69"/>
      <c r="Q326" s="248"/>
      <c r="R326" s="247"/>
      <c r="S326" s="69"/>
      <c r="T326" s="162"/>
      <c r="U326" s="69"/>
    </row>
    <row r="327" spans="1:21">
      <c r="A327" s="289"/>
      <c r="B327" s="289"/>
      <c r="C327" s="289"/>
      <c r="D327" s="289"/>
      <c r="E327" s="290"/>
      <c r="F327" s="290"/>
      <c r="G327" s="292"/>
      <c r="H327" s="292"/>
      <c r="I327" s="293"/>
      <c r="O327" s="69"/>
      <c r="P327" s="69"/>
      <c r="Q327" s="248"/>
      <c r="R327" s="247"/>
      <c r="S327" s="69"/>
      <c r="T327" s="162"/>
      <c r="U327" s="69"/>
    </row>
    <row r="328" spans="1:21">
      <c r="A328" s="289"/>
      <c r="B328" s="289"/>
      <c r="C328" s="289"/>
      <c r="D328" s="289"/>
      <c r="E328" s="290"/>
      <c r="F328" s="290"/>
      <c r="G328" s="292"/>
      <c r="H328" s="292"/>
      <c r="I328" s="293"/>
      <c r="O328" s="69"/>
      <c r="P328" s="69"/>
      <c r="Q328" s="248"/>
      <c r="R328" s="247"/>
      <c r="S328" s="69"/>
      <c r="T328" s="162"/>
      <c r="U328" s="69"/>
    </row>
    <row r="329" spans="1:21">
      <c r="A329" s="289"/>
      <c r="B329" s="289"/>
      <c r="C329" s="289"/>
      <c r="D329" s="289"/>
      <c r="E329" s="290"/>
      <c r="F329" s="290"/>
      <c r="G329" s="292"/>
      <c r="H329" s="292"/>
      <c r="I329" s="293"/>
      <c r="O329" s="69"/>
      <c r="P329" s="69"/>
      <c r="Q329" s="248"/>
      <c r="R329" s="247"/>
      <c r="S329" s="69"/>
      <c r="T329" s="162"/>
      <c r="U329" s="69"/>
    </row>
    <row r="330" spans="1:21">
      <c r="A330" s="289"/>
      <c r="B330" s="289"/>
      <c r="C330" s="289"/>
      <c r="D330" s="289"/>
      <c r="E330" s="290"/>
      <c r="F330" s="290"/>
      <c r="G330" s="292"/>
      <c r="H330" s="292"/>
      <c r="I330" s="293"/>
      <c r="L330" s="1"/>
      <c r="N330" s="2"/>
      <c r="O330" s="69"/>
      <c r="P330" s="69"/>
      <c r="Q330" s="248"/>
      <c r="R330" s="247"/>
      <c r="S330" s="69"/>
      <c r="T330" s="162"/>
      <c r="U330" s="69"/>
    </row>
    <row r="331" spans="1:21">
      <c r="A331" s="289"/>
      <c r="B331" s="289"/>
      <c r="C331" s="289"/>
      <c r="D331" s="289"/>
      <c r="E331" s="290"/>
      <c r="F331" s="290"/>
      <c r="G331" s="292"/>
      <c r="H331" s="292"/>
      <c r="I331" s="293"/>
      <c r="L331" s="1"/>
      <c r="N331" s="2"/>
      <c r="O331" s="69"/>
      <c r="P331" s="69"/>
      <c r="Q331" s="248"/>
      <c r="R331" s="247"/>
      <c r="S331" s="69"/>
      <c r="T331" s="162"/>
      <c r="U331" s="69"/>
    </row>
    <row r="332" spans="1:21">
      <c r="A332" s="289"/>
      <c r="B332" s="289"/>
      <c r="C332" s="289"/>
      <c r="D332" s="289"/>
      <c r="E332" s="290"/>
      <c r="F332" s="290"/>
      <c r="G332" s="292"/>
      <c r="H332" s="292"/>
      <c r="I332" s="293"/>
      <c r="O332" s="69"/>
      <c r="P332" s="69"/>
      <c r="Q332" s="248"/>
      <c r="R332" s="247"/>
      <c r="S332" s="69"/>
      <c r="T332" s="162"/>
      <c r="U332" s="69"/>
    </row>
    <row r="333" spans="1:21">
      <c r="A333" s="289"/>
      <c r="B333" s="289"/>
      <c r="C333" s="289"/>
      <c r="D333" s="289"/>
      <c r="E333" s="290"/>
      <c r="F333" s="290"/>
      <c r="G333" s="292"/>
      <c r="H333" s="292"/>
      <c r="I333" s="293"/>
      <c r="O333" s="69"/>
      <c r="P333" s="69"/>
      <c r="Q333" s="248"/>
      <c r="R333" s="247"/>
      <c r="S333" s="69"/>
      <c r="T333" s="162"/>
      <c r="U333" s="69"/>
    </row>
    <row r="334" spans="1:21">
      <c r="A334" s="289"/>
      <c r="B334" s="289"/>
      <c r="C334" s="289"/>
      <c r="D334" s="289"/>
      <c r="E334" s="290"/>
      <c r="F334" s="290"/>
      <c r="G334" s="292"/>
      <c r="H334" s="292"/>
      <c r="I334" s="293"/>
      <c r="O334" s="69"/>
      <c r="P334" s="69"/>
      <c r="Q334" s="248"/>
      <c r="R334" s="247"/>
      <c r="S334" s="69"/>
      <c r="T334" s="162"/>
      <c r="U334" s="69"/>
    </row>
    <row r="335" spans="1:21">
      <c r="A335" s="289"/>
      <c r="B335" s="289"/>
      <c r="C335" s="289"/>
      <c r="D335" s="289"/>
      <c r="E335" s="290"/>
      <c r="F335" s="290"/>
      <c r="G335" s="292"/>
      <c r="H335" s="292"/>
      <c r="I335" s="293"/>
      <c r="O335" s="69"/>
      <c r="P335" s="69"/>
      <c r="Q335" s="248"/>
      <c r="R335" s="247"/>
      <c r="S335" s="69"/>
      <c r="T335" s="162"/>
      <c r="U335" s="69"/>
    </row>
    <row r="336" spans="1:21">
      <c r="A336" s="289"/>
      <c r="B336" s="289"/>
      <c r="C336" s="289"/>
      <c r="D336" s="289"/>
      <c r="E336" s="290"/>
      <c r="F336" s="290"/>
      <c r="G336" s="292"/>
      <c r="H336" s="292"/>
      <c r="I336" s="293"/>
      <c r="O336" s="69"/>
      <c r="P336" s="69"/>
      <c r="Q336" s="248"/>
      <c r="R336" s="247"/>
      <c r="S336" s="69"/>
      <c r="T336" s="162"/>
      <c r="U336" s="69"/>
    </row>
    <row r="337" spans="1:21">
      <c r="A337" s="289"/>
      <c r="B337" s="289"/>
      <c r="C337" s="289"/>
      <c r="D337" s="289"/>
      <c r="E337" s="290"/>
      <c r="F337" s="290"/>
      <c r="G337" s="292"/>
      <c r="H337" s="292"/>
      <c r="I337" s="293"/>
      <c r="L337" s="1"/>
      <c r="N337" s="2"/>
      <c r="O337" s="69"/>
      <c r="P337" s="69"/>
      <c r="Q337" s="248"/>
      <c r="R337" s="247"/>
      <c r="S337" s="69"/>
      <c r="T337" s="162"/>
      <c r="U337" s="69"/>
    </row>
    <row r="338" spans="1:21">
      <c r="A338" s="289"/>
      <c r="B338" s="289"/>
      <c r="C338" s="289"/>
      <c r="D338" s="289"/>
      <c r="E338" s="290"/>
      <c r="F338" s="290"/>
      <c r="G338" s="292"/>
      <c r="H338" s="292"/>
      <c r="I338" s="293"/>
      <c r="L338" s="1"/>
      <c r="N338" s="2"/>
      <c r="O338" s="69"/>
      <c r="P338" s="69"/>
      <c r="Q338" s="248"/>
      <c r="R338" s="247"/>
      <c r="S338" s="69"/>
      <c r="T338" s="162"/>
      <c r="U338" s="69"/>
    </row>
    <row r="339" spans="1:21">
      <c r="A339" s="289"/>
      <c r="B339" s="289"/>
      <c r="C339" s="289"/>
      <c r="D339" s="289"/>
      <c r="E339" s="290"/>
      <c r="F339" s="290"/>
      <c r="G339" s="292"/>
      <c r="H339" s="292"/>
      <c r="I339" s="293"/>
      <c r="O339" s="69"/>
      <c r="P339" s="69"/>
      <c r="Q339" s="248"/>
      <c r="R339" s="247"/>
      <c r="S339" s="69"/>
      <c r="T339" s="162"/>
      <c r="U339" s="69"/>
    </row>
    <row r="340" spans="1:21">
      <c r="A340" s="289"/>
      <c r="B340" s="289"/>
      <c r="C340" s="289"/>
      <c r="D340" s="289"/>
      <c r="E340" s="290"/>
      <c r="F340" s="290"/>
      <c r="G340" s="292"/>
      <c r="H340" s="292"/>
      <c r="I340" s="293"/>
      <c r="O340" s="69"/>
      <c r="P340" s="69"/>
      <c r="Q340" s="248"/>
      <c r="R340" s="247"/>
      <c r="S340" s="69"/>
      <c r="T340" s="162"/>
      <c r="U340" s="69"/>
    </row>
    <row r="341" spans="1:21">
      <c r="A341" s="289"/>
      <c r="B341" s="289"/>
      <c r="C341" s="289"/>
      <c r="D341" s="289"/>
      <c r="E341" s="290"/>
      <c r="F341" s="290"/>
      <c r="G341" s="292"/>
      <c r="H341" s="292"/>
      <c r="I341" s="293"/>
      <c r="O341" s="69"/>
      <c r="P341" s="69"/>
      <c r="Q341" s="248"/>
      <c r="R341" s="247"/>
      <c r="S341" s="69"/>
      <c r="T341" s="162"/>
      <c r="U341" s="69"/>
    </row>
    <row r="342" spans="1:21">
      <c r="A342" s="289"/>
      <c r="B342" s="289"/>
      <c r="C342" s="289"/>
      <c r="D342" s="289"/>
      <c r="E342" s="290"/>
      <c r="F342" s="290"/>
      <c r="G342" s="292"/>
      <c r="H342" s="292"/>
      <c r="I342" s="293"/>
      <c r="O342" s="69"/>
      <c r="P342" s="69"/>
      <c r="Q342" s="248"/>
      <c r="R342" s="247"/>
      <c r="S342" s="69"/>
      <c r="T342" s="162"/>
      <c r="U342" s="69"/>
    </row>
    <row r="343" spans="1:21">
      <c r="A343" s="289"/>
      <c r="B343" s="289"/>
      <c r="C343" s="289"/>
      <c r="D343" s="289"/>
      <c r="E343" s="290"/>
      <c r="F343" s="290"/>
      <c r="G343" s="292"/>
      <c r="H343" s="292"/>
      <c r="I343" s="293"/>
      <c r="O343" s="69"/>
      <c r="P343" s="69"/>
      <c r="Q343" s="248"/>
      <c r="R343" s="247"/>
      <c r="S343" s="69"/>
      <c r="T343" s="162"/>
      <c r="U343" s="69"/>
    </row>
    <row r="344" spans="1:21">
      <c r="A344" s="289"/>
      <c r="B344" s="289"/>
      <c r="C344" s="289"/>
      <c r="D344" s="289"/>
      <c r="E344" s="290"/>
      <c r="F344" s="290"/>
      <c r="G344" s="292"/>
      <c r="H344" s="292"/>
      <c r="I344" s="293"/>
      <c r="L344" s="1"/>
      <c r="N344" s="2"/>
      <c r="O344" s="69"/>
      <c r="P344" s="69"/>
      <c r="Q344" s="248"/>
      <c r="R344" s="247"/>
      <c r="S344" s="69"/>
      <c r="T344" s="162"/>
      <c r="U344" s="69"/>
    </row>
    <row r="345" spans="1:21">
      <c r="A345" s="289"/>
      <c r="B345" s="289"/>
      <c r="C345" s="289"/>
      <c r="D345" s="289"/>
      <c r="E345" s="290"/>
      <c r="F345" s="290"/>
      <c r="G345" s="292"/>
      <c r="H345" s="292"/>
      <c r="I345" s="293"/>
      <c r="O345" s="69"/>
      <c r="P345" s="69"/>
      <c r="Q345" s="248"/>
      <c r="R345" s="247"/>
      <c r="S345" s="69"/>
      <c r="T345" s="162"/>
      <c r="U345" s="69"/>
    </row>
    <row r="346" spans="1:21">
      <c r="A346" s="289"/>
      <c r="B346" s="289"/>
      <c r="C346" s="289"/>
      <c r="D346" s="289"/>
      <c r="E346" s="290"/>
      <c r="F346" s="290"/>
      <c r="G346" s="292"/>
      <c r="H346" s="292"/>
      <c r="I346" s="293"/>
      <c r="O346" s="69"/>
      <c r="P346" s="69"/>
      <c r="Q346" s="248"/>
      <c r="R346" s="247"/>
      <c r="S346" s="69"/>
      <c r="T346" s="162"/>
      <c r="U346" s="69"/>
    </row>
    <row r="347" spans="1:21">
      <c r="A347" s="289"/>
      <c r="B347" s="289"/>
      <c r="C347" s="289"/>
      <c r="D347" s="289"/>
      <c r="E347" s="290"/>
      <c r="F347" s="290"/>
      <c r="G347" s="292"/>
      <c r="H347" s="292"/>
      <c r="I347" s="293"/>
      <c r="O347" s="69"/>
      <c r="P347" s="69"/>
      <c r="Q347" s="248"/>
      <c r="R347" s="247"/>
      <c r="S347" s="69"/>
      <c r="T347" s="162"/>
      <c r="U347" s="69"/>
    </row>
    <row r="348" spans="1:21">
      <c r="A348" s="289"/>
      <c r="B348" s="289"/>
      <c r="C348" s="289"/>
      <c r="D348" s="289"/>
      <c r="E348" s="290"/>
      <c r="F348" s="290"/>
      <c r="G348" s="292"/>
      <c r="H348" s="292"/>
      <c r="I348" s="293"/>
      <c r="L348" s="1"/>
      <c r="N348" s="2"/>
      <c r="O348" s="69"/>
      <c r="P348" s="69"/>
      <c r="Q348" s="248"/>
      <c r="R348" s="247"/>
      <c r="S348" s="69"/>
      <c r="T348" s="162"/>
      <c r="U348" s="69"/>
    </row>
    <row r="349" spans="1:21">
      <c r="A349" s="289"/>
      <c r="B349" s="289"/>
      <c r="C349" s="289"/>
      <c r="D349" s="289"/>
      <c r="E349" s="290"/>
      <c r="F349" s="290"/>
      <c r="G349" s="292"/>
      <c r="H349" s="292"/>
      <c r="I349" s="293"/>
      <c r="O349" s="69"/>
      <c r="P349" s="69"/>
      <c r="Q349" s="248"/>
      <c r="R349" s="247"/>
      <c r="S349" s="69"/>
      <c r="T349" s="162"/>
      <c r="U349" s="69"/>
    </row>
    <row r="350" spans="1:21">
      <c r="A350" s="289"/>
      <c r="B350" s="289"/>
      <c r="C350" s="289"/>
      <c r="D350" s="289"/>
      <c r="E350" s="290"/>
      <c r="F350" s="290"/>
      <c r="G350" s="292"/>
      <c r="H350" s="292"/>
      <c r="I350" s="293"/>
      <c r="O350" s="69"/>
      <c r="P350" s="69"/>
      <c r="Q350" s="248"/>
      <c r="R350" s="247"/>
      <c r="S350" s="69"/>
      <c r="T350" s="162"/>
      <c r="U350" s="69"/>
    </row>
    <row r="351" spans="1:21">
      <c r="A351" s="289"/>
      <c r="B351" s="289"/>
      <c r="C351" s="289"/>
      <c r="D351" s="289"/>
      <c r="E351" s="290"/>
      <c r="F351" s="290"/>
      <c r="G351" s="292"/>
      <c r="H351" s="292"/>
      <c r="I351" s="293"/>
      <c r="L351" s="1"/>
      <c r="N351" s="2"/>
      <c r="O351" s="69"/>
      <c r="P351" s="69"/>
      <c r="Q351" s="248"/>
      <c r="R351" s="247"/>
      <c r="S351" s="69"/>
      <c r="T351" s="162"/>
      <c r="U351" s="69"/>
    </row>
    <row r="352" spans="1:21">
      <c r="A352" s="289"/>
      <c r="B352" s="289"/>
      <c r="C352" s="289"/>
      <c r="D352" s="289"/>
      <c r="E352" s="290"/>
      <c r="F352" s="290"/>
      <c r="G352" s="292"/>
      <c r="H352" s="292"/>
      <c r="I352" s="293"/>
      <c r="L352" s="1"/>
      <c r="N352" s="2"/>
      <c r="O352" s="69"/>
      <c r="P352" s="69"/>
      <c r="Q352" s="248"/>
      <c r="R352" s="247"/>
      <c r="S352" s="69"/>
      <c r="T352" s="162"/>
      <c r="U352" s="69"/>
    </row>
    <row r="353" spans="1:21">
      <c r="A353" s="289"/>
      <c r="B353" s="289"/>
      <c r="C353" s="289"/>
      <c r="D353" s="289"/>
      <c r="E353" s="290"/>
      <c r="F353" s="290"/>
      <c r="G353" s="292"/>
      <c r="H353" s="292"/>
      <c r="I353" s="293"/>
      <c r="O353" s="69"/>
      <c r="P353" s="69"/>
      <c r="Q353" s="248"/>
      <c r="R353" s="247"/>
      <c r="S353" s="69"/>
      <c r="T353" s="162"/>
      <c r="U353" s="69"/>
    </row>
    <row r="354" spans="1:21">
      <c r="A354" s="289"/>
      <c r="B354" s="289"/>
      <c r="C354" s="289"/>
      <c r="D354" s="289"/>
      <c r="E354" s="290"/>
      <c r="F354" s="290"/>
      <c r="G354" s="292"/>
      <c r="H354" s="292"/>
      <c r="I354" s="293"/>
      <c r="O354" s="69"/>
      <c r="P354" s="69"/>
      <c r="Q354" s="248"/>
      <c r="R354" s="247"/>
      <c r="S354" s="69"/>
      <c r="T354" s="162"/>
      <c r="U354" s="69"/>
    </row>
    <row r="355" spans="1:21">
      <c r="A355" s="289"/>
      <c r="B355" s="289"/>
      <c r="C355" s="289"/>
      <c r="D355" s="289"/>
      <c r="E355" s="290"/>
      <c r="F355" s="290"/>
      <c r="G355" s="291"/>
      <c r="H355" s="292"/>
      <c r="I355" s="293"/>
      <c r="O355" s="69"/>
      <c r="P355" s="69"/>
      <c r="Q355" s="248"/>
      <c r="R355" s="247"/>
      <c r="S355" s="69"/>
      <c r="T355" s="162"/>
      <c r="U355" s="69"/>
    </row>
    <row r="356" spans="1:21">
      <c r="A356" s="289"/>
      <c r="B356" s="289"/>
      <c r="C356" s="289"/>
      <c r="D356" s="289"/>
      <c r="E356" s="290"/>
      <c r="F356" s="290"/>
      <c r="G356" s="291"/>
      <c r="H356" s="292"/>
      <c r="I356" s="293"/>
      <c r="L356" s="1"/>
      <c r="N356" s="2"/>
      <c r="O356" s="69"/>
      <c r="P356" s="69"/>
      <c r="Q356" s="248"/>
      <c r="R356" s="247"/>
      <c r="S356" s="69"/>
      <c r="T356" s="162"/>
      <c r="U356" s="69"/>
    </row>
    <row r="357" spans="1:21">
      <c r="A357" s="289"/>
      <c r="B357" s="289"/>
      <c r="C357" s="289"/>
      <c r="D357" s="289"/>
      <c r="E357" s="290"/>
      <c r="F357" s="290"/>
      <c r="G357" s="291"/>
      <c r="H357" s="292"/>
      <c r="I357" s="293"/>
      <c r="O357" s="69"/>
      <c r="P357" s="69"/>
      <c r="Q357" s="248"/>
      <c r="R357" s="247"/>
      <c r="S357" s="69"/>
      <c r="T357" s="162"/>
      <c r="U357" s="69"/>
    </row>
    <row r="358" spans="1:21">
      <c r="A358" s="289"/>
      <c r="B358" s="289"/>
      <c r="C358" s="289"/>
      <c r="D358" s="289"/>
      <c r="E358" s="290"/>
      <c r="F358" s="290"/>
      <c r="G358" s="291"/>
      <c r="H358" s="292"/>
      <c r="I358" s="293"/>
      <c r="O358" s="69"/>
      <c r="P358" s="69"/>
      <c r="Q358" s="248"/>
      <c r="R358" s="247"/>
      <c r="S358" s="69"/>
      <c r="T358" s="162"/>
      <c r="U358" s="69"/>
    </row>
    <row r="359" spans="1:21">
      <c r="A359" s="289"/>
      <c r="B359" s="289"/>
      <c r="C359" s="289"/>
      <c r="D359" s="289"/>
      <c r="E359" s="290"/>
      <c r="F359" s="290"/>
      <c r="G359" s="291"/>
      <c r="H359" s="292"/>
      <c r="I359" s="293"/>
      <c r="O359" s="69"/>
      <c r="P359" s="69"/>
      <c r="Q359" s="248"/>
      <c r="R359" s="247"/>
      <c r="S359" s="69"/>
      <c r="T359" s="162"/>
      <c r="U359" s="69"/>
    </row>
    <row r="360" spans="1:21">
      <c r="A360" s="289"/>
      <c r="B360" s="289"/>
      <c r="C360" s="289"/>
      <c r="D360" s="289"/>
      <c r="E360" s="290"/>
      <c r="F360" s="290"/>
      <c r="G360" s="291"/>
      <c r="H360" s="292"/>
      <c r="I360" s="293"/>
      <c r="O360" s="69"/>
      <c r="P360" s="69"/>
      <c r="Q360" s="248"/>
      <c r="R360" s="247"/>
      <c r="S360" s="69"/>
      <c r="T360" s="162"/>
      <c r="U360" s="69"/>
    </row>
    <row r="361" spans="1:21">
      <c r="A361" s="289"/>
      <c r="B361" s="289"/>
      <c r="C361" s="289"/>
      <c r="D361" s="289"/>
      <c r="E361" s="290"/>
      <c r="F361" s="290"/>
      <c r="G361" s="291"/>
      <c r="H361" s="292"/>
      <c r="I361" s="293"/>
      <c r="L361" s="1"/>
      <c r="N361" s="2"/>
      <c r="O361" s="69"/>
      <c r="P361" s="69"/>
      <c r="Q361" s="248"/>
      <c r="R361" s="247"/>
      <c r="S361" s="69"/>
      <c r="T361" s="162"/>
      <c r="U361" s="69"/>
    </row>
    <row r="362" spans="1:21">
      <c r="A362" s="289"/>
      <c r="B362" s="289"/>
      <c r="C362" s="289"/>
      <c r="D362" s="289"/>
      <c r="E362" s="290"/>
      <c r="F362" s="290"/>
      <c r="G362" s="291"/>
      <c r="H362" s="292"/>
      <c r="I362" s="293"/>
      <c r="O362" s="69"/>
      <c r="P362" s="69"/>
      <c r="Q362" s="248"/>
      <c r="R362" s="247"/>
      <c r="S362" s="69"/>
      <c r="T362" s="162"/>
      <c r="U362" s="69"/>
    </row>
    <row r="363" spans="1:21">
      <c r="A363" s="289"/>
      <c r="B363" s="289"/>
      <c r="C363" s="289"/>
      <c r="D363" s="289"/>
      <c r="E363" s="290"/>
      <c r="F363" s="290"/>
      <c r="G363" s="291"/>
      <c r="H363" s="292"/>
      <c r="I363" s="293"/>
      <c r="L363" s="1"/>
      <c r="N363" s="2"/>
      <c r="O363" s="69"/>
      <c r="P363" s="69"/>
      <c r="Q363" s="248"/>
      <c r="R363" s="247"/>
      <c r="S363" s="69"/>
      <c r="T363" s="162"/>
      <c r="U363" s="69"/>
    </row>
    <row r="364" spans="1:21">
      <c r="A364" s="289"/>
      <c r="B364" s="289"/>
      <c r="C364" s="289"/>
      <c r="D364" s="289"/>
      <c r="E364" s="290"/>
      <c r="F364" s="290"/>
      <c r="G364" s="291"/>
      <c r="H364" s="292"/>
      <c r="I364" s="293"/>
      <c r="L364" s="1"/>
      <c r="N364" s="2"/>
      <c r="O364" s="69"/>
      <c r="P364" s="69"/>
      <c r="Q364" s="248"/>
      <c r="R364" s="247"/>
      <c r="S364" s="69"/>
      <c r="T364" s="162"/>
      <c r="U364" s="69"/>
    </row>
    <row r="365" spans="1:21">
      <c r="A365" s="289"/>
      <c r="B365" s="289"/>
      <c r="C365" s="289"/>
      <c r="D365" s="289"/>
      <c r="E365" s="290"/>
      <c r="F365" s="290"/>
      <c r="G365" s="291"/>
      <c r="H365" s="292"/>
      <c r="I365" s="293"/>
      <c r="L365" s="1"/>
      <c r="N365" s="2"/>
      <c r="O365" s="69"/>
      <c r="P365" s="69"/>
      <c r="Q365" s="248"/>
      <c r="R365" s="247"/>
      <c r="S365" s="69"/>
      <c r="T365" s="162"/>
      <c r="U365" s="69"/>
    </row>
    <row r="366" spans="1:21">
      <c r="A366" s="289"/>
      <c r="B366" s="289"/>
      <c r="C366" s="289"/>
      <c r="D366" s="289"/>
      <c r="E366" s="290"/>
      <c r="F366" s="290"/>
      <c r="G366" s="291"/>
      <c r="H366" s="292"/>
      <c r="I366" s="293"/>
      <c r="O366" s="69"/>
      <c r="P366" s="69"/>
      <c r="Q366" s="248"/>
      <c r="R366" s="247"/>
      <c r="S366" s="69"/>
      <c r="T366" s="162"/>
      <c r="U366" s="69"/>
    </row>
    <row r="367" spans="1:21">
      <c r="A367" s="289"/>
      <c r="B367" s="289"/>
      <c r="C367" s="289"/>
      <c r="D367" s="289"/>
      <c r="E367" s="290"/>
      <c r="F367" s="290"/>
      <c r="G367" s="291"/>
      <c r="H367" s="292"/>
      <c r="I367" s="293"/>
      <c r="O367" s="69"/>
      <c r="P367" s="69"/>
      <c r="Q367" s="248"/>
      <c r="R367" s="247"/>
      <c r="S367" s="69"/>
      <c r="T367" s="162"/>
      <c r="U367" s="69"/>
    </row>
    <row r="368" spans="1:21">
      <c r="A368" s="289"/>
      <c r="B368" s="289"/>
      <c r="C368" s="289"/>
      <c r="D368" s="289"/>
      <c r="E368" s="290"/>
      <c r="F368" s="290"/>
      <c r="G368" s="291"/>
      <c r="H368" s="292"/>
      <c r="I368" s="293"/>
      <c r="O368" s="69"/>
      <c r="P368" s="69"/>
      <c r="Q368" s="248"/>
      <c r="R368" s="247"/>
      <c r="S368" s="69"/>
      <c r="T368" s="162"/>
      <c r="U368" s="69"/>
    </row>
    <row r="369" spans="1:21">
      <c r="A369" s="289"/>
      <c r="B369" s="289"/>
      <c r="C369" s="289"/>
      <c r="D369" s="289"/>
      <c r="E369" s="290"/>
      <c r="F369" s="290"/>
      <c r="G369" s="291"/>
      <c r="H369" s="292"/>
      <c r="I369" s="293"/>
      <c r="L369" s="1"/>
      <c r="N369" s="2"/>
      <c r="O369" s="69"/>
      <c r="P369" s="69"/>
      <c r="Q369" s="248"/>
      <c r="R369" s="247"/>
      <c r="S369" s="69"/>
      <c r="T369" s="162"/>
      <c r="U369" s="69"/>
    </row>
    <row r="370" spans="1:21">
      <c r="A370" s="289"/>
      <c r="B370" s="289"/>
      <c r="C370" s="289"/>
      <c r="D370" s="289"/>
      <c r="E370" s="290"/>
      <c r="F370" s="290"/>
      <c r="G370" s="291"/>
      <c r="H370" s="292"/>
      <c r="I370" s="293"/>
      <c r="O370" s="69"/>
      <c r="P370" s="69"/>
      <c r="Q370" s="248"/>
      <c r="R370" s="247"/>
      <c r="S370" s="69"/>
      <c r="T370" s="162"/>
      <c r="U370" s="69"/>
    </row>
    <row r="371" spans="1:21">
      <c r="A371" s="289"/>
      <c r="B371" s="289"/>
      <c r="C371" s="289"/>
      <c r="D371" s="289"/>
      <c r="E371" s="290"/>
      <c r="F371" s="290"/>
      <c r="G371" s="291"/>
      <c r="H371" s="292"/>
      <c r="I371" s="293"/>
      <c r="L371" s="1"/>
      <c r="N371" s="2"/>
      <c r="O371" s="69"/>
      <c r="P371" s="69"/>
      <c r="Q371" s="248"/>
      <c r="R371" s="247"/>
      <c r="S371" s="69"/>
      <c r="T371" s="162"/>
      <c r="U371" s="69"/>
    </row>
    <row r="372" spans="1:21">
      <c r="A372" s="289"/>
      <c r="B372" s="289"/>
      <c r="C372" s="289"/>
      <c r="D372" s="289"/>
      <c r="E372" s="290"/>
      <c r="F372" s="290"/>
      <c r="G372" s="291"/>
      <c r="H372" s="292"/>
      <c r="I372" s="293"/>
      <c r="L372" s="1"/>
      <c r="N372" s="2"/>
      <c r="O372" s="69"/>
      <c r="P372" s="69"/>
      <c r="Q372" s="248"/>
      <c r="R372" s="247"/>
      <c r="S372" s="69"/>
      <c r="T372" s="162"/>
      <c r="U372" s="69"/>
    </row>
    <row r="373" spans="1:21">
      <c r="A373" s="289"/>
      <c r="B373" s="289"/>
      <c r="C373" s="289"/>
      <c r="D373" s="289"/>
      <c r="E373" s="290"/>
      <c r="F373" s="290"/>
      <c r="G373" s="291"/>
      <c r="H373" s="292"/>
      <c r="I373" s="293"/>
      <c r="O373" s="69"/>
      <c r="P373" s="69"/>
      <c r="Q373" s="248"/>
      <c r="R373" s="247"/>
      <c r="S373" s="69"/>
      <c r="T373" s="162"/>
      <c r="U373" s="69"/>
    </row>
    <row r="374" spans="1:21">
      <c r="A374" s="289"/>
      <c r="B374" s="289"/>
      <c r="C374" s="289"/>
      <c r="D374" s="289"/>
      <c r="E374" s="290"/>
      <c r="F374" s="290"/>
      <c r="G374" s="291"/>
      <c r="H374" s="292"/>
      <c r="I374" s="293"/>
      <c r="O374" s="69"/>
      <c r="P374" s="69"/>
      <c r="Q374" s="248"/>
      <c r="R374" s="247"/>
      <c r="S374" s="69"/>
      <c r="T374" s="162"/>
      <c r="U374" s="69"/>
    </row>
    <row r="375" spans="1:21">
      <c r="A375" s="289"/>
      <c r="B375" s="289"/>
      <c r="C375" s="289"/>
      <c r="D375" s="289"/>
      <c r="E375" s="290"/>
      <c r="F375" s="290"/>
      <c r="G375" s="291"/>
      <c r="H375" s="292"/>
      <c r="I375" s="293"/>
      <c r="O375" s="69"/>
      <c r="P375" s="69"/>
      <c r="Q375" s="248"/>
      <c r="R375" s="247"/>
      <c r="S375" s="69"/>
      <c r="T375" s="162"/>
      <c r="U375" s="69"/>
    </row>
    <row r="376" spans="1:21">
      <c r="A376" s="289"/>
      <c r="B376" s="289"/>
      <c r="C376" s="289"/>
      <c r="D376" s="289"/>
      <c r="E376" s="290"/>
      <c r="F376" s="290"/>
      <c r="G376" s="291"/>
      <c r="H376" s="292"/>
      <c r="I376" s="293"/>
      <c r="O376" s="69"/>
      <c r="P376" s="69"/>
      <c r="Q376" s="248"/>
      <c r="R376" s="247"/>
      <c r="S376" s="69"/>
      <c r="T376" s="162"/>
      <c r="U376" s="69"/>
    </row>
    <row r="377" spans="1:21">
      <c r="A377" s="289"/>
      <c r="B377" s="289"/>
      <c r="C377" s="289"/>
      <c r="D377" s="289"/>
      <c r="E377" s="290"/>
      <c r="F377" s="290"/>
      <c r="G377" s="291"/>
      <c r="H377" s="292"/>
      <c r="I377" s="293"/>
      <c r="O377" s="69"/>
      <c r="P377" s="69"/>
      <c r="Q377" s="248"/>
      <c r="R377" s="247"/>
      <c r="S377" s="69"/>
      <c r="T377" s="162"/>
      <c r="U377" s="69"/>
    </row>
    <row r="378" spans="1:21">
      <c r="A378" s="289"/>
      <c r="B378" s="289"/>
      <c r="C378" s="289"/>
      <c r="D378" s="289"/>
      <c r="E378" s="290"/>
      <c r="F378" s="290"/>
      <c r="G378" s="292"/>
      <c r="H378" s="292"/>
      <c r="I378" s="293"/>
      <c r="O378" s="69"/>
      <c r="P378" s="69"/>
      <c r="Q378" s="248"/>
      <c r="R378" s="247"/>
      <c r="S378" s="69"/>
      <c r="T378" s="162"/>
      <c r="U378" s="69"/>
    </row>
    <row r="379" spans="1:21">
      <c r="A379" s="289"/>
      <c r="B379" s="289"/>
      <c r="C379" s="289"/>
      <c r="D379" s="289"/>
      <c r="E379" s="290"/>
      <c r="F379" s="290"/>
      <c r="G379" s="292"/>
      <c r="H379" s="292"/>
      <c r="I379" s="293"/>
      <c r="L379" s="1"/>
      <c r="N379" s="2"/>
      <c r="O379" s="69"/>
      <c r="P379" s="69"/>
      <c r="Q379" s="248"/>
      <c r="R379" s="247"/>
      <c r="S379" s="69"/>
      <c r="T379" s="162"/>
      <c r="U379" s="69"/>
    </row>
    <row r="380" spans="1:21">
      <c r="A380" s="289"/>
      <c r="B380" s="289"/>
      <c r="C380" s="289"/>
      <c r="D380" s="289"/>
      <c r="E380" s="290"/>
      <c r="F380" s="290"/>
      <c r="G380" s="292"/>
      <c r="H380" s="292"/>
      <c r="I380" s="293"/>
      <c r="O380" s="69"/>
      <c r="P380" s="69"/>
      <c r="Q380" s="248"/>
      <c r="R380" s="247"/>
      <c r="S380" s="69"/>
      <c r="T380" s="162"/>
      <c r="U380" s="69"/>
    </row>
    <row r="381" spans="1:21">
      <c r="A381" s="289"/>
      <c r="B381" s="289"/>
      <c r="C381" s="289"/>
      <c r="D381" s="289"/>
      <c r="E381" s="290"/>
      <c r="F381" s="290"/>
      <c r="G381" s="292"/>
      <c r="H381" s="292"/>
      <c r="I381" s="293"/>
      <c r="O381" s="69"/>
      <c r="P381" s="69"/>
      <c r="Q381" s="248"/>
      <c r="R381" s="247"/>
      <c r="S381" s="69"/>
      <c r="T381" s="162"/>
      <c r="U381" s="69"/>
    </row>
    <row r="382" spans="1:21">
      <c r="A382" s="289"/>
      <c r="B382" s="289"/>
      <c r="C382" s="289"/>
      <c r="D382" s="289"/>
      <c r="E382" s="290"/>
      <c r="F382" s="290"/>
      <c r="G382" s="292"/>
      <c r="H382" s="292"/>
      <c r="I382" s="293"/>
      <c r="O382" s="69"/>
      <c r="P382" s="69"/>
      <c r="Q382" s="248"/>
      <c r="R382" s="247"/>
      <c r="S382" s="69"/>
      <c r="T382" s="162"/>
      <c r="U382" s="69"/>
    </row>
    <row r="383" spans="1:21">
      <c r="A383" s="289"/>
      <c r="B383" s="289"/>
      <c r="C383" s="289"/>
      <c r="D383" s="289"/>
      <c r="E383" s="290"/>
      <c r="F383" s="290"/>
      <c r="G383" s="292"/>
      <c r="H383" s="292"/>
      <c r="I383" s="293"/>
      <c r="L383" s="1"/>
      <c r="N383" s="2"/>
      <c r="O383" s="69"/>
      <c r="P383" s="69"/>
      <c r="Q383" s="248"/>
      <c r="R383" s="247"/>
      <c r="S383" s="69"/>
      <c r="T383" s="162"/>
      <c r="U383" s="69"/>
    </row>
    <row r="384" spans="1:21">
      <c r="A384" s="289"/>
      <c r="B384" s="289"/>
      <c r="C384" s="289"/>
      <c r="D384" s="289"/>
      <c r="E384" s="290"/>
      <c r="F384" s="290"/>
      <c r="G384" s="292"/>
      <c r="H384" s="292"/>
      <c r="I384" s="293"/>
      <c r="O384" s="69"/>
      <c r="P384" s="69"/>
      <c r="Q384" s="248"/>
      <c r="R384" s="247"/>
      <c r="S384" s="69"/>
      <c r="T384" s="162"/>
      <c r="U384" s="69"/>
    </row>
    <row r="385" spans="1:21">
      <c r="A385" s="289"/>
      <c r="B385" s="289"/>
      <c r="C385" s="289"/>
      <c r="D385" s="289"/>
      <c r="E385" s="290"/>
      <c r="F385" s="290"/>
      <c r="G385" s="292"/>
      <c r="H385" s="292"/>
      <c r="I385" s="293"/>
      <c r="O385" s="69"/>
      <c r="P385" s="69"/>
      <c r="Q385" s="248"/>
      <c r="R385" s="247"/>
      <c r="S385" s="69"/>
      <c r="T385" s="162"/>
      <c r="U385" s="69"/>
    </row>
    <row r="386" spans="1:21">
      <c r="A386" s="289"/>
      <c r="B386" s="289"/>
      <c r="C386" s="289"/>
      <c r="D386" s="289"/>
      <c r="E386" s="290"/>
      <c r="F386" s="290"/>
      <c r="G386" s="292"/>
      <c r="H386" s="292"/>
      <c r="I386" s="293"/>
      <c r="L386" s="1"/>
      <c r="N386" s="2"/>
      <c r="O386" s="69"/>
      <c r="P386" s="69"/>
      <c r="Q386" s="248"/>
      <c r="R386" s="247"/>
      <c r="S386" s="69"/>
      <c r="T386" s="162"/>
      <c r="U386" s="69"/>
    </row>
    <row r="387" spans="1:21">
      <c r="A387" s="289"/>
      <c r="B387" s="289"/>
      <c r="C387" s="289"/>
      <c r="D387" s="289"/>
      <c r="E387" s="290"/>
      <c r="F387" s="290"/>
      <c r="G387" s="292"/>
      <c r="H387" s="292"/>
      <c r="I387" s="293"/>
      <c r="O387" s="69"/>
      <c r="P387" s="69"/>
      <c r="Q387" s="248"/>
      <c r="R387" s="247"/>
      <c r="S387" s="69"/>
      <c r="T387" s="162"/>
      <c r="U387" s="69"/>
    </row>
    <row r="388" spans="1:21">
      <c r="A388" s="289"/>
      <c r="B388" s="289"/>
      <c r="C388" s="289"/>
      <c r="D388" s="289"/>
      <c r="E388" s="290"/>
      <c r="F388" s="290"/>
      <c r="G388" s="292"/>
      <c r="H388" s="292"/>
      <c r="I388" s="293"/>
      <c r="L388" s="1"/>
      <c r="N388" s="2"/>
      <c r="O388" s="69"/>
      <c r="P388" s="69"/>
      <c r="Q388" s="248"/>
      <c r="R388" s="247"/>
      <c r="S388" s="69"/>
      <c r="T388" s="162"/>
      <c r="U388" s="69"/>
    </row>
    <row r="389" spans="1:21">
      <c r="A389" s="289"/>
      <c r="B389" s="289"/>
      <c r="C389" s="289"/>
      <c r="D389" s="289"/>
      <c r="E389" s="290"/>
      <c r="F389" s="290"/>
      <c r="G389" s="292"/>
      <c r="H389" s="292"/>
      <c r="I389" s="293"/>
      <c r="L389" s="1"/>
      <c r="N389" s="2"/>
      <c r="O389" s="69"/>
      <c r="P389" s="69"/>
      <c r="Q389" s="248"/>
      <c r="R389" s="247"/>
      <c r="S389" s="69"/>
      <c r="T389" s="162"/>
      <c r="U389" s="69"/>
    </row>
    <row r="390" spans="1:21">
      <c r="A390" s="289"/>
      <c r="B390" s="289"/>
      <c r="C390" s="289"/>
      <c r="D390" s="289"/>
      <c r="E390" s="290"/>
      <c r="F390" s="290"/>
      <c r="G390" s="292"/>
      <c r="H390" s="292"/>
      <c r="I390" s="293"/>
      <c r="L390" s="1"/>
      <c r="N390" s="2"/>
      <c r="O390" s="69"/>
      <c r="P390" s="69"/>
      <c r="Q390" s="248"/>
      <c r="R390" s="247"/>
      <c r="S390" s="69"/>
      <c r="T390" s="162"/>
      <c r="U390" s="69"/>
    </row>
    <row r="391" spans="1:21">
      <c r="A391" s="289"/>
      <c r="B391" s="289"/>
      <c r="C391" s="289"/>
      <c r="D391" s="289"/>
      <c r="E391" s="290"/>
      <c r="F391" s="290"/>
      <c r="G391" s="292"/>
      <c r="H391" s="292"/>
      <c r="I391" s="293"/>
      <c r="O391" s="69"/>
      <c r="P391" s="69"/>
      <c r="Q391" s="248"/>
      <c r="R391" s="247"/>
      <c r="S391" s="69"/>
      <c r="T391" s="162"/>
      <c r="U391" s="69"/>
    </row>
    <row r="392" spans="1:21">
      <c r="A392" s="289"/>
      <c r="B392" s="289"/>
      <c r="C392" s="289"/>
      <c r="D392" s="289"/>
      <c r="E392" s="290"/>
      <c r="F392" s="290"/>
      <c r="G392" s="292"/>
      <c r="H392" s="292"/>
      <c r="I392" s="293"/>
      <c r="O392" s="69"/>
      <c r="P392" s="69"/>
      <c r="Q392" s="248"/>
      <c r="R392" s="247"/>
      <c r="S392" s="69"/>
      <c r="T392" s="162"/>
      <c r="U392" s="69"/>
    </row>
    <row r="393" spans="1:21">
      <c r="A393" s="289"/>
      <c r="B393" s="289"/>
      <c r="C393" s="289"/>
      <c r="D393" s="289"/>
      <c r="E393" s="290"/>
      <c r="F393" s="290"/>
      <c r="G393" s="292"/>
      <c r="H393" s="292"/>
      <c r="I393" s="293"/>
      <c r="O393" s="69"/>
      <c r="P393" s="69"/>
      <c r="Q393" s="248"/>
      <c r="R393" s="247"/>
      <c r="S393" s="69"/>
      <c r="T393" s="162"/>
      <c r="U393" s="69"/>
    </row>
    <row r="394" spans="1:21">
      <c r="A394" s="289"/>
      <c r="B394" s="289"/>
      <c r="C394" s="289"/>
      <c r="D394" s="289"/>
      <c r="E394" s="290"/>
      <c r="F394" s="290"/>
      <c r="G394" s="292"/>
      <c r="H394" s="292"/>
      <c r="I394" s="293"/>
      <c r="O394" s="69"/>
      <c r="P394" s="69"/>
      <c r="Q394" s="248"/>
      <c r="R394" s="247"/>
      <c r="S394" s="69"/>
      <c r="T394" s="162"/>
      <c r="U394" s="69"/>
    </row>
    <row r="395" spans="1:21">
      <c r="A395" s="289"/>
      <c r="B395" s="289"/>
      <c r="C395" s="289"/>
      <c r="D395" s="289"/>
      <c r="E395" s="290"/>
      <c r="F395" s="290"/>
      <c r="G395" s="292"/>
      <c r="H395" s="292"/>
      <c r="I395" s="293"/>
      <c r="O395" s="69"/>
      <c r="P395" s="69"/>
      <c r="Q395" s="248"/>
      <c r="R395" s="247"/>
      <c r="S395" s="69"/>
      <c r="T395" s="162"/>
      <c r="U395" s="69"/>
    </row>
    <row r="396" spans="1:21">
      <c r="A396" s="289"/>
      <c r="B396" s="289"/>
      <c r="C396" s="289"/>
      <c r="D396" s="289"/>
      <c r="E396" s="290"/>
      <c r="F396" s="290"/>
      <c r="G396" s="292"/>
      <c r="H396" s="292"/>
      <c r="I396" s="293"/>
      <c r="O396" s="69"/>
      <c r="P396" s="69"/>
      <c r="Q396" s="248"/>
      <c r="R396" s="247"/>
      <c r="S396" s="69"/>
      <c r="T396" s="162"/>
      <c r="U396" s="69"/>
    </row>
    <row r="397" spans="1:21">
      <c r="A397" s="289"/>
      <c r="B397" s="289"/>
      <c r="C397" s="289"/>
      <c r="D397" s="289"/>
      <c r="E397" s="290"/>
      <c r="F397" s="290"/>
      <c r="G397" s="292"/>
      <c r="H397" s="292"/>
      <c r="I397" s="293"/>
      <c r="L397" s="1"/>
      <c r="N397" s="2"/>
      <c r="O397" s="69"/>
      <c r="P397" s="69"/>
      <c r="Q397" s="248"/>
      <c r="R397" s="247"/>
      <c r="S397" s="69"/>
      <c r="T397" s="162"/>
      <c r="U397" s="69"/>
    </row>
    <row r="398" spans="1:21">
      <c r="A398" s="289"/>
      <c r="B398" s="289"/>
      <c r="C398" s="289"/>
      <c r="D398" s="289"/>
      <c r="E398" s="290"/>
      <c r="F398" s="290"/>
      <c r="G398" s="292"/>
      <c r="H398" s="292"/>
      <c r="I398" s="293"/>
      <c r="O398" s="69"/>
      <c r="P398" s="69"/>
      <c r="Q398" s="248"/>
      <c r="R398" s="247"/>
      <c r="S398" s="69"/>
      <c r="T398" s="162"/>
      <c r="U398" s="69"/>
    </row>
    <row r="399" spans="1:21">
      <c r="A399" s="289"/>
      <c r="B399" s="289"/>
      <c r="C399" s="289"/>
      <c r="D399" s="289"/>
      <c r="E399" s="290"/>
      <c r="F399" s="290"/>
      <c r="G399" s="292"/>
      <c r="H399" s="292"/>
      <c r="I399" s="293"/>
      <c r="O399" s="69"/>
      <c r="P399" s="69"/>
      <c r="Q399" s="248"/>
      <c r="R399" s="247"/>
      <c r="S399" s="69"/>
      <c r="T399" s="162"/>
      <c r="U399" s="69"/>
    </row>
    <row r="400" spans="1:21">
      <c r="A400" s="289"/>
      <c r="B400" s="289"/>
      <c r="C400" s="289"/>
      <c r="D400" s="289"/>
      <c r="E400" s="290"/>
      <c r="F400" s="290"/>
      <c r="G400" s="292"/>
      <c r="H400" s="292"/>
      <c r="I400" s="293"/>
      <c r="O400" s="69"/>
      <c r="P400" s="69"/>
      <c r="Q400" s="248"/>
      <c r="R400" s="247"/>
      <c r="S400" s="69"/>
      <c r="T400" s="162"/>
      <c r="U400" s="69"/>
    </row>
    <row r="401" spans="1:21">
      <c r="A401" s="289"/>
      <c r="B401" s="289"/>
      <c r="C401" s="289"/>
      <c r="D401" s="289"/>
      <c r="E401" s="290"/>
      <c r="F401" s="290"/>
      <c r="G401" s="292"/>
      <c r="H401" s="292"/>
      <c r="I401" s="293"/>
      <c r="O401" s="69"/>
      <c r="P401" s="69"/>
      <c r="Q401" s="248"/>
      <c r="R401" s="247"/>
      <c r="S401" s="69"/>
      <c r="T401" s="162"/>
      <c r="U401" s="69"/>
    </row>
    <row r="402" spans="1:21">
      <c r="A402" s="289"/>
      <c r="B402" s="289"/>
      <c r="C402" s="289"/>
      <c r="D402" s="289"/>
      <c r="E402" s="290"/>
      <c r="F402" s="290"/>
      <c r="G402" s="292"/>
      <c r="H402" s="292"/>
      <c r="I402" s="293"/>
      <c r="O402" s="69"/>
      <c r="P402" s="69"/>
      <c r="Q402" s="248"/>
      <c r="R402" s="247"/>
      <c r="S402" s="69"/>
      <c r="T402" s="162"/>
      <c r="U402" s="69"/>
    </row>
    <row r="403" spans="1:21">
      <c r="A403" s="289"/>
      <c r="B403" s="289"/>
      <c r="C403" s="289"/>
      <c r="D403" s="289"/>
      <c r="E403" s="290"/>
      <c r="F403" s="290"/>
      <c r="G403" s="292"/>
      <c r="H403" s="292"/>
      <c r="I403" s="293"/>
      <c r="L403" s="1"/>
      <c r="N403" s="2"/>
      <c r="O403" s="69"/>
      <c r="P403" s="69"/>
      <c r="Q403" s="248"/>
      <c r="R403" s="247"/>
      <c r="S403" s="69"/>
      <c r="T403" s="162"/>
      <c r="U403" s="69"/>
    </row>
    <row r="404" spans="1:21">
      <c r="A404" s="289"/>
      <c r="B404" s="289"/>
      <c r="C404" s="289"/>
      <c r="D404" s="289"/>
      <c r="E404" s="290"/>
      <c r="F404" s="290"/>
      <c r="G404" s="292"/>
      <c r="H404" s="292"/>
      <c r="I404" s="293"/>
      <c r="O404" s="69"/>
      <c r="P404" s="69"/>
      <c r="Q404" s="248"/>
      <c r="R404" s="247"/>
      <c r="S404" s="69"/>
      <c r="T404" s="162"/>
      <c r="U404" s="69"/>
    </row>
    <row r="405" spans="1:21">
      <c r="A405" s="289"/>
      <c r="B405" s="289"/>
      <c r="C405" s="289"/>
      <c r="D405" s="289"/>
      <c r="E405" s="290"/>
      <c r="F405" s="290"/>
      <c r="G405" s="292"/>
      <c r="H405" s="292"/>
      <c r="I405" s="293"/>
      <c r="L405" s="1"/>
      <c r="N405" s="2"/>
      <c r="O405" s="69"/>
      <c r="P405" s="69"/>
      <c r="Q405" s="248"/>
      <c r="R405" s="247"/>
      <c r="S405" s="69"/>
      <c r="T405" s="162"/>
      <c r="U405" s="69"/>
    </row>
    <row r="406" spans="1:21">
      <c r="A406" s="289"/>
      <c r="B406" s="289"/>
      <c r="C406" s="289"/>
      <c r="D406" s="289"/>
      <c r="E406" s="290"/>
      <c r="F406" s="290"/>
      <c r="G406" s="292"/>
      <c r="H406" s="292"/>
      <c r="I406" s="293"/>
      <c r="O406" s="69"/>
      <c r="P406" s="69"/>
      <c r="Q406" s="248"/>
      <c r="R406" s="247"/>
      <c r="S406" s="69"/>
      <c r="T406" s="162"/>
      <c r="U406" s="69"/>
    </row>
    <row r="407" spans="1:21">
      <c r="A407" s="289"/>
      <c r="B407" s="289"/>
      <c r="C407" s="289"/>
      <c r="D407" s="289"/>
      <c r="E407" s="290"/>
      <c r="F407" s="290"/>
      <c r="G407" s="291"/>
      <c r="H407" s="292"/>
      <c r="I407" s="293"/>
      <c r="L407" s="1"/>
      <c r="N407" s="2"/>
      <c r="O407" s="69"/>
      <c r="P407" s="69"/>
      <c r="Q407" s="248"/>
      <c r="R407" s="247"/>
      <c r="S407" s="69"/>
      <c r="T407" s="162"/>
      <c r="U407" s="69"/>
    </row>
    <row r="408" spans="1:21">
      <c r="A408" s="289"/>
      <c r="B408" s="289"/>
      <c r="C408" s="289"/>
      <c r="D408" s="289"/>
      <c r="E408" s="290"/>
      <c r="F408" s="290"/>
      <c r="G408" s="291"/>
      <c r="H408" s="292"/>
      <c r="I408" s="293"/>
      <c r="O408" s="69"/>
      <c r="P408" s="69"/>
      <c r="Q408" s="248"/>
      <c r="R408" s="247"/>
      <c r="S408" s="69"/>
      <c r="T408" s="162"/>
      <c r="U408" s="69"/>
    </row>
    <row r="409" spans="1:21">
      <c r="A409" s="289"/>
      <c r="B409" s="289"/>
      <c r="C409" s="289"/>
      <c r="D409" s="289"/>
      <c r="E409" s="290"/>
      <c r="F409" s="290"/>
      <c r="G409" s="291"/>
      <c r="H409" s="292"/>
      <c r="I409" s="293"/>
      <c r="O409" s="69"/>
      <c r="P409" s="69"/>
      <c r="Q409" s="248"/>
      <c r="R409" s="247"/>
      <c r="S409" s="69"/>
      <c r="T409" s="162"/>
      <c r="U409" s="69"/>
    </row>
    <row r="410" spans="1:21">
      <c r="A410" s="289"/>
      <c r="B410" s="289"/>
      <c r="C410" s="289"/>
      <c r="D410" s="289"/>
      <c r="E410" s="290"/>
      <c r="F410" s="290"/>
      <c r="G410" s="291"/>
      <c r="H410" s="292"/>
      <c r="I410" s="293"/>
      <c r="O410" s="69"/>
      <c r="P410" s="69"/>
      <c r="Q410" s="248"/>
      <c r="R410" s="247"/>
      <c r="S410" s="69"/>
      <c r="T410" s="162"/>
      <c r="U410" s="69"/>
    </row>
    <row r="411" spans="1:21">
      <c r="A411" s="289"/>
      <c r="B411" s="289"/>
      <c r="C411" s="289"/>
      <c r="D411" s="289"/>
      <c r="E411" s="290"/>
      <c r="F411" s="290"/>
      <c r="G411" s="291"/>
      <c r="H411" s="292"/>
      <c r="I411" s="293"/>
      <c r="L411" s="1"/>
      <c r="N411" s="2"/>
      <c r="O411" s="69"/>
      <c r="P411" s="69"/>
      <c r="Q411" s="248"/>
      <c r="R411" s="247"/>
      <c r="S411" s="69"/>
      <c r="T411" s="162"/>
      <c r="U411" s="69"/>
    </row>
    <row r="412" spans="1:21">
      <c r="A412" s="289"/>
      <c r="B412" s="289"/>
      <c r="C412" s="289"/>
      <c r="D412" s="289"/>
      <c r="E412" s="290"/>
      <c r="F412" s="290"/>
      <c r="G412" s="291"/>
      <c r="H412" s="292"/>
      <c r="I412" s="293"/>
      <c r="O412" s="69"/>
      <c r="P412" s="69"/>
      <c r="Q412" s="248"/>
      <c r="R412" s="247"/>
      <c r="S412" s="69"/>
      <c r="T412" s="162"/>
      <c r="U412" s="69"/>
    </row>
    <row r="413" spans="1:21">
      <c r="A413" s="289"/>
      <c r="B413" s="289"/>
      <c r="C413" s="289"/>
      <c r="D413" s="289"/>
      <c r="E413" s="290"/>
      <c r="F413" s="290"/>
      <c r="G413" s="291"/>
      <c r="H413" s="292"/>
      <c r="I413" s="293"/>
      <c r="L413" s="1"/>
      <c r="N413" s="2"/>
      <c r="O413" s="69"/>
      <c r="P413" s="69"/>
      <c r="Q413" s="248"/>
      <c r="R413" s="247"/>
      <c r="S413" s="69"/>
      <c r="T413" s="162"/>
      <c r="U413" s="69"/>
    </row>
    <row r="414" spans="1:21">
      <c r="A414" s="289"/>
      <c r="B414" s="289"/>
      <c r="C414" s="289"/>
      <c r="D414" s="289"/>
      <c r="E414" s="290"/>
      <c r="F414" s="290"/>
      <c r="G414" s="291"/>
      <c r="H414" s="292"/>
      <c r="I414" s="293"/>
      <c r="L414" s="1"/>
      <c r="N414" s="2"/>
      <c r="O414" s="69"/>
      <c r="P414" s="69"/>
      <c r="Q414" s="248"/>
      <c r="R414" s="247"/>
      <c r="S414" s="69"/>
      <c r="T414" s="162"/>
      <c r="U414" s="69"/>
    </row>
    <row r="415" spans="1:21">
      <c r="A415" s="289"/>
      <c r="B415" s="289"/>
      <c r="C415" s="289"/>
      <c r="D415" s="289"/>
      <c r="E415" s="290"/>
      <c r="F415" s="290"/>
      <c r="G415" s="291"/>
      <c r="H415" s="292"/>
      <c r="I415" s="293"/>
      <c r="O415" s="69"/>
      <c r="P415" s="69"/>
      <c r="Q415" s="248"/>
      <c r="R415" s="247"/>
      <c r="S415" s="69"/>
      <c r="T415" s="162"/>
      <c r="U415" s="69"/>
    </row>
    <row r="416" spans="1:21">
      <c r="A416" s="289"/>
      <c r="B416" s="289"/>
      <c r="C416" s="289"/>
      <c r="D416" s="289"/>
      <c r="E416" s="290"/>
      <c r="F416" s="290"/>
      <c r="G416" s="291"/>
      <c r="H416" s="292"/>
      <c r="I416" s="293"/>
      <c r="L416" s="1"/>
      <c r="N416" s="2"/>
      <c r="O416" s="69"/>
      <c r="P416" s="69"/>
      <c r="Q416" s="248"/>
      <c r="R416" s="247"/>
      <c r="S416" s="69"/>
      <c r="T416" s="162"/>
      <c r="U416" s="69"/>
    </row>
    <row r="417" spans="1:21">
      <c r="A417" s="289"/>
      <c r="B417" s="289"/>
      <c r="C417" s="289"/>
      <c r="D417" s="289"/>
      <c r="E417" s="290"/>
      <c r="F417" s="290"/>
      <c r="G417" s="291"/>
      <c r="H417" s="292"/>
      <c r="I417" s="293"/>
      <c r="O417" s="69"/>
      <c r="P417" s="69"/>
      <c r="Q417" s="248"/>
      <c r="R417" s="247"/>
      <c r="S417" s="69"/>
      <c r="T417" s="162"/>
      <c r="U417" s="69"/>
    </row>
    <row r="418" spans="1:21">
      <c r="A418" s="289"/>
      <c r="B418" s="289"/>
      <c r="C418" s="289"/>
      <c r="D418" s="289"/>
      <c r="E418" s="290"/>
      <c r="F418" s="290"/>
      <c r="G418" s="291"/>
      <c r="H418" s="292"/>
      <c r="I418" s="293"/>
      <c r="O418" s="69"/>
      <c r="P418" s="69"/>
      <c r="Q418" s="248"/>
      <c r="R418" s="247"/>
      <c r="S418" s="69"/>
      <c r="T418" s="162"/>
      <c r="U418" s="69"/>
    </row>
    <row r="419" spans="1:21">
      <c r="A419" s="289"/>
      <c r="B419" s="289"/>
      <c r="C419" s="289"/>
      <c r="D419" s="289"/>
      <c r="E419" s="290"/>
      <c r="F419" s="290"/>
      <c r="G419" s="291"/>
      <c r="H419" s="292"/>
      <c r="I419" s="293"/>
      <c r="O419" s="69"/>
      <c r="P419" s="69"/>
      <c r="Q419" s="248"/>
      <c r="R419" s="247"/>
      <c r="S419" s="69"/>
      <c r="T419" s="162"/>
      <c r="U419" s="69"/>
    </row>
    <row r="420" spans="1:21">
      <c r="A420" s="289"/>
      <c r="B420" s="289"/>
      <c r="C420" s="289"/>
      <c r="D420" s="289"/>
      <c r="E420" s="290"/>
      <c r="F420" s="290"/>
      <c r="G420" s="291"/>
      <c r="H420" s="292"/>
      <c r="I420" s="293"/>
      <c r="L420" s="1"/>
      <c r="N420" s="2"/>
      <c r="O420" s="69"/>
      <c r="P420" s="69"/>
      <c r="Q420" s="248"/>
      <c r="R420" s="247"/>
      <c r="S420" s="69"/>
      <c r="T420" s="162"/>
      <c r="U420" s="69"/>
    </row>
    <row r="421" spans="1:21">
      <c r="A421" s="289"/>
      <c r="B421" s="289"/>
      <c r="C421" s="289"/>
      <c r="D421" s="289"/>
      <c r="E421" s="290"/>
      <c r="F421" s="290"/>
      <c r="G421" s="291"/>
      <c r="H421" s="292"/>
      <c r="I421" s="293"/>
      <c r="O421" s="69"/>
      <c r="P421" s="69"/>
      <c r="Q421" s="248"/>
      <c r="R421" s="247"/>
      <c r="S421" s="69"/>
      <c r="T421" s="162"/>
      <c r="U421" s="69"/>
    </row>
    <row r="422" spans="1:21">
      <c r="A422" s="289"/>
      <c r="B422" s="289"/>
      <c r="C422" s="289"/>
      <c r="D422" s="289"/>
      <c r="E422" s="290"/>
      <c r="F422" s="290"/>
      <c r="G422" s="291"/>
      <c r="H422" s="292"/>
      <c r="I422" s="293"/>
      <c r="O422" s="69"/>
      <c r="P422" s="69"/>
      <c r="Q422" s="248"/>
      <c r="R422" s="247"/>
      <c r="S422" s="69"/>
      <c r="T422" s="162"/>
      <c r="U422" s="69"/>
    </row>
    <row r="423" spans="1:21">
      <c r="A423" s="289"/>
      <c r="B423" s="289"/>
      <c r="C423" s="289"/>
      <c r="D423" s="289"/>
      <c r="E423" s="290"/>
      <c r="F423" s="290"/>
      <c r="G423" s="291"/>
      <c r="H423" s="292"/>
      <c r="I423" s="293"/>
      <c r="L423" s="1"/>
      <c r="N423" s="2"/>
      <c r="O423" s="69"/>
      <c r="P423" s="69"/>
      <c r="Q423" s="248"/>
      <c r="R423" s="247"/>
      <c r="S423" s="69"/>
      <c r="T423" s="162"/>
      <c r="U423" s="69"/>
    </row>
    <row r="424" spans="1:21">
      <c r="A424" s="289"/>
      <c r="B424" s="289"/>
      <c r="C424" s="289"/>
      <c r="D424" s="289"/>
      <c r="E424" s="290"/>
      <c r="F424" s="290"/>
      <c r="G424" s="291"/>
      <c r="H424" s="292"/>
      <c r="I424" s="293"/>
      <c r="L424" s="1"/>
      <c r="N424" s="2"/>
      <c r="O424" s="69"/>
      <c r="P424" s="69"/>
      <c r="Q424" s="248"/>
      <c r="R424" s="247"/>
      <c r="S424" s="69"/>
      <c r="T424" s="162"/>
      <c r="U424" s="69"/>
    </row>
    <row r="425" spans="1:21">
      <c r="A425" s="289"/>
      <c r="B425" s="289"/>
      <c r="C425" s="289"/>
      <c r="D425" s="289"/>
      <c r="E425" s="290"/>
      <c r="F425" s="290"/>
      <c r="G425" s="291"/>
      <c r="H425" s="292"/>
      <c r="I425" s="293"/>
      <c r="L425" s="1"/>
      <c r="N425" s="2"/>
      <c r="O425" s="69"/>
      <c r="P425" s="69"/>
      <c r="Q425" s="248"/>
      <c r="R425" s="247"/>
      <c r="S425" s="69"/>
      <c r="T425" s="162"/>
      <c r="U425" s="69"/>
    </row>
    <row r="426" spans="1:21">
      <c r="A426" s="289"/>
      <c r="B426" s="289"/>
      <c r="C426" s="289"/>
      <c r="D426" s="289"/>
      <c r="E426" s="290"/>
      <c r="F426" s="290"/>
      <c r="G426" s="291"/>
      <c r="H426" s="292"/>
      <c r="I426" s="293"/>
      <c r="O426" s="69"/>
      <c r="P426" s="69"/>
      <c r="Q426" s="248"/>
      <c r="R426" s="247"/>
      <c r="S426" s="69"/>
      <c r="T426" s="162"/>
      <c r="U426" s="69"/>
    </row>
    <row r="427" spans="1:21">
      <c r="A427" s="289"/>
      <c r="B427" s="289"/>
      <c r="C427" s="289"/>
      <c r="D427" s="289"/>
      <c r="E427" s="290"/>
      <c r="F427" s="290"/>
      <c r="G427" s="291"/>
      <c r="H427" s="292"/>
      <c r="I427" s="293"/>
      <c r="O427" s="69"/>
      <c r="P427" s="69"/>
      <c r="Q427" s="248"/>
      <c r="R427" s="247"/>
      <c r="S427" s="69"/>
      <c r="T427" s="162"/>
      <c r="U427" s="69"/>
    </row>
    <row r="428" spans="1:21">
      <c r="A428" s="289"/>
      <c r="B428" s="289"/>
      <c r="C428" s="289"/>
      <c r="D428" s="289"/>
      <c r="E428" s="290"/>
      <c r="F428" s="290"/>
      <c r="G428" s="291"/>
      <c r="H428" s="292"/>
      <c r="I428" s="293"/>
      <c r="L428" s="1"/>
      <c r="N428" s="2"/>
      <c r="O428" s="69"/>
      <c r="P428" s="69"/>
      <c r="Q428" s="248"/>
      <c r="R428" s="247"/>
      <c r="S428" s="69"/>
      <c r="T428" s="162"/>
      <c r="U428" s="69"/>
    </row>
    <row r="429" spans="1:21">
      <c r="A429" s="289"/>
      <c r="B429" s="289"/>
      <c r="C429" s="289"/>
      <c r="D429" s="289"/>
      <c r="E429" s="290"/>
      <c r="F429" s="290"/>
      <c r="G429" s="291"/>
      <c r="H429" s="292"/>
      <c r="I429" s="293"/>
      <c r="O429" s="69"/>
      <c r="P429" s="69"/>
      <c r="Q429" s="248"/>
      <c r="R429" s="247"/>
      <c r="S429" s="69"/>
      <c r="T429" s="162"/>
      <c r="U429" s="69"/>
    </row>
    <row r="430" spans="1:21">
      <c r="A430" s="289"/>
      <c r="B430" s="289"/>
      <c r="C430" s="289"/>
      <c r="D430" s="289"/>
      <c r="E430" s="290"/>
      <c r="F430" s="290"/>
      <c r="G430" s="292"/>
      <c r="H430" s="292"/>
      <c r="I430" s="293"/>
      <c r="O430" s="69"/>
      <c r="P430" s="69"/>
      <c r="Q430" s="248"/>
      <c r="R430" s="247"/>
      <c r="S430" s="69"/>
      <c r="T430" s="162"/>
      <c r="U430" s="69"/>
    </row>
    <row r="431" spans="1:21">
      <c r="A431" s="289"/>
      <c r="B431" s="289"/>
      <c r="C431" s="289"/>
      <c r="D431" s="289"/>
      <c r="E431" s="290"/>
      <c r="F431" s="290"/>
      <c r="G431" s="292"/>
      <c r="H431" s="292"/>
      <c r="I431" s="293"/>
      <c r="O431" s="69"/>
      <c r="P431" s="69"/>
      <c r="Q431" s="248"/>
      <c r="R431" s="247"/>
      <c r="S431" s="69"/>
      <c r="T431" s="162"/>
      <c r="U431" s="69"/>
    </row>
    <row r="432" spans="1:21">
      <c r="A432" s="289"/>
      <c r="B432" s="289"/>
      <c r="C432" s="289"/>
      <c r="D432" s="289"/>
      <c r="E432" s="290"/>
      <c r="F432" s="290"/>
      <c r="G432" s="292"/>
      <c r="H432" s="292"/>
      <c r="I432" s="293"/>
      <c r="O432" s="69"/>
      <c r="P432" s="69"/>
      <c r="Q432" s="248"/>
      <c r="R432" s="247"/>
      <c r="S432" s="69"/>
      <c r="T432" s="162"/>
      <c r="U432" s="69"/>
    </row>
    <row r="433" spans="1:21">
      <c r="A433" s="289"/>
      <c r="B433" s="289"/>
      <c r="C433" s="289"/>
      <c r="D433" s="289"/>
      <c r="E433" s="290"/>
      <c r="F433" s="290"/>
      <c r="G433" s="292"/>
      <c r="H433" s="292"/>
      <c r="I433" s="293"/>
      <c r="O433" s="69"/>
      <c r="P433" s="69"/>
      <c r="Q433" s="248"/>
      <c r="R433" s="247"/>
      <c r="S433" s="69"/>
      <c r="T433" s="162"/>
      <c r="U433" s="69"/>
    </row>
    <row r="434" spans="1:21">
      <c r="A434" s="289"/>
      <c r="B434" s="289"/>
      <c r="C434" s="289"/>
      <c r="D434" s="289"/>
      <c r="E434" s="290"/>
      <c r="F434" s="290"/>
      <c r="G434" s="292"/>
      <c r="H434" s="292"/>
      <c r="I434" s="293"/>
      <c r="O434" s="69"/>
      <c r="P434" s="69"/>
      <c r="Q434" s="248"/>
      <c r="R434" s="247"/>
      <c r="S434" s="69"/>
      <c r="T434" s="162"/>
      <c r="U434" s="69"/>
    </row>
    <row r="435" spans="1:21">
      <c r="A435" s="289"/>
      <c r="B435" s="289"/>
      <c r="C435" s="289"/>
      <c r="D435" s="289"/>
      <c r="E435" s="290"/>
      <c r="F435" s="290"/>
      <c r="G435" s="292"/>
      <c r="H435" s="292"/>
      <c r="I435" s="293"/>
      <c r="O435" s="69"/>
      <c r="P435" s="69"/>
      <c r="Q435" s="248"/>
      <c r="R435" s="247"/>
      <c r="S435" s="69"/>
      <c r="T435" s="162"/>
      <c r="U435" s="69"/>
    </row>
    <row r="436" spans="1:21">
      <c r="A436" s="289"/>
      <c r="B436" s="289"/>
      <c r="C436" s="289"/>
      <c r="D436" s="289"/>
      <c r="E436" s="290"/>
      <c r="F436" s="290"/>
      <c r="G436" s="292"/>
      <c r="H436" s="292"/>
      <c r="I436" s="293"/>
      <c r="O436" s="69"/>
      <c r="P436" s="69"/>
      <c r="Q436" s="248"/>
      <c r="R436" s="247"/>
      <c r="S436" s="69"/>
      <c r="T436" s="162"/>
      <c r="U436" s="69"/>
    </row>
    <row r="437" spans="1:21">
      <c r="A437" s="289"/>
      <c r="B437" s="289"/>
      <c r="C437" s="289"/>
      <c r="D437" s="289"/>
      <c r="E437" s="290"/>
      <c r="F437" s="290"/>
      <c r="G437" s="292"/>
      <c r="H437" s="292"/>
      <c r="I437" s="293"/>
      <c r="L437" s="1"/>
      <c r="N437" s="2"/>
      <c r="O437" s="69"/>
      <c r="P437" s="69"/>
      <c r="Q437" s="248"/>
      <c r="R437" s="247"/>
      <c r="S437" s="69"/>
      <c r="T437" s="162"/>
      <c r="U437" s="69"/>
    </row>
    <row r="438" spans="1:21">
      <c r="A438" s="289"/>
      <c r="B438" s="289"/>
      <c r="C438" s="289"/>
      <c r="D438" s="289"/>
      <c r="E438" s="290"/>
      <c r="F438" s="290"/>
      <c r="G438" s="292"/>
      <c r="H438" s="292"/>
      <c r="I438" s="293"/>
      <c r="L438" s="1"/>
      <c r="N438" s="2"/>
      <c r="O438" s="69"/>
      <c r="P438" s="69"/>
      <c r="Q438" s="248"/>
      <c r="R438" s="247"/>
      <c r="S438" s="69"/>
      <c r="T438" s="162"/>
      <c r="U438" s="69"/>
    </row>
    <row r="439" spans="1:21">
      <c r="A439" s="289"/>
      <c r="B439" s="289"/>
      <c r="C439" s="289"/>
      <c r="D439" s="289"/>
      <c r="E439" s="290"/>
      <c r="F439" s="290"/>
      <c r="G439" s="292"/>
      <c r="H439" s="292"/>
      <c r="I439" s="293"/>
      <c r="O439" s="69"/>
      <c r="P439" s="69"/>
      <c r="Q439" s="248"/>
      <c r="R439" s="247"/>
      <c r="S439" s="69"/>
      <c r="T439" s="162"/>
      <c r="U439" s="69"/>
    </row>
    <row r="440" spans="1:21">
      <c r="A440" s="289"/>
      <c r="B440" s="289"/>
      <c r="C440" s="289"/>
      <c r="D440" s="289"/>
      <c r="E440" s="290"/>
      <c r="F440" s="290"/>
      <c r="G440" s="292"/>
      <c r="H440" s="292"/>
      <c r="I440" s="293"/>
      <c r="O440" s="69"/>
      <c r="P440" s="69"/>
      <c r="Q440" s="248"/>
      <c r="R440" s="247"/>
      <c r="S440" s="69"/>
      <c r="T440" s="162"/>
      <c r="U440" s="69"/>
    </row>
    <row r="441" spans="1:21">
      <c r="A441" s="289"/>
      <c r="B441" s="289"/>
      <c r="C441" s="289"/>
      <c r="D441" s="289"/>
      <c r="E441" s="290"/>
      <c r="F441" s="290"/>
      <c r="G441" s="292"/>
      <c r="H441" s="292"/>
      <c r="I441" s="293"/>
      <c r="O441" s="69"/>
      <c r="P441" s="69"/>
      <c r="Q441" s="248"/>
      <c r="R441" s="247"/>
      <c r="S441" s="69"/>
      <c r="T441" s="162"/>
      <c r="U441" s="69"/>
    </row>
    <row r="442" spans="1:21">
      <c r="A442" s="289"/>
      <c r="B442" s="289"/>
      <c r="C442" s="289"/>
      <c r="D442" s="289"/>
      <c r="E442" s="290"/>
      <c r="F442" s="290"/>
      <c r="G442" s="292"/>
      <c r="H442" s="292"/>
      <c r="I442" s="293"/>
      <c r="O442" s="69"/>
      <c r="P442" s="69"/>
      <c r="Q442" s="248"/>
      <c r="R442" s="247"/>
      <c r="S442" s="69"/>
      <c r="T442" s="162"/>
      <c r="U442" s="69"/>
    </row>
    <row r="443" spans="1:21">
      <c r="A443" s="289"/>
      <c r="B443" s="289"/>
      <c r="C443" s="289"/>
      <c r="D443" s="289"/>
      <c r="E443" s="290"/>
      <c r="F443" s="290"/>
      <c r="G443" s="292"/>
      <c r="H443" s="292"/>
      <c r="I443" s="293"/>
      <c r="L443" s="1"/>
      <c r="N443" s="2"/>
      <c r="O443" s="69"/>
      <c r="P443" s="69"/>
      <c r="Q443" s="248"/>
      <c r="R443" s="247"/>
      <c r="S443" s="69"/>
      <c r="T443" s="162"/>
      <c r="U443" s="69"/>
    </row>
    <row r="444" spans="1:21">
      <c r="A444" s="289"/>
      <c r="B444" s="289"/>
      <c r="C444" s="289"/>
      <c r="D444" s="289"/>
      <c r="E444" s="290"/>
      <c r="F444" s="290"/>
      <c r="G444" s="292"/>
      <c r="H444" s="292"/>
      <c r="I444" s="293"/>
      <c r="O444" s="69"/>
      <c r="P444" s="69"/>
      <c r="Q444" s="248"/>
      <c r="R444" s="247"/>
      <c r="S444" s="69"/>
      <c r="T444" s="162"/>
      <c r="U444" s="69"/>
    </row>
    <row r="445" spans="1:21">
      <c r="A445" s="289"/>
      <c r="B445" s="289"/>
      <c r="C445" s="289"/>
      <c r="D445" s="289"/>
      <c r="E445" s="290"/>
      <c r="F445" s="290"/>
      <c r="G445" s="292"/>
      <c r="H445" s="292"/>
      <c r="I445" s="293"/>
      <c r="L445" s="1"/>
      <c r="N445" s="2"/>
      <c r="O445" s="69"/>
      <c r="P445" s="69"/>
      <c r="Q445" s="248"/>
      <c r="R445" s="247"/>
      <c r="S445" s="69"/>
      <c r="T445" s="162"/>
      <c r="U445" s="69"/>
    </row>
    <row r="446" spans="1:21">
      <c r="A446" s="289"/>
      <c r="B446" s="289"/>
      <c r="C446" s="289"/>
      <c r="D446" s="289"/>
      <c r="E446" s="290"/>
      <c r="F446" s="290"/>
      <c r="G446" s="292"/>
      <c r="H446" s="292"/>
      <c r="I446" s="293"/>
      <c r="O446" s="69"/>
      <c r="P446" s="69"/>
      <c r="Q446" s="248"/>
      <c r="R446" s="247"/>
      <c r="S446" s="69"/>
      <c r="T446" s="162"/>
      <c r="U446" s="69"/>
    </row>
    <row r="447" spans="1:21">
      <c r="A447" s="289"/>
      <c r="B447" s="289"/>
      <c r="C447" s="289"/>
      <c r="D447" s="289"/>
      <c r="E447" s="290"/>
      <c r="F447" s="290"/>
      <c r="G447" s="292"/>
      <c r="H447" s="292"/>
      <c r="I447" s="293"/>
      <c r="O447" s="69"/>
      <c r="P447" s="69"/>
      <c r="Q447" s="248"/>
      <c r="R447" s="247"/>
      <c r="S447" s="69"/>
      <c r="T447" s="162"/>
      <c r="U447" s="69"/>
    </row>
    <row r="448" spans="1:21">
      <c r="A448" s="289"/>
      <c r="B448" s="289"/>
      <c r="C448" s="289"/>
      <c r="D448" s="289"/>
      <c r="E448" s="290"/>
      <c r="F448" s="290"/>
      <c r="G448" s="292"/>
      <c r="H448" s="292"/>
      <c r="I448" s="293"/>
      <c r="O448" s="69"/>
      <c r="P448" s="69"/>
      <c r="Q448" s="248"/>
      <c r="R448" s="247"/>
      <c r="S448" s="69"/>
      <c r="T448" s="162"/>
      <c r="U448" s="69"/>
    </row>
    <row r="449" spans="1:21">
      <c r="A449" s="289"/>
      <c r="B449" s="289"/>
      <c r="C449" s="289"/>
      <c r="D449" s="289"/>
      <c r="E449" s="290"/>
      <c r="F449" s="290"/>
      <c r="G449" s="292"/>
      <c r="H449" s="292"/>
      <c r="I449" s="293"/>
      <c r="O449" s="69"/>
      <c r="P449" s="69"/>
      <c r="Q449" s="248"/>
      <c r="R449" s="247"/>
      <c r="S449" s="69"/>
      <c r="T449" s="162"/>
      <c r="U449" s="69"/>
    </row>
    <row r="450" spans="1:21">
      <c r="A450" s="289"/>
      <c r="B450" s="289"/>
      <c r="C450" s="289"/>
      <c r="D450" s="289"/>
      <c r="E450" s="290"/>
      <c r="F450" s="290"/>
      <c r="G450" s="292"/>
      <c r="H450" s="292"/>
      <c r="I450" s="293"/>
      <c r="L450" s="1"/>
      <c r="N450" s="2"/>
      <c r="O450" s="69"/>
      <c r="P450" s="69"/>
      <c r="Q450" s="248"/>
      <c r="R450" s="247"/>
      <c r="S450" s="69"/>
      <c r="T450" s="162"/>
      <c r="U450" s="69"/>
    </row>
    <row r="451" spans="1:21">
      <c r="A451" s="289"/>
      <c r="B451" s="289"/>
      <c r="C451" s="289"/>
      <c r="D451" s="289"/>
      <c r="E451" s="290"/>
      <c r="F451" s="290"/>
      <c r="G451" s="292"/>
      <c r="H451" s="292"/>
      <c r="I451" s="293"/>
      <c r="O451" s="69"/>
      <c r="P451" s="69"/>
      <c r="Q451" s="248"/>
      <c r="R451" s="247"/>
      <c r="S451" s="69"/>
      <c r="T451" s="162"/>
      <c r="U451" s="69"/>
    </row>
    <row r="452" spans="1:21">
      <c r="A452" s="289"/>
      <c r="B452" s="289"/>
      <c r="C452" s="289"/>
      <c r="D452" s="289"/>
      <c r="E452" s="290"/>
      <c r="F452" s="290"/>
      <c r="G452" s="292"/>
      <c r="H452" s="292"/>
      <c r="I452" s="293"/>
      <c r="L452" s="1"/>
      <c r="N452" s="2"/>
      <c r="O452" s="69"/>
      <c r="P452" s="69"/>
      <c r="Q452" s="248"/>
      <c r="R452" s="247"/>
      <c r="S452" s="69"/>
      <c r="T452" s="162"/>
      <c r="U452" s="69"/>
    </row>
    <row r="453" spans="1:21">
      <c r="A453" s="289"/>
      <c r="B453" s="289"/>
      <c r="C453" s="289"/>
      <c r="D453" s="289"/>
      <c r="E453" s="290"/>
      <c r="F453" s="290"/>
      <c r="G453" s="292"/>
      <c r="H453" s="292"/>
      <c r="I453" s="293"/>
      <c r="L453" s="1"/>
      <c r="N453" s="2"/>
      <c r="O453" s="69"/>
      <c r="P453" s="69"/>
      <c r="Q453" s="248"/>
      <c r="R453" s="247"/>
      <c r="S453" s="69"/>
      <c r="T453" s="162"/>
      <c r="U453" s="69"/>
    </row>
    <row r="454" spans="1:21">
      <c r="A454" s="289"/>
      <c r="B454" s="289"/>
      <c r="C454" s="289"/>
      <c r="D454" s="289"/>
      <c r="E454" s="290"/>
      <c r="F454" s="290"/>
      <c r="G454" s="292"/>
      <c r="H454" s="292"/>
      <c r="I454" s="293"/>
      <c r="O454" s="69"/>
      <c r="P454" s="69"/>
      <c r="Q454" s="248"/>
      <c r="R454" s="247"/>
      <c r="S454" s="69"/>
      <c r="T454" s="162"/>
      <c r="U454" s="69"/>
    </row>
    <row r="455" spans="1:21">
      <c r="A455" s="289"/>
      <c r="B455" s="289"/>
      <c r="C455" s="289"/>
      <c r="D455" s="289"/>
      <c r="E455" s="290"/>
      <c r="F455" s="290"/>
      <c r="G455" s="292"/>
      <c r="H455" s="292"/>
      <c r="I455" s="293"/>
      <c r="O455" s="69"/>
      <c r="P455" s="69"/>
      <c r="Q455" s="248"/>
      <c r="R455" s="247"/>
      <c r="S455" s="69"/>
      <c r="T455" s="162"/>
      <c r="U455" s="69"/>
    </row>
    <row r="456" spans="1:21">
      <c r="A456" s="289"/>
      <c r="B456" s="289"/>
      <c r="C456" s="289"/>
      <c r="D456" s="289"/>
      <c r="E456" s="290"/>
      <c r="F456" s="290"/>
      <c r="G456" s="292"/>
      <c r="H456" s="292"/>
      <c r="I456" s="293"/>
      <c r="O456" s="69"/>
      <c r="P456" s="69"/>
      <c r="Q456" s="248"/>
      <c r="R456" s="247"/>
      <c r="S456" s="69"/>
      <c r="T456" s="162"/>
      <c r="U456" s="69"/>
    </row>
    <row r="457" spans="1:21">
      <c r="A457" s="289"/>
      <c r="B457" s="289"/>
      <c r="C457" s="289"/>
      <c r="D457" s="289"/>
      <c r="E457" s="290"/>
      <c r="F457" s="290"/>
      <c r="G457" s="292"/>
      <c r="H457" s="292"/>
      <c r="I457" s="293"/>
      <c r="L457" s="1"/>
      <c r="N457" s="2"/>
      <c r="O457" s="69"/>
      <c r="P457" s="69"/>
      <c r="Q457" s="248"/>
      <c r="R457" s="247"/>
      <c r="S457" s="69"/>
      <c r="T457" s="162"/>
      <c r="U457" s="69"/>
    </row>
    <row r="458" spans="1:21">
      <c r="A458" s="289"/>
      <c r="B458" s="289"/>
      <c r="C458" s="289"/>
      <c r="D458" s="289"/>
      <c r="E458" s="290"/>
      <c r="F458" s="290"/>
      <c r="G458" s="292"/>
      <c r="H458" s="292"/>
      <c r="I458" s="293"/>
      <c r="O458" s="69"/>
      <c r="P458" s="69"/>
      <c r="Q458" s="248"/>
      <c r="R458" s="247"/>
      <c r="S458" s="69"/>
      <c r="T458" s="162"/>
      <c r="U458" s="69"/>
    </row>
    <row r="459" spans="1:21">
      <c r="A459" s="289"/>
      <c r="B459" s="289"/>
      <c r="C459" s="289"/>
      <c r="D459" s="289"/>
      <c r="E459" s="290"/>
      <c r="F459" s="290"/>
      <c r="G459" s="292"/>
      <c r="H459" s="292"/>
      <c r="I459" s="293"/>
      <c r="O459" s="69"/>
      <c r="P459" s="69"/>
      <c r="Q459" s="248"/>
      <c r="R459" s="247"/>
      <c r="S459" s="69"/>
      <c r="T459" s="162"/>
      <c r="U459" s="69"/>
    </row>
    <row r="460" spans="1:21">
      <c r="A460" s="289"/>
      <c r="B460" s="289"/>
      <c r="C460" s="289"/>
      <c r="D460" s="289"/>
      <c r="E460" s="290"/>
      <c r="F460" s="290"/>
      <c r="G460" s="292"/>
      <c r="H460" s="292"/>
      <c r="I460" s="293"/>
      <c r="O460" s="69"/>
      <c r="P460" s="69"/>
      <c r="Q460" s="248"/>
      <c r="R460" s="247"/>
      <c r="S460" s="69"/>
      <c r="T460" s="162"/>
      <c r="U460" s="69"/>
    </row>
    <row r="461" spans="1:21">
      <c r="A461" s="289"/>
      <c r="B461" s="289"/>
      <c r="C461" s="289"/>
      <c r="D461" s="289"/>
      <c r="E461" s="290"/>
      <c r="F461" s="290"/>
      <c r="G461" s="292"/>
      <c r="H461" s="292"/>
      <c r="I461" s="293"/>
      <c r="O461" s="69"/>
      <c r="P461" s="69"/>
      <c r="Q461" s="248"/>
      <c r="R461" s="247"/>
      <c r="S461" s="69"/>
      <c r="T461" s="162"/>
      <c r="U461" s="69"/>
    </row>
    <row r="462" spans="1:21">
      <c r="A462" s="289"/>
      <c r="B462" s="289"/>
      <c r="C462" s="289"/>
      <c r="D462" s="289"/>
      <c r="E462" s="290"/>
      <c r="F462" s="290"/>
      <c r="G462" s="292"/>
      <c r="H462" s="292"/>
      <c r="I462" s="293"/>
      <c r="L462" s="1"/>
      <c r="N462" s="2"/>
      <c r="O462" s="69"/>
      <c r="P462" s="69"/>
      <c r="Q462" s="248"/>
      <c r="R462" s="247"/>
      <c r="S462" s="69"/>
      <c r="T462" s="162"/>
      <c r="U462" s="69"/>
    </row>
    <row r="463" spans="1:21">
      <c r="A463" s="289"/>
      <c r="B463" s="289"/>
      <c r="C463" s="289"/>
      <c r="D463" s="289"/>
      <c r="E463" s="290"/>
      <c r="F463" s="290"/>
      <c r="G463" s="292"/>
      <c r="H463" s="292"/>
      <c r="I463" s="293"/>
      <c r="O463" s="69"/>
      <c r="P463" s="69"/>
      <c r="Q463" s="248"/>
      <c r="R463" s="247"/>
      <c r="S463" s="69"/>
      <c r="T463" s="162"/>
      <c r="U463" s="69"/>
    </row>
    <row r="464" spans="1:21">
      <c r="A464" s="289"/>
      <c r="B464" s="289"/>
      <c r="C464" s="289"/>
      <c r="D464" s="289"/>
      <c r="E464" s="290"/>
      <c r="F464" s="290"/>
      <c r="G464" s="292"/>
      <c r="H464" s="292"/>
      <c r="I464" s="293"/>
      <c r="O464" s="69"/>
      <c r="P464" s="69"/>
      <c r="Q464" s="248"/>
      <c r="R464" s="247"/>
      <c r="S464" s="69"/>
      <c r="T464" s="162"/>
      <c r="U464" s="69"/>
    </row>
    <row r="465" spans="1:21">
      <c r="A465" s="289"/>
      <c r="B465" s="289"/>
      <c r="C465" s="289"/>
      <c r="D465" s="289"/>
      <c r="E465" s="290"/>
      <c r="F465" s="290"/>
      <c r="G465" s="292"/>
      <c r="H465" s="292"/>
      <c r="I465" s="293"/>
      <c r="L465" s="1"/>
      <c r="N465" s="2"/>
      <c r="O465" s="69"/>
      <c r="P465" s="69"/>
      <c r="Q465" s="248"/>
      <c r="R465" s="247"/>
      <c r="S465" s="69"/>
      <c r="T465" s="162"/>
      <c r="U465" s="69"/>
    </row>
    <row r="466" spans="1:21">
      <c r="A466" s="289"/>
      <c r="B466" s="289"/>
      <c r="C466" s="289"/>
      <c r="D466" s="289"/>
      <c r="E466" s="290"/>
      <c r="F466" s="290"/>
      <c r="G466" s="292"/>
      <c r="H466" s="292"/>
      <c r="I466" s="293"/>
      <c r="O466" s="69"/>
      <c r="P466" s="69"/>
      <c r="Q466" s="248"/>
      <c r="R466" s="247"/>
      <c r="S466" s="69"/>
      <c r="T466" s="162"/>
      <c r="U466" s="69"/>
    </row>
    <row r="467" spans="1:21">
      <c r="A467" s="289"/>
      <c r="B467" s="289"/>
      <c r="C467" s="289"/>
      <c r="D467" s="289"/>
      <c r="E467" s="290"/>
      <c r="F467" s="290"/>
      <c r="G467" s="292"/>
      <c r="H467" s="292"/>
      <c r="I467" s="293"/>
      <c r="L467" s="1"/>
      <c r="N467" s="2"/>
      <c r="O467" s="69"/>
      <c r="P467" s="69"/>
      <c r="Q467" s="248"/>
      <c r="R467" s="247"/>
      <c r="S467" s="69"/>
      <c r="T467" s="162"/>
      <c r="U467" s="69"/>
    </row>
    <row r="468" spans="1:21">
      <c r="A468" s="289"/>
      <c r="B468" s="289"/>
      <c r="C468" s="289"/>
      <c r="D468" s="289"/>
      <c r="E468" s="290"/>
      <c r="F468" s="290"/>
      <c r="G468" s="292"/>
      <c r="H468" s="292"/>
      <c r="I468" s="293"/>
      <c r="O468" s="69"/>
      <c r="P468" s="69"/>
      <c r="Q468" s="248"/>
      <c r="R468" s="247"/>
      <c r="S468" s="69"/>
      <c r="T468" s="162"/>
      <c r="U468" s="69"/>
    </row>
    <row r="469" spans="1:21">
      <c r="A469" s="289"/>
      <c r="B469" s="289"/>
      <c r="C469" s="289"/>
      <c r="D469" s="289"/>
      <c r="E469" s="290"/>
      <c r="F469" s="290"/>
      <c r="G469" s="292"/>
      <c r="H469" s="292"/>
      <c r="I469" s="293"/>
      <c r="O469" s="69"/>
      <c r="P469" s="69"/>
      <c r="Q469" s="248"/>
      <c r="R469" s="247"/>
      <c r="S469" s="69"/>
      <c r="T469" s="162"/>
      <c r="U469" s="69"/>
    </row>
    <row r="470" spans="1:21">
      <c r="A470" s="289"/>
      <c r="B470" s="289"/>
      <c r="C470" s="289"/>
      <c r="D470" s="289"/>
      <c r="E470" s="290"/>
      <c r="F470" s="290"/>
      <c r="G470" s="292"/>
      <c r="H470" s="292"/>
      <c r="I470" s="293"/>
      <c r="O470" s="69"/>
      <c r="P470" s="69"/>
      <c r="Q470" s="248"/>
      <c r="R470" s="247"/>
      <c r="S470" s="69"/>
      <c r="T470" s="162"/>
      <c r="U470" s="69"/>
    </row>
    <row r="471" spans="1:21">
      <c r="A471" s="289"/>
      <c r="B471" s="289"/>
      <c r="C471" s="289"/>
      <c r="D471" s="289"/>
      <c r="E471" s="290"/>
      <c r="F471" s="290"/>
      <c r="G471" s="292"/>
      <c r="H471" s="292"/>
      <c r="I471" s="293"/>
      <c r="O471" s="69"/>
      <c r="P471" s="69"/>
      <c r="Q471" s="248"/>
      <c r="R471" s="247"/>
      <c r="S471" s="69"/>
      <c r="T471" s="162"/>
      <c r="U471" s="69"/>
    </row>
    <row r="472" spans="1:21">
      <c r="A472" s="289"/>
      <c r="B472" s="289"/>
      <c r="C472" s="289"/>
      <c r="D472" s="289"/>
      <c r="E472" s="290"/>
      <c r="F472" s="290"/>
      <c r="G472" s="292"/>
      <c r="H472" s="292"/>
      <c r="I472" s="293"/>
      <c r="O472" s="69"/>
      <c r="P472" s="69"/>
      <c r="Q472" s="248"/>
      <c r="R472" s="247"/>
      <c r="S472" s="69"/>
      <c r="T472" s="162"/>
      <c r="U472" s="69"/>
    </row>
    <row r="473" spans="1:21">
      <c r="A473" s="289"/>
      <c r="B473" s="289"/>
      <c r="C473" s="289"/>
      <c r="D473" s="289"/>
      <c r="E473" s="290"/>
      <c r="F473" s="290"/>
      <c r="G473" s="292"/>
      <c r="H473" s="292"/>
      <c r="I473" s="293"/>
      <c r="O473" s="69"/>
      <c r="P473" s="69"/>
      <c r="Q473" s="248"/>
      <c r="R473" s="247"/>
      <c r="S473" s="69"/>
      <c r="T473" s="162"/>
      <c r="U473" s="69"/>
    </row>
    <row r="474" spans="1:21">
      <c r="A474" s="289"/>
      <c r="B474" s="289"/>
      <c r="C474" s="289"/>
      <c r="D474" s="289"/>
      <c r="E474" s="290"/>
      <c r="F474" s="290"/>
      <c r="G474" s="292"/>
      <c r="H474" s="292"/>
      <c r="I474" s="293"/>
      <c r="O474" s="69"/>
      <c r="P474" s="69"/>
      <c r="Q474" s="248"/>
      <c r="R474" s="247"/>
      <c r="S474" s="69"/>
      <c r="T474" s="162"/>
      <c r="U474" s="69"/>
    </row>
    <row r="475" spans="1:21">
      <c r="A475" s="289"/>
      <c r="B475" s="289"/>
      <c r="C475" s="289"/>
      <c r="D475" s="289"/>
      <c r="E475" s="290"/>
      <c r="F475" s="290"/>
      <c r="G475" s="292"/>
      <c r="H475" s="292"/>
      <c r="I475" s="293"/>
      <c r="O475" s="69"/>
      <c r="P475" s="69"/>
      <c r="Q475" s="248"/>
      <c r="R475" s="247"/>
      <c r="S475" s="69"/>
      <c r="T475" s="162"/>
      <c r="U475" s="69"/>
    </row>
    <row r="476" spans="1:21">
      <c r="A476" s="289"/>
      <c r="B476" s="289"/>
      <c r="C476" s="289"/>
      <c r="D476" s="289"/>
      <c r="E476" s="290"/>
      <c r="F476" s="290"/>
      <c r="G476" s="292"/>
      <c r="H476" s="292"/>
      <c r="I476" s="293"/>
      <c r="O476" s="69"/>
      <c r="P476" s="69"/>
      <c r="Q476" s="248"/>
      <c r="R476" s="247"/>
      <c r="S476" s="69"/>
      <c r="T476" s="162"/>
      <c r="U476" s="69"/>
    </row>
    <row r="477" spans="1:21">
      <c r="A477" s="289"/>
      <c r="B477" s="289"/>
      <c r="C477" s="289"/>
      <c r="D477" s="289"/>
      <c r="E477" s="290"/>
      <c r="F477" s="290"/>
      <c r="G477" s="292"/>
      <c r="H477" s="292"/>
      <c r="I477" s="293"/>
      <c r="O477" s="69"/>
      <c r="P477" s="69"/>
      <c r="Q477" s="248"/>
      <c r="R477" s="247"/>
      <c r="S477" s="69"/>
      <c r="T477" s="162"/>
      <c r="U477" s="69"/>
    </row>
    <row r="478" spans="1:21">
      <c r="A478" s="289"/>
      <c r="B478" s="289"/>
      <c r="C478" s="289"/>
      <c r="D478" s="289"/>
      <c r="E478" s="290"/>
      <c r="F478" s="290"/>
      <c r="G478" s="292"/>
      <c r="H478" s="292"/>
      <c r="I478" s="293"/>
      <c r="O478" s="69"/>
      <c r="P478" s="69"/>
      <c r="Q478" s="248"/>
      <c r="R478" s="247"/>
      <c r="S478" s="69"/>
      <c r="T478" s="162"/>
      <c r="U478" s="69"/>
    </row>
    <row r="479" spans="1:21">
      <c r="A479" s="289"/>
      <c r="B479" s="289"/>
      <c r="C479" s="289"/>
      <c r="D479" s="289"/>
      <c r="E479" s="290"/>
      <c r="F479" s="290"/>
      <c r="G479" s="292"/>
      <c r="H479" s="292"/>
      <c r="I479" s="293"/>
      <c r="O479" s="69"/>
      <c r="P479" s="69"/>
      <c r="Q479" s="248"/>
      <c r="R479" s="247"/>
      <c r="S479" s="69"/>
      <c r="T479" s="162"/>
      <c r="U479" s="69"/>
    </row>
    <row r="480" spans="1:21">
      <c r="A480" s="289"/>
      <c r="B480" s="289"/>
      <c r="C480" s="289"/>
      <c r="D480" s="289"/>
      <c r="E480" s="290"/>
      <c r="F480" s="290"/>
      <c r="G480" s="292"/>
      <c r="H480" s="292"/>
      <c r="I480" s="293"/>
      <c r="O480" s="69"/>
      <c r="P480" s="69"/>
      <c r="Q480" s="248"/>
      <c r="R480" s="247"/>
      <c r="S480" s="69"/>
      <c r="T480" s="162"/>
      <c r="U480" s="69"/>
    </row>
    <row r="481" spans="1:21">
      <c r="A481" s="289"/>
      <c r="B481" s="289"/>
      <c r="C481" s="289"/>
      <c r="D481" s="289"/>
      <c r="E481" s="290"/>
      <c r="F481" s="290"/>
      <c r="G481" s="292"/>
      <c r="H481" s="292"/>
      <c r="I481" s="293"/>
      <c r="O481" s="69"/>
      <c r="P481" s="69"/>
      <c r="Q481" s="248"/>
      <c r="R481" s="247"/>
      <c r="S481" s="69"/>
      <c r="T481" s="162"/>
      <c r="U481" s="69"/>
    </row>
    <row r="482" spans="1:21">
      <c r="A482" s="289"/>
      <c r="B482" s="289"/>
      <c r="C482" s="289"/>
      <c r="D482" s="289"/>
      <c r="E482" s="290"/>
      <c r="F482" s="290"/>
      <c r="G482" s="292"/>
      <c r="H482" s="292"/>
      <c r="I482" s="293"/>
      <c r="O482" s="69"/>
      <c r="P482" s="69"/>
      <c r="Q482" s="248"/>
      <c r="R482" s="247"/>
      <c r="S482" s="69"/>
      <c r="T482" s="162"/>
      <c r="U482" s="69"/>
    </row>
    <row r="483" spans="1:21">
      <c r="A483" s="289"/>
      <c r="B483" s="289"/>
      <c r="C483" s="289"/>
      <c r="D483" s="289"/>
      <c r="E483" s="290"/>
      <c r="F483" s="290"/>
      <c r="G483" s="292"/>
      <c r="H483" s="292"/>
      <c r="I483" s="293"/>
      <c r="O483" s="69"/>
      <c r="P483" s="69"/>
      <c r="Q483" s="248"/>
      <c r="R483" s="247"/>
      <c r="S483" s="69"/>
      <c r="T483" s="162"/>
      <c r="U483" s="69"/>
    </row>
    <row r="484" spans="1:21">
      <c r="A484" s="289"/>
      <c r="B484" s="289"/>
      <c r="C484" s="289"/>
      <c r="D484" s="289"/>
      <c r="E484" s="290"/>
      <c r="F484" s="290"/>
      <c r="G484" s="292"/>
      <c r="H484" s="292"/>
      <c r="I484" s="293"/>
      <c r="O484" s="69"/>
      <c r="P484" s="69"/>
      <c r="Q484" s="248"/>
      <c r="R484" s="247"/>
      <c r="S484" s="69"/>
      <c r="T484" s="162"/>
      <c r="U484" s="69"/>
    </row>
    <row r="485" spans="1:21">
      <c r="A485" s="289"/>
      <c r="B485" s="289"/>
      <c r="C485" s="289"/>
      <c r="D485" s="289"/>
      <c r="E485" s="290"/>
      <c r="F485" s="290"/>
      <c r="G485" s="292"/>
      <c r="H485" s="292"/>
      <c r="I485" s="293"/>
      <c r="O485" s="69"/>
      <c r="P485" s="69"/>
      <c r="Q485" s="248"/>
      <c r="R485" s="247"/>
      <c r="S485" s="69"/>
      <c r="T485" s="162"/>
      <c r="U485" s="69"/>
    </row>
    <row r="486" spans="1:21">
      <c r="A486" s="289"/>
      <c r="B486" s="289"/>
      <c r="C486" s="289"/>
      <c r="D486" s="289"/>
      <c r="E486" s="290"/>
      <c r="F486" s="290"/>
      <c r="G486" s="292"/>
      <c r="H486" s="292"/>
      <c r="I486" s="293"/>
      <c r="O486" s="69"/>
      <c r="P486" s="69"/>
      <c r="Q486" s="248"/>
      <c r="R486" s="247"/>
      <c r="S486" s="69"/>
      <c r="T486" s="162"/>
      <c r="U486" s="69"/>
    </row>
    <row r="487" spans="1:21">
      <c r="A487" s="289"/>
      <c r="B487" s="289"/>
      <c r="C487" s="289"/>
      <c r="D487" s="289"/>
      <c r="E487" s="290"/>
      <c r="F487" s="290"/>
      <c r="G487" s="292"/>
      <c r="H487" s="292"/>
      <c r="I487" s="293"/>
      <c r="O487" s="69"/>
      <c r="P487" s="69"/>
      <c r="Q487" s="248"/>
      <c r="R487" s="247"/>
      <c r="S487" s="69"/>
      <c r="T487" s="162"/>
      <c r="U487" s="69"/>
    </row>
    <row r="488" spans="1:21">
      <c r="A488" s="289"/>
      <c r="B488" s="289"/>
      <c r="C488" s="289"/>
      <c r="D488" s="289"/>
      <c r="E488" s="290"/>
      <c r="F488" s="290"/>
      <c r="G488" s="292"/>
      <c r="H488" s="292"/>
      <c r="I488" s="293"/>
      <c r="O488" s="69"/>
      <c r="P488" s="69"/>
      <c r="Q488" s="248"/>
      <c r="R488" s="247"/>
      <c r="S488" s="69"/>
      <c r="T488" s="162"/>
      <c r="U488" s="69"/>
    </row>
    <row r="489" spans="1:21">
      <c r="A489" s="289"/>
      <c r="B489" s="289"/>
      <c r="C489" s="289"/>
      <c r="D489" s="289"/>
      <c r="E489" s="290"/>
      <c r="F489" s="290"/>
      <c r="G489" s="292"/>
      <c r="H489" s="292"/>
      <c r="I489" s="293"/>
      <c r="O489" s="69"/>
      <c r="P489" s="69"/>
      <c r="Q489" s="248"/>
      <c r="R489" s="247"/>
      <c r="S489" s="69"/>
      <c r="T489" s="162"/>
      <c r="U489" s="69"/>
    </row>
    <row r="490" spans="1:21">
      <c r="A490" s="289"/>
      <c r="B490" s="289"/>
      <c r="C490" s="289"/>
      <c r="D490" s="289"/>
      <c r="E490" s="290"/>
      <c r="F490" s="290"/>
      <c r="G490" s="292"/>
      <c r="H490" s="292"/>
      <c r="I490" s="293"/>
      <c r="O490" s="69"/>
      <c r="P490" s="69"/>
      <c r="Q490" s="248"/>
      <c r="R490" s="247"/>
      <c r="S490" s="69"/>
      <c r="T490" s="162"/>
      <c r="U490" s="69"/>
    </row>
    <row r="491" spans="1:21">
      <c r="A491" s="289"/>
      <c r="B491" s="289"/>
      <c r="C491" s="289"/>
      <c r="D491" s="289"/>
      <c r="E491" s="290"/>
      <c r="F491" s="290"/>
      <c r="G491" s="292"/>
      <c r="H491" s="292"/>
      <c r="I491" s="293"/>
      <c r="O491" s="69"/>
      <c r="P491" s="69"/>
      <c r="Q491" s="248"/>
      <c r="R491" s="247"/>
      <c r="S491" s="69"/>
      <c r="T491" s="162"/>
      <c r="U491" s="69"/>
    </row>
    <row r="492" spans="1:21">
      <c r="A492" s="289"/>
      <c r="B492" s="289"/>
      <c r="C492" s="289"/>
      <c r="D492" s="289"/>
      <c r="E492" s="290"/>
      <c r="F492" s="290"/>
      <c r="G492" s="292"/>
      <c r="H492" s="292"/>
      <c r="I492" s="293"/>
      <c r="O492" s="69"/>
      <c r="P492" s="69"/>
      <c r="Q492" s="248"/>
      <c r="R492" s="247"/>
      <c r="S492" s="69"/>
      <c r="T492" s="162"/>
      <c r="U492" s="69"/>
    </row>
    <row r="493" spans="1:21">
      <c r="A493" s="289"/>
      <c r="B493" s="289"/>
      <c r="C493" s="289"/>
      <c r="D493" s="289"/>
      <c r="E493" s="290"/>
      <c r="F493" s="290"/>
      <c r="G493" s="292"/>
      <c r="H493" s="292"/>
      <c r="I493" s="293"/>
      <c r="O493" s="69"/>
      <c r="P493" s="69"/>
      <c r="Q493" s="248"/>
      <c r="R493" s="247"/>
      <c r="S493" s="69"/>
      <c r="T493" s="162"/>
      <c r="U493" s="69"/>
    </row>
    <row r="494" spans="1:21">
      <c r="A494" s="289"/>
      <c r="B494" s="289"/>
      <c r="C494" s="289"/>
      <c r="D494" s="289"/>
      <c r="E494" s="290"/>
      <c r="F494" s="290"/>
      <c r="G494" s="292"/>
      <c r="H494" s="292"/>
      <c r="I494" s="293"/>
      <c r="O494" s="69"/>
      <c r="P494" s="69"/>
      <c r="Q494" s="248"/>
      <c r="R494" s="247"/>
      <c r="S494" s="69"/>
      <c r="T494" s="162"/>
      <c r="U494" s="69"/>
    </row>
    <row r="495" spans="1:21">
      <c r="A495" s="289"/>
      <c r="B495" s="289"/>
      <c r="C495" s="289"/>
      <c r="D495" s="289"/>
      <c r="E495" s="290"/>
      <c r="F495" s="290"/>
      <c r="G495" s="292"/>
      <c r="H495" s="292"/>
      <c r="I495" s="293"/>
      <c r="O495" s="69"/>
      <c r="P495" s="69"/>
      <c r="Q495" s="248"/>
      <c r="R495" s="247"/>
      <c r="S495" s="69"/>
      <c r="T495" s="162"/>
      <c r="U495" s="69"/>
    </row>
    <row r="496" spans="1:21">
      <c r="A496" s="289"/>
      <c r="B496" s="289"/>
      <c r="C496" s="289"/>
      <c r="D496" s="289"/>
      <c r="E496" s="290"/>
      <c r="F496" s="290"/>
      <c r="G496" s="292"/>
      <c r="H496" s="292"/>
      <c r="I496" s="293"/>
      <c r="O496" s="69"/>
      <c r="P496" s="69"/>
      <c r="Q496" s="248"/>
      <c r="R496" s="247"/>
      <c r="S496" s="69"/>
      <c r="T496" s="162"/>
      <c r="U496" s="69"/>
    </row>
    <row r="497" spans="1:21">
      <c r="A497" s="289"/>
      <c r="B497" s="289"/>
      <c r="C497" s="289"/>
      <c r="D497" s="289"/>
      <c r="E497" s="290"/>
      <c r="F497" s="290"/>
      <c r="G497" s="292"/>
      <c r="H497" s="292"/>
      <c r="I497" s="293"/>
      <c r="O497" s="69"/>
      <c r="P497" s="69"/>
      <c r="Q497" s="248"/>
      <c r="R497" s="247"/>
      <c r="S497" s="69"/>
      <c r="T497" s="162"/>
      <c r="U497" s="69"/>
    </row>
    <row r="498" spans="1:21">
      <c r="A498" s="289"/>
      <c r="B498" s="289"/>
      <c r="C498" s="289"/>
      <c r="D498" s="289"/>
      <c r="E498" s="290"/>
      <c r="F498" s="290"/>
      <c r="G498" s="292"/>
      <c r="H498" s="292"/>
      <c r="I498" s="293"/>
      <c r="O498" s="69"/>
      <c r="P498" s="69"/>
      <c r="Q498" s="248"/>
      <c r="R498" s="247"/>
      <c r="S498" s="69"/>
      <c r="T498" s="162"/>
      <c r="U498" s="69"/>
    </row>
    <row r="499" spans="1:21">
      <c r="A499" s="289"/>
      <c r="B499" s="289"/>
      <c r="C499" s="289"/>
      <c r="D499" s="289"/>
      <c r="E499" s="290"/>
      <c r="F499" s="290"/>
      <c r="G499" s="292"/>
      <c r="H499" s="292"/>
      <c r="I499" s="293"/>
      <c r="O499" s="69"/>
      <c r="P499" s="69"/>
      <c r="Q499" s="248"/>
      <c r="R499" s="247"/>
      <c r="S499" s="69"/>
      <c r="T499" s="162"/>
      <c r="U499" s="69"/>
    </row>
    <row r="500" spans="1:21">
      <c r="A500" s="289"/>
      <c r="B500" s="289"/>
      <c r="C500" s="289"/>
      <c r="D500" s="289"/>
      <c r="E500" s="290"/>
      <c r="F500" s="290"/>
      <c r="G500" s="292"/>
      <c r="H500" s="292"/>
      <c r="I500" s="293"/>
      <c r="O500" s="69"/>
      <c r="P500" s="69"/>
      <c r="Q500" s="248"/>
      <c r="R500" s="247"/>
      <c r="S500" s="69"/>
      <c r="T500" s="162"/>
      <c r="U500" s="69"/>
    </row>
    <row r="501" spans="1:21">
      <c r="A501" s="289"/>
      <c r="B501" s="289"/>
      <c r="C501" s="289"/>
      <c r="D501" s="289"/>
      <c r="E501" s="290"/>
      <c r="F501" s="290"/>
      <c r="G501" s="292"/>
      <c r="H501" s="292"/>
      <c r="I501" s="293"/>
      <c r="O501" s="69"/>
      <c r="P501" s="69"/>
      <c r="Q501" s="248"/>
      <c r="R501" s="247"/>
      <c r="S501" s="69"/>
      <c r="T501" s="162"/>
      <c r="U501" s="69"/>
    </row>
    <row r="502" spans="1:21">
      <c r="A502" s="289"/>
      <c r="B502" s="289"/>
      <c r="C502" s="289"/>
      <c r="D502" s="289"/>
      <c r="E502" s="290"/>
      <c r="F502" s="290"/>
      <c r="G502" s="292"/>
      <c r="H502" s="292"/>
      <c r="I502" s="293"/>
      <c r="O502" s="69"/>
      <c r="P502" s="69"/>
      <c r="Q502" s="248"/>
      <c r="R502" s="247"/>
      <c r="S502" s="69"/>
      <c r="T502" s="162"/>
      <c r="U502" s="69"/>
    </row>
    <row r="503" spans="1:21">
      <c r="A503" s="289"/>
      <c r="B503" s="289"/>
      <c r="C503" s="289"/>
      <c r="D503" s="289"/>
      <c r="E503" s="290"/>
      <c r="F503" s="290"/>
      <c r="G503" s="292"/>
      <c r="H503" s="292"/>
      <c r="I503" s="293"/>
      <c r="O503" s="69"/>
      <c r="P503" s="69"/>
      <c r="Q503" s="248"/>
      <c r="R503" s="247"/>
      <c r="S503" s="69"/>
      <c r="T503" s="162"/>
      <c r="U503" s="69"/>
    </row>
    <row r="504" spans="1:21">
      <c r="A504" s="289"/>
      <c r="B504" s="289"/>
      <c r="C504" s="289"/>
      <c r="D504" s="289"/>
      <c r="E504" s="290"/>
      <c r="F504" s="290"/>
      <c r="G504" s="292"/>
      <c r="H504" s="292"/>
      <c r="I504" s="293"/>
      <c r="O504" s="69"/>
      <c r="P504" s="69"/>
      <c r="Q504" s="248"/>
      <c r="R504" s="247"/>
      <c r="S504" s="69"/>
      <c r="T504" s="162"/>
      <c r="U504" s="69"/>
    </row>
    <row r="505" spans="1:21">
      <c r="A505" s="289"/>
      <c r="B505" s="289"/>
      <c r="C505" s="289"/>
      <c r="D505" s="289"/>
      <c r="E505" s="290"/>
      <c r="F505" s="290"/>
      <c r="G505" s="292"/>
      <c r="H505" s="292"/>
      <c r="I505" s="293"/>
      <c r="O505" s="69"/>
      <c r="P505" s="69"/>
      <c r="Q505" s="248"/>
      <c r="R505" s="247"/>
      <c r="S505" s="69"/>
      <c r="T505" s="162"/>
      <c r="U505" s="69"/>
    </row>
    <row r="506" spans="1:21">
      <c r="A506" s="289"/>
      <c r="B506" s="289"/>
      <c r="C506" s="289"/>
      <c r="D506" s="289"/>
      <c r="E506" s="290"/>
      <c r="F506" s="290"/>
      <c r="G506" s="292"/>
      <c r="H506" s="292"/>
      <c r="I506" s="293"/>
      <c r="O506" s="69"/>
      <c r="P506" s="69"/>
      <c r="Q506" s="248"/>
      <c r="R506" s="247"/>
      <c r="S506" s="69"/>
      <c r="T506" s="162"/>
      <c r="U506" s="69"/>
    </row>
    <row r="507" spans="1:21">
      <c r="A507" s="289"/>
      <c r="B507" s="289"/>
      <c r="C507" s="289"/>
      <c r="D507" s="289"/>
      <c r="E507" s="290"/>
      <c r="F507" s="290"/>
      <c r="G507" s="292"/>
      <c r="H507" s="292"/>
      <c r="I507" s="293"/>
      <c r="O507" s="69"/>
      <c r="P507" s="69"/>
      <c r="Q507" s="248"/>
      <c r="R507" s="247"/>
      <c r="S507" s="69"/>
      <c r="T507" s="162"/>
      <c r="U507" s="69"/>
    </row>
    <row r="508" spans="1:21">
      <c r="A508" s="289"/>
      <c r="B508" s="289"/>
      <c r="C508" s="289"/>
      <c r="D508" s="289"/>
      <c r="E508" s="290"/>
      <c r="F508" s="290"/>
      <c r="G508" s="292"/>
      <c r="H508" s="292"/>
      <c r="I508" s="293"/>
      <c r="O508" s="69"/>
      <c r="P508" s="69"/>
      <c r="Q508" s="248"/>
      <c r="R508" s="247"/>
      <c r="S508" s="69"/>
      <c r="T508" s="162"/>
      <c r="U508" s="69"/>
    </row>
    <row r="509" spans="1:21">
      <c r="A509" s="289"/>
      <c r="B509" s="289"/>
      <c r="C509" s="289"/>
      <c r="D509" s="289"/>
      <c r="E509" s="290"/>
      <c r="F509" s="290"/>
      <c r="G509" s="292"/>
      <c r="H509" s="292"/>
      <c r="I509" s="293"/>
      <c r="O509" s="69"/>
      <c r="P509" s="69"/>
      <c r="Q509" s="248"/>
      <c r="R509" s="247"/>
      <c r="S509" s="69"/>
      <c r="T509" s="162"/>
      <c r="U509" s="69"/>
    </row>
    <row r="510" spans="1:21">
      <c r="A510" s="289"/>
      <c r="B510" s="289"/>
      <c r="C510" s="289"/>
      <c r="D510" s="289"/>
      <c r="E510" s="290"/>
      <c r="F510" s="290"/>
      <c r="G510" s="292"/>
      <c r="H510" s="292"/>
      <c r="I510" s="293"/>
      <c r="O510" s="69"/>
      <c r="P510" s="69"/>
      <c r="Q510" s="248"/>
      <c r="R510" s="247"/>
      <c r="S510" s="69"/>
      <c r="T510" s="162"/>
      <c r="U510" s="69"/>
    </row>
    <row r="511" spans="1:21">
      <c r="A511" s="289"/>
      <c r="B511" s="289"/>
      <c r="C511" s="289"/>
      <c r="D511" s="289"/>
      <c r="E511" s="290"/>
      <c r="F511" s="290"/>
      <c r="G511" s="292"/>
      <c r="H511" s="292"/>
      <c r="I511" s="293"/>
      <c r="O511" s="69"/>
      <c r="P511" s="69"/>
      <c r="Q511" s="248"/>
      <c r="R511" s="247"/>
      <c r="S511" s="69"/>
      <c r="T511" s="162"/>
      <c r="U511" s="69"/>
    </row>
    <row r="512" spans="1:21">
      <c r="A512" s="289"/>
      <c r="B512" s="289"/>
      <c r="C512" s="289"/>
      <c r="D512" s="289"/>
      <c r="E512" s="290"/>
      <c r="F512" s="290"/>
      <c r="G512" s="292"/>
      <c r="H512" s="292"/>
      <c r="I512" s="293"/>
      <c r="O512" s="69"/>
      <c r="P512" s="69"/>
      <c r="Q512" s="248"/>
      <c r="R512" s="247"/>
      <c r="S512" s="69"/>
      <c r="T512" s="162"/>
      <c r="U512" s="69"/>
    </row>
    <row r="513" spans="1:21">
      <c r="A513" s="289"/>
      <c r="B513" s="289"/>
      <c r="C513" s="289"/>
      <c r="D513" s="289"/>
      <c r="E513" s="290"/>
      <c r="F513" s="290"/>
      <c r="G513" s="292"/>
      <c r="H513" s="292"/>
      <c r="I513" s="293"/>
      <c r="O513" s="69"/>
      <c r="P513" s="69"/>
      <c r="Q513" s="248"/>
      <c r="R513" s="247"/>
      <c r="S513" s="69"/>
      <c r="T513" s="162"/>
      <c r="U513" s="69"/>
    </row>
    <row r="514" spans="1:21">
      <c r="A514" s="289"/>
      <c r="B514" s="289"/>
      <c r="C514" s="289"/>
      <c r="D514" s="289"/>
      <c r="E514" s="290"/>
      <c r="F514" s="290"/>
      <c r="G514" s="292"/>
      <c r="H514" s="292"/>
      <c r="I514" s="293"/>
      <c r="O514" s="69"/>
      <c r="P514" s="69"/>
      <c r="Q514" s="248"/>
      <c r="R514" s="247"/>
      <c r="S514" s="69"/>
      <c r="T514" s="162"/>
      <c r="U514" s="69"/>
    </row>
    <row r="515" spans="1:21">
      <c r="A515" s="289"/>
      <c r="B515" s="289"/>
      <c r="C515" s="289"/>
      <c r="D515" s="289"/>
      <c r="E515" s="290"/>
      <c r="F515" s="290"/>
      <c r="G515" s="292"/>
      <c r="H515" s="292"/>
      <c r="I515" s="293"/>
      <c r="O515" s="69"/>
      <c r="P515" s="69"/>
      <c r="Q515" s="248"/>
      <c r="R515" s="247"/>
      <c r="S515" s="69"/>
      <c r="T515" s="162"/>
      <c r="U515" s="69"/>
    </row>
    <row r="516" spans="1:21">
      <c r="A516" s="289"/>
      <c r="B516" s="289"/>
      <c r="C516" s="289"/>
      <c r="D516" s="289"/>
      <c r="E516" s="290"/>
      <c r="F516" s="290"/>
      <c r="G516" s="292"/>
      <c r="H516" s="292"/>
      <c r="I516" s="293"/>
      <c r="O516" s="69"/>
      <c r="P516" s="69"/>
      <c r="Q516" s="248"/>
      <c r="R516" s="247"/>
      <c r="S516" s="69"/>
      <c r="T516" s="162"/>
      <c r="U516" s="69"/>
    </row>
    <row r="517" spans="1:21">
      <c r="A517" s="289"/>
      <c r="B517" s="289"/>
      <c r="C517" s="289"/>
      <c r="D517" s="289"/>
      <c r="E517" s="290"/>
      <c r="F517" s="290"/>
      <c r="G517" s="292"/>
      <c r="H517" s="292"/>
      <c r="I517" s="293"/>
      <c r="O517" s="69"/>
      <c r="P517" s="69"/>
      <c r="Q517" s="248"/>
      <c r="R517" s="247"/>
      <c r="S517" s="69"/>
      <c r="T517" s="162"/>
      <c r="U517" s="69"/>
    </row>
    <row r="518" spans="1:21">
      <c r="A518" s="289"/>
      <c r="B518" s="289"/>
      <c r="C518" s="289"/>
      <c r="D518" s="289"/>
      <c r="E518" s="290"/>
      <c r="F518" s="290"/>
      <c r="G518" s="292"/>
      <c r="H518" s="292"/>
      <c r="I518" s="293"/>
      <c r="O518" s="69"/>
      <c r="P518" s="69"/>
      <c r="Q518" s="248"/>
      <c r="R518" s="247"/>
      <c r="S518" s="69"/>
      <c r="T518" s="162"/>
      <c r="U518" s="69"/>
    </row>
    <row r="519" spans="1:21">
      <c r="A519" s="289"/>
      <c r="B519" s="289"/>
      <c r="C519" s="289"/>
      <c r="D519" s="289"/>
      <c r="E519" s="290"/>
      <c r="F519" s="290"/>
      <c r="G519" s="292"/>
      <c r="H519" s="292"/>
      <c r="I519" s="293"/>
      <c r="O519" s="69"/>
      <c r="P519" s="69"/>
      <c r="Q519" s="248"/>
      <c r="R519" s="247"/>
      <c r="S519" s="69"/>
      <c r="T519" s="162"/>
      <c r="U519" s="69"/>
    </row>
    <row r="520" spans="1:21">
      <c r="A520" s="289"/>
      <c r="B520" s="289"/>
      <c r="C520" s="289"/>
      <c r="D520" s="289"/>
      <c r="E520" s="290"/>
      <c r="F520" s="290"/>
      <c r="G520" s="292"/>
      <c r="H520" s="292"/>
      <c r="I520" s="293"/>
      <c r="O520" s="69"/>
      <c r="P520" s="69"/>
      <c r="Q520" s="248"/>
      <c r="R520" s="247"/>
      <c r="S520" s="69"/>
      <c r="T520" s="162"/>
      <c r="U520" s="69"/>
    </row>
    <row r="521" spans="1:21">
      <c r="A521" s="289"/>
      <c r="B521" s="289"/>
      <c r="C521" s="289"/>
      <c r="D521" s="289"/>
      <c r="E521" s="290"/>
      <c r="F521" s="290"/>
      <c r="G521" s="292"/>
      <c r="H521" s="292"/>
      <c r="I521" s="293"/>
      <c r="O521" s="69"/>
      <c r="P521" s="69"/>
      <c r="Q521" s="248"/>
      <c r="R521" s="247"/>
      <c r="S521" s="69"/>
      <c r="T521" s="162"/>
      <c r="U521" s="69"/>
    </row>
    <row r="522" spans="1:21">
      <c r="A522" s="289"/>
      <c r="B522" s="289"/>
      <c r="C522" s="289"/>
      <c r="D522" s="289"/>
      <c r="E522" s="290"/>
      <c r="F522" s="290"/>
      <c r="G522" s="292"/>
      <c r="H522" s="292"/>
      <c r="I522" s="293"/>
      <c r="O522" s="69"/>
      <c r="P522" s="69"/>
      <c r="Q522" s="248"/>
      <c r="R522" s="247"/>
      <c r="S522" s="69"/>
      <c r="T522" s="162"/>
      <c r="U522" s="69"/>
    </row>
    <row r="523" spans="1:21">
      <c r="A523" s="289"/>
      <c r="B523" s="289"/>
      <c r="C523" s="289"/>
      <c r="D523" s="289"/>
      <c r="E523" s="290"/>
      <c r="F523" s="290"/>
      <c r="G523" s="292"/>
      <c r="H523" s="292"/>
      <c r="I523" s="293"/>
      <c r="O523" s="69"/>
      <c r="P523" s="69"/>
      <c r="Q523" s="248"/>
      <c r="R523" s="247"/>
      <c r="S523" s="69"/>
      <c r="T523" s="162"/>
      <c r="U523" s="69"/>
    </row>
    <row r="524" spans="1:21">
      <c r="A524" s="289"/>
      <c r="B524" s="289"/>
      <c r="C524" s="289"/>
      <c r="D524" s="289"/>
      <c r="E524" s="290"/>
      <c r="F524" s="290"/>
      <c r="G524" s="292"/>
      <c r="H524" s="292"/>
      <c r="I524" s="293"/>
      <c r="O524" s="69"/>
      <c r="P524" s="69"/>
      <c r="Q524" s="248"/>
      <c r="R524" s="247"/>
      <c r="S524" s="69"/>
      <c r="T524" s="162"/>
      <c r="U524" s="69"/>
    </row>
    <row r="525" spans="1:21">
      <c r="A525" s="289"/>
      <c r="B525" s="289"/>
      <c r="C525" s="289"/>
      <c r="D525" s="289"/>
      <c r="E525" s="290"/>
      <c r="F525" s="290"/>
      <c r="G525" s="292"/>
      <c r="H525" s="292"/>
      <c r="I525" s="293"/>
      <c r="O525" s="69"/>
      <c r="P525" s="69"/>
      <c r="Q525" s="248"/>
      <c r="R525" s="247"/>
      <c r="S525" s="69"/>
      <c r="T525" s="162"/>
      <c r="U525" s="69"/>
    </row>
    <row r="526" spans="1:21">
      <c r="A526" s="289"/>
      <c r="B526" s="289"/>
      <c r="C526" s="289"/>
      <c r="D526" s="289"/>
      <c r="E526" s="290"/>
      <c r="F526" s="290"/>
      <c r="G526" s="292"/>
      <c r="H526" s="292"/>
      <c r="I526" s="293"/>
      <c r="O526" s="69"/>
      <c r="P526" s="69"/>
      <c r="Q526" s="248"/>
      <c r="R526" s="247"/>
      <c r="S526" s="69"/>
      <c r="T526" s="162"/>
      <c r="U526" s="69"/>
    </row>
    <row r="527" spans="1:21">
      <c r="A527" s="289"/>
      <c r="B527" s="289"/>
      <c r="C527" s="289"/>
      <c r="D527" s="289"/>
      <c r="E527" s="290"/>
      <c r="F527" s="290"/>
      <c r="G527" s="292"/>
      <c r="H527" s="292"/>
      <c r="I527" s="293"/>
      <c r="O527" s="69"/>
      <c r="P527" s="69"/>
      <c r="Q527" s="248"/>
      <c r="R527" s="247"/>
      <c r="S527" s="69"/>
      <c r="T527" s="162"/>
      <c r="U527" s="69"/>
    </row>
    <row r="528" spans="1:21">
      <c r="A528" s="289"/>
      <c r="B528" s="289"/>
      <c r="C528" s="289"/>
      <c r="D528" s="289"/>
      <c r="E528" s="290"/>
      <c r="F528" s="290"/>
      <c r="G528" s="292"/>
      <c r="H528" s="292"/>
      <c r="I528" s="293"/>
      <c r="O528" s="69"/>
      <c r="P528" s="69"/>
      <c r="Q528" s="248"/>
      <c r="R528" s="247"/>
      <c r="S528" s="69"/>
      <c r="T528" s="162"/>
      <c r="U528" s="69"/>
    </row>
    <row r="529" spans="1:21">
      <c r="A529" s="289"/>
      <c r="B529" s="289"/>
      <c r="C529" s="289"/>
      <c r="D529" s="289"/>
      <c r="E529" s="290"/>
      <c r="F529" s="290"/>
      <c r="G529" s="292"/>
      <c r="H529" s="292"/>
      <c r="I529" s="293"/>
      <c r="O529" s="69"/>
      <c r="P529" s="69"/>
      <c r="Q529" s="248"/>
      <c r="R529" s="247"/>
      <c r="S529" s="69"/>
      <c r="T529" s="162"/>
      <c r="U529" s="69"/>
    </row>
    <row r="530" spans="1:21">
      <c r="A530" s="289"/>
      <c r="B530" s="289"/>
      <c r="C530" s="289"/>
      <c r="D530" s="289"/>
      <c r="E530" s="290"/>
      <c r="F530" s="290"/>
      <c r="G530" s="292"/>
      <c r="H530" s="292"/>
      <c r="I530" s="293"/>
      <c r="O530" s="69"/>
      <c r="P530" s="69"/>
      <c r="Q530" s="248"/>
      <c r="R530" s="247"/>
      <c r="S530" s="69"/>
      <c r="T530" s="162"/>
      <c r="U530" s="69"/>
    </row>
    <row r="531" spans="1:21">
      <c r="A531" s="289"/>
      <c r="B531" s="289"/>
      <c r="C531" s="289"/>
      <c r="D531" s="289"/>
      <c r="E531" s="290"/>
      <c r="F531" s="290"/>
      <c r="G531" s="292"/>
      <c r="H531" s="292"/>
      <c r="I531" s="293"/>
      <c r="O531" s="69"/>
      <c r="P531" s="69"/>
      <c r="Q531" s="248"/>
      <c r="R531" s="247"/>
      <c r="S531" s="69"/>
      <c r="T531" s="162"/>
      <c r="U531" s="69"/>
    </row>
    <row r="532" spans="1:21">
      <c r="A532" s="289"/>
      <c r="B532" s="289"/>
      <c r="C532" s="289"/>
      <c r="D532" s="289"/>
      <c r="E532" s="290"/>
      <c r="F532" s="290"/>
      <c r="G532" s="292"/>
      <c r="H532" s="292"/>
      <c r="I532" s="293"/>
      <c r="O532" s="69"/>
      <c r="P532" s="69"/>
      <c r="Q532" s="248"/>
      <c r="R532" s="247"/>
      <c r="S532" s="69"/>
      <c r="T532" s="162"/>
      <c r="U532" s="69"/>
    </row>
    <row r="533" spans="1:21">
      <c r="A533" s="289"/>
      <c r="B533" s="289"/>
      <c r="C533" s="289"/>
      <c r="D533" s="289"/>
      <c r="E533" s="290"/>
      <c r="F533" s="290"/>
      <c r="G533" s="292"/>
      <c r="H533" s="292"/>
      <c r="I533" s="293"/>
      <c r="O533" s="69"/>
      <c r="P533" s="69"/>
      <c r="Q533" s="248"/>
      <c r="R533" s="247"/>
      <c r="S533" s="69"/>
      <c r="T533" s="162"/>
      <c r="U533" s="69"/>
    </row>
    <row r="534" spans="1:21">
      <c r="A534" s="289"/>
      <c r="B534" s="289"/>
      <c r="C534" s="289"/>
      <c r="D534" s="289"/>
      <c r="E534" s="290"/>
      <c r="F534" s="290"/>
      <c r="G534" s="292"/>
      <c r="H534" s="292"/>
      <c r="I534" s="293"/>
      <c r="O534" s="69"/>
      <c r="P534" s="69"/>
      <c r="Q534" s="248"/>
      <c r="R534" s="247"/>
      <c r="S534" s="69"/>
      <c r="T534" s="162"/>
      <c r="U534" s="69"/>
    </row>
    <row r="535" spans="1:21">
      <c r="A535" s="289"/>
      <c r="B535" s="289"/>
      <c r="C535" s="289"/>
      <c r="D535" s="289"/>
      <c r="E535" s="290"/>
      <c r="F535" s="290"/>
      <c r="G535" s="292"/>
      <c r="H535" s="292"/>
      <c r="I535" s="293"/>
      <c r="O535" s="69"/>
      <c r="P535" s="69"/>
      <c r="Q535" s="248"/>
      <c r="R535" s="247"/>
      <c r="S535" s="69"/>
      <c r="T535" s="162"/>
      <c r="U535" s="69"/>
    </row>
    <row r="536" spans="1:21">
      <c r="A536" s="289"/>
      <c r="B536" s="289"/>
      <c r="C536" s="289"/>
      <c r="D536" s="289"/>
      <c r="E536" s="290"/>
      <c r="F536" s="290"/>
      <c r="G536" s="292"/>
      <c r="H536" s="292"/>
      <c r="I536" s="293"/>
      <c r="O536" s="69"/>
      <c r="P536" s="69"/>
      <c r="Q536" s="248"/>
      <c r="R536" s="247"/>
      <c r="S536" s="69"/>
      <c r="T536" s="162"/>
      <c r="U536" s="69"/>
    </row>
    <row r="537" spans="1:21">
      <c r="A537" s="289"/>
      <c r="B537" s="289"/>
      <c r="C537" s="289"/>
      <c r="D537" s="289"/>
      <c r="E537" s="290"/>
      <c r="F537" s="290"/>
      <c r="G537" s="292"/>
      <c r="H537" s="292"/>
      <c r="I537" s="293"/>
      <c r="O537" s="69"/>
      <c r="P537" s="69"/>
      <c r="Q537" s="248"/>
      <c r="R537" s="247"/>
      <c r="S537" s="69"/>
      <c r="T537" s="162"/>
      <c r="U537" s="69"/>
    </row>
    <row r="538" spans="1:21">
      <c r="A538" s="289"/>
      <c r="B538" s="289"/>
      <c r="C538" s="289"/>
      <c r="D538" s="289"/>
      <c r="E538" s="290"/>
      <c r="F538" s="290"/>
      <c r="G538" s="292"/>
      <c r="H538" s="292"/>
      <c r="I538" s="293"/>
      <c r="O538" s="69"/>
      <c r="P538" s="69"/>
      <c r="Q538" s="248"/>
      <c r="R538" s="247"/>
      <c r="S538" s="69"/>
      <c r="T538" s="162"/>
      <c r="U538" s="69"/>
    </row>
    <row r="539" spans="1:21">
      <c r="A539" s="289"/>
      <c r="B539" s="289"/>
      <c r="C539" s="289"/>
      <c r="D539" s="289"/>
      <c r="E539" s="290"/>
      <c r="F539" s="290"/>
      <c r="G539" s="292"/>
      <c r="H539" s="292"/>
      <c r="I539" s="293"/>
      <c r="O539" s="69"/>
      <c r="P539" s="69"/>
      <c r="Q539" s="248"/>
      <c r="R539" s="247"/>
      <c r="S539" s="69"/>
      <c r="T539" s="162"/>
      <c r="U539" s="69"/>
    </row>
    <row r="540" spans="1:21">
      <c r="A540" s="289"/>
      <c r="B540" s="289"/>
      <c r="C540" s="289"/>
      <c r="D540" s="289"/>
      <c r="E540" s="290"/>
      <c r="F540" s="290"/>
      <c r="G540" s="292"/>
      <c r="H540" s="292"/>
      <c r="I540" s="293"/>
      <c r="O540" s="69"/>
      <c r="P540" s="69"/>
      <c r="Q540" s="248"/>
      <c r="R540" s="247"/>
      <c r="S540" s="69"/>
      <c r="T540" s="162"/>
      <c r="U540" s="69"/>
    </row>
    <row r="541" spans="1:21">
      <c r="A541" s="289"/>
      <c r="B541" s="289"/>
      <c r="C541" s="289"/>
      <c r="D541" s="289"/>
      <c r="E541" s="290"/>
      <c r="F541" s="290"/>
      <c r="G541" s="292"/>
      <c r="H541" s="292"/>
      <c r="I541" s="293"/>
      <c r="O541" s="69"/>
      <c r="P541" s="69"/>
      <c r="Q541" s="248"/>
      <c r="R541" s="247"/>
      <c r="S541" s="69"/>
      <c r="T541" s="162"/>
      <c r="U541" s="69"/>
    </row>
    <row r="542" spans="1:21">
      <c r="A542" s="289"/>
      <c r="B542" s="289"/>
      <c r="C542" s="289"/>
      <c r="D542" s="289"/>
      <c r="E542" s="290"/>
      <c r="F542" s="290"/>
      <c r="G542" s="292"/>
      <c r="H542" s="292"/>
      <c r="I542" s="293"/>
      <c r="O542" s="69"/>
      <c r="P542" s="69"/>
      <c r="Q542" s="248"/>
      <c r="R542" s="247"/>
      <c r="S542" s="69"/>
      <c r="T542" s="162"/>
      <c r="U542" s="69"/>
    </row>
    <row r="543" spans="1:21">
      <c r="A543" s="289"/>
      <c r="B543" s="289"/>
      <c r="C543" s="289"/>
      <c r="D543" s="289"/>
      <c r="E543" s="290"/>
      <c r="F543" s="290"/>
      <c r="G543" s="292"/>
      <c r="H543" s="292"/>
      <c r="I543" s="293"/>
      <c r="O543" s="69"/>
      <c r="P543" s="69"/>
      <c r="Q543" s="248"/>
      <c r="R543" s="247"/>
      <c r="S543" s="69"/>
      <c r="T543" s="162"/>
      <c r="U543" s="69"/>
    </row>
    <row r="544" spans="1:21">
      <c r="A544" s="289"/>
      <c r="B544" s="289"/>
      <c r="C544" s="289"/>
      <c r="D544" s="289"/>
      <c r="E544" s="290"/>
      <c r="F544" s="290"/>
      <c r="G544" s="292"/>
      <c r="H544" s="292"/>
      <c r="I544" s="293"/>
      <c r="O544" s="69"/>
      <c r="P544" s="69"/>
      <c r="Q544" s="248"/>
      <c r="R544" s="247"/>
      <c r="S544" s="69"/>
      <c r="T544" s="162"/>
      <c r="U544" s="69"/>
    </row>
    <row r="545" spans="1:21">
      <c r="A545" s="289"/>
      <c r="B545" s="289"/>
      <c r="C545" s="289"/>
      <c r="D545" s="289"/>
      <c r="E545" s="290"/>
      <c r="F545" s="290"/>
      <c r="G545" s="292"/>
      <c r="H545" s="292"/>
      <c r="I545" s="293"/>
      <c r="O545" s="69"/>
      <c r="P545" s="69"/>
      <c r="Q545" s="248"/>
      <c r="R545" s="247"/>
      <c r="S545" s="69"/>
      <c r="T545" s="162"/>
      <c r="U545" s="69"/>
    </row>
    <row r="546" spans="1:21">
      <c r="A546" s="289"/>
      <c r="B546" s="289"/>
      <c r="C546" s="289"/>
      <c r="D546" s="289"/>
      <c r="E546" s="290"/>
      <c r="F546" s="290"/>
      <c r="G546" s="292"/>
      <c r="H546" s="292"/>
      <c r="I546" s="293"/>
      <c r="O546" s="69"/>
      <c r="P546" s="69"/>
      <c r="Q546" s="248"/>
      <c r="R546" s="247"/>
      <c r="S546" s="69"/>
      <c r="T546" s="162"/>
      <c r="U546" s="69"/>
    </row>
    <row r="547" spans="1:21">
      <c r="A547" s="289"/>
      <c r="B547" s="289"/>
      <c r="C547" s="289"/>
      <c r="D547" s="289"/>
      <c r="E547" s="290"/>
      <c r="F547" s="290"/>
      <c r="G547" s="292"/>
      <c r="H547" s="292"/>
      <c r="I547" s="293"/>
      <c r="O547" s="69"/>
      <c r="P547" s="69"/>
      <c r="Q547" s="248"/>
      <c r="R547" s="247"/>
      <c r="S547" s="69"/>
      <c r="T547" s="162"/>
      <c r="U547" s="69"/>
    </row>
    <row r="548" spans="1:21">
      <c r="A548" s="289"/>
      <c r="B548" s="289"/>
      <c r="C548" s="289"/>
      <c r="D548" s="289"/>
      <c r="E548" s="290"/>
      <c r="F548" s="290"/>
      <c r="G548" s="292"/>
      <c r="H548" s="292"/>
      <c r="I548" s="293"/>
      <c r="O548" s="69"/>
      <c r="P548" s="69"/>
      <c r="Q548" s="248"/>
      <c r="R548" s="247"/>
      <c r="S548" s="69"/>
      <c r="T548" s="162"/>
      <c r="U548" s="69"/>
    </row>
    <row r="549" spans="1:21">
      <c r="A549" s="289"/>
      <c r="B549" s="289"/>
      <c r="C549" s="289"/>
      <c r="D549" s="289"/>
      <c r="E549" s="290"/>
      <c r="F549" s="290"/>
      <c r="G549" s="292"/>
      <c r="H549" s="292"/>
      <c r="I549" s="293"/>
      <c r="O549" s="69"/>
      <c r="P549" s="69"/>
      <c r="Q549" s="248"/>
      <c r="R549" s="247"/>
      <c r="S549" s="69"/>
      <c r="T549" s="162"/>
      <c r="U549" s="69"/>
    </row>
    <row r="550" spans="1:21">
      <c r="A550" s="289"/>
      <c r="B550" s="289"/>
      <c r="C550" s="289"/>
      <c r="D550" s="289"/>
      <c r="E550" s="290"/>
      <c r="F550" s="290"/>
      <c r="G550" s="292"/>
      <c r="H550" s="292"/>
      <c r="I550" s="293"/>
      <c r="O550" s="69"/>
      <c r="P550" s="69"/>
      <c r="Q550" s="248"/>
      <c r="R550" s="247"/>
      <c r="S550" s="69"/>
      <c r="T550" s="162"/>
      <c r="U550" s="69"/>
    </row>
    <row r="551" spans="1:21">
      <c r="A551" s="289"/>
      <c r="B551" s="289"/>
      <c r="C551" s="289"/>
      <c r="D551" s="289"/>
      <c r="E551" s="290"/>
      <c r="F551" s="290"/>
      <c r="G551" s="292"/>
      <c r="H551" s="292"/>
      <c r="I551" s="293"/>
      <c r="O551" s="69"/>
      <c r="P551" s="69"/>
      <c r="Q551" s="248"/>
      <c r="R551" s="247"/>
      <c r="S551" s="69"/>
      <c r="T551" s="162"/>
      <c r="U551" s="69"/>
    </row>
    <row r="552" spans="1:21">
      <c r="A552" s="289"/>
      <c r="B552" s="289"/>
      <c r="C552" s="289"/>
      <c r="D552" s="289"/>
      <c r="E552" s="290"/>
      <c r="F552" s="290"/>
      <c r="G552" s="292"/>
      <c r="H552" s="292"/>
      <c r="I552" s="293"/>
      <c r="O552" s="69"/>
      <c r="P552" s="69"/>
      <c r="Q552" s="248"/>
      <c r="R552" s="247"/>
      <c r="S552" s="69"/>
      <c r="T552" s="162"/>
      <c r="U552" s="69"/>
    </row>
    <row r="553" spans="1:21">
      <c r="A553" s="289"/>
      <c r="B553" s="289"/>
      <c r="C553" s="289"/>
      <c r="D553" s="289"/>
      <c r="E553" s="290"/>
      <c r="F553" s="290"/>
      <c r="G553" s="292"/>
      <c r="H553" s="292"/>
      <c r="I553" s="293"/>
      <c r="O553" s="69"/>
      <c r="P553" s="69"/>
      <c r="Q553" s="248"/>
      <c r="R553" s="247"/>
      <c r="S553" s="69"/>
      <c r="T553" s="162"/>
      <c r="U553" s="69"/>
    </row>
    <row r="554" spans="1:21">
      <c r="A554" s="289"/>
      <c r="B554" s="289"/>
      <c r="C554" s="289"/>
      <c r="D554" s="289"/>
      <c r="E554" s="290"/>
      <c r="F554" s="290"/>
      <c r="G554" s="292"/>
      <c r="H554" s="292"/>
      <c r="I554" s="293"/>
      <c r="O554" s="69"/>
      <c r="P554" s="69"/>
      <c r="Q554" s="248"/>
      <c r="R554" s="247"/>
      <c r="S554" s="69"/>
      <c r="T554" s="162"/>
      <c r="U554" s="69"/>
    </row>
    <row r="555" spans="1:21">
      <c r="A555" s="289"/>
      <c r="B555" s="289"/>
      <c r="C555" s="289"/>
      <c r="D555" s="289"/>
      <c r="E555" s="290"/>
      <c r="F555" s="290"/>
      <c r="G555" s="292"/>
      <c r="H555" s="292"/>
      <c r="I555" s="293"/>
      <c r="O555" s="69"/>
      <c r="P555" s="69"/>
      <c r="Q555" s="248"/>
      <c r="R555" s="247"/>
      <c r="S555" s="69"/>
      <c r="T555" s="162"/>
      <c r="U555" s="69"/>
    </row>
    <row r="556" spans="1:21">
      <c r="A556" s="289"/>
      <c r="B556" s="289"/>
      <c r="C556" s="289"/>
      <c r="D556" s="289"/>
      <c r="E556" s="290"/>
      <c r="F556" s="290"/>
      <c r="G556" s="292"/>
      <c r="H556" s="292"/>
      <c r="I556" s="293"/>
      <c r="O556" s="69"/>
      <c r="P556" s="69"/>
      <c r="Q556" s="248"/>
      <c r="R556" s="247"/>
      <c r="S556" s="69"/>
      <c r="T556" s="162"/>
      <c r="U556" s="69"/>
    </row>
    <row r="557" spans="1:21">
      <c r="A557" s="289"/>
      <c r="B557" s="289"/>
      <c r="C557" s="289"/>
      <c r="D557" s="289"/>
      <c r="E557" s="290"/>
      <c r="F557" s="290"/>
      <c r="G557" s="292"/>
      <c r="H557" s="292"/>
      <c r="I557" s="293"/>
      <c r="O557" s="69"/>
      <c r="P557" s="69"/>
      <c r="Q557" s="248"/>
      <c r="R557" s="247"/>
      <c r="S557" s="69"/>
      <c r="T557" s="162"/>
      <c r="U557" s="69"/>
    </row>
    <row r="558" spans="1:21">
      <c r="A558" s="289"/>
      <c r="B558" s="289"/>
      <c r="C558" s="289"/>
      <c r="D558" s="289"/>
      <c r="E558" s="290"/>
      <c r="F558" s="290"/>
      <c r="G558" s="292"/>
      <c r="H558" s="292"/>
      <c r="I558" s="293"/>
      <c r="O558" s="69"/>
      <c r="P558" s="69"/>
      <c r="Q558" s="248"/>
      <c r="R558" s="247"/>
      <c r="S558" s="69"/>
      <c r="T558" s="162"/>
      <c r="U558" s="69"/>
    </row>
    <row r="559" spans="1:21">
      <c r="A559" s="289"/>
      <c r="B559" s="289"/>
      <c r="C559" s="289"/>
      <c r="D559" s="289"/>
      <c r="E559" s="290"/>
      <c r="F559" s="290"/>
      <c r="G559" s="292"/>
      <c r="H559" s="292"/>
      <c r="I559" s="293"/>
      <c r="O559" s="69"/>
      <c r="P559" s="69"/>
      <c r="Q559" s="248"/>
      <c r="R559" s="247"/>
      <c r="S559" s="69"/>
      <c r="T559" s="162"/>
      <c r="U559" s="69"/>
    </row>
    <row r="560" spans="1:21">
      <c r="A560" s="289"/>
      <c r="B560" s="289"/>
      <c r="C560" s="289"/>
      <c r="D560" s="289"/>
      <c r="E560" s="290"/>
      <c r="F560" s="290"/>
      <c r="G560" s="292"/>
      <c r="H560" s="292"/>
      <c r="I560" s="293"/>
      <c r="O560" s="69"/>
      <c r="P560" s="69"/>
      <c r="Q560" s="248"/>
      <c r="R560" s="247"/>
      <c r="S560" s="69"/>
      <c r="T560" s="162"/>
      <c r="U560" s="69"/>
    </row>
    <row r="561" spans="1:21">
      <c r="A561" s="289"/>
      <c r="B561" s="289"/>
      <c r="C561" s="289"/>
      <c r="D561" s="289"/>
      <c r="E561" s="290"/>
      <c r="F561" s="290"/>
      <c r="G561" s="292"/>
      <c r="H561" s="292"/>
      <c r="I561" s="293"/>
      <c r="O561" s="69"/>
      <c r="P561" s="69"/>
      <c r="Q561" s="248"/>
      <c r="R561" s="247"/>
      <c r="S561" s="69"/>
      <c r="T561" s="162"/>
      <c r="U561" s="69"/>
    </row>
    <row r="562" spans="1:21">
      <c r="A562" s="289"/>
      <c r="B562" s="289"/>
      <c r="C562" s="289"/>
      <c r="D562" s="289"/>
      <c r="E562" s="290"/>
      <c r="F562" s="290"/>
      <c r="G562" s="292"/>
      <c r="H562" s="292"/>
      <c r="I562" s="293"/>
      <c r="O562" s="69"/>
      <c r="P562" s="69"/>
      <c r="Q562" s="248"/>
      <c r="R562" s="247"/>
      <c r="S562" s="69"/>
      <c r="T562" s="162"/>
      <c r="U562" s="69"/>
    </row>
    <row r="563" spans="1:21">
      <c r="A563" s="289"/>
      <c r="B563" s="289"/>
      <c r="C563" s="289"/>
      <c r="D563" s="289"/>
      <c r="E563" s="290"/>
      <c r="F563" s="290"/>
      <c r="G563" s="292"/>
      <c r="H563" s="292"/>
      <c r="I563" s="293"/>
      <c r="O563" s="69"/>
      <c r="P563" s="69"/>
      <c r="Q563" s="248"/>
      <c r="R563" s="247"/>
      <c r="S563" s="69"/>
      <c r="T563" s="162"/>
      <c r="U563" s="69"/>
    </row>
    <row r="564" spans="1:21">
      <c r="A564" s="289"/>
      <c r="B564" s="289"/>
      <c r="C564" s="289"/>
      <c r="D564" s="289"/>
      <c r="E564" s="290"/>
      <c r="F564" s="290"/>
      <c r="G564" s="292"/>
      <c r="H564" s="292"/>
      <c r="I564" s="293"/>
      <c r="O564" s="69"/>
      <c r="P564" s="69"/>
      <c r="Q564" s="248"/>
      <c r="R564" s="247"/>
      <c r="S564" s="69"/>
      <c r="T564" s="162"/>
      <c r="U564" s="69"/>
    </row>
    <row r="565" spans="1:21">
      <c r="A565" s="289"/>
      <c r="B565" s="289"/>
      <c r="C565" s="289"/>
      <c r="D565" s="289"/>
      <c r="E565" s="290"/>
      <c r="F565" s="290"/>
      <c r="G565" s="292"/>
      <c r="H565" s="292"/>
      <c r="I565" s="293"/>
      <c r="O565" s="69"/>
      <c r="P565" s="69"/>
      <c r="Q565" s="248"/>
      <c r="R565" s="247"/>
      <c r="S565" s="69"/>
      <c r="T565" s="162"/>
      <c r="U565" s="69"/>
    </row>
    <row r="566" spans="1:21">
      <c r="A566" s="289"/>
      <c r="B566" s="289"/>
      <c r="C566" s="289"/>
      <c r="D566" s="289"/>
      <c r="E566" s="290"/>
      <c r="F566" s="290"/>
      <c r="G566" s="292"/>
      <c r="H566" s="292"/>
      <c r="I566" s="293"/>
      <c r="O566" s="69"/>
      <c r="P566" s="69"/>
      <c r="Q566" s="248"/>
      <c r="R566" s="247"/>
      <c r="S566" s="69"/>
      <c r="T566" s="162"/>
      <c r="U566" s="69"/>
    </row>
    <row r="567" spans="1:21">
      <c r="A567" s="289"/>
      <c r="B567" s="289"/>
      <c r="C567" s="289"/>
      <c r="D567" s="289"/>
      <c r="E567" s="290"/>
      <c r="F567" s="290"/>
      <c r="G567" s="292"/>
      <c r="H567" s="292"/>
      <c r="I567" s="293"/>
      <c r="O567" s="69"/>
      <c r="P567" s="69"/>
      <c r="Q567" s="248"/>
      <c r="R567" s="247"/>
      <c r="S567" s="69"/>
      <c r="T567" s="162"/>
      <c r="U567" s="69"/>
    </row>
    <row r="568" spans="1:21">
      <c r="A568" s="289"/>
      <c r="B568" s="289"/>
      <c r="C568" s="289"/>
      <c r="D568" s="289"/>
      <c r="E568" s="290"/>
      <c r="F568" s="290"/>
      <c r="G568" s="292"/>
      <c r="H568" s="292"/>
      <c r="I568" s="293"/>
      <c r="O568" s="69"/>
      <c r="P568" s="69"/>
      <c r="Q568" s="248"/>
      <c r="R568" s="247"/>
      <c r="S568" s="69"/>
      <c r="T568" s="162"/>
      <c r="U568" s="69"/>
    </row>
    <row r="569" spans="1:21">
      <c r="A569" s="289"/>
      <c r="B569" s="289"/>
      <c r="C569" s="289"/>
      <c r="D569" s="289"/>
      <c r="E569" s="290"/>
      <c r="F569" s="290"/>
      <c r="G569" s="292"/>
      <c r="H569" s="292"/>
      <c r="I569" s="293"/>
      <c r="O569" s="69"/>
      <c r="P569" s="69"/>
      <c r="Q569" s="248"/>
      <c r="R569" s="247"/>
      <c r="S569" s="69"/>
      <c r="T569" s="162"/>
      <c r="U569" s="69"/>
    </row>
    <row r="570" spans="1:21">
      <c r="A570" s="289"/>
      <c r="B570" s="289"/>
      <c r="C570" s="289"/>
      <c r="D570" s="289"/>
      <c r="E570" s="290"/>
      <c r="F570" s="290"/>
      <c r="G570" s="292"/>
      <c r="H570" s="292"/>
      <c r="I570" s="293"/>
      <c r="O570" s="69"/>
      <c r="P570" s="69"/>
      <c r="Q570" s="248"/>
      <c r="R570" s="247"/>
      <c r="S570" s="69"/>
      <c r="T570" s="162"/>
      <c r="U570" s="69"/>
    </row>
    <row r="571" spans="1:21">
      <c r="A571" s="289"/>
      <c r="B571" s="289"/>
      <c r="C571" s="289"/>
      <c r="D571" s="289"/>
      <c r="E571" s="290"/>
      <c r="F571" s="290"/>
      <c r="G571" s="292"/>
      <c r="H571" s="292"/>
      <c r="I571" s="293"/>
      <c r="O571" s="69"/>
      <c r="P571" s="69"/>
      <c r="Q571" s="248"/>
      <c r="R571" s="247"/>
      <c r="S571" s="69"/>
      <c r="T571" s="162"/>
      <c r="U571" s="69"/>
    </row>
    <row r="572" spans="1:21">
      <c r="A572" s="289"/>
      <c r="B572" s="289"/>
      <c r="C572" s="289"/>
      <c r="D572" s="289"/>
      <c r="E572" s="290"/>
      <c r="F572" s="290"/>
      <c r="G572" s="292"/>
      <c r="H572" s="292"/>
      <c r="I572" s="293"/>
      <c r="O572" s="69"/>
      <c r="P572" s="69"/>
      <c r="Q572" s="248"/>
      <c r="R572" s="247"/>
      <c r="S572" s="69"/>
      <c r="T572" s="162"/>
      <c r="U572" s="69"/>
    </row>
    <row r="573" spans="1:21">
      <c r="A573" s="289"/>
      <c r="B573" s="289"/>
      <c r="C573" s="289"/>
      <c r="D573" s="289"/>
      <c r="E573" s="290"/>
      <c r="F573" s="290"/>
      <c r="G573" s="292"/>
      <c r="H573" s="292"/>
      <c r="I573" s="293"/>
      <c r="O573" s="69"/>
      <c r="P573" s="69"/>
      <c r="Q573" s="248"/>
      <c r="R573" s="247"/>
      <c r="S573" s="69"/>
      <c r="T573" s="162"/>
      <c r="U573" s="69"/>
    </row>
    <row r="574" spans="1:21">
      <c r="A574" s="289"/>
      <c r="B574" s="289"/>
      <c r="C574" s="289"/>
      <c r="D574" s="289"/>
      <c r="E574" s="290"/>
      <c r="F574" s="290"/>
      <c r="G574" s="292"/>
      <c r="H574" s="292"/>
      <c r="I574" s="293"/>
      <c r="O574" s="69"/>
      <c r="P574" s="69"/>
      <c r="Q574" s="248"/>
      <c r="R574" s="247"/>
      <c r="S574" s="69"/>
      <c r="T574" s="162"/>
      <c r="U574" s="69"/>
    </row>
    <row r="575" spans="1:21">
      <c r="A575" s="289"/>
      <c r="B575" s="289"/>
      <c r="C575" s="289"/>
      <c r="D575" s="289"/>
      <c r="E575" s="290"/>
      <c r="F575" s="290"/>
      <c r="G575" s="292"/>
      <c r="H575" s="292"/>
      <c r="I575" s="293"/>
      <c r="O575" s="69"/>
      <c r="P575" s="69"/>
      <c r="Q575" s="248"/>
      <c r="R575" s="247"/>
      <c r="S575" s="69"/>
      <c r="T575" s="162"/>
      <c r="U575" s="69"/>
    </row>
    <row r="576" spans="1:21">
      <c r="A576" s="289"/>
      <c r="B576" s="289"/>
      <c r="C576" s="289"/>
      <c r="D576" s="289"/>
      <c r="E576" s="290"/>
      <c r="F576" s="290"/>
      <c r="G576" s="292"/>
      <c r="H576" s="292"/>
      <c r="I576" s="293"/>
      <c r="O576" s="69"/>
      <c r="P576" s="69"/>
      <c r="Q576" s="248"/>
      <c r="R576" s="247"/>
      <c r="S576" s="69"/>
      <c r="T576" s="162"/>
      <c r="U576" s="69"/>
    </row>
    <row r="577" spans="1:21">
      <c r="A577" s="289"/>
      <c r="B577" s="289"/>
      <c r="C577" s="289"/>
      <c r="D577" s="289"/>
      <c r="E577" s="290"/>
      <c r="F577" s="290"/>
      <c r="G577" s="292"/>
      <c r="H577" s="292"/>
      <c r="I577" s="293"/>
      <c r="O577" s="69"/>
      <c r="P577" s="69"/>
      <c r="Q577" s="248"/>
      <c r="R577" s="247"/>
      <c r="S577" s="69"/>
      <c r="T577" s="162"/>
      <c r="U577" s="69"/>
    </row>
    <row r="578" spans="1:21">
      <c r="A578" s="289"/>
      <c r="B578" s="289"/>
      <c r="C578" s="289"/>
      <c r="D578" s="289"/>
      <c r="E578" s="290"/>
      <c r="F578" s="290"/>
      <c r="G578" s="292"/>
      <c r="H578" s="292"/>
      <c r="I578" s="293"/>
      <c r="O578" s="69"/>
      <c r="P578" s="69"/>
      <c r="Q578" s="248"/>
      <c r="R578" s="247"/>
      <c r="S578" s="69"/>
      <c r="T578" s="162"/>
      <c r="U578" s="69"/>
    </row>
    <row r="579" spans="1:21">
      <c r="A579" s="289"/>
      <c r="B579" s="289"/>
      <c r="C579" s="289"/>
      <c r="D579" s="289"/>
      <c r="E579" s="290"/>
      <c r="F579" s="290"/>
      <c r="G579" s="292"/>
      <c r="H579" s="292"/>
      <c r="I579" s="293"/>
      <c r="O579" s="69"/>
      <c r="P579" s="69"/>
      <c r="Q579" s="248"/>
      <c r="R579" s="247"/>
      <c r="S579" s="69"/>
      <c r="T579" s="162"/>
      <c r="U579" s="69"/>
    </row>
    <row r="580" spans="1:21">
      <c r="A580" s="289"/>
      <c r="B580" s="289"/>
      <c r="C580" s="289"/>
      <c r="D580" s="289"/>
      <c r="E580" s="290"/>
      <c r="F580" s="290"/>
      <c r="G580" s="292"/>
      <c r="H580" s="292"/>
      <c r="I580" s="293"/>
      <c r="O580" s="69"/>
      <c r="P580" s="69"/>
      <c r="Q580" s="248"/>
      <c r="R580" s="247"/>
      <c r="S580" s="69"/>
      <c r="T580" s="162"/>
      <c r="U580" s="69"/>
    </row>
    <row r="581" spans="1:21">
      <c r="A581" s="289"/>
      <c r="B581" s="289"/>
      <c r="C581" s="289"/>
      <c r="D581" s="289"/>
      <c r="E581" s="290"/>
      <c r="F581" s="290"/>
      <c r="G581" s="292"/>
      <c r="H581" s="292"/>
      <c r="I581" s="293"/>
      <c r="O581" s="69"/>
      <c r="P581" s="69"/>
      <c r="Q581" s="248"/>
      <c r="R581" s="247"/>
      <c r="S581" s="69"/>
      <c r="T581" s="162"/>
      <c r="U581" s="69"/>
    </row>
    <row r="582" spans="1:21">
      <c r="A582" s="289"/>
      <c r="B582" s="289"/>
      <c r="C582" s="289"/>
      <c r="D582" s="289"/>
      <c r="E582" s="290"/>
      <c r="F582" s="290"/>
      <c r="G582" s="292"/>
      <c r="H582" s="292"/>
      <c r="I582" s="293"/>
      <c r="O582" s="69"/>
      <c r="P582" s="69"/>
      <c r="Q582" s="248"/>
      <c r="R582" s="247"/>
      <c r="S582" s="69"/>
      <c r="T582" s="162"/>
      <c r="U582" s="69"/>
    </row>
    <row r="583" spans="1:21">
      <c r="A583" s="289"/>
      <c r="B583" s="289"/>
      <c r="C583" s="289"/>
      <c r="D583" s="289"/>
      <c r="E583" s="290"/>
      <c r="F583" s="290"/>
      <c r="G583" s="292"/>
      <c r="H583" s="292"/>
      <c r="I583" s="293"/>
      <c r="O583" s="69"/>
      <c r="P583" s="69"/>
      <c r="Q583" s="248"/>
      <c r="R583" s="247"/>
      <c r="S583" s="69"/>
      <c r="T583" s="162"/>
      <c r="U583" s="69"/>
    </row>
    <row r="584" spans="1:21">
      <c r="A584" s="289"/>
      <c r="B584" s="289"/>
      <c r="C584" s="289"/>
      <c r="D584" s="289"/>
      <c r="E584" s="290"/>
      <c r="F584" s="290"/>
      <c r="G584" s="292"/>
      <c r="H584" s="292"/>
      <c r="I584" s="293"/>
      <c r="O584" s="69"/>
      <c r="P584" s="69"/>
      <c r="Q584" s="248"/>
      <c r="R584" s="247"/>
      <c r="S584" s="69"/>
      <c r="T584" s="162"/>
      <c r="U584" s="69"/>
    </row>
    <row r="585" spans="1:21">
      <c r="A585" s="289"/>
      <c r="B585" s="289"/>
      <c r="C585" s="289"/>
      <c r="D585" s="289"/>
      <c r="E585" s="290"/>
      <c r="F585" s="290"/>
      <c r="G585" s="292"/>
      <c r="H585" s="292"/>
      <c r="I585" s="293"/>
      <c r="O585" s="69"/>
      <c r="P585" s="69"/>
      <c r="Q585" s="248"/>
      <c r="R585" s="247"/>
      <c r="S585" s="69"/>
      <c r="T585" s="162"/>
      <c r="U585" s="69"/>
    </row>
    <row r="586" spans="1:21">
      <c r="A586" s="289"/>
      <c r="B586" s="289"/>
      <c r="C586" s="289"/>
      <c r="D586" s="289"/>
      <c r="E586" s="290"/>
      <c r="F586" s="290"/>
      <c r="G586" s="292"/>
      <c r="H586" s="292"/>
      <c r="I586" s="293"/>
      <c r="O586" s="69"/>
      <c r="P586" s="69"/>
      <c r="Q586" s="248"/>
      <c r="R586" s="247"/>
      <c r="S586" s="69"/>
      <c r="T586" s="162"/>
      <c r="U586" s="69"/>
    </row>
    <row r="587" spans="1:21">
      <c r="A587" s="289"/>
      <c r="B587" s="289"/>
      <c r="C587" s="289"/>
      <c r="D587" s="289"/>
      <c r="E587" s="290"/>
      <c r="F587" s="290"/>
      <c r="G587" s="292"/>
      <c r="H587" s="292"/>
      <c r="I587" s="293"/>
      <c r="O587" s="69"/>
      <c r="P587" s="69"/>
      <c r="Q587" s="248"/>
      <c r="R587" s="247"/>
      <c r="S587" s="69"/>
      <c r="T587" s="162"/>
      <c r="U587" s="69"/>
    </row>
    <row r="588" spans="1:21">
      <c r="A588" s="289"/>
      <c r="B588" s="289"/>
      <c r="C588" s="289"/>
      <c r="D588" s="289"/>
      <c r="E588" s="290"/>
      <c r="F588" s="290"/>
      <c r="G588" s="292"/>
      <c r="H588" s="292"/>
      <c r="I588" s="293"/>
      <c r="O588" s="69"/>
      <c r="P588" s="69"/>
      <c r="Q588" s="248"/>
      <c r="R588" s="247"/>
      <c r="S588" s="69"/>
      <c r="T588" s="162"/>
      <c r="U588" s="69"/>
    </row>
    <row r="589" spans="1:21">
      <c r="A589" s="289"/>
      <c r="B589" s="289"/>
      <c r="C589" s="289"/>
      <c r="D589" s="289"/>
      <c r="E589" s="290"/>
      <c r="F589" s="290"/>
      <c r="G589" s="292"/>
      <c r="H589" s="292"/>
      <c r="I589" s="293"/>
      <c r="O589" s="69"/>
      <c r="P589" s="69"/>
      <c r="Q589" s="248"/>
      <c r="R589" s="247"/>
      <c r="S589" s="69"/>
      <c r="T589" s="162"/>
      <c r="U589" s="69"/>
    </row>
    <row r="590" spans="1:21">
      <c r="A590" s="289"/>
      <c r="B590" s="289"/>
      <c r="C590" s="289"/>
      <c r="D590" s="289"/>
      <c r="E590" s="290"/>
      <c r="F590" s="290"/>
      <c r="G590" s="292"/>
      <c r="H590" s="292"/>
      <c r="I590" s="293"/>
      <c r="O590" s="69"/>
      <c r="P590" s="69"/>
      <c r="Q590" s="248"/>
      <c r="R590" s="247"/>
      <c r="S590" s="69"/>
      <c r="T590" s="162"/>
      <c r="U590" s="69"/>
    </row>
    <row r="591" spans="1:21">
      <c r="A591" s="289"/>
      <c r="B591" s="289"/>
      <c r="C591" s="289"/>
      <c r="D591" s="289"/>
      <c r="E591" s="290"/>
      <c r="F591" s="290"/>
      <c r="G591" s="292"/>
      <c r="H591" s="292"/>
      <c r="I591" s="293"/>
      <c r="O591" s="69"/>
      <c r="P591" s="69"/>
      <c r="Q591" s="248"/>
      <c r="R591" s="247"/>
      <c r="S591" s="69"/>
      <c r="T591" s="162"/>
      <c r="U591" s="69"/>
    </row>
    <row r="592" spans="1:21">
      <c r="A592" s="289"/>
      <c r="B592" s="289"/>
      <c r="C592" s="289"/>
      <c r="D592" s="289"/>
      <c r="E592" s="290"/>
      <c r="F592" s="290"/>
      <c r="G592" s="292"/>
      <c r="H592" s="292"/>
      <c r="I592" s="293"/>
      <c r="O592" s="69"/>
      <c r="P592" s="69"/>
      <c r="Q592" s="248"/>
      <c r="R592" s="247"/>
      <c r="S592" s="69"/>
      <c r="T592" s="162"/>
      <c r="U592" s="69"/>
    </row>
    <row r="593" spans="1:21">
      <c r="A593" s="289"/>
      <c r="B593" s="289"/>
      <c r="C593" s="289"/>
      <c r="D593" s="289"/>
      <c r="E593" s="290"/>
      <c r="F593" s="290"/>
      <c r="G593" s="292"/>
      <c r="H593" s="292"/>
      <c r="I593" s="293"/>
      <c r="O593" s="69"/>
      <c r="P593" s="69"/>
      <c r="Q593" s="248"/>
      <c r="R593" s="247"/>
      <c r="S593" s="69"/>
      <c r="T593" s="162"/>
      <c r="U593" s="69"/>
    </row>
    <row r="594" spans="1:21">
      <c r="A594" s="289"/>
      <c r="B594" s="289"/>
      <c r="C594" s="289"/>
      <c r="D594" s="289"/>
      <c r="E594" s="290"/>
      <c r="F594" s="290"/>
      <c r="G594" s="292"/>
      <c r="H594" s="292"/>
      <c r="I594" s="293"/>
      <c r="O594" s="69"/>
      <c r="P594" s="69"/>
      <c r="Q594" s="248"/>
      <c r="R594" s="247"/>
      <c r="S594" s="69"/>
      <c r="T594" s="162"/>
      <c r="U594" s="69"/>
    </row>
    <row r="595" spans="1:21">
      <c r="A595" s="289"/>
      <c r="B595" s="289"/>
      <c r="C595" s="289"/>
      <c r="D595" s="289"/>
      <c r="E595" s="290"/>
      <c r="F595" s="290"/>
      <c r="G595" s="292"/>
      <c r="H595" s="292"/>
      <c r="I595" s="293"/>
      <c r="O595" s="69"/>
      <c r="P595" s="69"/>
      <c r="Q595" s="248"/>
      <c r="R595" s="247"/>
      <c r="S595" s="69"/>
      <c r="T595" s="162"/>
      <c r="U595" s="69"/>
    </row>
    <row r="596" spans="1:21">
      <c r="A596" s="289"/>
      <c r="B596" s="289"/>
      <c r="C596" s="289"/>
      <c r="D596" s="289"/>
      <c r="E596" s="290"/>
      <c r="F596" s="290"/>
      <c r="G596" s="292"/>
      <c r="H596" s="292"/>
      <c r="I596" s="293"/>
      <c r="O596" s="69"/>
      <c r="P596" s="69"/>
      <c r="Q596" s="248"/>
      <c r="R596" s="247"/>
      <c r="S596" s="69"/>
      <c r="T596" s="162"/>
      <c r="U596" s="69"/>
    </row>
    <row r="597" spans="1:21">
      <c r="A597" s="289"/>
      <c r="B597" s="289"/>
      <c r="C597" s="289"/>
      <c r="D597" s="289"/>
      <c r="E597" s="290"/>
      <c r="F597" s="290"/>
      <c r="G597" s="292"/>
      <c r="H597" s="292"/>
      <c r="I597" s="293"/>
      <c r="O597" s="69"/>
      <c r="P597" s="69"/>
      <c r="Q597" s="248"/>
      <c r="R597" s="247"/>
      <c r="S597" s="69"/>
      <c r="T597" s="162"/>
      <c r="U597" s="69"/>
    </row>
    <row r="598" spans="1:21">
      <c r="A598" s="289"/>
      <c r="B598" s="289"/>
      <c r="C598" s="289"/>
      <c r="D598" s="289"/>
      <c r="E598" s="290"/>
      <c r="F598" s="290"/>
      <c r="G598" s="292"/>
      <c r="H598" s="292"/>
      <c r="I598" s="293"/>
      <c r="O598" s="69"/>
      <c r="P598" s="69"/>
      <c r="Q598" s="248"/>
      <c r="R598" s="247"/>
      <c r="S598" s="69"/>
      <c r="T598" s="162"/>
      <c r="U598" s="69"/>
    </row>
    <row r="599" spans="1:21">
      <c r="A599" s="289"/>
      <c r="B599" s="289"/>
      <c r="C599" s="289"/>
      <c r="D599" s="289"/>
      <c r="E599" s="290"/>
      <c r="F599" s="290"/>
      <c r="G599" s="292"/>
      <c r="H599" s="292"/>
      <c r="I599" s="293"/>
      <c r="O599" s="69"/>
      <c r="P599" s="69"/>
      <c r="Q599" s="248"/>
      <c r="R599" s="247"/>
      <c r="S599" s="69"/>
      <c r="T599" s="162"/>
      <c r="U599" s="69"/>
    </row>
    <row r="600" spans="1:21">
      <c r="A600" s="289"/>
      <c r="B600" s="289"/>
      <c r="C600" s="289"/>
      <c r="D600" s="289"/>
      <c r="E600" s="290"/>
      <c r="F600" s="290"/>
      <c r="G600" s="292"/>
      <c r="H600" s="292"/>
      <c r="I600" s="293"/>
      <c r="O600" s="69"/>
      <c r="P600" s="69"/>
      <c r="Q600" s="248"/>
      <c r="R600" s="247"/>
      <c r="S600" s="69"/>
      <c r="T600" s="162"/>
      <c r="U600" s="69"/>
    </row>
    <row r="601" spans="1:21">
      <c r="A601" s="289"/>
      <c r="B601" s="289"/>
      <c r="C601" s="289"/>
      <c r="D601" s="289"/>
      <c r="E601" s="290"/>
      <c r="F601" s="290"/>
      <c r="G601" s="292"/>
      <c r="H601" s="292"/>
      <c r="I601" s="293"/>
      <c r="O601" s="69"/>
      <c r="P601" s="69"/>
      <c r="Q601" s="248"/>
      <c r="R601" s="247"/>
      <c r="S601" s="69"/>
      <c r="T601" s="162"/>
      <c r="U601" s="69"/>
    </row>
    <row r="602" spans="1:21">
      <c r="A602" s="289"/>
      <c r="B602" s="289"/>
      <c r="C602" s="289"/>
      <c r="D602" s="289"/>
      <c r="E602" s="290"/>
      <c r="F602" s="290"/>
      <c r="G602" s="292"/>
      <c r="H602" s="292"/>
      <c r="I602" s="293"/>
      <c r="O602" s="69"/>
      <c r="P602" s="69"/>
      <c r="Q602" s="248"/>
      <c r="R602" s="247"/>
      <c r="S602" s="69"/>
      <c r="T602" s="162"/>
      <c r="U602" s="69"/>
    </row>
    <row r="603" spans="1:21">
      <c r="A603" s="289"/>
      <c r="B603" s="289"/>
      <c r="C603" s="289"/>
      <c r="D603" s="289"/>
      <c r="E603" s="290"/>
      <c r="F603" s="290"/>
      <c r="G603" s="292"/>
      <c r="H603" s="292"/>
      <c r="I603" s="293"/>
      <c r="O603" s="69"/>
      <c r="P603" s="69"/>
      <c r="Q603" s="248"/>
      <c r="R603" s="247"/>
      <c r="S603" s="69"/>
      <c r="T603" s="162"/>
      <c r="U603" s="69"/>
    </row>
    <row r="604" spans="1:21">
      <c r="A604" s="289"/>
      <c r="B604" s="289"/>
      <c r="C604" s="289"/>
      <c r="D604" s="289"/>
      <c r="E604" s="290"/>
      <c r="F604" s="290"/>
      <c r="G604" s="292"/>
      <c r="H604" s="292"/>
      <c r="I604" s="293"/>
      <c r="O604" s="69"/>
      <c r="P604" s="69"/>
      <c r="Q604" s="248"/>
      <c r="R604" s="247"/>
      <c r="S604" s="69"/>
      <c r="T604" s="162"/>
      <c r="U604" s="69"/>
    </row>
    <row r="605" spans="1:21">
      <c r="A605" s="289"/>
      <c r="B605" s="289"/>
      <c r="C605" s="289"/>
      <c r="D605" s="289"/>
      <c r="E605" s="290"/>
      <c r="F605" s="290"/>
      <c r="G605" s="292"/>
      <c r="H605" s="292"/>
      <c r="I605" s="293"/>
      <c r="O605" s="69"/>
      <c r="P605" s="69"/>
      <c r="Q605" s="248"/>
      <c r="R605" s="247"/>
      <c r="S605" s="69"/>
      <c r="T605" s="162"/>
      <c r="U605" s="69"/>
    </row>
    <row r="606" spans="1:21">
      <c r="A606" s="289"/>
      <c r="B606" s="289"/>
      <c r="C606" s="289"/>
      <c r="D606" s="289"/>
      <c r="E606" s="290"/>
      <c r="F606" s="290"/>
      <c r="G606" s="292"/>
      <c r="H606" s="292"/>
      <c r="I606" s="293"/>
      <c r="O606" s="69"/>
      <c r="P606" s="69"/>
      <c r="Q606" s="248"/>
      <c r="R606" s="247"/>
      <c r="S606" s="69"/>
      <c r="T606" s="162"/>
      <c r="U606" s="69"/>
    </row>
    <row r="607" spans="1:21">
      <c r="A607" s="289"/>
      <c r="B607" s="289"/>
      <c r="C607" s="289"/>
      <c r="D607" s="289"/>
      <c r="E607" s="290"/>
      <c r="F607" s="290"/>
      <c r="G607" s="292"/>
      <c r="H607" s="292"/>
      <c r="I607" s="293"/>
      <c r="O607" s="69"/>
      <c r="P607" s="69"/>
      <c r="Q607" s="248"/>
      <c r="R607" s="247"/>
      <c r="S607" s="69"/>
      <c r="T607" s="162"/>
      <c r="U607" s="69"/>
    </row>
    <row r="608" spans="1:21">
      <c r="A608" s="289"/>
      <c r="B608" s="289"/>
      <c r="C608" s="289"/>
      <c r="D608" s="289"/>
      <c r="E608" s="290"/>
      <c r="F608" s="290"/>
      <c r="G608" s="292"/>
      <c r="H608" s="292"/>
      <c r="I608" s="293"/>
      <c r="O608" s="69"/>
      <c r="P608" s="69"/>
      <c r="Q608" s="248"/>
      <c r="R608" s="247"/>
      <c r="S608" s="69"/>
      <c r="T608" s="162"/>
      <c r="U608" s="69"/>
    </row>
    <row r="609" spans="1:21">
      <c r="A609" s="289"/>
      <c r="B609" s="289"/>
      <c r="C609" s="289"/>
      <c r="D609" s="289"/>
      <c r="E609" s="290"/>
      <c r="F609" s="290"/>
      <c r="G609" s="292"/>
      <c r="H609" s="292"/>
      <c r="I609" s="293"/>
      <c r="O609" s="69"/>
      <c r="P609" s="69"/>
      <c r="Q609" s="248"/>
      <c r="R609" s="247"/>
      <c r="S609" s="69"/>
      <c r="T609" s="162"/>
      <c r="U609" s="69"/>
    </row>
    <row r="610" spans="1:21">
      <c r="A610" s="289"/>
      <c r="B610" s="289"/>
      <c r="C610" s="289"/>
      <c r="D610" s="289"/>
      <c r="E610" s="290"/>
      <c r="F610" s="290"/>
      <c r="G610" s="292"/>
      <c r="H610" s="292"/>
      <c r="I610" s="293"/>
      <c r="O610" s="69"/>
      <c r="P610" s="69"/>
      <c r="Q610" s="248"/>
      <c r="R610" s="247"/>
      <c r="S610" s="69"/>
      <c r="T610" s="162"/>
      <c r="U610" s="69"/>
    </row>
    <row r="611" spans="1:21">
      <c r="A611" s="289"/>
      <c r="B611" s="289"/>
      <c r="C611" s="289"/>
      <c r="D611" s="289"/>
      <c r="E611" s="290"/>
      <c r="F611" s="290"/>
      <c r="G611" s="292"/>
      <c r="H611" s="292"/>
      <c r="I611" s="293"/>
      <c r="O611" s="69"/>
      <c r="P611" s="69"/>
      <c r="Q611" s="248"/>
      <c r="R611" s="247"/>
      <c r="S611" s="69"/>
      <c r="T611" s="162"/>
      <c r="U611" s="69"/>
    </row>
    <row r="612" spans="1:21">
      <c r="A612" s="289"/>
      <c r="B612" s="289"/>
      <c r="C612" s="289"/>
      <c r="D612" s="289"/>
      <c r="E612" s="290"/>
      <c r="F612" s="290"/>
      <c r="G612" s="292"/>
      <c r="H612" s="292"/>
      <c r="I612" s="293"/>
      <c r="O612" s="69"/>
      <c r="P612" s="69"/>
      <c r="Q612" s="248"/>
      <c r="R612" s="247"/>
      <c r="S612" s="69"/>
      <c r="T612" s="162"/>
      <c r="U612" s="69"/>
    </row>
    <row r="613" spans="1:21">
      <c r="A613" s="289"/>
      <c r="B613" s="289"/>
      <c r="C613" s="289"/>
      <c r="D613" s="289"/>
      <c r="E613" s="290"/>
      <c r="F613" s="290"/>
      <c r="G613" s="292"/>
      <c r="H613" s="292"/>
      <c r="I613" s="293"/>
      <c r="O613" s="69"/>
      <c r="P613" s="69"/>
      <c r="Q613" s="248"/>
      <c r="R613" s="247"/>
      <c r="S613" s="69"/>
      <c r="T613" s="162"/>
      <c r="U613" s="69"/>
    </row>
    <row r="614" spans="1:21">
      <c r="A614" s="289"/>
      <c r="B614" s="289"/>
      <c r="C614" s="289"/>
      <c r="D614" s="289"/>
      <c r="E614" s="290"/>
      <c r="F614" s="290"/>
      <c r="G614" s="292"/>
      <c r="H614" s="292"/>
      <c r="I614" s="293"/>
      <c r="O614" s="69"/>
      <c r="P614" s="69"/>
      <c r="Q614" s="248"/>
      <c r="R614" s="247"/>
      <c r="S614" s="69"/>
      <c r="T614" s="162"/>
      <c r="U614" s="69"/>
    </row>
    <row r="615" spans="1:21">
      <c r="A615" s="289"/>
      <c r="B615" s="289"/>
      <c r="C615" s="289"/>
      <c r="D615" s="289"/>
      <c r="E615" s="290"/>
      <c r="F615" s="290"/>
      <c r="G615" s="292"/>
      <c r="H615" s="292"/>
      <c r="I615" s="293"/>
      <c r="O615" s="69"/>
      <c r="P615" s="69"/>
      <c r="Q615" s="248"/>
      <c r="R615" s="247"/>
      <c r="S615" s="69"/>
      <c r="T615" s="162"/>
      <c r="U615" s="69"/>
    </row>
    <row r="616" spans="1:21">
      <c r="A616" s="289"/>
      <c r="B616" s="289"/>
      <c r="C616" s="289"/>
      <c r="D616" s="289"/>
      <c r="E616" s="290"/>
      <c r="F616" s="290"/>
      <c r="G616" s="292"/>
      <c r="H616" s="292"/>
      <c r="I616" s="293"/>
      <c r="O616" s="69"/>
      <c r="P616" s="69"/>
      <c r="Q616" s="248"/>
      <c r="R616" s="247"/>
      <c r="S616" s="69"/>
      <c r="T616" s="162"/>
      <c r="U616" s="69"/>
    </row>
    <row r="617" spans="1:21">
      <c r="A617" s="289"/>
      <c r="B617" s="289"/>
      <c r="C617" s="289"/>
      <c r="D617" s="289"/>
      <c r="E617" s="290"/>
      <c r="F617" s="290"/>
      <c r="G617" s="292"/>
      <c r="H617" s="292"/>
      <c r="I617" s="293"/>
      <c r="O617" s="69"/>
      <c r="P617" s="69"/>
      <c r="Q617" s="248"/>
      <c r="R617" s="247"/>
      <c r="S617" s="69"/>
      <c r="T617" s="162"/>
      <c r="U617" s="69"/>
    </row>
    <row r="618" spans="1:21">
      <c r="A618" s="289"/>
      <c r="B618" s="289"/>
      <c r="C618" s="289"/>
      <c r="D618" s="289"/>
      <c r="E618" s="290"/>
      <c r="F618" s="290"/>
      <c r="G618" s="292"/>
      <c r="H618" s="292"/>
      <c r="I618" s="293"/>
      <c r="O618" s="69"/>
      <c r="P618" s="69"/>
      <c r="Q618" s="248"/>
      <c r="R618" s="247"/>
      <c r="S618" s="69"/>
      <c r="T618" s="162"/>
      <c r="U618" s="69"/>
    </row>
    <row r="619" spans="1:21">
      <c r="A619" s="289"/>
      <c r="B619" s="289"/>
      <c r="C619" s="289"/>
      <c r="D619" s="289"/>
      <c r="E619" s="290"/>
      <c r="F619" s="290"/>
      <c r="G619" s="292"/>
      <c r="H619" s="292"/>
      <c r="I619" s="293"/>
      <c r="O619" s="69"/>
      <c r="P619" s="69"/>
      <c r="Q619" s="248"/>
      <c r="R619" s="247"/>
      <c r="S619" s="69"/>
      <c r="T619" s="162"/>
      <c r="U619" s="69"/>
    </row>
    <row r="620" spans="1:21">
      <c r="A620" s="289"/>
      <c r="B620" s="289"/>
      <c r="C620" s="289"/>
      <c r="D620" s="289"/>
      <c r="E620" s="290"/>
      <c r="F620" s="290"/>
      <c r="G620" s="292"/>
      <c r="H620" s="292"/>
      <c r="I620" s="293"/>
      <c r="O620" s="69"/>
      <c r="P620" s="69"/>
      <c r="Q620" s="248"/>
      <c r="R620" s="247"/>
      <c r="S620" s="69"/>
      <c r="T620" s="162"/>
      <c r="U620" s="69"/>
    </row>
    <row r="621" spans="1:21">
      <c r="A621" s="289"/>
      <c r="B621" s="289"/>
      <c r="C621" s="289"/>
      <c r="D621" s="289"/>
      <c r="E621" s="290"/>
      <c r="F621" s="290"/>
      <c r="G621" s="292"/>
      <c r="H621" s="292"/>
      <c r="I621" s="293"/>
      <c r="O621" s="69"/>
      <c r="P621" s="69"/>
      <c r="Q621" s="248"/>
      <c r="R621" s="247"/>
      <c r="S621" s="69"/>
      <c r="T621" s="162"/>
      <c r="U621" s="69"/>
    </row>
    <row r="622" spans="1:21">
      <c r="A622" s="289"/>
      <c r="B622" s="289"/>
      <c r="C622" s="289"/>
      <c r="D622" s="289"/>
      <c r="E622" s="290"/>
      <c r="F622" s="290"/>
      <c r="G622" s="292"/>
      <c r="H622" s="292"/>
      <c r="I622" s="293"/>
      <c r="O622" s="69"/>
      <c r="P622" s="69"/>
      <c r="Q622" s="248"/>
      <c r="R622" s="247"/>
      <c r="S622" s="69"/>
      <c r="T622" s="162"/>
      <c r="U622" s="69"/>
    </row>
    <row r="623" spans="1:21">
      <c r="A623" s="289"/>
      <c r="B623" s="289"/>
      <c r="C623" s="289"/>
      <c r="D623" s="289"/>
      <c r="E623" s="290"/>
      <c r="F623" s="290"/>
      <c r="G623" s="292"/>
      <c r="H623" s="292"/>
      <c r="I623" s="293"/>
      <c r="O623" s="69"/>
      <c r="P623" s="69"/>
      <c r="Q623" s="248"/>
      <c r="R623" s="247"/>
      <c r="S623" s="69"/>
      <c r="T623" s="162"/>
      <c r="U623" s="69"/>
    </row>
    <row r="624" spans="1:21">
      <c r="A624" s="289"/>
      <c r="B624" s="289"/>
      <c r="C624" s="289"/>
      <c r="D624" s="289"/>
      <c r="E624" s="290"/>
      <c r="F624" s="290"/>
      <c r="G624" s="292"/>
      <c r="H624" s="292"/>
      <c r="I624" s="293"/>
      <c r="O624" s="69"/>
      <c r="P624" s="69"/>
      <c r="Q624" s="248"/>
      <c r="R624" s="247"/>
      <c r="S624" s="69"/>
      <c r="T624" s="162"/>
      <c r="U624" s="69"/>
    </row>
    <row r="625" spans="1:21">
      <c r="A625" s="294"/>
      <c r="B625" s="294"/>
      <c r="C625" s="294"/>
      <c r="D625" s="294"/>
      <c r="E625" s="290"/>
      <c r="F625" s="290"/>
      <c r="G625" s="291"/>
      <c r="H625" s="292"/>
      <c r="I625" s="293"/>
      <c r="J625" s="22" t="s">
        <v>547</v>
      </c>
      <c r="O625" s="69"/>
      <c r="P625" s="69"/>
      <c r="Q625" s="248"/>
      <c r="R625" s="247"/>
      <c r="S625" s="69"/>
      <c r="T625" s="162"/>
      <c r="U625" s="69"/>
    </row>
    <row r="626" spans="1:21">
      <c r="A626" s="294"/>
      <c r="B626" s="294"/>
      <c r="C626" s="294"/>
      <c r="D626" s="294"/>
      <c r="E626" s="290"/>
      <c r="F626" s="290"/>
      <c r="G626" s="292"/>
      <c r="H626" s="292"/>
      <c r="I626" s="293"/>
      <c r="O626" s="69"/>
      <c r="P626" s="69"/>
      <c r="Q626" s="248"/>
      <c r="R626" s="247"/>
      <c r="S626" s="69"/>
      <c r="T626" s="162"/>
      <c r="U626" s="69"/>
    </row>
    <row r="627" spans="1:21">
      <c r="A627" s="294"/>
      <c r="B627" s="294"/>
      <c r="C627" s="294"/>
      <c r="D627" s="294"/>
      <c r="E627" s="290"/>
      <c r="F627" s="290"/>
      <c r="G627" s="292"/>
      <c r="H627" s="292"/>
      <c r="I627" s="293"/>
      <c r="O627" s="69"/>
      <c r="P627" s="69"/>
      <c r="Q627" s="248"/>
      <c r="R627" s="247"/>
      <c r="S627" s="69"/>
      <c r="T627" s="162"/>
      <c r="U627" s="69"/>
    </row>
    <row r="628" spans="1:21">
      <c r="A628" s="294"/>
      <c r="B628" s="294"/>
      <c r="C628" s="294"/>
      <c r="D628" s="294"/>
      <c r="E628" s="290"/>
      <c r="F628" s="290"/>
      <c r="G628" s="292"/>
      <c r="H628" s="292"/>
      <c r="I628" s="293"/>
      <c r="O628" s="69"/>
      <c r="P628" s="69"/>
      <c r="Q628" s="248"/>
      <c r="R628" s="247"/>
      <c r="S628" s="69"/>
      <c r="T628" s="162"/>
      <c r="U628" s="69"/>
    </row>
    <row r="629" spans="1:21">
      <c r="A629" s="294"/>
      <c r="B629" s="294"/>
      <c r="C629" s="294"/>
      <c r="D629" s="294"/>
      <c r="E629" s="290"/>
      <c r="F629" s="290"/>
      <c r="G629" s="292"/>
      <c r="H629" s="292"/>
      <c r="I629" s="293"/>
      <c r="O629" s="69"/>
      <c r="P629" s="69"/>
      <c r="Q629" s="248"/>
      <c r="R629" s="247"/>
      <c r="S629" s="69"/>
      <c r="T629" s="162"/>
      <c r="U629" s="69"/>
    </row>
    <row r="630" spans="1:21">
      <c r="A630" s="294"/>
      <c r="B630" s="294"/>
      <c r="C630" s="294"/>
      <c r="D630" s="294"/>
      <c r="E630" s="290"/>
      <c r="F630" s="290"/>
      <c r="G630" s="292"/>
      <c r="H630" s="292"/>
      <c r="I630" s="293"/>
      <c r="O630" s="69"/>
      <c r="P630" s="69"/>
      <c r="Q630" s="248"/>
      <c r="R630" s="247"/>
      <c r="S630" s="69"/>
      <c r="T630" s="162"/>
      <c r="U630" s="69"/>
    </row>
    <row r="631" spans="1:21">
      <c r="A631" s="294"/>
      <c r="B631" s="294"/>
      <c r="C631" s="294"/>
      <c r="D631" s="294"/>
      <c r="E631" s="290"/>
      <c r="F631" s="290"/>
      <c r="G631" s="292"/>
      <c r="H631" s="292"/>
      <c r="I631" s="293"/>
      <c r="O631" s="69"/>
      <c r="P631" s="69"/>
      <c r="Q631" s="248"/>
      <c r="R631" s="247"/>
      <c r="S631" s="69"/>
      <c r="T631" s="162"/>
      <c r="U631" s="69"/>
    </row>
    <row r="632" spans="1:21">
      <c r="A632" s="294"/>
      <c r="B632" s="294"/>
      <c r="C632" s="294"/>
      <c r="D632" s="294"/>
      <c r="E632" s="290"/>
      <c r="F632" s="290"/>
      <c r="G632" s="292"/>
      <c r="H632" s="292"/>
      <c r="I632" s="293"/>
      <c r="O632" s="69"/>
      <c r="P632" s="69"/>
      <c r="Q632" s="248"/>
      <c r="R632" s="247"/>
      <c r="S632" s="69"/>
      <c r="T632" s="162"/>
      <c r="U632" s="69"/>
    </row>
    <row r="633" spans="1:21">
      <c r="A633" s="294"/>
      <c r="B633" s="294"/>
      <c r="C633" s="294"/>
      <c r="D633" s="294"/>
      <c r="E633" s="290"/>
      <c r="F633" s="290"/>
      <c r="G633" s="292"/>
      <c r="H633" s="292"/>
      <c r="I633" s="293"/>
      <c r="O633" s="69"/>
      <c r="P633" s="69"/>
      <c r="Q633" s="248"/>
      <c r="R633" s="247"/>
      <c r="S633" s="69"/>
      <c r="T633" s="162"/>
      <c r="U633" s="69"/>
    </row>
    <row r="634" spans="1:21">
      <c r="A634" s="294"/>
      <c r="B634" s="294"/>
      <c r="C634" s="294"/>
      <c r="D634" s="294"/>
      <c r="E634" s="290"/>
      <c r="F634" s="290"/>
      <c r="G634" s="292"/>
      <c r="H634" s="292"/>
      <c r="I634" s="293"/>
      <c r="O634" s="69"/>
      <c r="P634" s="69"/>
      <c r="Q634" s="248"/>
      <c r="R634" s="247"/>
      <c r="S634" s="69"/>
      <c r="T634" s="162"/>
      <c r="U634" s="69"/>
    </row>
    <row r="635" spans="1:21">
      <c r="A635" s="294"/>
      <c r="B635" s="294"/>
      <c r="C635" s="294"/>
      <c r="D635" s="294"/>
      <c r="E635" s="290"/>
      <c r="F635" s="290"/>
      <c r="G635" s="292"/>
      <c r="H635" s="292"/>
      <c r="I635" s="293"/>
      <c r="O635" s="69"/>
      <c r="P635" s="69"/>
      <c r="Q635" s="248"/>
      <c r="R635" s="247"/>
      <c r="S635" s="69"/>
      <c r="T635" s="162"/>
      <c r="U635" s="69"/>
    </row>
    <row r="636" spans="1:21">
      <c r="A636" s="294"/>
      <c r="B636" s="294"/>
      <c r="C636" s="294"/>
      <c r="D636" s="294"/>
      <c r="E636" s="290"/>
      <c r="F636" s="290"/>
      <c r="G636" s="292"/>
      <c r="H636" s="292"/>
      <c r="I636" s="293"/>
      <c r="O636" s="69"/>
      <c r="P636" s="69"/>
      <c r="Q636" s="248"/>
      <c r="R636" s="247"/>
      <c r="S636" s="69"/>
      <c r="T636" s="162"/>
      <c r="U636" s="69"/>
    </row>
    <row r="637" spans="1:21">
      <c r="A637" s="294"/>
      <c r="B637" s="294"/>
      <c r="C637" s="294"/>
      <c r="D637" s="294"/>
      <c r="E637" s="290"/>
      <c r="F637" s="290"/>
      <c r="G637" s="292"/>
      <c r="H637" s="292"/>
      <c r="I637" s="293"/>
      <c r="O637" s="69"/>
      <c r="P637" s="69"/>
      <c r="Q637" s="248"/>
      <c r="R637" s="247"/>
      <c r="S637" s="69"/>
      <c r="T637" s="162"/>
      <c r="U637" s="69"/>
    </row>
    <row r="638" spans="1:21">
      <c r="A638" s="294"/>
      <c r="B638" s="294"/>
      <c r="C638" s="294"/>
      <c r="D638" s="294"/>
      <c r="E638" s="290"/>
      <c r="F638" s="290"/>
      <c r="G638" s="292"/>
      <c r="H638" s="292"/>
      <c r="I638" s="293"/>
      <c r="O638" s="69"/>
      <c r="P638" s="69"/>
      <c r="Q638" s="248"/>
      <c r="R638" s="247"/>
      <c r="S638" s="69"/>
      <c r="T638" s="162"/>
      <c r="U638" s="69"/>
    </row>
    <row r="639" spans="1:21">
      <c r="A639" s="294"/>
      <c r="B639" s="294"/>
      <c r="C639" s="294"/>
      <c r="D639" s="294"/>
      <c r="E639" s="290"/>
      <c r="F639" s="290"/>
      <c r="G639" s="292"/>
      <c r="H639" s="292"/>
      <c r="I639" s="293"/>
      <c r="O639" s="69"/>
      <c r="P639" s="69"/>
      <c r="Q639" s="248"/>
      <c r="R639" s="247"/>
      <c r="S639" s="69"/>
      <c r="T639" s="162"/>
      <c r="U639" s="69"/>
    </row>
    <row r="640" spans="1:21">
      <c r="A640" s="294"/>
      <c r="B640" s="294"/>
      <c r="C640" s="294"/>
      <c r="D640" s="294"/>
      <c r="E640" s="290"/>
      <c r="F640" s="290"/>
      <c r="G640" s="292"/>
      <c r="H640" s="292"/>
      <c r="I640" s="293"/>
      <c r="O640" s="69"/>
      <c r="P640" s="69"/>
      <c r="Q640" s="248"/>
      <c r="R640" s="247"/>
      <c r="S640" s="69"/>
      <c r="T640" s="162"/>
      <c r="U640" s="69"/>
    </row>
    <row r="641" spans="1:21">
      <c r="A641" s="294"/>
      <c r="B641" s="294"/>
      <c r="C641" s="294"/>
      <c r="D641" s="294"/>
      <c r="E641" s="290"/>
      <c r="F641" s="290"/>
      <c r="G641" s="292"/>
      <c r="H641" s="292"/>
      <c r="I641" s="293"/>
      <c r="O641" s="69"/>
      <c r="P641" s="69"/>
      <c r="Q641" s="248"/>
      <c r="R641" s="247"/>
      <c r="S641" s="69"/>
      <c r="T641" s="162"/>
      <c r="U641" s="69"/>
    </row>
    <row r="642" spans="1:21">
      <c r="A642" s="294"/>
      <c r="B642" s="294"/>
      <c r="C642" s="294"/>
      <c r="D642" s="294"/>
      <c r="E642" s="290"/>
      <c r="F642" s="290"/>
      <c r="G642" s="292"/>
      <c r="H642" s="292"/>
      <c r="I642" s="293"/>
      <c r="O642" s="69"/>
      <c r="P642" s="69"/>
      <c r="Q642" s="248"/>
      <c r="R642" s="247"/>
      <c r="S642" s="69"/>
      <c r="T642" s="162"/>
      <c r="U642" s="69"/>
    </row>
    <row r="643" spans="1:21">
      <c r="A643" s="294"/>
      <c r="B643" s="294"/>
      <c r="C643" s="294"/>
      <c r="D643" s="294"/>
      <c r="E643" s="290"/>
      <c r="F643" s="290"/>
      <c r="G643" s="292"/>
      <c r="H643" s="292"/>
      <c r="I643" s="293"/>
      <c r="O643" s="69"/>
      <c r="P643" s="69"/>
      <c r="Q643" s="248"/>
      <c r="R643" s="247"/>
      <c r="S643" s="69"/>
      <c r="T643" s="162"/>
      <c r="U643" s="69"/>
    </row>
    <row r="644" spans="1:21">
      <c r="A644" s="294"/>
      <c r="B644" s="294"/>
      <c r="C644" s="294"/>
      <c r="D644" s="294"/>
      <c r="E644" s="290"/>
      <c r="F644" s="290"/>
      <c r="G644" s="292"/>
      <c r="H644" s="292"/>
      <c r="I644" s="293"/>
      <c r="O644" s="69"/>
      <c r="P644" s="69"/>
      <c r="Q644" s="248"/>
      <c r="R644" s="247"/>
      <c r="S644" s="69"/>
      <c r="T644" s="162"/>
      <c r="U644" s="69"/>
    </row>
    <row r="645" spans="1:21">
      <c r="A645" s="294"/>
      <c r="B645" s="294"/>
      <c r="C645" s="294"/>
      <c r="D645" s="294"/>
      <c r="E645" s="290"/>
      <c r="F645" s="290"/>
      <c r="G645" s="292"/>
      <c r="H645" s="292"/>
      <c r="I645" s="293"/>
      <c r="O645" s="69"/>
      <c r="P645" s="69"/>
      <c r="Q645" s="248"/>
      <c r="R645" s="247"/>
      <c r="S645" s="69"/>
      <c r="T645" s="162"/>
      <c r="U645" s="69"/>
    </row>
    <row r="646" spans="1:21">
      <c r="A646" s="294"/>
      <c r="B646" s="294"/>
      <c r="C646" s="294"/>
      <c r="D646" s="294"/>
      <c r="E646" s="290"/>
      <c r="F646" s="290"/>
      <c r="G646" s="292"/>
      <c r="H646" s="292"/>
      <c r="I646" s="293"/>
      <c r="O646" s="69"/>
      <c r="P646" s="69"/>
      <c r="Q646" s="248"/>
      <c r="R646" s="247"/>
      <c r="S646" s="69"/>
      <c r="T646" s="162"/>
      <c r="U646" s="69"/>
    </row>
    <row r="647" spans="1:21">
      <c r="A647" s="294"/>
      <c r="B647" s="294"/>
      <c r="C647" s="294"/>
      <c r="D647" s="294"/>
      <c r="E647" s="290"/>
      <c r="F647" s="290"/>
      <c r="G647" s="292"/>
      <c r="H647" s="292"/>
      <c r="I647" s="293"/>
      <c r="O647" s="69"/>
      <c r="P647" s="69"/>
      <c r="Q647" s="248"/>
      <c r="R647" s="247"/>
      <c r="S647" s="69"/>
      <c r="T647" s="162"/>
      <c r="U647" s="69"/>
    </row>
    <row r="648" spans="1:21">
      <c r="A648" s="294"/>
      <c r="B648" s="294"/>
      <c r="C648" s="294"/>
      <c r="D648" s="294"/>
      <c r="E648" s="290"/>
      <c r="F648" s="290"/>
      <c r="G648" s="292"/>
      <c r="H648" s="292"/>
      <c r="I648" s="293"/>
      <c r="O648" s="69"/>
      <c r="P648" s="69"/>
      <c r="Q648" s="248"/>
      <c r="R648" s="247"/>
      <c r="S648" s="69"/>
      <c r="T648" s="162"/>
      <c r="U648" s="69"/>
    </row>
    <row r="649" spans="1:21">
      <c r="A649" s="294"/>
      <c r="B649" s="294"/>
      <c r="C649" s="294"/>
      <c r="D649" s="294"/>
      <c r="E649" s="290"/>
      <c r="F649" s="290"/>
      <c r="G649" s="292"/>
      <c r="H649" s="292"/>
      <c r="I649" s="293"/>
      <c r="O649" s="69"/>
      <c r="P649" s="69"/>
      <c r="Q649" s="248"/>
      <c r="R649" s="247"/>
      <c r="S649" s="69"/>
      <c r="T649" s="162"/>
      <c r="U649" s="69"/>
    </row>
    <row r="650" spans="1:21">
      <c r="A650" s="294"/>
      <c r="B650" s="294"/>
      <c r="C650" s="294"/>
      <c r="D650" s="294"/>
      <c r="E650" s="290"/>
      <c r="F650" s="290"/>
      <c r="G650" s="292"/>
      <c r="H650" s="292"/>
      <c r="I650" s="293"/>
      <c r="O650" s="69"/>
      <c r="P650" s="69"/>
      <c r="Q650" s="248"/>
      <c r="R650" s="247"/>
      <c r="S650" s="69"/>
      <c r="T650" s="162"/>
      <c r="U650" s="69"/>
    </row>
    <row r="651" spans="1:21">
      <c r="A651" s="294"/>
      <c r="B651" s="294"/>
      <c r="C651" s="294"/>
      <c r="D651" s="294"/>
      <c r="E651" s="290"/>
      <c r="F651" s="290"/>
      <c r="G651" s="292"/>
      <c r="H651" s="292"/>
      <c r="I651" s="293"/>
      <c r="O651" s="69"/>
      <c r="P651" s="69"/>
      <c r="Q651" s="248"/>
      <c r="R651" s="247"/>
      <c r="S651" s="69"/>
      <c r="T651" s="162"/>
      <c r="U651" s="69"/>
    </row>
    <row r="652" spans="1:21">
      <c r="A652" s="294"/>
      <c r="B652" s="294"/>
      <c r="C652" s="294"/>
      <c r="D652" s="294"/>
      <c r="E652" s="290"/>
      <c r="F652" s="290"/>
      <c r="G652" s="292"/>
      <c r="H652" s="292"/>
      <c r="I652" s="293"/>
      <c r="O652" s="69"/>
      <c r="P652" s="69"/>
      <c r="Q652" s="248"/>
      <c r="R652" s="247"/>
      <c r="S652" s="69"/>
      <c r="T652" s="162"/>
      <c r="U652" s="69"/>
    </row>
    <row r="653" spans="1:21">
      <c r="A653" s="294"/>
      <c r="B653" s="294"/>
      <c r="C653" s="294"/>
      <c r="D653" s="294"/>
      <c r="E653" s="290"/>
      <c r="F653" s="290"/>
      <c r="G653" s="292"/>
      <c r="H653" s="292"/>
      <c r="I653" s="293"/>
      <c r="O653" s="69"/>
      <c r="P653" s="69"/>
      <c r="Q653" s="248"/>
      <c r="R653" s="247"/>
      <c r="S653" s="69"/>
      <c r="T653" s="162"/>
      <c r="U653" s="69"/>
    </row>
    <row r="654" spans="1:21">
      <c r="A654" s="294"/>
      <c r="B654" s="294"/>
      <c r="C654" s="294"/>
      <c r="D654" s="294"/>
      <c r="E654" s="290"/>
      <c r="F654" s="290"/>
      <c r="G654" s="292"/>
      <c r="H654" s="292"/>
      <c r="I654" s="293"/>
      <c r="O654" s="69"/>
      <c r="P654" s="69"/>
      <c r="Q654" s="248"/>
      <c r="R654" s="247"/>
      <c r="S654" s="69"/>
      <c r="T654" s="162"/>
      <c r="U654" s="69"/>
    </row>
    <row r="655" spans="1:21">
      <c r="A655" s="294"/>
      <c r="B655" s="294"/>
      <c r="C655" s="294"/>
      <c r="D655" s="294"/>
      <c r="E655" s="290"/>
      <c r="F655" s="290"/>
      <c r="G655" s="291"/>
      <c r="H655" s="292"/>
      <c r="I655" s="293"/>
      <c r="O655" s="69"/>
      <c r="P655" s="69"/>
      <c r="Q655" s="248"/>
      <c r="R655" s="247"/>
      <c r="S655" s="69"/>
      <c r="T655" s="162"/>
      <c r="U655" s="69"/>
    </row>
    <row r="656" spans="1:21">
      <c r="A656" s="294"/>
      <c r="B656" s="294"/>
      <c r="C656" s="294"/>
      <c r="D656" s="294"/>
      <c r="E656" s="290"/>
      <c r="F656" s="290"/>
      <c r="G656" s="291"/>
      <c r="H656" s="292"/>
      <c r="I656" s="293"/>
      <c r="O656" s="69"/>
      <c r="P656" s="69"/>
      <c r="Q656" s="248"/>
      <c r="R656" s="247"/>
      <c r="S656" s="69"/>
      <c r="T656" s="162"/>
      <c r="U656" s="69"/>
    </row>
    <row r="657" spans="1:21">
      <c r="A657" s="294"/>
      <c r="B657" s="294"/>
      <c r="C657" s="294"/>
      <c r="D657" s="294"/>
      <c r="E657" s="290"/>
      <c r="F657" s="290"/>
      <c r="G657" s="291"/>
      <c r="H657" s="292"/>
      <c r="I657" s="293"/>
      <c r="O657" s="69"/>
      <c r="P657" s="69"/>
      <c r="Q657" s="248"/>
      <c r="R657" s="247"/>
      <c r="S657" s="69"/>
      <c r="T657" s="162"/>
      <c r="U657" s="69"/>
    </row>
    <row r="658" spans="1:21">
      <c r="A658" s="294"/>
      <c r="B658" s="294"/>
      <c r="C658" s="294"/>
      <c r="D658" s="294"/>
      <c r="E658" s="290"/>
      <c r="F658" s="290"/>
      <c r="G658" s="291"/>
      <c r="H658" s="292"/>
      <c r="I658" s="293"/>
      <c r="O658" s="69"/>
      <c r="P658" s="69"/>
      <c r="Q658" s="248"/>
      <c r="R658" s="247"/>
      <c r="S658" s="69"/>
      <c r="T658" s="162"/>
      <c r="U658" s="69"/>
    </row>
    <row r="659" spans="1:21">
      <c r="A659" s="294"/>
      <c r="B659" s="294"/>
      <c r="C659" s="294"/>
      <c r="D659" s="294"/>
      <c r="E659" s="290"/>
      <c r="F659" s="290"/>
      <c r="G659" s="291"/>
      <c r="H659" s="292"/>
      <c r="I659" s="293"/>
      <c r="O659" s="69"/>
      <c r="P659" s="69"/>
      <c r="Q659" s="248"/>
      <c r="R659" s="247"/>
      <c r="S659" s="69"/>
      <c r="T659" s="162"/>
      <c r="U659" s="69"/>
    </row>
    <row r="660" spans="1:21">
      <c r="A660" s="294"/>
      <c r="B660" s="294"/>
      <c r="C660" s="294"/>
      <c r="D660" s="294"/>
      <c r="E660" s="290"/>
      <c r="F660" s="290"/>
      <c r="G660" s="291"/>
      <c r="H660" s="292"/>
      <c r="I660" s="293"/>
      <c r="O660" s="69"/>
      <c r="P660" s="69"/>
      <c r="Q660" s="248"/>
      <c r="R660" s="247"/>
      <c r="S660" s="69"/>
      <c r="T660" s="162"/>
      <c r="U660" s="69"/>
    </row>
    <row r="661" spans="1:21">
      <c r="A661" s="294"/>
      <c r="B661" s="294"/>
      <c r="C661" s="294"/>
      <c r="D661" s="294"/>
      <c r="E661" s="290"/>
      <c r="F661" s="290"/>
      <c r="G661" s="291"/>
      <c r="H661" s="292"/>
      <c r="I661" s="293"/>
      <c r="O661" s="69"/>
      <c r="P661" s="69"/>
      <c r="Q661" s="248"/>
      <c r="R661" s="247"/>
      <c r="S661" s="69"/>
      <c r="T661" s="162"/>
      <c r="U661" s="69"/>
    </row>
    <row r="662" spans="1:21">
      <c r="A662" s="294"/>
      <c r="B662" s="294"/>
      <c r="C662" s="294"/>
      <c r="D662" s="294"/>
      <c r="E662" s="290"/>
      <c r="F662" s="290"/>
      <c r="G662" s="291"/>
      <c r="H662" s="292"/>
      <c r="I662" s="293"/>
      <c r="O662" s="69"/>
      <c r="P662" s="69"/>
      <c r="Q662" s="248"/>
      <c r="R662" s="247"/>
      <c r="S662" s="69"/>
      <c r="T662" s="162"/>
      <c r="U662" s="69"/>
    </row>
    <row r="663" spans="1:21">
      <c r="A663" s="294"/>
      <c r="B663" s="294"/>
      <c r="C663" s="294"/>
      <c r="D663" s="294"/>
      <c r="E663" s="290"/>
      <c r="F663" s="290"/>
      <c r="G663" s="291"/>
      <c r="H663" s="292"/>
      <c r="I663" s="293"/>
      <c r="O663" s="69"/>
      <c r="P663" s="69"/>
      <c r="Q663" s="248"/>
      <c r="R663" s="247"/>
      <c r="S663" s="69"/>
      <c r="T663" s="162"/>
      <c r="U663" s="69"/>
    </row>
    <row r="664" spans="1:21">
      <c r="A664" s="294"/>
      <c r="B664" s="294"/>
      <c r="C664" s="294"/>
      <c r="D664" s="294"/>
      <c r="E664" s="290"/>
      <c r="F664" s="290"/>
      <c r="G664" s="291"/>
      <c r="H664" s="292"/>
      <c r="I664" s="293"/>
      <c r="O664" s="69"/>
      <c r="P664" s="69"/>
      <c r="Q664" s="248"/>
      <c r="R664" s="247"/>
      <c r="S664" s="69"/>
      <c r="T664" s="162"/>
      <c r="U664" s="69"/>
    </row>
    <row r="665" spans="1:21">
      <c r="A665" s="294"/>
      <c r="B665" s="294"/>
      <c r="C665" s="294"/>
      <c r="D665" s="294"/>
      <c r="E665" s="290"/>
      <c r="F665" s="290"/>
      <c r="G665" s="291"/>
      <c r="H665" s="292"/>
      <c r="I665" s="293"/>
      <c r="O665" s="69"/>
      <c r="P665" s="69"/>
      <c r="Q665" s="248"/>
      <c r="R665" s="247"/>
      <c r="S665" s="69"/>
      <c r="T665" s="162"/>
      <c r="U665" s="69"/>
    </row>
    <row r="666" spans="1:21">
      <c r="A666" s="294"/>
      <c r="B666" s="294"/>
      <c r="C666" s="294"/>
      <c r="D666" s="294"/>
      <c r="E666" s="290"/>
      <c r="F666" s="290"/>
      <c r="G666" s="291"/>
      <c r="H666" s="292"/>
      <c r="I666" s="293"/>
      <c r="O666" s="69"/>
      <c r="P666" s="69"/>
      <c r="Q666" s="248"/>
      <c r="R666" s="247"/>
      <c r="S666" s="69"/>
      <c r="T666" s="162"/>
      <c r="U666" s="69"/>
    </row>
    <row r="667" spans="1:21">
      <c r="A667" s="294"/>
      <c r="B667" s="294"/>
      <c r="C667" s="294"/>
      <c r="D667" s="294"/>
      <c r="E667" s="290"/>
      <c r="F667" s="290"/>
      <c r="G667" s="291"/>
      <c r="H667" s="292"/>
      <c r="I667" s="293"/>
      <c r="O667" s="69"/>
      <c r="P667" s="69"/>
      <c r="Q667" s="248"/>
      <c r="R667" s="247"/>
      <c r="S667" s="69"/>
      <c r="T667" s="162"/>
      <c r="U667" s="69"/>
    </row>
    <row r="668" spans="1:21">
      <c r="A668" s="294"/>
      <c r="B668" s="294"/>
      <c r="C668" s="294"/>
      <c r="D668" s="294"/>
      <c r="E668" s="290"/>
      <c r="F668" s="290"/>
      <c r="G668" s="291"/>
      <c r="H668" s="292"/>
      <c r="I668" s="293"/>
      <c r="O668" s="69"/>
      <c r="P668" s="69"/>
      <c r="Q668" s="248"/>
      <c r="R668" s="247"/>
      <c r="S668" s="69"/>
      <c r="T668" s="162"/>
      <c r="U668" s="69"/>
    </row>
    <row r="669" spans="1:21">
      <c r="A669" s="294"/>
      <c r="B669" s="294"/>
      <c r="C669" s="294"/>
      <c r="D669" s="294"/>
      <c r="E669" s="290"/>
      <c r="F669" s="290"/>
      <c r="G669" s="291"/>
      <c r="H669" s="292"/>
      <c r="I669" s="293"/>
      <c r="O669" s="69"/>
      <c r="P669" s="69"/>
      <c r="Q669" s="248"/>
      <c r="R669" s="247"/>
      <c r="S669" s="69"/>
      <c r="T669" s="162"/>
      <c r="U669" s="69"/>
    </row>
    <row r="670" spans="1:21">
      <c r="A670" s="294"/>
      <c r="B670" s="294"/>
      <c r="C670" s="294"/>
      <c r="D670" s="294"/>
      <c r="E670" s="290"/>
      <c r="F670" s="290"/>
      <c r="G670" s="291"/>
      <c r="H670" s="292"/>
      <c r="I670" s="293"/>
      <c r="O670" s="69"/>
      <c r="P670" s="69"/>
      <c r="Q670" s="248"/>
      <c r="R670" s="247"/>
      <c r="S670" s="69"/>
      <c r="T670" s="162"/>
      <c r="U670" s="69"/>
    </row>
    <row r="671" spans="1:21">
      <c r="A671" s="294"/>
      <c r="B671" s="294"/>
      <c r="C671" s="294"/>
      <c r="D671" s="294"/>
      <c r="E671" s="290"/>
      <c r="F671" s="290"/>
      <c r="G671" s="291"/>
      <c r="H671" s="292"/>
      <c r="I671" s="293"/>
      <c r="O671" s="69"/>
      <c r="P671" s="69"/>
      <c r="Q671" s="248"/>
      <c r="R671" s="247"/>
      <c r="S671" s="69"/>
      <c r="T671" s="162"/>
      <c r="U671" s="69"/>
    </row>
    <row r="672" spans="1:21">
      <c r="A672" s="294"/>
      <c r="B672" s="294"/>
      <c r="C672" s="294"/>
      <c r="D672" s="294"/>
      <c r="E672" s="290"/>
      <c r="F672" s="290"/>
      <c r="G672" s="291"/>
      <c r="H672" s="292"/>
      <c r="I672" s="293"/>
      <c r="O672" s="69"/>
      <c r="P672" s="69"/>
      <c r="Q672" s="248"/>
      <c r="R672" s="247"/>
      <c r="S672" s="69"/>
      <c r="T672" s="162"/>
      <c r="U672" s="69"/>
    </row>
    <row r="673" spans="1:21">
      <c r="A673" s="294"/>
      <c r="B673" s="294"/>
      <c r="C673" s="294"/>
      <c r="D673" s="294"/>
      <c r="E673" s="290"/>
      <c r="F673" s="290"/>
      <c r="G673" s="291"/>
      <c r="H673" s="292"/>
      <c r="I673" s="293"/>
      <c r="O673" s="69"/>
      <c r="P673" s="69"/>
      <c r="Q673" s="248"/>
      <c r="R673" s="247"/>
      <c r="S673" s="69"/>
      <c r="T673" s="162"/>
      <c r="U673" s="69"/>
    </row>
    <row r="674" spans="1:21">
      <c r="A674" s="294"/>
      <c r="B674" s="294"/>
      <c r="C674" s="294"/>
      <c r="D674" s="294"/>
      <c r="E674" s="290"/>
      <c r="F674" s="290"/>
      <c r="G674" s="291"/>
      <c r="H674" s="292"/>
      <c r="I674" s="293"/>
      <c r="O674" s="69"/>
      <c r="P674" s="69"/>
      <c r="Q674" s="248"/>
      <c r="R674" s="247"/>
      <c r="S674" s="69"/>
      <c r="T674" s="162"/>
      <c r="U674" s="69"/>
    </row>
    <row r="675" spans="1:21">
      <c r="A675" s="294"/>
      <c r="B675" s="294"/>
      <c r="C675" s="294"/>
      <c r="D675" s="294"/>
      <c r="E675" s="290"/>
      <c r="F675" s="290"/>
      <c r="G675" s="291"/>
      <c r="H675" s="292"/>
      <c r="I675" s="293"/>
      <c r="O675" s="69"/>
      <c r="P675" s="69"/>
      <c r="Q675" s="248"/>
      <c r="R675" s="247"/>
      <c r="S675" s="69"/>
      <c r="T675" s="162"/>
      <c r="U675" s="69"/>
    </row>
    <row r="676" spans="1:21">
      <c r="A676" s="294"/>
      <c r="B676" s="294"/>
      <c r="C676" s="294"/>
      <c r="D676" s="294"/>
      <c r="E676" s="290"/>
      <c r="F676" s="290"/>
      <c r="G676" s="291"/>
      <c r="H676" s="292"/>
      <c r="I676" s="293"/>
      <c r="O676" s="69"/>
      <c r="P676" s="69"/>
      <c r="Q676" s="248"/>
      <c r="R676" s="247"/>
      <c r="S676" s="69"/>
      <c r="T676" s="162"/>
      <c r="U676" s="69"/>
    </row>
    <row r="677" spans="1:21">
      <c r="A677" s="294"/>
      <c r="B677" s="294"/>
      <c r="C677" s="294"/>
      <c r="D677" s="294"/>
      <c r="E677" s="290"/>
      <c r="F677" s="290"/>
      <c r="G677" s="291"/>
      <c r="H677" s="292"/>
      <c r="I677" s="293"/>
      <c r="O677" s="69"/>
      <c r="P677" s="69"/>
      <c r="Q677" s="248"/>
      <c r="R677" s="247"/>
      <c r="S677" s="69"/>
      <c r="T677" s="162"/>
      <c r="U677" s="69"/>
    </row>
    <row r="678" spans="1:21">
      <c r="A678" s="294"/>
      <c r="B678" s="294"/>
      <c r="C678" s="294"/>
      <c r="D678" s="294"/>
      <c r="E678" s="290"/>
      <c r="F678" s="290"/>
      <c r="G678" s="292"/>
      <c r="H678" s="292"/>
      <c r="I678" s="293"/>
      <c r="O678" s="69"/>
      <c r="P678" s="69"/>
      <c r="Q678" s="248"/>
      <c r="R678" s="247"/>
      <c r="S678" s="69"/>
      <c r="T678" s="162"/>
      <c r="U678" s="69"/>
    </row>
    <row r="679" spans="1:21">
      <c r="A679" s="294"/>
      <c r="B679" s="294"/>
      <c r="C679" s="294"/>
      <c r="D679" s="294"/>
      <c r="E679" s="290"/>
      <c r="F679" s="290"/>
      <c r="G679" s="292"/>
      <c r="H679" s="292"/>
      <c r="I679" s="293"/>
      <c r="O679" s="69"/>
      <c r="P679" s="69"/>
      <c r="Q679" s="248"/>
      <c r="R679" s="247"/>
      <c r="S679" s="69"/>
      <c r="T679" s="162"/>
      <c r="U679" s="69"/>
    </row>
    <row r="680" spans="1:21">
      <c r="A680" s="294"/>
      <c r="B680" s="294"/>
      <c r="C680" s="294"/>
      <c r="D680" s="294"/>
      <c r="E680" s="290"/>
      <c r="F680" s="290"/>
      <c r="G680" s="292"/>
      <c r="H680" s="292"/>
      <c r="I680" s="293"/>
      <c r="O680" s="69"/>
      <c r="P680" s="69"/>
      <c r="Q680" s="248"/>
      <c r="R680" s="247"/>
      <c r="S680" s="69"/>
      <c r="T680" s="162"/>
      <c r="U680" s="69"/>
    </row>
    <row r="681" spans="1:21">
      <c r="A681" s="294"/>
      <c r="B681" s="294"/>
      <c r="C681" s="294"/>
      <c r="D681" s="294"/>
      <c r="E681" s="290"/>
      <c r="F681" s="290"/>
      <c r="G681" s="292"/>
      <c r="H681" s="292"/>
      <c r="I681" s="293"/>
      <c r="O681" s="69"/>
      <c r="P681" s="69"/>
      <c r="Q681" s="248"/>
      <c r="R681" s="247"/>
      <c r="S681" s="69"/>
      <c r="T681" s="162"/>
      <c r="U681" s="69"/>
    </row>
    <row r="682" spans="1:21">
      <c r="A682" s="294"/>
      <c r="B682" s="294"/>
      <c r="C682" s="294"/>
      <c r="D682" s="294"/>
      <c r="E682" s="290"/>
      <c r="F682" s="290"/>
      <c r="G682" s="292"/>
      <c r="H682" s="292"/>
      <c r="I682" s="293"/>
      <c r="O682" s="69"/>
      <c r="P682" s="69"/>
      <c r="Q682" s="248"/>
      <c r="R682" s="247"/>
      <c r="S682" s="69"/>
      <c r="T682" s="162"/>
      <c r="U682" s="69"/>
    </row>
    <row r="683" spans="1:21">
      <c r="A683" s="294"/>
      <c r="B683" s="294"/>
      <c r="C683" s="294"/>
      <c r="D683" s="294"/>
      <c r="E683" s="290"/>
      <c r="F683" s="290"/>
      <c r="G683" s="292"/>
      <c r="H683" s="292"/>
      <c r="I683" s="293"/>
      <c r="O683" s="69"/>
      <c r="P683" s="69"/>
      <c r="Q683" s="248"/>
      <c r="R683" s="247"/>
      <c r="S683" s="69"/>
      <c r="T683" s="162"/>
      <c r="U683" s="69"/>
    </row>
    <row r="684" spans="1:21">
      <c r="A684" s="294"/>
      <c r="B684" s="294"/>
      <c r="C684" s="294"/>
      <c r="D684" s="294"/>
      <c r="E684" s="290"/>
      <c r="F684" s="290"/>
      <c r="G684" s="292"/>
      <c r="H684" s="292"/>
      <c r="I684" s="293"/>
      <c r="O684" s="69"/>
      <c r="P684" s="69"/>
      <c r="Q684" s="248"/>
      <c r="R684" s="247"/>
      <c r="S684" s="69"/>
      <c r="T684" s="162"/>
      <c r="U684" s="69"/>
    </row>
    <row r="685" spans="1:21">
      <c r="A685" s="294"/>
      <c r="B685" s="294"/>
      <c r="C685" s="294"/>
      <c r="D685" s="294"/>
      <c r="E685" s="290"/>
      <c r="F685" s="290"/>
      <c r="G685" s="292"/>
      <c r="H685" s="292"/>
      <c r="I685" s="293"/>
      <c r="O685" s="69"/>
      <c r="P685" s="69"/>
      <c r="Q685" s="248"/>
      <c r="R685" s="247"/>
      <c r="S685" s="69"/>
      <c r="T685" s="162"/>
      <c r="U685" s="69"/>
    </row>
    <row r="686" spans="1:21">
      <c r="A686" s="294"/>
      <c r="B686" s="294"/>
      <c r="C686" s="294"/>
      <c r="D686" s="294"/>
      <c r="E686" s="290"/>
      <c r="F686" s="290"/>
      <c r="G686" s="292"/>
      <c r="H686" s="292"/>
      <c r="I686" s="293"/>
      <c r="O686" s="69"/>
      <c r="P686" s="69"/>
      <c r="Q686" s="248"/>
      <c r="R686" s="247"/>
      <c r="S686" s="69"/>
      <c r="T686" s="162"/>
      <c r="U686" s="69"/>
    </row>
    <row r="687" spans="1:21">
      <c r="A687" s="294"/>
      <c r="B687" s="294"/>
      <c r="C687" s="294"/>
      <c r="D687" s="294"/>
      <c r="E687" s="290"/>
      <c r="F687" s="290"/>
      <c r="G687" s="292"/>
      <c r="H687" s="292"/>
      <c r="I687" s="293"/>
      <c r="O687" s="69"/>
      <c r="P687" s="69"/>
      <c r="Q687" s="248"/>
      <c r="R687" s="247"/>
      <c r="S687" s="69"/>
      <c r="T687" s="162"/>
      <c r="U687" s="69"/>
    </row>
    <row r="688" spans="1:21">
      <c r="A688" s="294"/>
      <c r="B688" s="294"/>
      <c r="C688" s="294"/>
      <c r="D688" s="294"/>
      <c r="E688" s="290"/>
      <c r="F688" s="290"/>
      <c r="G688" s="292"/>
      <c r="H688" s="292"/>
      <c r="I688" s="293"/>
      <c r="O688" s="69"/>
      <c r="P688" s="69"/>
      <c r="Q688" s="248"/>
      <c r="R688" s="247"/>
      <c r="S688" s="69"/>
      <c r="T688" s="162"/>
      <c r="U688" s="69"/>
    </row>
    <row r="689" spans="1:21">
      <c r="A689" s="294"/>
      <c r="B689" s="294"/>
      <c r="C689" s="294"/>
      <c r="D689" s="294"/>
      <c r="E689" s="290"/>
      <c r="F689" s="290"/>
      <c r="G689" s="292"/>
      <c r="H689" s="292"/>
      <c r="I689" s="293"/>
      <c r="O689" s="69"/>
      <c r="P689" s="69"/>
      <c r="Q689" s="248"/>
      <c r="R689" s="247"/>
      <c r="S689" s="69"/>
      <c r="T689" s="162"/>
      <c r="U689" s="69"/>
    </row>
    <row r="690" spans="1:21">
      <c r="A690" s="294"/>
      <c r="B690" s="294"/>
      <c r="C690" s="294"/>
      <c r="D690" s="294"/>
      <c r="E690" s="290"/>
      <c r="F690" s="290"/>
      <c r="G690" s="292"/>
      <c r="H690" s="292"/>
      <c r="I690" s="293"/>
      <c r="O690" s="69"/>
      <c r="P690" s="69"/>
      <c r="Q690" s="248"/>
      <c r="R690" s="247"/>
      <c r="S690" s="69"/>
      <c r="T690" s="162"/>
      <c r="U690" s="69"/>
    </row>
    <row r="691" spans="1:21">
      <c r="A691" s="294"/>
      <c r="B691" s="294"/>
      <c r="C691" s="294"/>
      <c r="D691" s="294"/>
      <c r="E691" s="290"/>
      <c r="F691" s="290"/>
      <c r="G691" s="292"/>
      <c r="H691" s="292"/>
      <c r="I691" s="293"/>
      <c r="O691" s="69"/>
      <c r="P691" s="69"/>
      <c r="Q691" s="248"/>
      <c r="R691" s="247"/>
      <c r="S691" s="69"/>
      <c r="T691" s="162"/>
      <c r="U691" s="69"/>
    </row>
    <row r="692" spans="1:21">
      <c r="A692" s="294"/>
      <c r="B692" s="294"/>
      <c r="C692" s="294"/>
      <c r="D692" s="294"/>
      <c r="E692" s="290"/>
      <c r="F692" s="290"/>
      <c r="G692" s="292"/>
      <c r="H692" s="292"/>
      <c r="I692" s="293"/>
      <c r="O692" s="69"/>
      <c r="P692" s="69"/>
      <c r="Q692" s="248"/>
      <c r="R692" s="247"/>
      <c r="S692" s="69"/>
      <c r="T692" s="162"/>
      <c r="U692" s="69"/>
    </row>
    <row r="693" spans="1:21">
      <c r="A693" s="294"/>
      <c r="B693" s="294"/>
      <c r="C693" s="294"/>
      <c r="D693" s="294"/>
      <c r="E693" s="290"/>
      <c r="F693" s="290"/>
      <c r="G693" s="292"/>
      <c r="H693" s="292"/>
      <c r="I693" s="293"/>
      <c r="O693" s="69"/>
      <c r="P693" s="69"/>
      <c r="Q693" s="248"/>
      <c r="R693" s="247"/>
      <c r="S693" s="69"/>
      <c r="T693" s="162"/>
      <c r="U693" s="69"/>
    </row>
    <row r="694" spans="1:21">
      <c r="A694" s="294"/>
      <c r="B694" s="294"/>
      <c r="C694" s="294"/>
      <c r="D694" s="294"/>
      <c r="E694" s="290"/>
      <c r="F694" s="290"/>
      <c r="G694" s="292"/>
      <c r="H694" s="292"/>
      <c r="I694" s="293"/>
      <c r="O694" s="69"/>
      <c r="P694" s="69"/>
      <c r="Q694" s="248"/>
      <c r="R694" s="247"/>
      <c r="S694" s="69"/>
      <c r="T694" s="162"/>
      <c r="U694" s="69"/>
    </row>
    <row r="695" spans="1:21">
      <c r="A695" s="294"/>
      <c r="B695" s="294"/>
      <c r="C695" s="294"/>
      <c r="D695" s="294"/>
      <c r="E695" s="290"/>
      <c r="F695" s="290"/>
      <c r="G695" s="292"/>
      <c r="H695" s="292"/>
      <c r="I695" s="293"/>
      <c r="O695" s="69"/>
      <c r="P695" s="69"/>
      <c r="Q695" s="248"/>
      <c r="R695" s="247"/>
      <c r="S695" s="69"/>
      <c r="T695" s="162"/>
      <c r="U695" s="69"/>
    </row>
    <row r="696" spans="1:21">
      <c r="A696" s="294"/>
      <c r="B696" s="294"/>
      <c r="C696" s="294"/>
      <c r="D696" s="294"/>
      <c r="E696" s="290"/>
      <c r="F696" s="290"/>
      <c r="G696" s="292"/>
      <c r="H696" s="292"/>
      <c r="I696" s="293"/>
      <c r="O696" s="69"/>
      <c r="P696" s="69"/>
      <c r="Q696" s="248"/>
      <c r="R696" s="247"/>
      <c r="S696" s="69"/>
      <c r="T696" s="162"/>
      <c r="U696" s="69"/>
    </row>
    <row r="697" spans="1:21">
      <c r="A697" s="294"/>
      <c r="B697" s="294"/>
      <c r="C697" s="294"/>
      <c r="D697" s="294"/>
      <c r="E697" s="290"/>
      <c r="F697" s="290"/>
      <c r="G697" s="292"/>
      <c r="H697" s="292"/>
      <c r="I697" s="293"/>
      <c r="O697" s="69"/>
      <c r="P697" s="69"/>
      <c r="Q697" s="248"/>
      <c r="R697" s="247"/>
      <c r="S697" s="69"/>
      <c r="T697" s="162"/>
      <c r="U697" s="69"/>
    </row>
    <row r="698" spans="1:21">
      <c r="A698" s="294"/>
      <c r="B698" s="294"/>
      <c r="C698" s="294"/>
      <c r="D698" s="294"/>
      <c r="E698" s="290"/>
      <c r="F698" s="290"/>
      <c r="G698" s="292"/>
      <c r="H698" s="292"/>
      <c r="I698" s="293"/>
      <c r="O698" s="69"/>
      <c r="P698" s="69"/>
      <c r="Q698" s="248"/>
      <c r="R698" s="247"/>
      <c r="S698" s="69"/>
      <c r="T698" s="162"/>
      <c r="U698" s="69"/>
    </row>
    <row r="699" spans="1:21">
      <c r="A699" s="294"/>
      <c r="B699" s="294"/>
      <c r="C699" s="294"/>
      <c r="D699" s="294"/>
      <c r="E699" s="290"/>
      <c r="F699" s="290"/>
      <c r="G699" s="292"/>
      <c r="H699" s="292"/>
      <c r="I699" s="293"/>
      <c r="O699" s="69"/>
      <c r="P699" s="69"/>
      <c r="Q699" s="248"/>
      <c r="R699" s="247"/>
      <c r="S699" s="69"/>
      <c r="T699" s="162"/>
      <c r="U699" s="69"/>
    </row>
    <row r="700" spans="1:21">
      <c r="A700" s="294"/>
      <c r="B700" s="294"/>
      <c r="C700" s="294"/>
      <c r="D700" s="294"/>
      <c r="E700" s="290"/>
      <c r="F700" s="290"/>
      <c r="G700" s="292"/>
      <c r="H700" s="292"/>
      <c r="I700" s="293"/>
      <c r="O700" s="69"/>
      <c r="P700" s="69"/>
      <c r="Q700" s="248"/>
      <c r="R700" s="247"/>
      <c r="S700" s="69"/>
      <c r="T700" s="162"/>
      <c r="U700" s="69"/>
    </row>
    <row r="701" spans="1:21">
      <c r="A701" s="294"/>
      <c r="B701" s="294"/>
      <c r="C701" s="294"/>
      <c r="D701" s="294"/>
      <c r="E701" s="290"/>
      <c r="F701" s="290"/>
      <c r="G701" s="292"/>
      <c r="H701" s="292"/>
      <c r="I701" s="293"/>
      <c r="O701" s="69"/>
      <c r="P701" s="69"/>
      <c r="Q701" s="248"/>
      <c r="R701" s="247"/>
      <c r="S701" s="69"/>
      <c r="T701" s="162"/>
      <c r="U701" s="69"/>
    </row>
    <row r="702" spans="1:21">
      <c r="A702" s="294"/>
      <c r="B702" s="294"/>
      <c r="C702" s="294"/>
      <c r="D702" s="294"/>
      <c r="E702" s="290"/>
      <c r="F702" s="290"/>
      <c r="G702" s="292"/>
      <c r="H702" s="292"/>
      <c r="I702" s="293"/>
      <c r="O702" s="69"/>
      <c r="P702" s="69"/>
      <c r="Q702" s="248"/>
      <c r="R702" s="247"/>
      <c r="S702" s="69"/>
      <c r="T702" s="162"/>
      <c r="U702" s="69"/>
    </row>
    <row r="703" spans="1:21">
      <c r="A703" s="294"/>
      <c r="B703" s="294"/>
      <c r="C703" s="294"/>
      <c r="D703" s="294"/>
      <c r="E703" s="290"/>
      <c r="F703" s="290"/>
      <c r="G703" s="292"/>
      <c r="H703" s="292"/>
      <c r="I703" s="293"/>
      <c r="O703" s="69"/>
      <c r="P703" s="69"/>
      <c r="Q703" s="248"/>
      <c r="R703" s="247"/>
      <c r="S703" s="69"/>
      <c r="T703" s="162"/>
      <c r="U703" s="69"/>
    </row>
    <row r="704" spans="1:21">
      <c r="A704" s="294"/>
      <c r="B704" s="294"/>
      <c r="C704" s="294"/>
      <c r="D704" s="294"/>
      <c r="E704" s="290"/>
      <c r="F704" s="290"/>
      <c r="G704" s="292"/>
      <c r="H704" s="292"/>
      <c r="I704" s="293"/>
      <c r="O704" s="69"/>
      <c r="P704" s="69"/>
      <c r="Q704" s="248"/>
      <c r="R704" s="247"/>
      <c r="S704" s="69"/>
      <c r="T704" s="162"/>
      <c r="U704" s="69"/>
    </row>
    <row r="705" spans="1:21">
      <c r="A705" s="294"/>
      <c r="B705" s="294"/>
      <c r="C705" s="294"/>
      <c r="D705" s="294"/>
      <c r="E705" s="290"/>
      <c r="F705" s="290"/>
      <c r="G705" s="292"/>
      <c r="H705" s="292"/>
      <c r="I705" s="293"/>
      <c r="O705" s="69"/>
      <c r="P705" s="69"/>
      <c r="Q705" s="248"/>
      <c r="R705" s="247"/>
      <c r="S705" s="69"/>
      <c r="T705" s="162"/>
      <c r="U705" s="69"/>
    </row>
    <row r="706" spans="1:21">
      <c r="A706" s="294"/>
      <c r="B706" s="294"/>
      <c r="C706" s="294"/>
      <c r="D706" s="294"/>
      <c r="E706" s="290"/>
      <c r="F706" s="290"/>
      <c r="G706" s="292"/>
      <c r="H706" s="292"/>
      <c r="I706" s="293"/>
      <c r="O706" s="69"/>
      <c r="P706" s="69"/>
      <c r="Q706" s="248"/>
      <c r="R706" s="247"/>
      <c r="S706" s="69"/>
      <c r="T706" s="162"/>
      <c r="U706" s="69"/>
    </row>
    <row r="707" spans="1:21">
      <c r="A707" s="294"/>
      <c r="B707" s="294"/>
      <c r="C707" s="294"/>
      <c r="D707" s="294"/>
      <c r="E707" s="290"/>
      <c r="F707" s="290"/>
      <c r="G707" s="291"/>
      <c r="H707" s="292"/>
      <c r="I707" s="293"/>
      <c r="O707" s="69"/>
      <c r="P707" s="69"/>
      <c r="Q707" s="248"/>
      <c r="R707" s="247"/>
      <c r="S707" s="69"/>
      <c r="T707" s="162"/>
      <c r="U707" s="69"/>
    </row>
    <row r="708" spans="1:21">
      <c r="A708" s="294"/>
      <c r="B708" s="294"/>
      <c r="C708" s="294"/>
      <c r="D708" s="294"/>
      <c r="E708" s="290"/>
      <c r="F708" s="290"/>
      <c r="G708" s="291"/>
      <c r="H708" s="292"/>
      <c r="I708" s="293"/>
      <c r="O708" s="69"/>
      <c r="P708" s="69"/>
      <c r="Q708" s="248"/>
      <c r="R708" s="247"/>
      <c r="S708" s="69"/>
      <c r="T708" s="162"/>
      <c r="U708" s="69"/>
    </row>
    <row r="709" spans="1:21">
      <c r="A709" s="294"/>
      <c r="B709" s="294"/>
      <c r="C709" s="294"/>
      <c r="D709" s="294"/>
      <c r="E709" s="290"/>
      <c r="F709" s="290"/>
      <c r="G709" s="291"/>
      <c r="H709" s="292"/>
      <c r="I709" s="293"/>
      <c r="O709" s="69"/>
      <c r="P709" s="69"/>
      <c r="Q709" s="248"/>
      <c r="R709" s="247"/>
      <c r="S709" s="69"/>
      <c r="T709" s="162"/>
      <c r="U709" s="69"/>
    </row>
    <row r="710" spans="1:21">
      <c r="A710" s="294"/>
      <c r="B710" s="294"/>
      <c r="C710" s="294"/>
      <c r="D710" s="294"/>
      <c r="E710" s="290"/>
      <c r="F710" s="290"/>
      <c r="G710" s="291"/>
      <c r="H710" s="292"/>
      <c r="I710" s="293"/>
      <c r="O710" s="69"/>
      <c r="P710" s="69"/>
      <c r="Q710" s="248"/>
      <c r="R710" s="247"/>
      <c r="S710" s="69"/>
      <c r="T710" s="162"/>
      <c r="U710" s="69"/>
    </row>
    <row r="711" spans="1:21">
      <c r="A711" s="294"/>
      <c r="B711" s="294"/>
      <c r="C711" s="294"/>
      <c r="D711" s="294"/>
      <c r="E711" s="290"/>
      <c r="F711" s="290"/>
      <c r="G711" s="291"/>
      <c r="H711" s="292"/>
      <c r="I711" s="293"/>
      <c r="O711" s="69"/>
      <c r="P711" s="69"/>
      <c r="Q711" s="248"/>
      <c r="R711" s="247"/>
      <c r="S711" s="69"/>
      <c r="T711" s="162"/>
      <c r="U711" s="69"/>
    </row>
    <row r="712" spans="1:21">
      <c r="A712" s="294"/>
      <c r="B712" s="294"/>
      <c r="C712" s="294"/>
      <c r="D712" s="294"/>
      <c r="E712" s="290"/>
      <c r="F712" s="290"/>
      <c r="G712" s="291"/>
      <c r="H712" s="292"/>
      <c r="I712" s="293"/>
      <c r="O712" s="69"/>
      <c r="P712" s="69"/>
      <c r="Q712" s="248"/>
      <c r="R712" s="247"/>
      <c r="S712" s="69"/>
      <c r="T712" s="162"/>
      <c r="U712" s="69"/>
    </row>
    <row r="713" spans="1:21">
      <c r="A713" s="294"/>
      <c r="B713" s="294"/>
      <c r="C713" s="294"/>
      <c r="D713" s="294"/>
      <c r="E713" s="290"/>
      <c r="F713" s="290"/>
      <c r="G713" s="291"/>
      <c r="H713" s="292"/>
      <c r="I713" s="293"/>
      <c r="O713" s="69"/>
      <c r="P713" s="69"/>
      <c r="Q713" s="248"/>
      <c r="R713" s="247"/>
      <c r="S713" s="69"/>
      <c r="T713" s="162"/>
      <c r="U713" s="69"/>
    </row>
    <row r="714" spans="1:21">
      <c r="A714" s="294"/>
      <c r="B714" s="294"/>
      <c r="C714" s="294"/>
      <c r="D714" s="294"/>
      <c r="E714" s="290"/>
      <c r="F714" s="290"/>
      <c r="G714" s="291"/>
      <c r="H714" s="292"/>
      <c r="I714" s="293"/>
      <c r="O714" s="69"/>
      <c r="P714" s="69"/>
      <c r="Q714" s="248"/>
      <c r="R714" s="247"/>
      <c r="S714" s="69"/>
      <c r="T714" s="162"/>
      <c r="U714" s="69"/>
    </row>
    <row r="715" spans="1:21">
      <c r="A715" s="294"/>
      <c r="B715" s="294"/>
      <c r="C715" s="294"/>
      <c r="D715" s="294"/>
      <c r="E715" s="290"/>
      <c r="F715" s="290"/>
      <c r="G715" s="291"/>
      <c r="H715" s="292"/>
      <c r="I715" s="293"/>
      <c r="O715" s="69"/>
      <c r="P715" s="69"/>
      <c r="Q715" s="248"/>
      <c r="R715" s="247"/>
      <c r="S715" s="69"/>
      <c r="T715" s="162"/>
      <c r="U715" s="69"/>
    </row>
    <row r="716" spans="1:21">
      <c r="A716" s="294"/>
      <c r="B716" s="294"/>
      <c r="C716" s="294"/>
      <c r="D716" s="294"/>
      <c r="E716" s="290"/>
      <c r="F716" s="290"/>
      <c r="G716" s="291"/>
      <c r="H716" s="292"/>
      <c r="I716" s="293"/>
      <c r="O716" s="69"/>
      <c r="P716" s="69"/>
      <c r="Q716" s="248"/>
      <c r="R716" s="247"/>
      <c r="S716" s="69"/>
      <c r="T716" s="162"/>
      <c r="U716" s="69"/>
    </row>
    <row r="717" spans="1:21">
      <c r="A717" s="294"/>
      <c r="B717" s="294"/>
      <c r="C717" s="294"/>
      <c r="D717" s="294"/>
      <c r="E717" s="290"/>
      <c r="F717" s="290"/>
      <c r="G717" s="291"/>
      <c r="H717" s="292"/>
      <c r="I717" s="293"/>
      <c r="O717" s="69"/>
      <c r="P717" s="69"/>
      <c r="Q717" s="248"/>
      <c r="R717" s="247"/>
      <c r="S717" s="69"/>
      <c r="T717" s="162"/>
      <c r="U717" s="69"/>
    </row>
    <row r="718" spans="1:21">
      <c r="A718" s="294"/>
      <c r="B718" s="294"/>
      <c r="C718" s="294"/>
      <c r="D718" s="294"/>
      <c r="E718" s="290"/>
      <c r="F718" s="290"/>
      <c r="G718" s="291"/>
      <c r="H718" s="292"/>
      <c r="I718" s="293"/>
      <c r="O718" s="69"/>
      <c r="P718" s="69"/>
      <c r="Q718" s="248"/>
      <c r="R718" s="247"/>
      <c r="S718" s="69"/>
      <c r="T718" s="162"/>
      <c r="U718" s="69"/>
    </row>
    <row r="719" spans="1:21">
      <c r="A719" s="294"/>
      <c r="B719" s="294"/>
      <c r="C719" s="294"/>
      <c r="D719" s="294"/>
      <c r="E719" s="290"/>
      <c r="F719" s="290"/>
      <c r="G719" s="291"/>
      <c r="H719" s="292"/>
      <c r="I719" s="293"/>
      <c r="O719" s="69"/>
      <c r="P719" s="69"/>
      <c r="Q719" s="248"/>
      <c r="R719" s="247"/>
      <c r="S719" s="69"/>
      <c r="T719" s="162"/>
      <c r="U719" s="69"/>
    </row>
    <row r="720" spans="1:21">
      <c r="A720" s="294"/>
      <c r="B720" s="294"/>
      <c r="C720" s="294"/>
      <c r="D720" s="294"/>
      <c r="E720" s="290"/>
      <c r="F720" s="290"/>
      <c r="G720" s="291"/>
      <c r="H720" s="292"/>
      <c r="I720" s="293"/>
      <c r="O720" s="69"/>
      <c r="P720" s="69"/>
      <c r="Q720" s="248"/>
      <c r="R720" s="247"/>
      <c r="S720" s="69"/>
      <c r="T720" s="162"/>
      <c r="U720" s="69"/>
    </row>
    <row r="721" spans="1:21">
      <c r="A721" s="294"/>
      <c r="B721" s="294"/>
      <c r="C721" s="294"/>
      <c r="D721" s="294"/>
      <c r="E721" s="290"/>
      <c r="F721" s="290"/>
      <c r="G721" s="291"/>
      <c r="H721" s="292"/>
      <c r="I721" s="293"/>
      <c r="O721" s="69"/>
      <c r="P721" s="69"/>
      <c r="Q721" s="248"/>
      <c r="R721" s="247"/>
      <c r="S721" s="69"/>
      <c r="T721" s="162"/>
      <c r="U721" s="69"/>
    </row>
    <row r="722" spans="1:21">
      <c r="A722" s="294"/>
      <c r="B722" s="294"/>
      <c r="C722" s="294"/>
      <c r="D722" s="294"/>
      <c r="E722" s="290"/>
      <c r="F722" s="290"/>
      <c r="G722" s="291"/>
      <c r="H722" s="292"/>
      <c r="I722" s="293"/>
      <c r="O722" s="69"/>
      <c r="P722" s="69"/>
      <c r="Q722" s="248"/>
      <c r="R722" s="247"/>
      <c r="S722" s="69"/>
      <c r="T722" s="162"/>
      <c r="U722" s="69"/>
    </row>
    <row r="723" spans="1:21">
      <c r="A723" s="294"/>
      <c r="B723" s="294"/>
      <c r="C723" s="294"/>
      <c r="D723" s="294"/>
      <c r="E723" s="290"/>
      <c r="F723" s="290"/>
      <c r="G723" s="291"/>
      <c r="H723" s="292"/>
      <c r="I723" s="293"/>
      <c r="O723" s="69"/>
      <c r="P723" s="69"/>
      <c r="Q723" s="248"/>
      <c r="R723" s="247"/>
      <c r="S723" s="69"/>
      <c r="T723" s="162"/>
      <c r="U723" s="69"/>
    </row>
    <row r="724" spans="1:21">
      <c r="A724" s="294"/>
      <c r="B724" s="294"/>
      <c r="C724" s="294"/>
      <c r="D724" s="294"/>
      <c r="E724" s="290"/>
      <c r="F724" s="290"/>
      <c r="G724" s="291"/>
      <c r="H724" s="292"/>
      <c r="I724" s="293"/>
      <c r="O724" s="69"/>
      <c r="P724" s="69"/>
      <c r="Q724" s="248"/>
      <c r="R724" s="247"/>
      <c r="S724" s="69"/>
      <c r="T724" s="162"/>
      <c r="U724" s="69"/>
    </row>
    <row r="725" spans="1:21">
      <c r="A725" s="294"/>
      <c r="B725" s="294"/>
      <c r="C725" s="294"/>
      <c r="D725" s="294"/>
      <c r="E725" s="290"/>
      <c r="F725" s="290"/>
      <c r="G725" s="291"/>
      <c r="H725" s="292"/>
      <c r="I725" s="293"/>
      <c r="O725" s="69"/>
      <c r="P725" s="69"/>
      <c r="Q725" s="248"/>
      <c r="R725" s="247"/>
      <c r="S725" s="69"/>
      <c r="T725" s="162"/>
      <c r="U725" s="69"/>
    </row>
    <row r="726" spans="1:21">
      <c r="A726" s="294"/>
      <c r="B726" s="294"/>
      <c r="C726" s="294"/>
      <c r="D726" s="294"/>
      <c r="E726" s="290"/>
      <c r="F726" s="290"/>
      <c r="G726" s="291"/>
      <c r="H726" s="292"/>
      <c r="I726" s="293"/>
      <c r="O726" s="69"/>
      <c r="P726" s="69"/>
      <c r="Q726" s="248"/>
      <c r="R726" s="247"/>
      <c r="S726" s="69"/>
      <c r="T726" s="162"/>
      <c r="U726" s="69"/>
    </row>
    <row r="727" spans="1:21">
      <c r="A727" s="294"/>
      <c r="B727" s="294"/>
      <c r="C727" s="294"/>
      <c r="D727" s="294"/>
      <c r="E727" s="290"/>
      <c r="F727" s="290"/>
      <c r="G727" s="291"/>
      <c r="H727" s="292"/>
      <c r="I727" s="293"/>
      <c r="O727" s="69"/>
      <c r="P727" s="69"/>
      <c r="Q727" s="248"/>
      <c r="R727" s="247"/>
      <c r="S727" s="69"/>
      <c r="T727" s="162"/>
      <c r="U727" s="69"/>
    </row>
    <row r="728" spans="1:21">
      <c r="A728" s="294"/>
      <c r="B728" s="294"/>
      <c r="C728" s="294"/>
      <c r="D728" s="294"/>
      <c r="E728" s="290"/>
      <c r="F728" s="290"/>
      <c r="G728" s="291"/>
      <c r="H728" s="292"/>
      <c r="I728" s="293"/>
      <c r="O728" s="69"/>
      <c r="P728" s="69"/>
      <c r="Q728" s="248"/>
      <c r="R728" s="247"/>
      <c r="S728" s="69"/>
      <c r="T728" s="162"/>
      <c r="U728" s="69"/>
    </row>
    <row r="729" spans="1:21">
      <c r="A729" s="294"/>
      <c r="B729" s="294"/>
      <c r="C729" s="294"/>
      <c r="D729" s="294"/>
      <c r="E729" s="290"/>
      <c r="F729" s="290"/>
      <c r="G729" s="291"/>
      <c r="H729" s="292"/>
      <c r="I729" s="293"/>
      <c r="O729" s="69"/>
      <c r="P729" s="69"/>
      <c r="Q729" s="248"/>
      <c r="R729" s="247"/>
      <c r="S729" s="69"/>
      <c r="T729" s="162"/>
      <c r="U729" s="69"/>
    </row>
    <row r="730" spans="1:21">
      <c r="A730" s="294"/>
      <c r="B730" s="294"/>
      <c r="C730" s="294"/>
      <c r="D730" s="294"/>
      <c r="E730" s="290"/>
      <c r="F730" s="290"/>
      <c r="G730" s="292"/>
      <c r="H730" s="292"/>
      <c r="I730" s="293"/>
      <c r="O730" s="69"/>
      <c r="P730" s="69"/>
      <c r="Q730" s="248"/>
      <c r="R730" s="247"/>
      <c r="S730" s="69"/>
      <c r="T730" s="162"/>
      <c r="U730" s="69"/>
    </row>
    <row r="731" spans="1:21">
      <c r="A731" s="294"/>
      <c r="B731" s="294"/>
      <c r="C731" s="294"/>
      <c r="D731" s="294"/>
      <c r="E731" s="290"/>
      <c r="F731" s="290"/>
      <c r="G731" s="292"/>
      <c r="H731" s="292"/>
      <c r="I731" s="293"/>
      <c r="O731" s="69"/>
      <c r="P731" s="69"/>
      <c r="Q731" s="248"/>
      <c r="R731" s="247"/>
      <c r="S731" s="69"/>
      <c r="T731" s="162"/>
      <c r="U731" s="69"/>
    </row>
    <row r="732" spans="1:21">
      <c r="A732" s="294"/>
      <c r="B732" s="294"/>
      <c r="C732" s="294"/>
      <c r="D732" s="294"/>
      <c r="E732" s="290"/>
      <c r="F732" s="290"/>
      <c r="G732" s="292"/>
      <c r="H732" s="292"/>
      <c r="I732" s="293"/>
      <c r="O732" s="69"/>
      <c r="P732" s="69"/>
      <c r="Q732" s="248"/>
      <c r="R732" s="247"/>
      <c r="S732" s="69"/>
      <c r="T732" s="162"/>
      <c r="U732" s="69"/>
    </row>
    <row r="733" spans="1:21">
      <c r="A733" s="294"/>
      <c r="B733" s="294"/>
      <c r="C733" s="294"/>
      <c r="D733" s="294"/>
      <c r="E733" s="290"/>
      <c r="F733" s="290"/>
      <c r="G733" s="292"/>
      <c r="H733" s="292"/>
      <c r="I733" s="293"/>
      <c r="O733" s="69"/>
      <c r="P733" s="69"/>
      <c r="Q733" s="248"/>
      <c r="R733" s="247"/>
      <c r="S733" s="69"/>
      <c r="T733" s="162"/>
      <c r="U733" s="69"/>
    </row>
    <row r="734" spans="1:21">
      <c r="A734" s="294"/>
      <c r="B734" s="294"/>
      <c r="C734" s="294"/>
      <c r="D734" s="294"/>
      <c r="E734" s="290"/>
      <c r="F734" s="290"/>
      <c r="G734" s="292"/>
      <c r="H734" s="292"/>
      <c r="I734" s="293"/>
      <c r="O734" s="69"/>
      <c r="P734" s="69"/>
      <c r="Q734" s="248"/>
      <c r="R734" s="247"/>
      <c r="S734" s="69"/>
      <c r="T734" s="162"/>
      <c r="U734" s="69"/>
    </row>
    <row r="735" spans="1:21">
      <c r="A735" s="294"/>
      <c r="B735" s="294"/>
      <c r="C735" s="294"/>
      <c r="D735" s="294"/>
      <c r="E735" s="290"/>
      <c r="F735" s="290"/>
      <c r="G735" s="292"/>
      <c r="H735" s="292"/>
      <c r="I735" s="293"/>
      <c r="O735" s="69"/>
      <c r="P735" s="69"/>
      <c r="Q735" s="248"/>
      <c r="R735" s="247"/>
      <c r="S735" s="69"/>
      <c r="T735" s="162"/>
      <c r="U735" s="69"/>
    </row>
    <row r="736" spans="1:21">
      <c r="A736" s="294"/>
      <c r="B736" s="294"/>
      <c r="C736" s="294"/>
      <c r="D736" s="294"/>
      <c r="E736" s="290"/>
      <c r="F736" s="290"/>
      <c r="G736" s="292"/>
      <c r="H736" s="292"/>
      <c r="I736" s="293"/>
      <c r="O736" s="69"/>
      <c r="P736" s="69"/>
      <c r="Q736" s="248"/>
      <c r="R736" s="247"/>
      <c r="S736" s="69"/>
      <c r="T736" s="162"/>
      <c r="U736" s="69"/>
    </row>
    <row r="737" spans="1:21">
      <c r="A737" s="294"/>
      <c r="B737" s="294"/>
      <c r="C737" s="294"/>
      <c r="D737" s="294"/>
      <c r="E737" s="290"/>
      <c r="F737" s="290"/>
      <c r="G737" s="292"/>
      <c r="H737" s="292"/>
      <c r="I737" s="293"/>
      <c r="O737" s="69"/>
      <c r="P737" s="69"/>
      <c r="Q737" s="248"/>
      <c r="R737" s="247"/>
      <c r="S737" s="69"/>
      <c r="T737" s="162"/>
      <c r="U737" s="69"/>
    </row>
    <row r="738" spans="1:21">
      <c r="A738" s="294"/>
      <c r="B738" s="294"/>
      <c r="C738" s="294"/>
      <c r="D738" s="294"/>
      <c r="E738" s="290"/>
      <c r="F738" s="290"/>
      <c r="G738" s="292"/>
      <c r="H738" s="292"/>
      <c r="I738" s="293"/>
      <c r="O738" s="69"/>
      <c r="P738" s="69"/>
      <c r="Q738" s="248"/>
      <c r="R738" s="247"/>
      <c r="S738" s="69"/>
      <c r="T738" s="162"/>
      <c r="U738" s="69"/>
    </row>
    <row r="739" spans="1:21">
      <c r="A739" s="294"/>
      <c r="B739" s="294"/>
      <c r="C739" s="294"/>
      <c r="D739" s="294"/>
      <c r="E739" s="290"/>
      <c r="F739" s="290"/>
      <c r="G739" s="292"/>
      <c r="H739" s="292"/>
      <c r="I739" s="293"/>
      <c r="O739" s="69"/>
      <c r="P739" s="69"/>
      <c r="Q739" s="248"/>
      <c r="R739" s="247"/>
      <c r="S739" s="69"/>
      <c r="T739" s="162"/>
      <c r="U739" s="69"/>
    </row>
    <row r="740" spans="1:21">
      <c r="A740" s="294"/>
      <c r="B740" s="294"/>
      <c r="C740" s="294"/>
      <c r="D740" s="294"/>
      <c r="E740" s="290"/>
      <c r="F740" s="290"/>
      <c r="G740" s="292"/>
      <c r="H740" s="292"/>
      <c r="I740" s="293"/>
      <c r="O740" s="69"/>
      <c r="P740" s="69"/>
      <c r="Q740" s="248"/>
      <c r="R740" s="247"/>
      <c r="S740" s="69"/>
      <c r="T740" s="162"/>
      <c r="U740" s="69"/>
    </row>
    <row r="741" spans="1:21">
      <c r="A741" s="294"/>
      <c r="B741" s="294"/>
      <c r="C741" s="294"/>
      <c r="D741" s="294"/>
      <c r="E741" s="290"/>
      <c r="F741" s="290"/>
      <c r="G741" s="292"/>
      <c r="H741" s="292"/>
      <c r="I741" s="293"/>
      <c r="O741" s="69"/>
      <c r="P741" s="69"/>
      <c r="Q741" s="248"/>
      <c r="R741" s="247"/>
      <c r="S741" s="69"/>
      <c r="T741" s="162"/>
      <c r="U741" s="69"/>
    </row>
    <row r="742" spans="1:21">
      <c r="A742" s="294"/>
      <c r="B742" s="294"/>
      <c r="C742" s="294"/>
      <c r="D742" s="294"/>
      <c r="E742" s="290"/>
      <c r="F742" s="290"/>
      <c r="G742" s="292"/>
      <c r="H742" s="292"/>
      <c r="I742" s="293"/>
      <c r="O742" s="69"/>
      <c r="P742" s="69"/>
      <c r="Q742" s="248"/>
      <c r="R742" s="247"/>
      <c r="S742" s="69"/>
      <c r="T742" s="162"/>
      <c r="U742" s="69"/>
    </row>
    <row r="743" spans="1:21">
      <c r="A743" s="294"/>
      <c r="B743" s="294"/>
      <c r="C743" s="294"/>
      <c r="D743" s="294"/>
      <c r="E743" s="290"/>
      <c r="F743" s="290"/>
      <c r="G743" s="292"/>
      <c r="H743" s="292"/>
      <c r="I743" s="293"/>
      <c r="O743" s="69"/>
      <c r="P743" s="69"/>
      <c r="Q743" s="248"/>
      <c r="R743" s="247"/>
      <c r="S743" s="69"/>
      <c r="T743" s="162"/>
      <c r="U743" s="69"/>
    </row>
    <row r="744" spans="1:21">
      <c r="A744" s="294"/>
      <c r="B744" s="294"/>
      <c r="C744" s="294"/>
      <c r="D744" s="294"/>
      <c r="E744" s="290"/>
      <c r="F744" s="290"/>
      <c r="G744" s="292"/>
      <c r="H744" s="292"/>
      <c r="I744" s="293"/>
      <c r="O744" s="69"/>
      <c r="P744" s="69"/>
      <c r="Q744" s="248"/>
      <c r="R744" s="247"/>
      <c r="S744" s="69"/>
      <c r="T744" s="162"/>
      <c r="U744" s="69"/>
    </row>
    <row r="745" spans="1:21">
      <c r="A745" s="294"/>
      <c r="B745" s="294"/>
      <c r="C745" s="294"/>
      <c r="D745" s="294"/>
      <c r="E745" s="290"/>
      <c r="F745" s="290"/>
      <c r="G745" s="292"/>
      <c r="H745" s="292"/>
      <c r="I745" s="293"/>
      <c r="O745" s="69"/>
      <c r="P745" s="69"/>
      <c r="Q745" s="248"/>
      <c r="R745" s="247"/>
      <c r="S745" s="69"/>
      <c r="T745" s="162"/>
      <c r="U745" s="69"/>
    </row>
    <row r="746" spans="1:21">
      <c r="A746" s="294"/>
      <c r="B746" s="294"/>
      <c r="C746" s="294"/>
      <c r="D746" s="294"/>
      <c r="E746" s="290"/>
      <c r="F746" s="290"/>
      <c r="G746" s="292"/>
      <c r="H746" s="292"/>
      <c r="I746" s="293"/>
      <c r="O746" s="69"/>
      <c r="P746" s="69"/>
      <c r="Q746" s="248"/>
      <c r="R746" s="247"/>
      <c r="S746" s="69"/>
      <c r="T746" s="162"/>
      <c r="U746" s="69"/>
    </row>
    <row r="747" spans="1:21">
      <c r="A747" s="294"/>
      <c r="B747" s="294"/>
      <c r="C747" s="294"/>
      <c r="D747" s="294"/>
      <c r="E747" s="290"/>
      <c r="F747" s="290"/>
      <c r="G747" s="292"/>
      <c r="H747" s="292"/>
      <c r="I747" s="293"/>
      <c r="O747" s="69"/>
      <c r="P747" s="69"/>
      <c r="Q747" s="248"/>
      <c r="R747" s="247"/>
      <c r="S747" s="69"/>
      <c r="T747" s="162"/>
      <c r="U747" s="69"/>
    </row>
    <row r="748" spans="1:21">
      <c r="A748" s="294"/>
      <c r="B748" s="294"/>
      <c r="C748" s="294"/>
      <c r="D748" s="294"/>
      <c r="E748" s="290"/>
      <c r="F748" s="290"/>
      <c r="G748" s="292"/>
      <c r="H748" s="292"/>
      <c r="I748" s="293"/>
      <c r="O748" s="69"/>
      <c r="P748" s="69"/>
      <c r="Q748" s="248"/>
      <c r="R748" s="247"/>
      <c r="S748" s="69"/>
      <c r="T748" s="162"/>
      <c r="U748" s="69"/>
    </row>
    <row r="749" spans="1:21">
      <c r="A749" s="294"/>
      <c r="B749" s="294"/>
      <c r="C749" s="294"/>
      <c r="D749" s="294"/>
      <c r="E749" s="290"/>
      <c r="F749" s="290"/>
      <c r="G749" s="292"/>
      <c r="H749" s="292"/>
      <c r="I749" s="293"/>
      <c r="O749" s="69"/>
      <c r="P749" s="69"/>
      <c r="Q749" s="248"/>
      <c r="R749" s="247"/>
      <c r="S749" s="69"/>
      <c r="T749" s="162"/>
      <c r="U749" s="69"/>
    </row>
    <row r="750" spans="1:21">
      <c r="A750" s="294"/>
      <c r="B750" s="294"/>
      <c r="C750" s="294"/>
      <c r="D750" s="294"/>
      <c r="E750" s="290"/>
      <c r="F750" s="290"/>
      <c r="G750" s="292"/>
      <c r="H750" s="292"/>
      <c r="I750" s="293"/>
      <c r="O750" s="69"/>
      <c r="P750" s="69"/>
      <c r="Q750" s="248"/>
      <c r="R750" s="247"/>
      <c r="S750" s="69"/>
      <c r="T750" s="162"/>
      <c r="U750" s="69"/>
    </row>
    <row r="751" spans="1:21">
      <c r="A751" s="294"/>
      <c r="B751" s="294"/>
      <c r="C751" s="294"/>
      <c r="D751" s="294"/>
      <c r="E751" s="290"/>
      <c r="F751" s="290"/>
      <c r="G751" s="292"/>
      <c r="H751" s="292"/>
      <c r="I751" s="293"/>
      <c r="O751" s="69"/>
      <c r="P751" s="69"/>
      <c r="Q751" s="248"/>
      <c r="R751" s="247"/>
      <c r="S751" s="69"/>
      <c r="T751" s="162"/>
      <c r="U751" s="69"/>
    </row>
    <row r="752" spans="1:21">
      <c r="A752" s="294"/>
      <c r="B752" s="294"/>
      <c r="C752" s="294"/>
      <c r="D752" s="294"/>
      <c r="E752" s="290"/>
      <c r="F752" s="290"/>
      <c r="G752" s="292"/>
      <c r="H752" s="292"/>
      <c r="I752" s="293"/>
      <c r="O752" s="69"/>
      <c r="P752" s="69"/>
      <c r="Q752" s="248"/>
      <c r="R752" s="247"/>
      <c r="S752" s="69"/>
      <c r="T752" s="162"/>
      <c r="U752" s="69"/>
    </row>
    <row r="753" spans="1:21">
      <c r="A753" s="294"/>
      <c r="B753" s="294"/>
      <c r="C753" s="294"/>
      <c r="D753" s="294"/>
      <c r="E753" s="290"/>
      <c r="F753" s="290"/>
      <c r="G753" s="292"/>
      <c r="H753" s="292"/>
      <c r="I753" s="293"/>
      <c r="O753" s="69"/>
      <c r="P753" s="69"/>
      <c r="Q753" s="248"/>
      <c r="R753" s="247"/>
      <c r="S753" s="69"/>
      <c r="T753" s="162"/>
      <c r="U753" s="69"/>
    </row>
    <row r="754" spans="1:21">
      <c r="A754" s="294"/>
      <c r="B754" s="294"/>
      <c r="C754" s="294"/>
      <c r="D754" s="294"/>
      <c r="E754" s="290"/>
      <c r="F754" s="290"/>
      <c r="G754" s="292"/>
      <c r="H754" s="292"/>
      <c r="I754" s="293"/>
      <c r="O754" s="69"/>
      <c r="P754" s="69"/>
      <c r="Q754" s="248"/>
      <c r="R754" s="247"/>
      <c r="S754" s="69"/>
      <c r="T754" s="162"/>
      <c r="U754" s="69"/>
    </row>
    <row r="755" spans="1:21">
      <c r="A755" s="294"/>
      <c r="B755" s="294"/>
      <c r="C755" s="294"/>
      <c r="D755" s="294"/>
      <c r="E755" s="290"/>
      <c r="F755" s="290"/>
      <c r="G755" s="292"/>
      <c r="H755" s="292"/>
      <c r="I755" s="293"/>
      <c r="O755" s="69"/>
      <c r="P755" s="69"/>
      <c r="Q755" s="248"/>
      <c r="R755" s="247"/>
      <c r="S755" s="69"/>
      <c r="T755" s="162"/>
      <c r="U755" s="69"/>
    </row>
    <row r="756" spans="1:21">
      <c r="A756" s="294"/>
      <c r="B756" s="294"/>
      <c r="C756" s="294"/>
      <c r="D756" s="294"/>
      <c r="E756" s="290"/>
      <c r="F756" s="290"/>
      <c r="G756" s="292"/>
      <c r="H756" s="292"/>
      <c r="I756" s="293"/>
      <c r="O756" s="69"/>
      <c r="P756" s="69"/>
      <c r="Q756" s="248"/>
      <c r="R756" s="247"/>
      <c r="S756" s="69"/>
      <c r="T756" s="162"/>
      <c r="U756" s="69"/>
    </row>
    <row r="757" spans="1:21">
      <c r="A757" s="294"/>
      <c r="B757" s="294"/>
      <c r="C757" s="294"/>
      <c r="D757" s="294"/>
      <c r="E757" s="290"/>
      <c r="F757" s="290"/>
      <c r="G757" s="292"/>
      <c r="H757" s="292"/>
      <c r="I757" s="293"/>
      <c r="O757" s="69"/>
      <c r="P757" s="69"/>
      <c r="Q757" s="248"/>
      <c r="R757" s="247"/>
      <c r="S757" s="69"/>
      <c r="T757" s="162"/>
      <c r="U757" s="69"/>
    </row>
    <row r="758" spans="1:21">
      <c r="A758" s="294"/>
      <c r="B758" s="294"/>
      <c r="C758" s="294"/>
      <c r="D758" s="294"/>
      <c r="E758" s="290"/>
      <c r="F758" s="290"/>
      <c r="G758" s="292"/>
      <c r="H758" s="292"/>
      <c r="I758" s="293"/>
      <c r="O758" s="69"/>
      <c r="P758" s="69"/>
      <c r="Q758" s="248"/>
      <c r="R758" s="247"/>
      <c r="S758" s="69"/>
      <c r="T758" s="162"/>
      <c r="U758" s="69"/>
    </row>
    <row r="759" spans="1:21">
      <c r="A759" s="294"/>
      <c r="B759" s="294"/>
      <c r="C759" s="294"/>
      <c r="D759" s="294"/>
      <c r="E759" s="290"/>
      <c r="F759" s="290"/>
      <c r="G759" s="292"/>
      <c r="H759" s="292"/>
      <c r="I759" s="293"/>
      <c r="O759" s="69"/>
      <c r="P759" s="69"/>
      <c r="Q759" s="248"/>
      <c r="R759" s="247"/>
      <c r="S759" s="69"/>
      <c r="T759" s="162"/>
      <c r="U759" s="69"/>
    </row>
    <row r="760" spans="1:21">
      <c r="A760" s="294"/>
      <c r="B760" s="294"/>
      <c r="C760" s="294"/>
      <c r="D760" s="294"/>
      <c r="E760" s="290"/>
      <c r="F760" s="290"/>
      <c r="G760" s="292"/>
      <c r="H760" s="292"/>
      <c r="I760" s="293"/>
      <c r="O760" s="69"/>
      <c r="P760" s="69"/>
      <c r="Q760" s="248"/>
      <c r="R760" s="247"/>
      <c r="S760" s="69"/>
      <c r="T760" s="162"/>
      <c r="U760" s="69"/>
    </row>
    <row r="761" spans="1:21">
      <c r="A761" s="294"/>
      <c r="B761" s="294"/>
      <c r="C761" s="294"/>
      <c r="D761" s="294"/>
      <c r="E761" s="290"/>
      <c r="F761" s="290"/>
      <c r="G761" s="292"/>
      <c r="H761" s="292"/>
      <c r="I761" s="293"/>
      <c r="O761" s="69"/>
      <c r="P761" s="69"/>
      <c r="Q761" s="248"/>
      <c r="R761" s="247"/>
      <c r="S761" s="69"/>
      <c r="T761" s="162"/>
      <c r="U761" s="69"/>
    </row>
    <row r="762" spans="1:21">
      <c r="A762" s="294"/>
      <c r="B762" s="294"/>
      <c r="C762" s="294"/>
      <c r="D762" s="294"/>
      <c r="E762" s="290"/>
      <c r="F762" s="290"/>
      <c r="G762" s="292"/>
      <c r="H762" s="292"/>
      <c r="I762" s="293"/>
      <c r="O762" s="69"/>
      <c r="P762" s="69"/>
      <c r="Q762" s="248"/>
      <c r="R762" s="247"/>
      <c r="S762" s="69"/>
      <c r="T762" s="162"/>
      <c r="U762" s="69"/>
    </row>
    <row r="763" spans="1:21">
      <c r="A763" s="294"/>
      <c r="B763" s="294"/>
      <c r="C763" s="294"/>
      <c r="D763" s="294"/>
      <c r="E763" s="290"/>
      <c r="F763" s="290"/>
      <c r="G763" s="292"/>
      <c r="H763" s="292"/>
      <c r="I763" s="293"/>
      <c r="O763" s="69"/>
      <c r="P763" s="69"/>
      <c r="Q763" s="248"/>
      <c r="R763" s="247"/>
      <c r="S763" s="69"/>
      <c r="T763" s="162"/>
      <c r="U763" s="69"/>
    </row>
    <row r="764" spans="1:21">
      <c r="A764" s="294"/>
      <c r="B764" s="294"/>
      <c r="C764" s="294"/>
      <c r="D764" s="294"/>
      <c r="E764" s="290"/>
      <c r="F764" s="290"/>
      <c r="G764" s="292"/>
      <c r="H764" s="292"/>
      <c r="I764" s="293"/>
      <c r="O764" s="69"/>
      <c r="P764" s="69"/>
      <c r="Q764" s="248"/>
      <c r="R764" s="247"/>
      <c r="S764" s="69"/>
      <c r="T764" s="162"/>
      <c r="U764" s="69"/>
    </row>
    <row r="765" spans="1:21">
      <c r="A765" s="294"/>
      <c r="B765" s="294"/>
      <c r="C765" s="294"/>
      <c r="D765" s="294"/>
      <c r="E765" s="290"/>
      <c r="F765" s="290"/>
      <c r="G765" s="292"/>
      <c r="H765" s="292"/>
      <c r="I765" s="293"/>
      <c r="O765" s="69"/>
      <c r="P765" s="69"/>
      <c r="Q765" s="248"/>
      <c r="R765" s="247"/>
      <c r="S765" s="69"/>
      <c r="T765" s="162"/>
      <c r="U765" s="69"/>
    </row>
    <row r="766" spans="1:21">
      <c r="A766" s="294"/>
      <c r="B766" s="294"/>
      <c r="C766" s="294"/>
      <c r="D766" s="294"/>
      <c r="E766" s="290"/>
      <c r="F766" s="290"/>
      <c r="G766" s="292"/>
      <c r="H766" s="292"/>
      <c r="I766" s="293"/>
      <c r="O766" s="69"/>
      <c r="P766" s="69"/>
      <c r="Q766" s="248"/>
      <c r="R766" s="247"/>
      <c r="S766" s="69"/>
      <c r="T766" s="162"/>
      <c r="U766" s="69"/>
    </row>
    <row r="767" spans="1:21">
      <c r="A767" s="294"/>
      <c r="B767" s="294"/>
      <c r="C767" s="294"/>
      <c r="D767" s="294"/>
      <c r="E767" s="290"/>
      <c r="F767" s="290"/>
      <c r="G767" s="292"/>
      <c r="H767" s="292"/>
      <c r="I767" s="293"/>
      <c r="O767" s="69"/>
      <c r="P767" s="69"/>
      <c r="Q767" s="248"/>
      <c r="R767" s="247"/>
      <c r="S767" s="69"/>
      <c r="T767" s="162"/>
      <c r="U767" s="69"/>
    </row>
    <row r="768" spans="1:21">
      <c r="A768" s="294"/>
      <c r="B768" s="294"/>
      <c r="C768" s="294"/>
      <c r="D768" s="294"/>
      <c r="E768" s="290"/>
      <c r="F768" s="290"/>
      <c r="G768" s="292"/>
      <c r="H768" s="292"/>
      <c r="I768" s="293"/>
      <c r="O768" s="69"/>
      <c r="P768" s="69"/>
      <c r="Q768" s="248"/>
      <c r="R768" s="247"/>
      <c r="S768" s="69"/>
      <c r="T768" s="162"/>
      <c r="U768" s="69"/>
    </row>
    <row r="769" spans="1:21">
      <c r="A769" s="294"/>
      <c r="B769" s="294"/>
      <c r="C769" s="294"/>
      <c r="D769" s="294"/>
      <c r="E769" s="290"/>
      <c r="F769" s="290"/>
      <c r="G769" s="292"/>
      <c r="H769" s="292"/>
      <c r="I769" s="293"/>
      <c r="O769" s="69"/>
      <c r="P769" s="69"/>
      <c r="Q769" s="248"/>
      <c r="R769" s="247"/>
      <c r="S769" s="69"/>
      <c r="T769" s="162"/>
      <c r="U769" s="69"/>
    </row>
    <row r="770" spans="1:21">
      <c r="A770" s="294"/>
      <c r="B770" s="294"/>
      <c r="C770" s="294"/>
      <c r="D770" s="294"/>
      <c r="E770" s="290"/>
      <c r="F770" s="290"/>
      <c r="G770" s="292"/>
      <c r="H770" s="292"/>
      <c r="I770" s="293"/>
      <c r="O770" s="69"/>
      <c r="P770" s="69"/>
      <c r="Q770" s="248"/>
      <c r="R770" s="247"/>
      <c r="S770" s="69"/>
      <c r="T770" s="162"/>
      <c r="U770" s="69"/>
    </row>
    <row r="771" spans="1:21">
      <c r="A771" s="294"/>
      <c r="B771" s="294"/>
      <c r="C771" s="294"/>
      <c r="D771" s="294"/>
      <c r="E771" s="290"/>
      <c r="F771" s="290"/>
      <c r="G771" s="292"/>
      <c r="H771" s="292"/>
      <c r="I771" s="293"/>
      <c r="O771" s="69"/>
      <c r="P771" s="69"/>
      <c r="Q771" s="248"/>
      <c r="R771" s="247"/>
      <c r="S771" s="69"/>
      <c r="T771" s="162"/>
      <c r="U771" s="69"/>
    </row>
    <row r="772" spans="1:21">
      <c r="A772" s="294"/>
      <c r="B772" s="294"/>
      <c r="C772" s="294"/>
      <c r="D772" s="294"/>
      <c r="E772" s="290"/>
      <c r="F772" s="290"/>
      <c r="G772" s="292"/>
      <c r="H772" s="292"/>
      <c r="I772" s="293"/>
      <c r="O772" s="69"/>
      <c r="P772" s="69"/>
      <c r="Q772" s="248"/>
      <c r="R772" s="247"/>
      <c r="S772" s="69"/>
      <c r="T772" s="162"/>
      <c r="U772" s="69"/>
    </row>
    <row r="773" spans="1:21">
      <c r="A773" s="294"/>
      <c r="B773" s="294"/>
      <c r="C773" s="294"/>
      <c r="D773" s="294"/>
      <c r="E773" s="290"/>
      <c r="F773" s="290"/>
      <c r="G773" s="292"/>
      <c r="H773" s="292"/>
      <c r="I773" s="293"/>
      <c r="O773" s="69"/>
      <c r="P773" s="69"/>
      <c r="Q773" s="248"/>
      <c r="R773" s="247"/>
      <c r="S773" s="69"/>
      <c r="T773" s="162"/>
      <c r="U773" s="69"/>
    </row>
    <row r="774" spans="1:21">
      <c r="A774" s="294"/>
      <c r="B774" s="294"/>
      <c r="C774" s="294"/>
      <c r="D774" s="294"/>
      <c r="E774" s="290"/>
      <c r="F774" s="290"/>
      <c r="G774" s="292"/>
      <c r="H774" s="292"/>
      <c r="I774" s="293"/>
      <c r="O774" s="69"/>
      <c r="P774" s="69"/>
      <c r="Q774" s="248"/>
      <c r="R774" s="247"/>
      <c r="S774" s="69"/>
      <c r="T774" s="162"/>
      <c r="U774" s="69"/>
    </row>
    <row r="775" spans="1:21">
      <c r="A775" s="294"/>
      <c r="B775" s="294"/>
      <c r="C775" s="294"/>
      <c r="D775" s="294"/>
      <c r="E775" s="290"/>
      <c r="F775" s="290"/>
      <c r="G775" s="292"/>
      <c r="H775" s="292"/>
      <c r="I775" s="293"/>
      <c r="O775" s="69"/>
      <c r="P775" s="69"/>
      <c r="Q775" s="248"/>
      <c r="R775" s="247"/>
      <c r="S775" s="69"/>
      <c r="T775" s="162"/>
      <c r="U775" s="69"/>
    </row>
    <row r="776" spans="1:21">
      <c r="A776" s="294"/>
      <c r="B776" s="294"/>
      <c r="C776" s="294"/>
      <c r="D776" s="294"/>
      <c r="E776" s="290"/>
      <c r="F776" s="290"/>
      <c r="G776" s="292"/>
      <c r="H776" s="292"/>
      <c r="I776" s="293"/>
      <c r="O776" s="69"/>
      <c r="P776" s="69"/>
      <c r="Q776" s="248"/>
      <c r="R776" s="247"/>
      <c r="S776" s="69"/>
      <c r="T776" s="162"/>
      <c r="U776" s="69"/>
    </row>
    <row r="777" spans="1:21">
      <c r="A777" s="294"/>
      <c r="B777" s="294"/>
      <c r="C777" s="294"/>
      <c r="D777" s="294"/>
      <c r="E777" s="290"/>
      <c r="F777" s="290"/>
      <c r="G777" s="292"/>
      <c r="H777" s="292"/>
      <c r="I777" s="293"/>
      <c r="O777" s="69"/>
      <c r="P777" s="69"/>
      <c r="Q777" s="248"/>
      <c r="R777" s="247"/>
      <c r="S777" s="69"/>
      <c r="T777" s="162"/>
      <c r="U777" s="69"/>
    </row>
    <row r="778" spans="1:21">
      <c r="A778" s="294"/>
      <c r="B778" s="294"/>
      <c r="C778" s="294"/>
      <c r="D778" s="294"/>
      <c r="E778" s="290"/>
      <c r="F778" s="290"/>
      <c r="G778" s="292"/>
      <c r="H778" s="292"/>
      <c r="I778" s="293"/>
      <c r="O778" s="69"/>
      <c r="P778" s="69"/>
      <c r="Q778" s="248"/>
      <c r="R778" s="247"/>
      <c r="S778" s="69"/>
      <c r="T778" s="162"/>
      <c r="U778" s="69"/>
    </row>
    <row r="779" spans="1:21">
      <c r="A779" s="294"/>
      <c r="B779" s="294"/>
      <c r="C779" s="294"/>
      <c r="D779" s="294"/>
      <c r="E779" s="290"/>
      <c r="F779" s="290"/>
      <c r="G779" s="292"/>
      <c r="H779" s="292"/>
      <c r="I779" s="293"/>
      <c r="O779" s="69"/>
      <c r="P779" s="69"/>
      <c r="Q779" s="248"/>
      <c r="R779" s="247"/>
      <c r="S779" s="69"/>
      <c r="T779" s="162"/>
      <c r="U779" s="69"/>
    </row>
    <row r="780" spans="1:21">
      <c r="A780" s="294"/>
      <c r="B780" s="294"/>
      <c r="C780" s="294"/>
      <c r="D780" s="294"/>
      <c r="E780" s="290"/>
      <c r="F780" s="290"/>
      <c r="G780" s="292"/>
      <c r="H780" s="292"/>
      <c r="I780" s="293"/>
      <c r="O780" s="69"/>
      <c r="P780" s="69"/>
      <c r="Q780" s="248"/>
      <c r="R780" s="247"/>
      <c r="S780" s="69"/>
      <c r="T780" s="162"/>
      <c r="U780" s="69"/>
    </row>
    <row r="781" spans="1:21">
      <c r="A781" s="294"/>
      <c r="B781" s="294"/>
      <c r="C781" s="294"/>
      <c r="D781" s="294"/>
      <c r="E781" s="290"/>
      <c r="F781" s="290"/>
      <c r="G781" s="292"/>
      <c r="H781" s="292"/>
      <c r="I781" s="293"/>
      <c r="O781" s="69"/>
      <c r="P781" s="69"/>
      <c r="Q781" s="248"/>
      <c r="R781" s="247"/>
      <c r="S781" s="69"/>
      <c r="T781" s="162"/>
      <c r="U781" s="69"/>
    </row>
    <row r="782" spans="1:21">
      <c r="A782" s="294"/>
      <c r="B782" s="294"/>
      <c r="C782" s="294"/>
      <c r="D782" s="294"/>
      <c r="E782" s="290"/>
      <c r="F782" s="290"/>
      <c r="G782" s="292"/>
      <c r="H782" s="292"/>
      <c r="I782" s="293"/>
      <c r="O782" s="69"/>
      <c r="P782" s="69"/>
      <c r="Q782" s="248"/>
      <c r="R782" s="247"/>
      <c r="S782" s="69"/>
      <c r="T782" s="162"/>
      <c r="U782" s="69"/>
    </row>
    <row r="783" spans="1:21">
      <c r="A783" s="294"/>
      <c r="B783" s="294"/>
      <c r="C783" s="294"/>
      <c r="D783" s="294"/>
      <c r="E783" s="290"/>
      <c r="F783" s="290"/>
      <c r="G783" s="292"/>
      <c r="H783" s="292"/>
      <c r="I783" s="293"/>
      <c r="O783" s="69"/>
      <c r="P783" s="69"/>
      <c r="Q783" s="248"/>
      <c r="R783" s="247"/>
      <c r="S783" s="69"/>
      <c r="T783" s="162"/>
      <c r="U783" s="69"/>
    </row>
    <row r="784" spans="1:21">
      <c r="A784" s="294"/>
      <c r="B784" s="294"/>
      <c r="C784" s="294"/>
      <c r="D784" s="294"/>
      <c r="E784" s="290"/>
      <c r="F784" s="290"/>
      <c r="G784" s="292"/>
      <c r="H784" s="292"/>
      <c r="I784" s="293"/>
      <c r="O784" s="69"/>
      <c r="P784" s="69"/>
      <c r="Q784" s="248"/>
      <c r="R784" s="247"/>
      <c r="S784" s="69"/>
      <c r="T784" s="162"/>
      <c r="U784" s="69"/>
    </row>
    <row r="785" spans="1:21">
      <c r="A785" s="294"/>
      <c r="B785" s="294"/>
      <c r="C785" s="294"/>
      <c r="D785" s="294"/>
      <c r="E785" s="290"/>
      <c r="F785" s="290"/>
      <c r="G785" s="292"/>
      <c r="H785" s="292"/>
      <c r="I785" s="293"/>
      <c r="O785" s="69"/>
      <c r="P785" s="69"/>
      <c r="Q785" s="248"/>
      <c r="R785" s="247"/>
      <c r="S785" s="69"/>
      <c r="T785" s="162"/>
      <c r="U785" s="69"/>
    </row>
    <row r="786" spans="1:21">
      <c r="A786" s="294"/>
      <c r="B786" s="294"/>
      <c r="C786" s="294"/>
      <c r="D786" s="294"/>
      <c r="E786" s="290"/>
      <c r="F786" s="290"/>
      <c r="G786" s="292"/>
      <c r="H786" s="292"/>
      <c r="I786" s="293"/>
      <c r="O786" s="69"/>
      <c r="P786" s="69"/>
      <c r="Q786" s="248"/>
      <c r="R786" s="247"/>
      <c r="S786" s="69"/>
      <c r="T786" s="162"/>
      <c r="U786" s="69"/>
    </row>
    <row r="787" spans="1:21">
      <c r="A787" s="294"/>
      <c r="B787" s="294"/>
      <c r="C787" s="294"/>
      <c r="D787" s="294"/>
      <c r="E787" s="290"/>
      <c r="F787" s="290"/>
      <c r="G787" s="292"/>
      <c r="H787" s="292"/>
      <c r="I787" s="293"/>
      <c r="O787" s="69"/>
      <c r="P787" s="69"/>
      <c r="Q787" s="248"/>
      <c r="R787" s="247"/>
      <c r="S787" s="69"/>
      <c r="T787" s="162"/>
      <c r="U787" s="69"/>
    </row>
    <row r="788" spans="1:21">
      <c r="A788" s="294"/>
      <c r="B788" s="294"/>
      <c r="C788" s="294"/>
      <c r="D788" s="294"/>
      <c r="E788" s="290"/>
      <c r="F788" s="290"/>
      <c r="G788" s="292"/>
      <c r="H788" s="292"/>
      <c r="I788" s="293"/>
      <c r="O788" s="69"/>
      <c r="P788" s="69"/>
      <c r="Q788" s="248"/>
      <c r="R788" s="247"/>
      <c r="S788" s="69"/>
      <c r="T788" s="162"/>
      <c r="U788" s="69"/>
    </row>
    <row r="789" spans="1:21">
      <c r="A789" s="294"/>
      <c r="B789" s="294"/>
      <c r="C789" s="294"/>
      <c r="D789" s="294"/>
      <c r="E789" s="290"/>
      <c r="F789" s="290"/>
      <c r="G789" s="292"/>
      <c r="H789" s="292"/>
      <c r="I789" s="293"/>
      <c r="O789" s="69"/>
      <c r="P789" s="69"/>
      <c r="Q789" s="248"/>
      <c r="R789" s="247"/>
      <c r="S789" s="69"/>
      <c r="T789" s="162"/>
      <c r="U789" s="69"/>
    </row>
    <row r="790" spans="1:21">
      <c r="A790" s="294"/>
      <c r="B790" s="294"/>
      <c r="C790" s="294"/>
      <c r="D790" s="294"/>
      <c r="E790" s="290"/>
      <c r="F790" s="290"/>
      <c r="G790" s="292"/>
      <c r="H790" s="292"/>
      <c r="I790" s="293"/>
      <c r="O790" s="69"/>
      <c r="P790" s="69"/>
      <c r="Q790" s="248"/>
      <c r="R790" s="247"/>
      <c r="S790" s="69"/>
      <c r="T790" s="162"/>
      <c r="U790" s="69"/>
    </row>
    <row r="791" spans="1:21">
      <c r="A791" s="294"/>
      <c r="B791" s="294"/>
      <c r="C791" s="294"/>
      <c r="D791" s="294"/>
      <c r="E791" s="290"/>
      <c r="F791" s="290"/>
      <c r="G791" s="292"/>
      <c r="H791" s="292"/>
      <c r="I791" s="293"/>
      <c r="O791" s="69"/>
      <c r="P791" s="69"/>
      <c r="Q791" s="248"/>
      <c r="R791" s="247"/>
      <c r="S791" s="69"/>
      <c r="T791" s="162"/>
      <c r="U791" s="69"/>
    </row>
    <row r="792" spans="1:21">
      <c r="A792" s="294"/>
      <c r="B792" s="294"/>
      <c r="C792" s="294"/>
      <c r="D792" s="294"/>
      <c r="E792" s="290"/>
      <c r="F792" s="290"/>
      <c r="G792" s="292"/>
      <c r="H792" s="292"/>
      <c r="I792" s="293"/>
      <c r="O792" s="69"/>
      <c r="P792" s="69"/>
      <c r="Q792" s="248"/>
      <c r="R792" s="247"/>
      <c r="S792" s="69"/>
      <c r="T792" s="162"/>
      <c r="U792" s="69"/>
    </row>
    <row r="793" spans="1:21">
      <c r="A793" s="294"/>
      <c r="B793" s="294"/>
      <c r="C793" s="294"/>
      <c r="D793" s="294"/>
      <c r="E793" s="290"/>
      <c r="F793" s="290"/>
      <c r="G793" s="292"/>
      <c r="H793" s="292"/>
      <c r="I793" s="293"/>
      <c r="O793" s="69"/>
      <c r="P793" s="69"/>
      <c r="Q793" s="248"/>
      <c r="R793" s="247"/>
      <c r="S793" s="69"/>
      <c r="T793" s="162"/>
      <c r="U793" s="69"/>
    </row>
    <row r="794" spans="1:21">
      <c r="A794" s="294"/>
      <c r="B794" s="294"/>
      <c r="C794" s="294"/>
      <c r="D794" s="294"/>
      <c r="E794" s="290"/>
      <c r="F794" s="290"/>
      <c r="G794" s="292"/>
      <c r="H794" s="292"/>
      <c r="I794" s="293"/>
      <c r="O794" s="69"/>
      <c r="P794" s="69"/>
      <c r="Q794" s="248"/>
      <c r="R794" s="247"/>
      <c r="S794" s="69"/>
      <c r="T794" s="162"/>
      <c r="U794" s="69"/>
    </row>
    <row r="795" spans="1:21">
      <c r="A795" s="294"/>
      <c r="B795" s="294"/>
      <c r="C795" s="294"/>
      <c r="D795" s="294"/>
      <c r="E795" s="290"/>
      <c r="F795" s="290"/>
      <c r="G795" s="292"/>
      <c r="H795" s="292"/>
      <c r="I795" s="293"/>
      <c r="O795" s="69"/>
      <c r="P795" s="69"/>
      <c r="Q795" s="248"/>
      <c r="R795" s="247"/>
      <c r="S795" s="69"/>
      <c r="T795" s="162"/>
      <c r="U795" s="69"/>
    </row>
    <row r="796" spans="1:21">
      <c r="A796" s="294"/>
      <c r="B796" s="294"/>
      <c r="C796" s="294"/>
      <c r="D796" s="294"/>
      <c r="E796" s="290"/>
      <c r="F796" s="290"/>
      <c r="G796" s="292"/>
      <c r="H796" s="292"/>
      <c r="I796" s="293"/>
      <c r="O796" s="69"/>
      <c r="P796" s="69"/>
      <c r="Q796" s="248"/>
      <c r="R796" s="247"/>
      <c r="S796" s="69"/>
      <c r="T796" s="162"/>
      <c r="U796" s="69"/>
    </row>
    <row r="797" spans="1:21">
      <c r="A797" s="294"/>
      <c r="B797" s="294"/>
      <c r="C797" s="294"/>
      <c r="D797" s="294"/>
      <c r="E797" s="290"/>
      <c r="F797" s="290"/>
      <c r="G797" s="292"/>
      <c r="H797" s="292"/>
      <c r="I797" s="293"/>
      <c r="O797" s="69"/>
      <c r="P797" s="69"/>
      <c r="Q797" s="248"/>
      <c r="R797" s="247"/>
      <c r="S797" s="69"/>
      <c r="T797" s="162"/>
      <c r="U797" s="69"/>
    </row>
    <row r="798" spans="1:21">
      <c r="A798" s="294"/>
      <c r="B798" s="294"/>
      <c r="C798" s="294"/>
      <c r="D798" s="294"/>
      <c r="E798" s="290"/>
      <c r="F798" s="290"/>
      <c r="G798" s="292"/>
      <c r="H798" s="292"/>
      <c r="I798" s="293"/>
      <c r="O798" s="69"/>
      <c r="P798" s="69"/>
      <c r="Q798" s="248"/>
      <c r="R798" s="247"/>
      <c r="S798" s="69"/>
      <c r="T798" s="162"/>
      <c r="U798" s="69"/>
    </row>
    <row r="799" spans="1:21">
      <c r="A799" s="294"/>
      <c r="B799" s="294"/>
      <c r="C799" s="294"/>
      <c r="D799" s="294"/>
      <c r="E799" s="290"/>
      <c r="F799" s="290"/>
      <c r="G799" s="292"/>
      <c r="H799" s="292"/>
      <c r="I799" s="293"/>
      <c r="O799" s="69"/>
      <c r="P799" s="69"/>
      <c r="Q799" s="248"/>
      <c r="R799" s="247"/>
      <c r="S799" s="69"/>
      <c r="T799" s="162"/>
      <c r="U799" s="69"/>
    </row>
    <row r="800" spans="1:21">
      <c r="A800" s="294"/>
      <c r="B800" s="294"/>
      <c r="C800" s="294"/>
      <c r="D800" s="294"/>
      <c r="E800" s="290"/>
      <c r="F800" s="290"/>
      <c r="G800" s="292"/>
      <c r="H800" s="292"/>
      <c r="I800" s="293"/>
      <c r="O800" s="69"/>
      <c r="P800" s="69"/>
      <c r="Q800" s="248"/>
      <c r="R800" s="247"/>
      <c r="S800" s="69"/>
      <c r="T800" s="162"/>
      <c r="U800" s="69"/>
    </row>
    <row r="801" spans="1:21">
      <c r="A801" s="294"/>
      <c r="B801" s="294"/>
      <c r="C801" s="294"/>
      <c r="D801" s="294"/>
      <c r="E801" s="290"/>
      <c r="F801" s="290"/>
      <c r="G801" s="292"/>
      <c r="H801" s="292"/>
      <c r="I801" s="293"/>
      <c r="O801" s="69"/>
      <c r="P801" s="69"/>
      <c r="Q801" s="248"/>
      <c r="R801" s="247"/>
      <c r="S801" s="69"/>
      <c r="T801" s="162"/>
      <c r="U801" s="69"/>
    </row>
    <row r="802" spans="1:21">
      <c r="A802" s="294"/>
      <c r="B802" s="294"/>
      <c r="C802" s="294"/>
      <c r="D802" s="294"/>
      <c r="E802" s="290"/>
      <c r="F802" s="290"/>
      <c r="G802" s="292"/>
      <c r="H802" s="292"/>
      <c r="I802" s="293"/>
      <c r="O802" s="69"/>
      <c r="P802" s="69"/>
      <c r="Q802" s="248"/>
      <c r="R802" s="247"/>
      <c r="S802" s="69"/>
      <c r="T802" s="162"/>
      <c r="U802" s="69"/>
    </row>
    <row r="803" spans="1:21">
      <c r="A803" s="294"/>
      <c r="B803" s="294"/>
      <c r="C803" s="294"/>
      <c r="D803" s="294"/>
      <c r="E803" s="290"/>
      <c r="F803" s="290"/>
      <c r="G803" s="292"/>
      <c r="H803" s="292"/>
      <c r="I803" s="293"/>
      <c r="O803" s="69"/>
      <c r="P803" s="69"/>
      <c r="Q803" s="248"/>
      <c r="R803" s="247"/>
      <c r="S803" s="69"/>
      <c r="T803" s="162"/>
      <c r="U803" s="69"/>
    </row>
    <row r="804" spans="1:21">
      <c r="A804" s="294"/>
      <c r="B804" s="294"/>
      <c r="C804" s="294"/>
      <c r="D804" s="294"/>
      <c r="E804" s="290"/>
      <c r="F804" s="290"/>
      <c r="G804" s="292"/>
      <c r="H804" s="292"/>
      <c r="I804" s="293"/>
      <c r="O804" s="69"/>
      <c r="P804" s="69"/>
      <c r="Q804" s="248"/>
      <c r="R804" s="247"/>
      <c r="S804" s="69"/>
      <c r="T804" s="162"/>
      <c r="U804" s="69"/>
    </row>
    <row r="805" spans="1:21">
      <c r="A805" s="294"/>
      <c r="B805" s="294"/>
      <c r="C805" s="294"/>
      <c r="D805" s="294"/>
      <c r="E805" s="290"/>
      <c r="F805" s="290"/>
      <c r="G805" s="292"/>
      <c r="H805" s="292"/>
      <c r="I805" s="293"/>
      <c r="O805" s="69"/>
      <c r="P805" s="69"/>
      <c r="Q805" s="248"/>
      <c r="R805" s="247"/>
      <c r="S805" s="69"/>
      <c r="T805" s="162"/>
      <c r="U805" s="69"/>
    </row>
    <row r="806" spans="1:21">
      <c r="A806" s="294"/>
      <c r="B806" s="294"/>
      <c r="C806" s="294"/>
      <c r="D806" s="294"/>
      <c r="E806" s="290"/>
      <c r="F806" s="290"/>
      <c r="G806" s="292"/>
      <c r="H806" s="292"/>
      <c r="I806" s="293"/>
      <c r="O806" s="69"/>
      <c r="P806" s="69"/>
      <c r="Q806" s="248"/>
      <c r="R806" s="247"/>
      <c r="S806" s="69"/>
      <c r="T806" s="162"/>
      <c r="U806" s="69"/>
    </row>
    <row r="807" spans="1:21">
      <c r="A807" s="294"/>
      <c r="B807" s="294"/>
      <c r="C807" s="294"/>
      <c r="D807" s="294"/>
      <c r="E807" s="290"/>
      <c r="F807" s="290"/>
      <c r="G807" s="292"/>
      <c r="H807" s="292"/>
      <c r="I807" s="293"/>
      <c r="O807" s="69"/>
      <c r="P807" s="69"/>
      <c r="Q807" s="248"/>
      <c r="R807" s="247"/>
      <c r="S807" s="69"/>
      <c r="T807" s="162"/>
      <c r="U807" s="69"/>
    </row>
    <row r="808" spans="1:21">
      <c r="A808" s="294"/>
      <c r="B808" s="294"/>
      <c r="C808" s="294"/>
      <c r="D808" s="294"/>
      <c r="E808" s="290"/>
      <c r="F808" s="290"/>
      <c r="G808" s="292"/>
      <c r="H808" s="292"/>
      <c r="I808" s="293"/>
      <c r="O808" s="69"/>
      <c r="P808" s="69"/>
      <c r="Q808" s="248"/>
      <c r="R808" s="247"/>
      <c r="S808" s="69"/>
      <c r="T808" s="162"/>
      <c r="U808" s="69"/>
    </row>
    <row r="809" spans="1:21">
      <c r="A809" s="294"/>
      <c r="B809" s="294"/>
      <c r="C809" s="294"/>
      <c r="D809" s="294"/>
      <c r="E809" s="290"/>
      <c r="F809" s="290"/>
      <c r="G809" s="292"/>
      <c r="H809" s="292"/>
      <c r="I809" s="293"/>
      <c r="O809" s="69"/>
      <c r="P809" s="69"/>
      <c r="Q809" s="248"/>
      <c r="R809" s="247"/>
      <c r="S809" s="69"/>
      <c r="T809" s="162"/>
      <c r="U809" s="69"/>
    </row>
    <row r="810" spans="1:21">
      <c r="A810" s="294"/>
      <c r="B810" s="294"/>
      <c r="C810" s="294"/>
      <c r="D810" s="294"/>
      <c r="E810" s="290"/>
      <c r="F810" s="290"/>
      <c r="G810" s="292"/>
      <c r="H810" s="292"/>
      <c r="I810" s="293"/>
      <c r="O810" s="69"/>
      <c r="P810" s="69"/>
      <c r="Q810" s="248"/>
      <c r="R810" s="247"/>
      <c r="S810" s="69"/>
      <c r="T810" s="162"/>
      <c r="U810" s="69"/>
    </row>
    <row r="811" spans="1:21">
      <c r="A811" s="294"/>
      <c r="B811" s="294"/>
      <c r="C811" s="294"/>
      <c r="D811" s="294"/>
      <c r="E811" s="290"/>
      <c r="F811" s="290"/>
      <c r="G811" s="292"/>
      <c r="H811" s="292"/>
      <c r="I811" s="293"/>
      <c r="O811" s="69"/>
      <c r="P811" s="69"/>
      <c r="Q811" s="248"/>
      <c r="R811" s="247"/>
      <c r="S811" s="69"/>
      <c r="T811" s="162"/>
      <c r="U811" s="69"/>
    </row>
    <row r="812" spans="1:21">
      <c r="A812" s="294"/>
      <c r="B812" s="294"/>
      <c r="C812" s="294"/>
      <c r="D812" s="294"/>
      <c r="E812" s="290"/>
      <c r="F812" s="290"/>
      <c r="G812" s="292"/>
      <c r="H812" s="292"/>
      <c r="I812" s="293"/>
      <c r="O812" s="69"/>
      <c r="P812" s="69"/>
      <c r="Q812" s="248"/>
      <c r="R812" s="247"/>
      <c r="S812" s="69"/>
      <c r="T812" s="162"/>
      <c r="U812" s="69"/>
    </row>
    <row r="813" spans="1:21">
      <c r="A813" s="294"/>
      <c r="B813" s="294"/>
      <c r="C813" s="294"/>
      <c r="D813" s="294"/>
      <c r="E813" s="290"/>
      <c r="F813" s="290"/>
      <c r="G813" s="292"/>
      <c r="H813" s="292"/>
      <c r="I813" s="293"/>
      <c r="O813" s="69"/>
      <c r="P813" s="69"/>
      <c r="Q813" s="248"/>
      <c r="R813" s="247"/>
      <c r="S813" s="69"/>
      <c r="T813" s="162"/>
      <c r="U813" s="69"/>
    </row>
    <row r="814" spans="1:21">
      <c r="A814" s="294"/>
      <c r="B814" s="294"/>
      <c r="C814" s="294"/>
      <c r="D814" s="294"/>
      <c r="E814" s="290"/>
      <c r="F814" s="290"/>
      <c r="G814" s="292"/>
      <c r="H814" s="292"/>
      <c r="I814" s="293"/>
      <c r="O814" s="69"/>
      <c r="P814" s="69"/>
      <c r="Q814" s="248"/>
      <c r="R814" s="247"/>
      <c r="S814" s="69"/>
      <c r="T814" s="162"/>
      <c r="U814" s="69"/>
    </row>
    <row r="815" spans="1:21">
      <c r="A815" s="294"/>
      <c r="B815" s="294"/>
      <c r="C815" s="294"/>
      <c r="D815" s="294"/>
      <c r="E815" s="290"/>
      <c r="F815" s="290"/>
      <c r="G815" s="292"/>
      <c r="H815" s="292"/>
      <c r="I815" s="293"/>
      <c r="O815" s="69"/>
      <c r="P815" s="69"/>
      <c r="Q815" s="248"/>
      <c r="R815" s="247"/>
      <c r="S815" s="69"/>
      <c r="T815" s="162"/>
      <c r="U815" s="69"/>
    </row>
    <row r="816" spans="1:21">
      <c r="A816" s="294"/>
      <c r="B816" s="294"/>
      <c r="C816" s="294"/>
      <c r="D816" s="294"/>
      <c r="E816" s="290"/>
      <c r="F816" s="290"/>
      <c r="G816" s="292"/>
      <c r="H816" s="292"/>
      <c r="I816" s="293"/>
      <c r="O816" s="69"/>
      <c r="P816" s="69"/>
      <c r="Q816" s="248"/>
      <c r="R816" s="247"/>
      <c r="S816" s="69"/>
      <c r="T816" s="162"/>
      <c r="U816" s="69"/>
    </row>
    <row r="817" spans="1:21">
      <c r="A817" s="294"/>
      <c r="B817" s="294"/>
      <c r="C817" s="294"/>
      <c r="D817" s="294"/>
      <c r="E817" s="290"/>
      <c r="F817" s="290"/>
      <c r="G817" s="292"/>
      <c r="H817" s="292"/>
      <c r="I817" s="293"/>
      <c r="O817" s="69"/>
      <c r="P817" s="69"/>
      <c r="Q817" s="248"/>
      <c r="R817" s="247"/>
      <c r="S817" s="69"/>
      <c r="T817" s="162"/>
      <c r="U817" s="69"/>
    </row>
    <row r="818" spans="1:21">
      <c r="A818" s="294"/>
      <c r="B818" s="294"/>
      <c r="C818" s="294"/>
      <c r="D818" s="294"/>
      <c r="E818" s="290"/>
      <c r="F818" s="290"/>
      <c r="G818" s="292"/>
      <c r="H818" s="292"/>
      <c r="I818" s="293"/>
      <c r="O818" s="69"/>
      <c r="P818" s="69"/>
      <c r="Q818" s="248"/>
      <c r="R818" s="247"/>
      <c r="S818" s="69"/>
      <c r="T818" s="162"/>
      <c r="U818" s="69"/>
    </row>
    <row r="819" spans="1:21">
      <c r="A819" s="294"/>
      <c r="B819" s="294"/>
      <c r="C819" s="294"/>
      <c r="D819" s="294"/>
      <c r="E819" s="290"/>
      <c r="F819" s="290"/>
      <c r="G819" s="292"/>
      <c r="H819" s="292"/>
      <c r="I819" s="293"/>
      <c r="O819" s="69"/>
      <c r="P819" s="69"/>
      <c r="Q819" s="248"/>
      <c r="R819" s="247"/>
      <c r="S819" s="69"/>
      <c r="T819" s="162"/>
      <c r="U819" s="69"/>
    </row>
    <row r="820" spans="1:21">
      <c r="A820" s="294"/>
      <c r="B820" s="294"/>
      <c r="C820" s="294"/>
      <c r="D820" s="294"/>
      <c r="E820" s="290"/>
      <c r="F820" s="290"/>
      <c r="G820" s="292"/>
      <c r="H820" s="292"/>
      <c r="I820" s="293"/>
      <c r="O820" s="69"/>
      <c r="P820" s="69"/>
      <c r="Q820" s="248"/>
      <c r="R820" s="247"/>
      <c r="S820" s="69"/>
      <c r="T820" s="162"/>
      <c r="U820" s="69"/>
    </row>
    <row r="821" spans="1:21">
      <c r="A821" s="294"/>
      <c r="B821" s="294"/>
      <c r="C821" s="294"/>
      <c r="D821" s="294"/>
      <c r="E821" s="290"/>
      <c r="F821" s="290"/>
      <c r="G821" s="292"/>
      <c r="H821" s="292"/>
      <c r="I821" s="293"/>
      <c r="O821" s="69"/>
      <c r="P821" s="69"/>
      <c r="Q821" s="248"/>
      <c r="R821" s="247"/>
      <c r="S821" s="69"/>
      <c r="T821" s="162"/>
      <c r="U821" s="69"/>
    </row>
    <row r="822" spans="1:21">
      <c r="A822" s="294"/>
      <c r="B822" s="294"/>
      <c r="C822" s="294"/>
      <c r="D822" s="294"/>
      <c r="E822" s="290"/>
      <c r="F822" s="290"/>
      <c r="G822" s="292"/>
      <c r="H822" s="292"/>
      <c r="I822" s="293"/>
      <c r="O822" s="69"/>
      <c r="P822" s="69"/>
      <c r="Q822" s="248"/>
      <c r="R822" s="247"/>
      <c r="S822" s="69"/>
      <c r="T822" s="162"/>
      <c r="U822" s="69"/>
    </row>
    <row r="823" spans="1:21">
      <c r="A823" s="294"/>
      <c r="B823" s="294"/>
      <c r="C823" s="294"/>
      <c r="D823" s="294"/>
      <c r="E823" s="290"/>
      <c r="F823" s="290"/>
      <c r="G823" s="292"/>
      <c r="H823" s="292"/>
      <c r="I823" s="293"/>
      <c r="O823" s="69"/>
      <c r="P823" s="69"/>
      <c r="Q823" s="248"/>
      <c r="R823" s="247"/>
      <c r="S823" s="69"/>
      <c r="T823" s="162"/>
      <c r="U823" s="69"/>
    </row>
    <row r="824" spans="1:21">
      <c r="A824" s="294"/>
      <c r="B824" s="294"/>
      <c r="C824" s="294"/>
      <c r="D824" s="294"/>
      <c r="E824" s="290"/>
      <c r="F824" s="290"/>
      <c r="G824" s="292"/>
      <c r="H824" s="292"/>
      <c r="I824" s="293"/>
      <c r="O824" s="69"/>
      <c r="P824" s="69"/>
      <c r="Q824" s="248"/>
      <c r="R824" s="247"/>
      <c r="S824" s="69"/>
      <c r="T824" s="162"/>
      <c r="U824" s="69"/>
    </row>
    <row r="825" spans="1:21">
      <c r="A825" s="294"/>
      <c r="B825" s="294"/>
      <c r="C825" s="294"/>
      <c r="D825" s="294"/>
      <c r="E825" s="290"/>
      <c r="F825" s="290"/>
      <c r="G825" s="292"/>
      <c r="H825" s="292"/>
      <c r="I825" s="293"/>
      <c r="O825" s="69"/>
      <c r="P825" s="69"/>
      <c r="Q825" s="248"/>
      <c r="R825" s="247"/>
      <c r="S825" s="69"/>
      <c r="T825" s="162"/>
      <c r="U825" s="69"/>
    </row>
    <row r="826" spans="1:21">
      <c r="A826" s="294"/>
      <c r="B826" s="294"/>
      <c r="C826" s="294"/>
      <c r="D826" s="294"/>
      <c r="E826" s="290"/>
      <c r="F826" s="290"/>
      <c r="G826" s="292"/>
      <c r="H826" s="292"/>
      <c r="I826" s="293"/>
      <c r="O826" s="69"/>
      <c r="P826" s="69"/>
      <c r="Q826" s="248"/>
      <c r="R826" s="247"/>
      <c r="S826" s="69"/>
      <c r="T826" s="162"/>
      <c r="U826" s="69"/>
    </row>
    <row r="827" spans="1:21">
      <c r="A827" s="294"/>
      <c r="B827" s="294"/>
      <c r="C827" s="294"/>
      <c r="D827" s="294"/>
      <c r="E827" s="290"/>
      <c r="F827" s="290"/>
      <c r="G827" s="292"/>
      <c r="H827" s="292"/>
      <c r="I827" s="293"/>
      <c r="O827" s="69"/>
      <c r="P827" s="69"/>
      <c r="Q827" s="248"/>
      <c r="R827" s="247"/>
      <c r="S827" s="69"/>
      <c r="T827" s="162"/>
      <c r="U827" s="69"/>
    </row>
    <row r="828" spans="1:21">
      <c r="A828" s="294"/>
      <c r="B828" s="294"/>
      <c r="C828" s="294"/>
      <c r="D828" s="294"/>
      <c r="E828" s="290"/>
      <c r="F828" s="290"/>
      <c r="G828" s="292"/>
      <c r="H828" s="292"/>
      <c r="I828" s="293"/>
      <c r="O828" s="69"/>
      <c r="P828" s="69"/>
      <c r="Q828" s="248"/>
      <c r="R828" s="247"/>
      <c r="S828" s="69"/>
      <c r="T828" s="162"/>
      <c r="U828" s="69"/>
    </row>
    <row r="829" spans="1:21">
      <c r="A829" s="294"/>
      <c r="B829" s="294"/>
      <c r="C829" s="294"/>
      <c r="D829" s="294"/>
      <c r="E829" s="290"/>
      <c r="F829" s="290"/>
      <c r="G829" s="292"/>
      <c r="H829" s="292"/>
      <c r="I829" s="293"/>
      <c r="O829" s="69"/>
      <c r="P829" s="69"/>
      <c r="Q829" s="248"/>
      <c r="R829" s="247"/>
      <c r="S829" s="69"/>
      <c r="T829" s="162"/>
      <c r="U829" s="69"/>
    </row>
    <row r="830" spans="1:21">
      <c r="A830" s="294"/>
      <c r="B830" s="294"/>
      <c r="C830" s="294"/>
      <c r="D830" s="294"/>
      <c r="E830" s="290"/>
      <c r="F830" s="290"/>
      <c r="G830" s="292"/>
      <c r="H830" s="292"/>
      <c r="I830" s="293"/>
      <c r="O830" s="69"/>
      <c r="P830" s="69"/>
      <c r="Q830" s="248"/>
      <c r="R830" s="247"/>
      <c r="S830" s="69"/>
      <c r="T830" s="162"/>
      <c r="U830" s="69"/>
    </row>
    <row r="831" spans="1:21">
      <c r="A831" s="294"/>
      <c r="B831" s="294"/>
      <c r="C831" s="294"/>
      <c r="D831" s="294"/>
      <c r="E831" s="290"/>
      <c r="F831" s="290"/>
      <c r="G831" s="292"/>
      <c r="H831" s="292"/>
      <c r="I831" s="293"/>
      <c r="O831" s="69"/>
      <c r="P831" s="69"/>
      <c r="Q831" s="248"/>
      <c r="R831" s="247"/>
      <c r="S831" s="69"/>
      <c r="T831" s="162"/>
      <c r="U831" s="69"/>
    </row>
    <row r="832" spans="1:21">
      <c r="A832" s="294"/>
      <c r="B832" s="294"/>
      <c r="C832" s="294"/>
      <c r="D832" s="294"/>
      <c r="E832" s="290"/>
      <c r="F832" s="290"/>
      <c r="G832" s="292"/>
      <c r="H832" s="292"/>
      <c r="I832" s="293"/>
      <c r="O832" s="69"/>
      <c r="P832" s="69"/>
      <c r="Q832" s="248"/>
      <c r="R832" s="247"/>
      <c r="S832" s="69"/>
      <c r="T832" s="162"/>
      <c r="U832" s="69"/>
    </row>
    <row r="833" spans="1:21">
      <c r="A833" s="294"/>
      <c r="B833" s="294"/>
      <c r="C833" s="294"/>
      <c r="D833" s="294"/>
      <c r="E833" s="290"/>
      <c r="F833" s="290"/>
      <c r="G833" s="292"/>
      <c r="H833" s="292"/>
      <c r="I833" s="293"/>
      <c r="O833" s="69"/>
      <c r="P833" s="69"/>
      <c r="Q833" s="248"/>
      <c r="R833" s="247"/>
      <c r="S833" s="69"/>
      <c r="T833" s="162"/>
      <c r="U833" s="69"/>
    </row>
    <row r="834" spans="1:21">
      <c r="A834" s="294"/>
      <c r="B834" s="294"/>
      <c r="C834" s="294"/>
      <c r="D834" s="294"/>
      <c r="E834" s="290"/>
      <c r="F834" s="290"/>
      <c r="G834" s="292"/>
      <c r="H834" s="292"/>
      <c r="I834" s="293"/>
      <c r="O834" s="69"/>
      <c r="P834" s="69"/>
      <c r="Q834" s="248"/>
      <c r="R834" s="247"/>
      <c r="S834" s="69"/>
      <c r="T834" s="162"/>
      <c r="U834" s="69"/>
    </row>
    <row r="835" spans="1:21">
      <c r="A835" s="294"/>
      <c r="B835" s="294"/>
      <c r="C835" s="294"/>
      <c r="D835" s="294"/>
      <c r="E835" s="290"/>
      <c r="F835" s="290"/>
      <c r="G835" s="292"/>
      <c r="H835" s="292"/>
      <c r="I835" s="293"/>
      <c r="O835" s="69"/>
      <c r="P835" s="69"/>
      <c r="Q835" s="248"/>
      <c r="R835" s="247"/>
      <c r="S835" s="69"/>
      <c r="T835" s="162"/>
      <c r="U835" s="69"/>
    </row>
    <row r="836" spans="1:21">
      <c r="A836" s="294"/>
      <c r="B836" s="294"/>
      <c r="C836" s="294"/>
      <c r="D836" s="294"/>
      <c r="E836" s="290"/>
      <c r="F836" s="290"/>
      <c r="G836" s="292"/>
      <c r="H836" s="292"/>
      <c r="I836" s="293"/>
      <c r="O836" s="69"/>
      <c r="P836" s="69"/>
      <c r="Q836" s="248"/>
      <c r="R836" s="247"/>
      <c r="S836" s="69"/>
      <c r="T836" s="162"/>
      <c r="U836" s="69"/>
    </row>
    <row r="837" spans="1:21">
      <c r="A837" s="294"/>
      <c r="B837" s="294"/>
      <c r="C837" s="294"/>
      <c r="D837" s="294"/>
      <c r="E837" s="290"/>
      <c r="F837" s="290"/>
      <c r="G837" s="292"/>
      <c r="H837" s="292"/>
      <c r="I837" s="293"/>
      <c r="O837" s="69"/>
      <c r="P837" s="69"/>
      <c r="Q837" s="248"/>
      <c r="R837" s="247"/>
      <c r="S837" s="69"/>
      <c r="T837" s="162"/>
      <c r="U837" s="69"/>
    </row>
    <row r="838" spans="1:21">
      <c r="A838" s="294"/>
      <c r="B838" s="294"/>
      <c r="C838" s="294"/>
      <c r="D838" s="294"/>
      <c r="E838" s="290"/>
      <c r="F838" s="290"/>
      <c r="G838" s="292"/>
      <c r="H838" s="292"/>
      <c r="I838" s="293"/>
      <c r="O838" s="69"/>
      <c r="P838" s="69"/>
      <c r="Q838" s="248"/>
      <c r="R838" s="247"/>
      <c r="S838" s="69"/>
      <c r="T838" s="162"/>
      <c r="U838" s="69"/>
    </row>
    <row r="839" spans="1:21">
      <c r="A839" s="294"/>
      <c r="B839" s="294"/>
      <c r="C839" s="294"/>
      <c r="D839" s="294"/>
      <c r="E839" s="290"/>
      <c r="F839" s="290"/>
      <c r="G839" s="292"/>
      <c r="H839" s="292"/>
      <c r="I839" s="293"/>
      <c r="O839" s="69"/>
      <c r="P839" s="69"/>
      <c r="Q839" s="248"/>
      <c r="R839" s="247"/>
      <c r="S839" s="69"/>
      <c r="T839" s="162"/>
      <c r="U839" s="69"/>
    </row>
    <row r="840" spans="1:21">
      <c r="A840" s="294"/>
      <c r="B840" s="294"/>
      <c r="C840" s="294"/>
      <c r="D840" s="294"/>
      <c r="E840" s="290"/>
      <c r="F840" s="290"/>
      <c r="G840" s="292"/>
      <c r="H840" s="292"/>
      <c r="I840" s="293"/>
      <c r="O840" s="69"/>
      <c r="P840" s="69"/>
      <c r="Q840" s="248"/>
      <c r="R840" s="247"/>
      <c r="S840" s="69"/>
      <c r="T840" s="162"/>
      <c r="U840" s="69"/>
    </row>
    <row r="841" spans="1:21">
      <c r="A841" s="294"/>
      <c r="B841" s="294"/>
      <c r="C841" s="294"/>
      <c r="D841" s="294"/>
      <c r="E841" s="290"/>
      <c r="F841" s="290"/>
      <c r="G841" s="292"/>
      <c r="H841" s="292"/>
      <c r="I841" s="293"/>
      <c r="O841" s="69"/>
      <c r="P841" s="69"/>
      <c r="Q841" s="248"/>
      <c r="R841" s="247"/>
      <c r="S841" s="69"/>
      <c r="T841" s="162"/>
      <c r="U841" s="69"/>
    </row>
    <row r="842" spans="1:21">
      <c r="A842" s="294"/>
      <c r="B842" s="294"/>
      <c r="C842" s="294"/>
      <c r="D842" s="294"/>
      <c r="E842" s="290"/>
      <c r="F842" s="290"/>
      <c r="G842" s="292"/>
      <c r="H842" s="292"/>
      <c r="I842" s="293"/>
      <c r="O842" s="69"/>
      <c r="P842" s="69"/>
      <c r="Q842" s="248"/>
      <c r="R842" s="247"/>
      <c r="S842" s="69"/>
      <c r="T842" s="162"/>
      <c r="U842" s="69"/>
    </row>
    <row r="843" spans="1:21">
      <c r="A843" s="294"/>
      <c r="B843" s="294"/>
      <c r="C843" s="294"/>
      <c r="D843" s="294"/>
      <c r="E843" s="290"/>
      <c r="F843" s="290"/>
      <c r="G843" s="292"/>
      <c r="H843" s="292"/>
      <c r="I843" s="293"/>
      <c r="O843" s="69"/>
      <c r="P843" s="69"/>
      <c r="Q843" s="248"/>
      <c r="R843" s="247"/>
      <c r="S843" s="69"/>
      <c r="T843" s="162"/>
      <c r="U843" s="69"/>
    </row>
    <row r="844" spans="1:21">
      <c r="A844" s="294"/>
      <c r="B844" s="294"/>
      <c r="C844" s="294"/>
      <c r="D844" s="294"/>
      <c r="E844" s="290"/>
      <c r="F844" s="290"/>
      <c r="G844" s="292"/>
      <c r="H844" s="292"/>
      <c r="I844" s="293"/>
      <c r="O844" s="69"/>
      <c r="P844" s="69"/>
      <c r="Q844" s="248"/>
      <c r="R844" s="247"/>
      <c r="S844" s="69"/>
      <c r="T844" s="162"/>
      <c r="U844" s="69"/>
    </row>
    <row r="845" spans="1:21">
      <c r="A845" s="294"/>
      <c r="B845" s="294"/>
      <c r="C845" s="294"/>
      <c r="D845" s="294"/>
      <c r="E845" s="290"/>
      <c r="F845" s="290"/>
      <c r="G845" s="292"/>
      <c r="H845" s="292"/>
      <c r="I845" s="293"/>
      <c r="O845" s="69"/>
      <c r="P845" s="69"/>
      <c r="Q845" s="248"/>
      <c r="R845" s="247"/>
      <c r="S845" s="69"/>
      <c r="T845" s="162"/>
      <c r="U845" s="69"/>
    </row>
    <row r="846" spans="1:21">
      <c r="A846" s="294"/>
      <c r="B846" s="294"/>
      <c r="C846" s="294"/>
      <c r="D846" s="294"/>
      <c r="E846" s="290"/>
      <c r="F846" s="290"/>
      <c r="G846" s="292"/>
      <c r="H846" s="292"/>
      <c r="I846" s="293"/>
      <c r="O846" s="69"/>
      <c r="P846" s="69"/>
      <c r="Q846" s="248"/>
      <c r="R846" s="247"/>
      <c r="S846" s="69"/>
      <c r="T846" s="162"/>
      <c r="U846" s="69"/>
    </row>
    <row r="847" spans="1:21">
      <c r="A847" s="294"/>
      <c r="B847" s="294"/>
      <c r="C847" s="294"/>
      <c r="D847" s="294"/>
      <c r="E847" s="290"/>
      <c r="F847" s="290"/>
      <c r="G847" s="292"/>
      <c r="H847" s="292"/>
      <c r="I847" s="293"/>
      <c r="O847" s="69"/>
      <c r="P847" s="69"/>
      <c r="Q847" s="248"/>
      <c r="R847" s="247"/>
      <c r="S847" s="69"/>
      <c r="T847" s="162"/>
      <c r="U847" s="69"/>
    </row>
    <row r="848" spans="1:21">
      <c r="A848" s="294"/>
      <c r="B848" s="294"/>
      <c r="C848" s="294"/>
      <c r="D848" s="294"/>
      <c r="E848" s="290"/>
      <c r="F848" s="290"/>
      <c r="G848" s="292"/>
      <c r="H848" s="292"/>
      <c r="I848" s="293"/>
      <c r="O848" s="69"/>
      <c r="P848" s="69"/>
      <c r="Q848" s="248"/>
      <c r="R848" s="247"/>
      <c r="S848" s="69"/>
      <c r="T848" s="162"/>
      <c r="U848" s="69"/>
    </row>
    <row r="849" spans="1:21">
      <c r="A849" s="294"/>
      <c r="B849" s="294"/>
      <c r="C849" s="294"/>
      <c r="D849" s="294"/>
      <c r="E849" s="290"/>
      <c r="F849" s="290"/>
      <c r="G849" s="292"/>
      <c r="H849" s="292"/>
      <c r="I849" s="293"/>
      <c r="O849" s="69"/>
      <c r="P849" s="69"/>
      <c r="Q849" s="248"/>
      <c r="R849" s="247"/>
      <c r="S849" s="69"/>
      <c r="T849" s="162"/>
      <c r="U849" s="69"/>
    </row>
    <row r="850" spans="1:21">
      <c r="A850" s="294"/>
      <c r="B850" s="294"/>
      <c r="C850" s="294"/>
      <c r="D850" s="294"/>
      <c r="E850" s="290"/>
      <c r="F850" s="290"/>
      <c r="G850" s="292"/>
      <c r="H850" s="292"/>
      <c r="I850" s="293"/>
      <c r="O850" s="69"/>
      <c r="P850" s="69"/>
      <c r="Q850" s="248"/>
      <c r="R850" s="247"/>
      <c r="S850" s="69"/>
      <c r="T850" s="162"/>
      <c r="U850" s="69"/>
    </row>
    <row r="851" spans="1:21">
      <c r="A851" s="294"/>
      <c r="B851" s="294"/>
      <c r="C851" s="294"/>
      <c r="D851" s="294"/>
      <c r="E851" s="290"/>
      <c r="F851" s="290"/>
      <c r="G851" s="292"/>
      <c r="H851" s="292"/>
      <c r="I851" s="293"/>
      <c r="O851" s="69"/>
      <c r="P851" s="69"/>
      <c r="Q851" s="248"/>
      <c r="R851" s="247"/>
      <c r="S851" s="69"/>
      <c r="T851" s="162"/>
      <c r="U851" s="69"/>
    </row>
    <row r="852" spans="1:21">
      <c r="A852" s="294"/>
      <c r="B852" s="294"/>
      <c r="C852" s="294"/>
      <c r="D852" s="294"/>
      <c r="E852" s="290"/>
      <c r="F852" s="290"/>
      <c r="G852" s="292"/>
      <c r="H852" s="292"/>
      <c r="I852" s="293"/>
      <c r="O852" s="69"/>
      <c r="P852" s="69"/>
      <c r="Q852" s="248"/>
      <c r="R852" s="247"/>
      <c r="S852" s="69"/>
      <c r="T852" s="162"/>
      <c r="U852" s="69"/>
    </row>
    <row r="853" spans="1:21">
      <c r="A853" s="294"/>
      <c r="B853" s="294"/>
      <c r="C853" s="294"/>
      <c r="D853" s="294"/>
      <c r="E853" s="290"/>
      <c r="F853" s="290"/>
      <c r="G853" s="292"/>
      <c r="H853" s="292"/>
      <c r="I853" s="293"/>
      <c r="O853" s="69"/>
      <c r="P853" s="69"/>
      <c r="Q853" s="248"/>
      <c r="R853" s="247"/>
      <c r="S853" s="69"/>
      <c r="T853" s="162"/>
      <c r="U853" s="69"/>
    </row>
    <row r="854" spans="1:21">
      <c r="A854" s="294"/>
      <c r="B854" s="294"/>
      <c r="C854" s="294"/>
      <c r="D854" s="294"/>
      <c r="E854" s="290"/>
      <c r="F854" s="290"/>
      <c r="G854" s="292"/>
      <c r="H854" s="292"/>
      <c r="I854" s="293"/>
      <c r="O854" s="69"/>
      <c r="P854" s="69"/>
      <c r="Q854" s="248"/>
      <c r="R854" s="247"/>
      <c r="S854" s="69"/>
      <c r="T854" s="162"/>
      <c r="U854" s="69"/>
    </row>
    <row r="855" spans="1:21">
      <c r="A855" s="294"/>
      <c r="B855" s="294"/>
      <c r="C855" s="294"/>
      <c r="D855" s="294"/>
      <c r="E855" s="290"/>
      <c r="F855" s="290"/>
      <c r="G855" s="292"/>
      <c r="H855" s="292"/>
      <c r="I855" s="293"/>
      <c r="O855" s="69"/>
      <c r="P855" s="69"/>
      <c r="Q855" s="248"/>
      <c r="R855" s="247"/>
      <c r="S855" s="69"/>
      <c r="T855" s="162"/>
      <c r="U855" s="69"/>
    </row>
    <row r="856" spans="1:21">
      <c r="A856" s="294"/>
      <c r="B856" s="294"/>
      <c r="C856" s="294"/>
      <c r="D856" s="294"/>
      <c r="E856" s="290"/>
      <c r="F856" s="290"/>
      <c r="G856" s="292"/>
      <c r="H856" s="292"/>
      <c r="I856" s="293"/>
      <c r="O856" s="69"/>
      <c r="P856" s="69"/>
      <c r="Q856" s="248"/>
      <c r="R856" s="247"/>
      <c r="S856" s="69"/>
      <c r="T856" s="162"/>
      <c r="U856" s="69"/>
    </row>
    <row r="857" spans="1:21">
      <c r="A857" s="294"/>
      <c r="B857" s="294"/>
      <c r="C857" s="294"/>
      <c r="D857" s="294"/>
      <c r="E857" s="290"/>
      <c r="F857" s="290"/>
      <c r="G857" s="292"/>
      <c r="H857" s="292"/>
      <c r="I857" s="293"/>
      <c r="O857" s="69"/>
      <c r="P857" s="69"/>
      <c r="Q857" s="248"/>
      <c r="R857" s="247"/>
      <c r="S857" s="69"/>
      <c r="T857" s="162"/>
      <c r="U857" s="69"/>
    </row>
    <row r="858" spans="1:21">
      <c r="A858" s="294"/>
      <c r="B858" s="294"/>
      <c r="C858" s="294"/>
      <c r="D858" s="294"/>
      <c r="E858" s="290"/>
      <c r="F858" s="290"/>
      <c r="G858" s="292"/>
      <c r="H858" s="292"/>
      <c r="I858" s="293"/>
      <c r="O858" s="69"/>
      <c r="P858" s="69"/>
      <c r="Q858" s="248"/>
      <c r="R858" s="247"/>
      <c r="S858" s="69"/>
      <c r="T858" s="162"/>
      <c r="U858" s="69"/>
    </row>
    <row r="859" spans="1:21">
      <c r="A859" s="294"/>
      <c r="B859" s="294"/>
      <c r="C859" s="294"/>
      <c r="D859" s="294"/>
      <c r="E859" s="290"/>
      <c r="F859" s="290"/>
      <c r="G859" s="292"/>
      <c r="H859" s="292"/>
      <c r="I859" s="293"/>
      <c r="O859" s="69"/>
      <c r="P859" s="69"/>
      <c r="Q859" s="248"/>
      <c r="R859" s="247"/>
      <c r="S859" s="69"/>
      <c r="T859" s="162"/>
      <c r="U859" s="69"/>
    </row>
    <row r="860" spans="1:21">
      <c r="A860" s="294"/>
      <c r="B860" s="294"/>
      <c r="C860" s="294"/>
      <c r="D860" s="294"/>
      <c r="E860" s="290"/>
      <c r="F860" s="290"/>
      <c r="G860" s="292"/>
      <c r="H860" s="292"/>
      <c r="I860" s="293"/>
      <c r="O860" s="69"/>
      <c r="P860" s="69"/>
      <c r="Q860" s="248"/>
      <c r="R860" s="247"/>
      <c r="S860" s="69"/>
      <c r="T860" s="162"/>
      <c r="U860" s="69"/>
    </row>
    <row r="861" spans="1:21">
      <c r="A861" s="294"/>
      <c r="B861" s="294"/>
      <c r="C861" s="294"/>
      <c r="D861" s="294"/>
      <c r="E861" s="290"/>
      <c r="F861" s="290"/>
      <c r="G861" s="292"/>
      <c r="H861" s="292"/>
      <c r="I861" s="293"/>
      <c r="O861" s="69"/>
      <c r="P861" s="69"/>
      <c r="Q861" s="248"/>
      <c r="R861" s="247"/>
      <c r="S861" s="69"/>
      <c r="T861" s="162"/>
      <c r="U861" s="69"/>
    </row>
    <row r="862" spans="1:21">
      <c r="A862" s="294"/>
      <c r="B862" s="294"/>
      <c r="C862" s="294"/>
      <c r="D862" s="294"/>
      <c r="E862" s="290"/>
      <c r="F862" s="290"/>
      <c r="G862" s="292"/>
      <c r="H862" s="292"/>
      <c r="I862" s="293"/>
      <c r="O862" s="69"/>
      <c r="P862" s="69"/>
      <c r="Q862" s="248"/>
      <c r="R862" s="247"/>
      <c r="S862" s="69"/>
      <c r="T862" s="162"/>
      <c r="U862" s="69"/>
    </row>
    <row r="863" spans="1:21">
      <c r="A863" s="294"/>
      <c r="B863" s="294"/>
      <c r="C863" s="294"/>
      <c r="D863" s="294"/>
      <c r="E863" s="290"/>
      <c r="F863" s="290"/>
      <c r="G863" s="292"/>
      <c r="H863" s="292"/>
      <c r="I863" s="293"/>
      <c r="O863" s="69"/>
      <c r="P863" s="69"/>
      <c r="Q863" s="248"/>
      <c r="R863" s="247"/>
      <c r="S863" s="69"/>
      <c r="T863" s="162"/>
      <c r="U863" s="69"/>
    </row>
    <row r="864" spans="1:21">
      <c r="A864" s="294"/>
      <c r="B864" s="294"/>
      <c r="C864" s="294"/>
      <c r="D864" s="294"/>
      <c r="E864" s="290"/>
      <c r="F864" s="290"/>
      <c r="G864" s="292"/>
      <c r="H864" s="292"/>
      <c r="I864" s="293"/>
      <c r="O864" s="69"/>
      <c r="P864" s="69"/>
      <c r="Q864" s="248"/>
      <c r="R864" s="247"/>
      <c r="S864" s="69"/>
      <c r="T864" s="162"/>
      <c r="U864" s="69"/>
    </row>
    <row r="865" spans="1:21">
      <c r="A865" s="294"/>
      <c r="B865" s="294"/>
      <c r="C865" s="294"/>
      <c r="D865" s="294"/>
      <c r="E865" s="290"/>
      <c r="F865" s="290"/>
      <c r="G865" s="292"/>
      <c r="H865" s="292"/>
      <c r="I865" s="293"/>
      <c r="O865" s="69"/>
      <c r="P865" s="69"/>
      <c r="Q865" s="248"/>
      <c r="R865" s="247"/>
      <c r="S865" s="69"/>
      <c r="T865" s="162"/>
      <c r="U865" s="69"/>
    </row>
    <row r="866" spans="1:21">
      <c r="A866" s="294"/>
      <c r="B866" s="294"/>
      <c r="C866" s="294"/>
      <c r="D866" s="294"/>
      <c r="E866" s="290"/>
      <c r="F866" s="290"/>
      <c r="G866" s="292"/>
      <c r="H866" s="292"/>
      <c r="I866" s="293"/>
      <c r="O866" s="69"/>
      <c r="P866" s="69"/>
      <c r="Q866" s="248"/>
      <c r="R866" s="247"/>
      <c r="S866" s="69"/>
      <c r="T866" s="162"/>
      <c r="U866" s="69"/>
    </row>
    <row r="867" spans="1:21">
      <c r="A867" s="294"/>
      <c r="B867" s="294"/>
      <c r="C867" s="294"/>
      <c r="D867" s="294"/>
      <c r="E867" s="290"/>
      <c r="F867" s="290"/>
      <c r="G867" s="292"/>
      <c r="H867" s="292"/>
      <c r="I867" s="293"/>
      <c r="O867" s="69"/>
      <c r="P867" s="69"/>
      <c r="Q867" s="248"/>
      <c r="R867" s="247"/>
      <c r="S867" s="69"/>
      <c r="T867" s="162"/>
      <c r="U867" s="69"/>
    </row>
    <row r="868" spans="1:21">
      <c r="A868" s="294"/>
      <c r="B868" s="294"/>
      <c r="C868" s="294"/>
      <c r="D868" s="294"/>
      <c r="E868" s="290"/>
      <c r="F868" s="290"/>
      <c r="G868" s="292"/>
      <c r="H868" s="292"/>
      <c r="I868" s="293"/>
      <c r="O868" s="69"/>
      <c r="P868" s="69"/>
      <c r="Q868" s="248"/>
      <c r="R868" s="247"/>
      <c r="S868" s="69"/>
      <c r="T868" s="162"/>
      <c r="U868" s="69"/>
    </row>
    <row r="869" spans="1:21">
      <c r="A869" s="294"/>
      <c r="B869" s="294"/>
      <c r="C869" s="294"/>
      <c r="D869" s="294"/>
      <c r="E869" s="290"/>
      <c r="F869" s="290"/>
      <c r="G869" s="292"/>
      <c r="H869" s="292"/>
      <c r="I869" s="293"/>
      <c r="O869" s="69"/>
      <c r="P869" s="69"/>
      <c r="Q869" s="248"/>
      <c r="R869" s="247"/>
      <c r="S869" s="69"/>
      <c r="T869" s="162"/>
      <c r="U869" s="69"/>
    </row>
    <row r="870" spans="1:21">
      <c r="A870" s="294"/>
      <c r="B870" s="294"/>
      <c r="C870" s="294"/>
      <c r="D870" s="294"/>
      <c r="E870" s="290"/>
      <c r="F870" s="290"/>
      <c r="G870" s="292"/>
      <c r="H870" s="292"/>
      <c r="I870" s="293"/>
      <c r="O870" s="69"/>
      <c r="P870" s="69"/>
      <c r="Q870" s="248"/>
      <c r="R870" s="247"/>
      <c r="S870" s="69"/>
      <c r="T870" s="162"/>
      <c r="U870" s="69"/>
    </row>
    <row r="871" spans="1:21">
      <c r="A871" s="294"/>
      <c r="B871" s="294"/>
      <c r="C871" s="294"/>
      <c r="D871" s="294"/>
      <c r="E871" s="290"/>
      <c r="F871" s="290"/>
      <c r="G871" s="292"/>
      <c r="H871" s="292"/>
      <c r="I871" s="293"/>
      <c r="O871" s="69"/>
      <c r="P871" s="69"/>
      <c r="Q871" s="248"/>
      <c r="R871" s="247"/>
      <c r="S871" s="69"/>
      <c r="T871" s="162"/>
      <c r="U871" s="69"/>
    </row>
    <row r="872" spans="1:21">
      <c r="A872" s="294"/>
      <c r="B872" s="294"/>
      <c r="C872" s="294"/>
      <c r="D872" s="294"/>
      <c r="E872" s="290"/>
      <c r="F872" s="290"/>
      <c r="G872" s="292"/>
      <c r="H872" s="292"/>
      <c r="I872" s="293"/>
      <c r="O872" s="69"/>
      <c r="P872" s="69"/>
      <c r="Q872" s="248"/>
      <c r="R872" s="247"/>
      <c r="S872" s="69"/>
      <c r="T872" s="162"/>
      <c r="U872" s="69"/>
    </row>
    <row r="873" spans="1:21">
      <c r="A873" s="294"/>
      <c r="B873" s="294"/>
      <c r="C873" s="294"/>
      <c r="D873" s="294"/>
      <c r="E873" s="290"/>
      <c r="F873" s="290"/>
      <c r="G873" s="292"/>
      <c r="H873" s="292"/>
      <c r="I873" s="293"/>
      <c r="O873" s="69"/>
      <c r="P873" s="69"/>
      <c r="Q873" s="248"/>
      <c r="R873" s="247"/>
      <c r="S873" s="69"/>
      <c r="T873" s="162"/>
      <c r="U873" s="69"/>
    </row>
    <row r="874" spans="1:21">
      <c r="A874" s="294"/>
      <c r="B874" s="294"/>
      <c r="C874" s="294"/>
      <c r="D874" s="294"/>
      <c r="E874" s="290"/>
      <c r="F874" s="290"/>
      <c r="G874" s="292"/>
      <c r="H874" s="292"/>
      <c r="I874" s="293"/>
      <c r="O874" s="69"/>
      <c r="P874" s="69"/>
      <c r="Q874" s="248"/>
      <c r="R874" s="247"/>
      <c r="S874" s="69"/>
      <c r="T874" s="162"/>
      <c r="U874" s="69"/>
    </row>
    <row r="875" spans="1:21">
      <c r="A875" s="294"/>
      <c r="B875" s="294"/>
      <c r="C875" s="294"/>
      <c r="D875" s="294"/>
      <c r="E875" s="290"/>
      <c r="F875" s="290"/>
      <c r="G875" s="292"/>
      <c r="H875" s="292"/>
      <c r="I875" s="293"/>
      <c r="O875" s="69"/>
      <c r="P875" s="69"/>
      <c r="Q875" s="248"/>
      <c r="R875" s="247"/>
      <c r="S875" s="69"/>
      <c r="T875" s="162"/>
      <c r="U875" s="69"/>
    </row>
    <row r="876" spans="1:21">
      <c r="A876" s="294"/>
      <c r="B876" s="294"/>
      <c r="C876" s="294"/>
      <c r="D876" s="294"/>
      <c r="E876" s="290"/>
      <c r="F876" s="290"/>
      <c r="G876" s="292"/>
      <c r="H876" s="292"/>
      <c r="I876" s="293"/>
      <c r="O876" s="69"/>
      <c r="P876" s="69"/>
      <c r="Q876" s="248"/>
      <c r="R876" s="247"/>
      <c r="S876" s="69"/>
      <c r="T876" s="162"/>
      <c r="U876" s="69"/>
    </row>
    <row r="877" spans="1:21">
      <c r="A877" s="294"/>
      <c r="B877" s="294"/>
      <c r="C877" s="294"/>
      <c r="D877" s="294"/>
      <c r="E877" s="290"/>
      <c r="F877" s="290"/>
      <c r="G877" s="292"/>
      <c r="H877" s="292"/>
      <c r="I877" s="293"/>
      <c r="O877" s="69"/>
      <c r="P877" s="69"/>
      <c r="Q877" s="248"/>
      <c r="R877" s="247"/>
      <c r="S877" s="69"/>
      <c r="T877" s="162"/>
      <c r="U877" s="69"/>
    </row>
    <row r="878" spans="1:21">
      <c r="A878" s="294"/>
      <c r="B878" s="294"/>
      <c r="C878" s="294"/>
      <c r="D878" s="294"/>
      <c r="E878" s="290"/>
      <c r="F878" s="290"/>
      <c r="G878" s="292"/>
      <c r="H878" s="292"/>
      <c r="I878" s="293"/>
      <c r="O878" s="69"/>
      <c r="P878" s="69"/>
      <c r="Q878" s="248"/>
      <c r="R878" s="247"/>
      <c r="S878" s="69"/>
      <c r="T878" s="162"/>
      <c r="U878" s="69"/>
    </row>
    <row r="879" spans="1:21">
      <c r="A879" s="294"/>
      <c r="B879" s="294"/>
      <c r="C879" s="294"/>
      <c r="D879" s="294"/>
      <c r="E879" s="290"/>
      <c r="F879" s="290"/>
      <c r="G879" s="292"/>
      <c r="H879" s="292"/>
      <c r="I879" s="293"/>
      <c r="O879" s="69"/>
      <c r="P879" s="69"/>
      <c r="Q879" s="248"/>
      <c r="R879" s="247"/>
      <c r="S879" s="69"/>
      <c r="T879" s="162"/>
      <c r="U879" s="69"/>
    </row>
    <row r="880" spans="1:21">
      <c r="A880" s="294"/>
      <c r="B880" s="294"/>
      <c r="C880" s="294"/>
      <c r="D880" s="294"/>
      <c r="E880" s="290"/>
      <c r="F880" s="290"/>
      <c r="G880" s="292"/>
      <c r="H880" s="292"/>
      <c r="I880" s="293"/>
      <c r="O880" s="69"/>
      <c r="P880" s="69"/>
      <c r="Q880" s="248"/>
      <c r="R880" s="247"/>
      <c r="S880" s="69"/>
      <c r="T880" s="162"/>
      <c r="U880" s="69"/>
    </row>
    <row r="881" spans="1:21">
      <c r="A881" s="294"/>
      <c r="B881" s="294"/>
      <c r="C881" s="294"/>
      <c r="D881" s="294"/>
      <c r="E881" s="290"/>
      <c r="F881" s="290"/>
      <c r="G881" s="292"/>
      <c r="H881" s="292"/>
      <c r="I881" s="293"/>
      <c r="O881" s="69"/>
      <c r="P881" s="69"/>
      <c r="Q881" s="248"/>
      <c r="R881" s="247"/>
      <c r="S881" s="69"/>
      <c r="T881" s="162"/>
      <c r="U881" s="69"/>
    </row>
    <row r="882" spans="1:21">
      <c r="A882" s="294"/>
      <c r="B882" s="294"/>
      <c r="C882" s="294"/>
      <c r="D882" s="294"/>
      <c r="E882" s="290"/>
      <c r="F882" s="290"/>
      <c r="G882" s="292"/>
      <c r="H882" s="292"/>
      <c r="I882" s="293"/>
      <c r="O882" s="69"/>
      <c r="P882" s="69"/>
      <c r="Q882" s="248"/>
      <c r="R882" s="247"/>
      <c r="S882" s="69"/>
      <c r="T882" s="162"/>
      <c r="U882" s="69"/>
    </row>
    <row r="883" spans="1:21">
      <c r="A883" s="294"/>
      <c r="B883" s="294"/>
      <c r="C883" s="294"/>
      <c r="D883" s="294"/>
      <c r="E883" s="290"/>
      <c r="F883" s="290"/>
      <c r="G883" s="292"/>
      <c r="H883" s="292"/>
      <c r="I883" s="293"/>
      <c r="O883" s="69"/>
      <c r="P883" s="69"/>
      <c r="Q883" s="248"/>
      <c r="R883" s="247"/>
      <c r="S883" s="69"/>
      <c r="T883" s="162"/>
      <c r="U883" s="69"/>
    </row>
    <row r="884" spans="1:21">
      <c r="A884" s="294"/>
      <c r="B884" s="294"/>
      <c r="C884" s="294"/>
      <c r="D884" s="294"/>
      <c r="E884" s="290"/>
      <c r="F884" s="290"/>
      <c r="G884" s="292"/>
      <c r="H884" s="292"/>
      <c r="I884" s="293"/>
      <c r="O884" s="69"/>
      <c r="P884" s="69"/>
      <c r="Q884" s="248"/>
      <c r="R884" s="247"/>
      <c r="S884" s="69"/>
      <c r="T884" s="162"/>
      <c r="U884" s="69"/>
    </row>
    <row r="885" spans="1:21">
      <c r="A885" s="294"/>
      <c r="B885" s="294"/>
      <c r="C885" s="294"/>
      <c r="D885" s="294"/>
      <c r="E885" s="290"/>
      <c r="F885" s="290"/>
      <c r="G885" s="292"/>
      <c r="H885" s="292"/>
      <c r="I885" s="293"/>
      <c r="O885" s="69"/>
      <c r="P885" s="69"/>
      <c r="Q885" s="248"/>
      <c r="R885" s="247"/>
      <c r="S885" s="69"/>
      <c r="T885" s="162"/>
      <c r="U885" s="69"/>
    </row>
    <row r="886" spans="1:21">
      <c r="A886" s="294"/>
      <c r="B886" s="294"/>
      <c r="C886" s="294"/>
      <c r="D886" s="294"/>
      <c r="E886" s="290"/>
      <c r="F886" s="290"/>
      <c r="G886" s="292"/>
      <c r="H886" s="292"/>
      <c r="I886" s="293"/>
      <c r="O886" s="69"/>
      <c r="P886" s="69"/>
      <c r="Q886" s="248"/>
      <c r="R886" s="247"/>
      <c r="S886" s="69"/>
      <c r="T886" s="162"/>
      <c r="U886" s="69"/>
    </row>
    <row r="887" spans="1:21">
      <c r="A887" s="294"/>
      <c r="B887" s="294"/>
      <c r="C887" s="294"/>
      <c r="D887" s="294"/>
      <c r="E887" s="290"/>
      <c r="F887" s="290"/>
      <c r="G887" s="292"/>
      <c r="H887" s="292"/>
      <c r="I887" s="293"/>
      <c r="O887" s="69"/>
      <c r="P887" s="69"/>
      <c r="Q887" s="248"/>
      <c r="R887" s="247"/>
      <c r="S887" s="69"/>
      <c r="T887" s="162"/>
      <c r="U887" s="69"/>
    </row>
    <row r="888" spans="1:21">
      <c r="A888" s="294"/>
      <c r="B888" s="294"/>
      <c r="C888" s="294"/>
      <c r="D888" s="294"/>
      <c r="E888" s="290"/>
      <c r="F888" s="290"/>
      <c r="G888" s="292"/>
      <c r="H888" s="292"/>
      <c r="I888" s="293"/>
      <c r="O888" s="69"/>
      <c r="P888" s="69"/>
      <c r="Q888" s="248"/>
      <c r="R888" s="247"/>
      <c r="S888" s="69"/>
      <c r="T888" s="162"/>
      <c r="U888" s="69"/>
    </row>
    <row r="889" spans="1:21">
      <c r="A889" s="294"/>
      <c r="B889" s="294"/>
      <c r="C889" s="294"/>
      <c r="D889" s="294"/>
      <c r="E889" s="290"/>
      <c r="F889" s="290"/>
      <c r="G889" s="292"/>
      <c r="H889" s="292"/>
      <c r="I889" s="293"/>
      <c r="O889" s="69"/>
      <c r="P889" s="69"/>
      <c r="Q889" s="248"/>
      <c r="R889" s="247"/>
      <c r="S889" s="69"/>
      <c r="T889" s="162"/>
      <c r="U889" s="69"/>
    </row>
    <row r="890" spans="1:21">
      <c r="A890" s="294"/>
      <c r="B890" s="294"/>
      <c r="C890" s="294"/>
      <c r="D890" s="294"/>
      <c r="E890" s="290"/>
      <c r="F890" s="290"/>
      <c r="G890" s="292"/>
      <c r="H890" s="292"/>
      <c r="I890" s="293"/>
      <c r="O890" s="69"/>
      <c r="P890" s="69"/>
      <c r="Q890" s="248"/>
      <c r="R890" s="247"/>
      <c r="S890" s="69"/>
      <c r="T890" s="162"/>
      <c r="U890" s="69"/>
    </row>
    <row r="891" spans="1:21">
      <c r="A891" s="294"/>
      <c r="B891" s="294"/>
      <c r="C891" s="294"/>
      <c r="D891" s="294"/>
      <c r="E891" s="290"/>
      <c r="F891" s="290"/>
      <c r="G891" s="292"/>
      <c r="H891" s="292"/>
      <c r="I891" s="293"/>
      <c r="O891" s="69"/>
      <c r="P891" s="69"/>
      <c r="Q891" s="248"/>
      <c r="R891" s="247"/>
      <c r="S891" s="69"/>
      <c r="T891" s="162"/>
      <c r="U891" s="69"/>
    </row>
    <row r="892" spans="1:21">
      <c r="A892" s="294"/>
      <c r="B892" s="294"/>
      <c r="C892" s="294"/>
      <c r="D892" s="294"/>
      <c r="E892" s="290"/>
      <c r="F892" s="290"/>
      <c r="G892" s="292"/>
      <c r="H892" s="292"/>
      <c r="I892" s="293"/>
      <c r="O892" s="69"/>
      <c r="P892" s="69"/>
      <c r="Q892" s="248"/>
      <c r="R892" s="247"/>
      <c r="S892" s="69"/>
      <c r="T892" s="162"/>
      <c r="U892" s="69"/>
    </row>
    <row r="893" spans="1:21">
      <c r="A893" s="294"/>
      <c r="B893" s="294"/>
      <c r="C893" s="294"/>
      <c r="D893" s="294"/>
      <c r="E893" s="290"/>
      <c r="F893" s="290"/>
      <c r="G893" s="292"/>
      <c r="H893" s="292"/>
      <c r="I893" s="293"/>
      <c r="O893" s="69"/>
      <c r="P893" s="69"/>
      <c r="Q893" s="248"/>
      <c r="R893" s="247"/>
      <c r="S893" s="69"/>
      <c r="T893" s="162"/>
      <c r="U893" s="69"/>
    </row>
    <row r="894" spans="1:21">
      <c r="A894" s="294"/>
      <c r="B894" s="294"/>
      <c r="C894" s="294"/>
      <c r="D894" s="294"/>
      <c r="E894" s="290"/>
      <c r="F894" s="290"/>
      <c r="G894" s="292"/>
      <c r="H894" s="292"/>
      <c r="I894" s="293"/>
      <c r="O894" s="69"/>
      <c r="P894" s="69"/>
      <c r="Q894" s="248"/>
      <c r="R894" s="247"/>
      <c r="S894" s="69"/>
      <c r="T894" s="162"/>
      <c r="U894" s="69"/>
    </row>
    <row r="895" spans="1:21">
      <c r="A895" s="294"/>
      <c r="B895" s="294"/>
      <c r="C895" s="294"/>
      <c r="D895" s="294"/>
      <c r="E895" s="290"/>
      <c r="F895" s="290"/>
      <c r="G895" s="292"/>
      <c r="H895" s="292"/>
      <c r="I895" s="293"/>
      <c r="O895" s="69"/>
      <c r="P895" s="69"/>
      <c r="Q895" s="248"/>
      <c r="R895" s="247"/>
      <c r="S895" s="69"/>
      <c r="T895" s="162"/>
      <c r="U895" s="69"/>
    </row>
    <row r="896" spans="1:21">
      <c r="A896" s="294"/>
      <c r="B896" s="294"/>
      <c r="C896" s="294"/>
      <c r="D896" s="294"/>
      <c r="E896" s="290"/>
      <c r="F896" s="290"/>
      <c r="G896" s="292"/>
      <c r="H896" s="292"/>
      <c r="I896" s="293"/>
      <c r="O896" s="69"/>
      <c r="P896" s="69"/>
      <c r="Q896" s="248"/>
      <c r="R896" s="247"/>
      <c r="S896" s="69"/>
      <c r="T896" s="162"/>
      <c r="U896" s="69"/>
    </row>
    <row r="897" spans="1:21">
      <c r="A897" s="294"/>
      <c r="B897" s="294"/>
      <c r="C897" s="294"/>
      <c r="D897" s="294"/>
      <c r="E897" s="290"/>
      <c r="F897" s="290"/>
      <c r="G897" s="292"/>
      <c r="H897" s="292"/>
      <c r="I897" s="293"/>
      <c r="O897" s="69"/>
      <c r="P897" s="69"/>
      <c r="Q897" s="248"/>
      <c r="R897" s="247"/>
      <c r="S897" s="69"/>
      <c r="T897" s="162"/>
      <c r="U897" s="69"/>
    </row>
    <row r="898" spans="1:21">
      <c r="A898" s="294"/>
      <c r="B898" s="294"/>
      <c r="C898" s="294"/>
      <c r="D898" s="294"/>
      <c r="E898" s="290"/>
      <c r="F898" s="290"/>
      <c r="G898" s="292"/>
      <c r="H898" s="292"/>
      <c r="I898" s="293"/>
      <c r="O898" s="69"/>
      <c r="P898" s="69"/>
      <c r="Q898" s="248"/>
      <c r="R898" s="247"/>
      <c r="S898" s="69"/>
      <c r="T898" s="162"/>
      <c r="U898" s="69"/>
    </row>
    <row r="899" spans="1:21">
      <c r="A899" s="294"/>
      <c r="B899" s="294"/>
      <c r="C899" s="294"/>
      <c r="D899" s="294"/>
      <c r="E899" s="290"/>
      <c r="F899" s="290"/>
      <c r="G899" s="292"/>
      <c r="H899" s="292"/>
      <c r="I899" s="293"/>
      <c r="O899" s="69"/>
      <c r="P899" s="69"/>
      <c r="Q899" s="248"/>
      <c r="R899" s="247"/>
      <c r="S899" s="69"/>
      <c r="T899" s="162"/>
      <c r="U899" s="69"/>
    </row>
    <row r="900" spans="1:21">
      <c r="A900" s="294"/>
      <c r="B900" s="294"/>
      <c r="C900" s="294"/>
      <c r="D900" s="294"/>
      <c r="E900" s="290"/>
      <c r="F900" s="290"/>
      <c r="G900" s="292"/>
      <c r="H900" s="292"/>
      <c r="I900" s="293"/>
      <c r="O900" s="69"/>
      <c r="P900" s="69"/>
      <c r="Q900" s="248"/>
      <c r="R900" s="247"/>
      <c r="S900" s="69"/>
      <c r="T900" s="162"/>
      <c r="U900" s="69"/>
    </row>
    <row r="901" spans="1:21">
      <c r="A901" s="294"/>
      <c r="B901" s="294"/>
      <c r="C901" s="294"/>
      <c r="D901" s="294"/>
      <c r="E901" s="290"/>
      <c r="F901" s="290"/>
      <c r="G901" s="292"/>
      <c r="H901" s="292"/>
      <c r="I901" s="293"/>
      <c r="O901" s="69"/>
      <c r="P901" s="69"/>
      <c r="Q901" s="248"/>
      <c r="R901" s="247"/>
      <c r="S901" s="69"/>
      <c r="T901" s="162"/>
      <c r="U901" s="69"/>
    </row>
    <row r="902" spans="1:21">
      <c r="A902" s="294"/>
      <c r="B902" s="294"/>
      <c r="C902" s="294"/>
      <c r="D902" s="294"/>
      <c r="E902" s="290"/>
      <c r="F902" s="290"/>
      <c r="G902" s="292"/>
      <c r="H902" s="292"/>
      <c r="I902" s="293"/>
      <c r="O902" s="69"/>
      <c r="P902" s="69"/>
      <c r="Q902" s="248"/>
      <c r="R902" s="247"/>
      <c r="S902" s="69"/>
      <c r="T902" s="162"/>
      <c r="U902" s="69"/>
    </row>
    <row r="903" spans="1:21">
      <c r="A903" s="294"/>
      <c r="B903" s="294"/>
      <c r="C903" s="294"/>
      <c r="D903" s="294"/>
      <c r="E903" s="290"/>
      <c r="F903" s="290"/>
      <c r="G903" s="292"/>
      <c r="H903" s="292"/>
      <c r="I903" s="293"/>
      <c r="O903" s="69"/>
      <c r="P903" s="69"/>
      <c r="Q903" s="248"/>
      <c r="R903" s="247"/>
      <c r="S903" s="69"/>
      <c r="T903" s="162"/>
      <c r="U903" s="69"/>
    </row>
    <row r="904" spans="1:21">
      <c r="A904" s="294"/>
      <c r="B904" s="294"/>
      <c r="C904" s="294"/>
      <c r="D904" s="294"/>
      <c r="E904" s="290"/>
      <c r="F904" s="290"/>
      <c r="G904" s="292"/>
      <c r="H904" s="292"/>
      <c r="I904" s="293"/>
      <c r="O904" s="69"/>
      <c r="P904" s="69"/>
      <c r="Q904" s="248"/>
      <c r="R904" s="247"/>
      <c r="S904" s="69"/>
      <c r="T904" s="162"/>
      <c r="U904" s="69"/>
    </row>
    <row r="905" spans="1:21">
      <c r="A905" s="294"/>
      <c r="B905" s="294"/>
      <c r="C905" s="294"/>
      <c r="D905" s="294"/>
      <c r="E905" s="290"/>
      <c r="F905" s="290"/>
      <c r="G905" s="292"/>
      <c r="H905" s="292"/>
      <c r="I905" s="293"/>
      <c r="O905" s="69"/>
      <c r="P905" s="69"/>
      <c r="Q905" s="248"/>
      <c r="R905" s="247"/>
      <c r="S905" s="69"/>
      <c r="T905" s="162"/>
      <c r="U905" s="69"/>
    </row>
    <row r="906" spans="1:21">
      <c r="A906" s="294"/>
      <c r="B906" s="294"/>
      <c r="C906" s="294"/>
      <c r="D906" s="294"/>
      <c r="E906" s="290"/>
      <c r="F906" s="290"/>
      <c r="G906" s="292"/>
      <c r="H906" s="292"/>
      <c r="I906" s="293"/>
      <c r="O906" s="69"/>
      <c r="P906" s="69"/>
      <c r="Q906" s="248"/>
      <c r="R906" s="247"/>
      <c r="S906" s="69"/>
      <c r="T906" s="162"/>
      <c r="U906" s="69"/>
    </row>
    <row r="907" spans="1:21">
      <c r="A907" s="294"/>
      <c r="B907" s="294"/>
      <c r="C907" s="294"/>
      <c r="D907" s="294"/>
      <c r="E907" s="290"/>
      <c r="F907" s="290"/>
      <c r="G907" s="292"/>
      <c r="H907" s="292"/>
      <c r="I907" s="293"/>
      <c r="O907" s="69"/>
      <c r="P907" s="69"/>
      <c r="Q907" s="248"/>
      <c r="R907" s="247"/>
      <c r="S907" s="69"/>
      <c r="T907" s="162"/>
      <c r="U907" s="69"/>
    </row>
    <row r="908" spans="1:21">
      <c r="A908" s="294"/>
      <c r="B908" s="294"/>
      <c r="C908" s="294"/>
      <c r="D908" s="294"/>
      <c r="E908" s="290"/>
      <c r="F908" s="290"/>
      <c r="G908" s="292"/>
      <c r="H908" s="292"/>
      <c r="I908" s="293"/>
      <c r="O908" s="69"/>
      <c r="P908" s="69"/>
      <c r="Q908" s="248"/>
      <c r="R908" s="247"/>
      <c r="S908" s="69"/>
      <c r="T908" s="162"/>
      <c r="U908" s="69"/>
    </row>
    <row r="909" spans="1:21">
      <c r="A909" s="294"/>
      <c r="B909" s="294"/>
      <c r="C909" s="294"/>
      <c r="D909" s="294"/>
      <c r="E909" s="290"/>
      <c r="F909" s="290"/>
      <c r="G909" s="292"/>
      <c r="H909" s="292"/>
      <c r="I909" s="293"/>
      <c r="O909" s="69"/>
      <c r="P909" s="69"/>
      <c r="Q909" s="248"/>
      <c r="R909" s="247"/>
      <c r="S909" s="69"/>
      <c r="T909" s="162"/>
      <c r="U909" s="69"/>
    </row>
    <row r="910" spans="1:21">
      <c r="A910" s="294"/>
      <c r="B910" s="294"/>
      <c r="C910" s="294"/>
      <c r="D910" s="294"/>
      <c r="E910" s="290"/>
      <c r="F910" s="290"/>
      <c r="G910" s="292"/>
      <c r="H910" s="292"/>
      <c r="I910" s="293"/>
      <c r="O910" s="69"/>
      <c r="P910" s="69"/>
      <c r="Q910" s="248"/>
      <c r="R910" s="247"/>
      <c r="S910" s="69"/>
      <c r="T910" s="162"/>
      <c r="U910" s="69"/>
    </row>
    <row r="911" spans="1:21">
      <c r="A911" s="294"/>
      <c r="B911" s="294"/>
      <c r="C911" s="294"/>
      <c r="D911" s="294"/>
      <c r="E911" s="290"/>
      <c r="F911" s="290"/>
      <c r="G911" s="292"/>
      <c r="H911" s="292"/>
      <c r="I911" s="293"/>
      <c r="O911" s="69"/>
      <c r="P911" s="69"/>
      <c r="Q911" s="248"/>
      <c r="R911" s="247"/>
      <c r="S911" s="69"/>
      <c r="T911" s="162"/>
      <c r="U911" s="69"/>
    </row>
    <row r="912" spans="1:21">
      <c r="A912" s="294"/>
      <c r="B912" s="294"/>
      <c r="C912" s="294"/>
      <c r="D912" s="294"/>
      <c r="E912" s="290"/>
      <c r="F912" s="290"/>
      <c r="G912" s="292"/>
      <c r="H912" s="292"/>
      <c r="I912" s="293"/>
      <c r="O912" s="69"/>
      <c r="P912" s="69"/>
      <c r="Q912" s="248"/>
      <c r="R912" s="247"/>
      <c r="S912" s="69"/>
      <c r="T912" s="162"/>
      <c r="U912" s="69"/>
    </row>
    <row r="913" spans="1:21">
      <c r="A913" s="294"/>
      <c r="B913" s="294"/>
      <c r="C913" s="294"/>
      <c r="D913" s="294"/>
      <c r="E913" s="290"/>
      <c r="F913" s="290"/>
      <c r="G913" s="292"/>
      <c r="H913" s="292"/>
      <c r="I913" s="293"/>
      <c r="O913" s="69"/>
      <c r="P913" s="69"/>
      <c r="Q913" s="248"/>
      <c r="R913" s="247"/>
      <c r="S913" s="69"/>
      <c r="T913" s="162"/>
      <c r="U913" s="69"/>
    </row>
    <row r="914" spans="1:21">
      <c r="A914" s="294"/>
      <c r="B914" s="294"/>
      <c r="C914" s="294"/>
      <c r="D914" s="294"/>
      <c r="E914" s="290"/>
      <c r="F914" s="290"/>
      <c r="G914" s="292"/>
      <c r="H914" s="292"/>
      <c r="I914" s="293"/>
      <c r="O914" s="69"/>
      <c r="P914" s="69"/>
      <c r="Q914" s="248"/>
      <c r="R914" s="247"/>
      <c r="S914" s="69"/>
      <c r="T914" s="162"/>
      <c r="U914" s="69"/>
    </row>
    <row r="915" spans="1:21">
      <c r="A915" s="294"/>
      <c r="B915" s="294"/>
      <c r="C915" s="294"/>
      <c r="D915" s="294"/>
      <c r="E915" s="290"/>
      <c r="F915" s="290"/>
      <c r="G915" s="292"/>
      <c r="H915" s="292"/>
      <c r="I915" s="293"/>
      <c r="O915" s="69"/>
      <c r="P915" s="69"/>
      <c r="Q915" s="248"/>
      <c r="R915" s="247"/>
      <c r="S915" s="69"/>
      <c r="T915" s="162"/>
      <c r="U915" s="69"/>
    </row>
    <row r="916" spans="1:21">
      <c r="A916" s="294"/>
      <c r="B916" s="294"/>
      <c r="C916" s="294"/>
      <c r="D916" s="294"/>
      <c r="E916" s="290"/>
      <c r="F916" s="290"/>
      <c r="G916" s="292"/>
      <c r="H916" s="292"/>
      <c r="I916" s="293"/>
      <c r="O916" s="69"/>
      <c r="P916" s="69"/>
      <c r="Q916" s="248"/>
      <c r="R916" s="247"/>
      <c r="S916" s="69"/>
      <c r="T916" s="162"/>
      <c r="U916" s="69"/>
    </row>
    <row r="917" spans="1:21">
      <c r="A917" s="294"/>
      <c r="B917" s="294"/>
      <c r="C917" s="294"/>
      <c r="D917" s="294"/>
      <c r="E917" s="290"/>
      <c r="F917" s="290"/>
      <c r="G917" s="292"/>
      <c r="H917" s="292"/>
      <c r="I917" s="293"/>
      <c r="O917" s="69"/>
      <c r="P917" s="69"/>
      <c r="Q917" s="248"/>
      <c r="R917" s="247"/>
      <c r="S917" s="69"/>
      <c r="T917" s="162"/>
      <c r="U917" s="69"/>
    </row>
    <row r="918" spans="1:21">
      <c r="A918" s="294"/>
      <c r="B918" s="294"/>
      <c r="C918" s="294"/>
      <c r="D918" s="294"/>
      <c r="E918" s="290"/>
      <c r="F918" s="290"/>
      <c r="G918" s="292"/>
      <c r="H918" s="292"/>
      <c r="I918" s="293"/>
      <c r="O918" s="69"/>
      <c r="P918" s="69"/>
      <c r="Q918" s="248"/>
      <c r="R918" s="247"/>
      <c r="S918" s="69"/>
      <c r="T918" s="162"/>
      <c r="U918" s="69"/>
    </row>
    <row r="919" spans="1:21">
      <c r="A919" s="294"/>
      <c r="B919" s="294"/>
      <c r="C919" s="294"/>
      <c r="D919" s="294"/>
      <c r="E919" s="290"/>
      <c r="F919" s="290"/>
      <c r="G919" s="292"/>
      <c r="H919" s="292"/>
      <c r="I919" s="293"/>
      <c r="O919" s="69"/>
      <c r="P919" s="69"/>
      <c r="Q919" s="248"/>
      <c r="R919" s="247"/>
      <c r="S919" s="69"/>
      <c r="T919" s="162"/>
      <c r="U919" s="69"/>
    </row>
    <row r="920" spans="1:21">
      <c r="A920" s="294"/>
      <c r="B920" s="294"/>
      <c r="C920" s="294"/>
      <c r="D920" s="294"/>
      <c r="E920" s="290"/>
      <c r="F920" s="290"/>
      <c r="G920" s="292"/>
      <c r="H920" s="292"/>
      <c r="I920" s="293"/>
      <c r="O920" s="69"/>
      <c r="P920" s="69"/>
      <c r="Q920" s="248"/>
      <c r="R920" s="247"/>
      <c r="S920" s="69"/>
      <c r="T920" s="162"/>
      <c r="U920" s="69"/>
    </row>
    <row r="921" spans="1:21">
      <c r="A921" s="294"/>
      <c r="B921" s="294"/>
      <c r="C921" s="294"/>
      <c r="D921" s="294"/>
      <c r="E921" s="290"/>
      <c r="F921" s="290"/>
      <c r="G921" s="292"/>
      <c r="H921" s="292"/>
      <c r="I921" s="293"/>
      <c r="O921" s="69"/>
      <c r="P921" s="69"/>
      <c r="Q921" s="248"/>
      <c r="R921" s="247"/>
      <c r="S921" s="69"/>
      <c r="T921" s="162"/>
      <c r="U921" s="69"/>
    </row>
    <row r="922" spans="1:21">
      <c r="A922" s="294"/>
      <c r="B922" s="294"/>
      <c r="C922" s="294"/>
      <c r="D922" s="294"/>
      <c r="E922" s="290"/>
      <c r="F922" s="290"/>
      <c r="G922" s="292"/>
      <c r="H922" s="292"/>
      <c r="I922" s="293"/>
      <c r="O922" s="69"/>
      <c r="P922" s="69"/>
      <c r="Q922" s="248"/>
      <c r="R922" s="247"/>
      <c r="S922" s="69"/>
      <c r="T922" s="162"/>
      <c r="U922" s="69"/>
    </row>
    <row r="923" spans="1:21">
      <c r="A923" s="294"/>
      <c r="B923" s="294"/>
      <c r="C923" s="294"/>
      <c r="D923" s="294"/>
      <c r="E923" s="290"/>
      <c r="F923" s="290"/>
      <c r="G923" s="292"/>
      <c r="H923" s="292"/>
      <c r="I923" s="293"/>
      <c r="O923" s="69"/>
      <c r="P923" s="69"/>
      <c r="Q923" s="248"/>
      <c r="R923" s="247"/>
      <c r="S923" s="69"/>
      <c r="T923" s="162"/>
      <c r="U923" s="69"/>
    </row>
    <row r="924" spans="1:21">
      <c r="A924" s="294"/>
      <c r="B924" s="294"/>
      <c r="C924" s="294"/>
      <c r="D924" s="294"/>
      <c r="E924" s="290"/>
      <c r="F924" s="290"/>
      <c r="G924" s="292"/>
      <c r="H924" s="292"/>
      <c r="I924" s="293"/>
      <c r="O924" s="69"/>
      <c r="P924" s="69"/>
      <c r="Q924" s="248"/>
      <c r="R924" s="247"/>
      <c r="S924" s="69"/>
      <c r="T924" s="162"/>
      <c r="U924" s="69"/>
    </row>
    <row r="925" spans="1:21">
      <c r="A925" s="294"/>
      <c r="B925" s="294"/>
      <c r="C925" s="294"/>
      <c r="D925" s="294"/>
      <c r="E925" s="290"/>
      <c r="F925" s="290"/>
      <c r="G925" s="291"/>
      <c r="H925" s="292"/>
      <c r="I925" s="293"/>
      <c r="O925" s="69"/>
      <c r="P925" s="69"/>
      <c r="Q925" s="248"/>
      <c r="R925" s="247"/>
      <c r="S925" s="69"/>
      <c r="T925" s="162"/>
      <c r="U925" s="69"/>
    </row>
    <row r="926" spans="1:21">
      <c r="A926" s="294"/>
      <c r="B926" s="294"/>
      <c r="C926" s="294"/>
      <c r="D926" s="294"/>
      <c r="E926" s="290"/>
      <c r="F926" s="290"/>
      <c r="G926" s="292"/>
      <c r="H926" s="292"/>
      <c r="I926" s="293"/>
      <c r="O926" s="69"/>
      <c r="P926" s="69"/>
      <c r="Q926" s="248"/>
      <c r="R926" s="247"/>
      <c r="S926" s="69"/>
      <c r="T926" s="162"/>
      <c r="U926" s="69"/>
    </row>
    <row r="927" spans="1:21">
      <c r="A927" s="294"/>
      <c r="B927" s="294"/>
      <c r="C927" s="294"/>
      <c r="D927" s="294"/>
      <c r="E927" s="290"/>
      <c r="F927" s="290"/>
      <c r="G927" s="292"/>
      <c r="H927" s="292"/>
      <c r="I927" s="293"/>
      <c r="O927" s="69"/>
      <c r="P927" s="69"/>
      <c r="Q927" s="248"/>
      <c r="R927" s="247"/>
      <c r="S927" s="69"/>
      <c r="T927" s="162"/>
      <c r="U927" s="69"/>
    </row>
    <row r="928" spans="1:21">
      <c r="A928" s="294"/>
      <c r="B928" s="294"/>
      <c r="C928" s="294"/>
      <c r="D928" s="294"/>
      <c r="E928" s="290"/>
      <c r="F928" s="290"/>
      <c r="G928" s="292"/>
      <c r="H928" s="292"/>
      <c r="I928" s="293"/>
      <c r="O928" s="69"/>
      <c r="P928" s="69"/>
      <c r="Q928" s="248"/>
      <c r="R928" s="247"/>
      <c r="S928" s="69"/>
      <c r="T928" s="162"/>
      <c r="U928" s="69"/>
    </row>
    <row r="929" spans="1:21">
      <c r="A929" s="294"/>
      <c r="B929" s="294"/>
      <c r="C929" s="294"/>
      <c r="D929" s="294"/>
      <c r="E929" s="290"/>
      <c r="F929" s="290"/>
      <c r="G929" s="292"/>
      <c r="H929" s="292"/>
      <c r="I929" s="293"/>
      <c r="O929" s="69"/>
      <c r="P929" s="69"/>
      <c r="Q929" s="248"/>
      <c r="R929" s="247"/>
      <c r="S929" s="69"/>
      <c r="T929" s="162"/>
      <c r="U929" s="69"/>
    </row>
    <row r="930" spans="1:21">
      <c r="A930" s="294"/>
      <c r="B930" s="294"/>
      <c r="C930" s="294"/>
      <c r="D930" s="294"/>
      <c r="E930" s="290"/>
      <c r="F930" s="290"/>
      <c r="G930" s="292"/>
      <c r="H930" s="292"/>
      <c r="I930" s="293"/>
      <c r="O930" s="69"/>
      <c r="P930" s="69"/>
      <c r="Q930" s="248"/>
      <c r="R930" s="247"/>
      <c r="S930" s="69"/>
      <c r="T930" s="162"/>
      <c r="U930" s="69"/>
    </row>
    <row r="931" spans="1:21">
      <c r="A931" s="294"/>
      <c r="B931" s="294"/>
      <c r="C931" s="294"/>
      <c r="D931" s="294"/>
      <c r="E931" s="290"/>
      <c r="F931" s="290"/>
      <c r="G931" s="292"/>
      <c r="H931" s="292"/>
      <c r="I931" s="293"/>
      <c r="O931" s="69"/>
      <c r="P931" s="69"/>
      <c r="Q931" s="248"/>
      <c r="R931" s="247"/>
      <c r="S931" s="69"/>
      <c r="T931" s="162"/>
      <c r="U931" s="69"/>
    </row>
    <row r="932" spans="1:21">
      <c r="A932" s="294"/>
      <c r="B932" s="294"/>
      <c r="C932" s="294"/>
      <c r="D932" s="294"/>
      <c r="E932" s="290"/>
      <c r="F932" s="290"/>
      <c r="G932" s="292"/>
      <c r="H932" s="292"/>
      <c r="I932" s="293"/>
      <c r="O932" s="69"/>
      <c r="P932" s="69"/>
      <c r="Q932" s="248"/>
      <c r="R932" s="247"/>
      <c r="S932" s="69"/>
      <c r="T932" s="162"/>
      <c r="U932" s="69"/>
    </row>
    <row r="933" spans="1:21">
      <c r="A933" s="294"/>
      <c r="B933" s="294"/>
      <c r="C933" s="294"/>
      <c r="D933" s="294"/>
      <c r="E933" s="290"/>
      <c r="F933" s="290"/>
      <c r="G933" s="292"/>
      <c r="H933" s="292"/>
      <c r="I933" s="293"/>
      <c r="T933" s="1"/>
    </row>
    <row r="934" spans="1:21">
      <c r="A934" s="294"/>
      <c r="B934" s="294"/>
      <c r="C934" s="294"/>
      <c r="D934" s="294"/>
      <c r="E934" s="290"/>
      <c r="F934" s="290"/>
      <c r="G934" s="292"/>
      <c r="H934" s="292"/>
      <c r="I934" s="293"/>
    </row>
    <row r="935" spans="1:21">
      <c r="A935" s="294"/>
      <c r="B935" s="294"/>
      <c r="C935" s="294"/>
      <c r="D935" s="294"/>
      <c r="E935" s="290"/>
      <c r="F935" s="290"/>
      <c r="G935" s="292"/>
      <c r="H935" s="292"/>
      <c r="I935" s="293"/>
    </row>
    <row r="936" spans="1:21">
      <c r="A936" s="294"/>
      <c r="B936" s="294"/>
      <c r="C936" s="294"/>
      <c r="D936" s="294"/>
      <c r="E936" s="290"/>
      <c r="F936" s="290"/>
      <c r="G936" s="292"/>
      <c r="H936" s="292"/>
      <c r="I936" s="293"/>
    </row>
    <row r="937" spans="1:21">
      <c r="A937" s="294"/>
      <c r="B937" s="294"/>
      <c r="C937" s="294"/>
      <c r="D937" s="294"/>
      <c r="E937" s="290"/>
      <c r="F937" s="290"/>
      <c r="G937" s="292"/>
      <c r="H937" s="292"/>
      <c r="I937" s="293"/>
    </row>
    <row r="938" spans="1:21">
      <c r="A938" s="294"/>
      <c r="B938" s="294"/>
      <c r="C938" s="294"/>
      <c r="D938" s="294"/>
      <c r="E938" s="290"/>
      <c r="F938" s="290"/>
      <c r="G938" s="292"/>
      <c r="H938" s="292"/>
      <c r="I938" s="293"/>
    </row>
    <row r="939" spans="1:21">
      <c r="A939" s="294"/>
      <c r="B939" s="294"/>
      <c r="C939" s="294"/>
      <c r="D939" s="294"/>
      <c r="E939" s="290"/>
      <c r="F939" s="290"/>
      <c r="G939" s="292"/>
      <c r="H939" s="292"/>
      <c r="I939" s="293"/>
    </row>
    <row r="940" spans="1:21">
      <c r="A940" s="294"/>
      <c r="B940" s="294"/>
      <c r="C940" s="294"/>
      <c r="D940" s="294"/>
      <c r="E940" s="290"/>
      <c r="F940" s="290"/>
      <c r="G940" s="292"/>
      <c r="H940" s="292"/>
      <c r="I940" s="293"/>
    </row>
    <row r="941" spans="1:21">
      <c r="A941" s="294"/>
      <c r="B941" s="294"/>
      <c r="C941" s="294"/>
      <c r="D941" s="294"/>
      <c r="E941" s="290"/>
      <c r="F941" s="290"/>
      <c r="G941" s="292"/>
      <c r="H941" s="292"/>
      <c r="I941" s="293"/>
    </row>
    <row r="942" spans="1:21">
      <c r="A942" s="294"/>
      <c r="B942" s="294"/>
      <c r="C942" s="294"/>
      <c r="D942" s="294"/>
      <c r="E942" s="290"/>
      <c r="F942" s="290"/>
      <c r="G942" s="292"/>
      <c r="H942" s="292"/>
      <c r="I942" s="293"/>
    </row>
    <row r="943" spans="1:21">
      <c r="A943" s="294"/>
      <c r="B943" s="294"/>
      <c r="C943" s="294"/>
      <c r="D943" s="294"/>
      <c r="E943" s="290"/>
      <c r="F943" s="290"/>
      <c r="G943" s="292"/>
      <c r="H943" s="292"/>
      <c r="I943" s="293"/>
    </row>
    <row r="944" spans="1:21">
      <c r="A944" s="294"/>
      <c r="B944" s="294"/>
      <c r="C944" s="294"/>
      <c r="D944" s="294"/>
      <c r="E944" s="290"/>
      <c r="F944" s="290"/>
      <c r="G944" s="292"/>
      <c r="H944" s="292"/>
      <c r="I944" s="293"/>
    </row>
    <row r="945" spans="1:9">
      <c r="A945" s="294"/>
      <c r="B945" s="294"/>
      <c r="C945" s="294"/>
      <c r="D945" s="294"/>
      <c r="E945" s="290"/>
      <c r="F945" s="290"/>
      <c r="G945" s="292"/>
      <c r="H945" s="292"/>
      <c r="I945" s="293"/>
    </row>
    <row r="946" spans="1:9">
      <c r="A946" s="294"/>
      <c r="B946" s="294"/>
      <c r="C946" s="294"/>
      <c r="D946" s="294"/>
      <c r="E946" s="290"/>
      <c r="F946" s="290"/>
      <c r="G946" s="292"/>
      <c r="H946" s="292"/>
      <c r="I946" s="293"/>
    </row>
    <row r="947" spans="1:9">
      <c r="A947" s="294"/>
      <c r="B947" s="294"/>
      <c r="C947" s="294"/>
      <c r="D947" s="294"/>
      <c r="E947" s="290"/>
      <c r="F947" s="290"/>
      <c r="G947" s="292"/>
      <c r="H947" s="292"/>
      <c r="I947" s="293"/>
    </row>
    <row r="948" spans="1:9">
      <c r="A948" s="294"/>
      <c r="B948" s="294"/>
      <c r="C948" s="294"/>
      <c r="D948" s="294"/>
      <c r="E948" s="290"/>
      <c r="F948" s="290"/>
      <c r="G948" s="292"/>
      <c r="H948" s="292"/>
      <c r="I948" s="293"/>
    </row>
    <row r="949" spans="1:9">
      <c r="A949" s="294"/>
      <c r="B949" s="294"/>
      <c r="C949" s="294"/>
      <c r="D949" s="294"/>
      <c r="E949" s="290"/>
      <c r="F949" s="290"/>
      <c r="G949" s="292"/>
      <c r="H949" s="292"/>
      <c r="I949" s="293"/>
    </row>
    <row r="950" spans="1:9">
      <c r="A950" s="294"/>
      <c r="B950" s="294"/>
      <c r="C950" s="294"/>
      <c r="D950" s="294"/>
      <c r="E950" s="290"/>
      <c r="F950" s="290"/>
      <c r="G950" s="292"/>
      <c r="H950" s="292"/>
      <c r="I950" s="293"/>
    </row>
    <row r="951" spans="1:9">
      <c r="A951" s="294"/>
      <c r="B951" s="294"/>
      <c r="C951" s="294"/>
      <c r="D951" s="294"/>
      <c r="E951" s="290"/>
      <c r="F951" s="290"/>
      <c r="G951" s="292"/>
      <c r="H951" s="292"/>
      <c r="I951" s="293"/>
    </row>
    <row r="952" spans="1:9">
      <c r="A952" s="294"/>
      <c r="B952" s="294"/>
      <c r="C952" s="294"/>
      <c r="D952" s="294"/>
      <c r="E952" s="290"/>
      <c r="F952" s="290"/>
      <c r="G952" s="292"/>
      <c r="H952" s="292"/>
      <c r="I952" s="293"/>
    </row>
    <row r="953" spans="1:9">
      <c r="A953" s="294"/>
      <c r="B953" s="294"/>
      <c r="C953" s="294"/>
      <c r="D953" s="294"/>
      <c r="E953" s="290"/>
      <c r="F953" s="290"/>
      <c r="G953" s="292"/>
      <c r="H953" s="292"/>
      <c r="I953" s="293"/>
    </row>
    <row r="954" spans="1:9">
      <c r="A954" s="294"/>
      <c r="B954" s="294"/>
      <c r="C954" s="294"/>
      <c r="D954" s="294"/>
      <c r="E954" s="290"/>
      <c r="F954" s="290"/>
      <c r="G954" s="292"/>
      <c r="H954" s="292"/>
      <c r="I954" s="293"/>
    </row>
    <row r="955" spans="1:9">
      <c r="A955" s="294"/>
      <c r="B955" s="294"/>
      <c r="C955" s="294"/>
      <c r="D955" s="294"/>
      <c r="E955" s="290"/>
      <c r="F955" s="290"/>
      <c r="G955" s="291"/>
      <c r="H955" s="292"/>
      <c r="I955" s="293"/>
    </row>
    <row r="956" spans="1:9">
      <c r="A956" s="294"/>
      <c r="B956" s="294"/>
      <c r="C956" s="294"/>
      <c r="D956" s="294"/>
      <c r="E956" s="290"/>
      <c r="F956" s="290"/>
      <c r="G956" s="291"/>
      <c r="H956" s="292"/>
      <c r="I956" s="293"/>
    </row>
    <row r="957" spans="1:9">
      <c r="A957" s="294"/>
      <c r="B957" s="294"/>
      <c r="C957" s="294"/>
      <c r="D957" s="294"/>
      <c r="E957" s="290"/>
      <c r="F957" s="290"/>
      <c r="G957" s="291"/>
      <c r="H957" s="292"/>
      <c r="I957" s="293"/>
    </row>
    <row r="958" spans="1:9">
      <c r="A958" s="294"/>
      <c r="B958" s="294"/>
      <c r="C958" s="294"/>
      <c r="D958" s="294"/>
      <c r="E958" s="290"/>
      <c r="F958" s="290"/>
      <c r="G958" s="291"/>
      <c r="H958" s="292"/>
      <c r="I958" s="293"/>
    </row>
    <row r="959" spans="1:9">
      <c r="A959" s="294"/>
      <c r="B959" s="294"/>
      <c r="C959" s="294"/>
      <c r="D959" s="294"/>
      <c r="E959" s="290"/>
      <c r="F959" s="290"/>
      <c r="G959" s="291"/>
      <c r="H959" s="292"/>
      <c r="I959" s="293"/>
    </row>
    <row r="960" spans="1:9">
      <c r="A960" s="294"/>
      <c r="B960" s="294"/>
      <c r="C960" s="294"/>
      <c r="D960" s="294"/>
      <c r="E960" s="290"/>
      <c r="F960" s="290"/>
      <c r="G960" s="291"/>
      <c r="H960" s="292"/>
      <c r="I960" s="293"/>
    </row>
    <row r="961" spans="1:9">
      <c r="A961" s="294"/>
      <c r="B961" s="294"/>
      <c r="C961" s="294"/>
      <c r="D961" s="294"/>
      <c r="E961" s="290"/>
      <c r="F961" s="290"/>
      <c r="G961" s="291"/>
      <c r="H961" s="292"/>
      <c r="I961" s="293"/>
    </row>
    <row r="962" spans="1:9">
      <c r="A962" s="294"/>
      <c r="B962" s="294"/>
      <c r="C962" s="294"/>
      <c r="D962" s="294"/>
      <c r="E962" s="290"/>
      <c r="F962" s="290"/>
      <c r="G962" s="291"/>
      <c r="H962" s="292"/>
      <c r="I962" s="293"/>
    </row>
    <row r="963" spans="1:9">
      <c r="A963" s="294"/>
      <c r="B963" s="294"/>
      <c r="C963" s="294"/>
      <c r="D963" s="294"/>
      <c r="E963" s="290"/>
      <c r="F963" s="290"/>
      <c r="G963" s="291"/>
      <c r="H963" s="292"/>
      <c r="I963" s="293"/>
    </row>
    <row r="964" spans="1:9">
      <c r="A964" s="294"/>
      <c r="B964" s="294"/>
      <c r="C964" s="294"/>
      <c r="D964" s="294"/>
      <c r="E964" s="290"/>
      <c r="F964" s="290"/>
      <c r="G964" s="291"/>
      <c r="H964" s="292"/>
      <c r="I964" s="293"/>
    </row>
    <row r="965" spans="1:9">
      <c r="A965" s="294"/>
      <c r="B965" s="294"/>
      <c r="C965" s="294"/>
      <c r="D965" s="294"/>
      <c r="E965" s="290"/>
      <c r="F965" s="290"/>
      <c r="G965" s="291"/>
      <c r="H965" s="292"/>
      <c r="I965" s="293"/>
    </row>
    <row r="966" spans="1:9">
      <c r="A966" s="294"/>
      <c r="B966" s="294"/>
      <c r="C966" s="294"/>
      <c r="D966" s="294"/>
      <c r="E966" s="290"/>
      <c r="F966" s="290"/>
      <c r="G966" s="291"/>
      <c r="H966" s="292"/>
      <c r="I966" s="293"/>
    </row>
    <row r="967" spans="1:9">
      <c r="A967" s="294"/>
      <c r="B967" s="294"/>
      <c r="C967" s="294"/>
      <c r="D967" s="294"/>
      <c r="E967" s="290"/>
      <c r="F967" s="290"/>
      <c r="G967" s="291"/>
      <c r="H967" s="292"/>
      <c r="I967" s="293"/>
    </row>
    <row r="968" spans="1:9">
      <c r="A968" s="294"/>
      <c r="B968" s="294"/>
      <c r="C968" s="294"/>
      <c r="D968" s="294"/>
      <c r="E968" s="290"/>
      <c r="F968" s="290"/>
      <c r="G968" s="291"/>
      <c r="H968" s="292"/>
      <c r="I968" s="293"/>
    </row>
    <row r="969" spans="1:9">
      <c r="A969" s="294"/>
      <c r="B969" s="294"/>
      <c r="C969" s="294"/>
      <c r="D969" s="294"/>
      <c r="E969" s="290"/>
      <c r="F969" s="290"/>
      <c r="G969" s="291"/>
      <c r="H969" s="292"/>
      <c r="I969" s="293"/>
    </row>
    <row r="970" spans="1:9">
      <c r="A970" s="294"/>
      <c r="B970" s="294"/>
      <c r="C970" s="294"/>
      <c r="D970" s="294"/>
      <c r="E970" s="290"/>
      <c r="F970" s="290"/>
      <c r="G970" s="291"/>
      <c r="H970" s="292"/>
      <c r="I970" s="293"/>
    </row>
    <row r="971" spans="1:9">
      <c r="A971" s="294"/>
      <c r="B971" s="294"/>
      <c r="C971" s="294"/>
      <c r="D971" s="294"/>
      <c r="E971" s="290"/>
      <c r="F971" s="290"/>
      <c r="G971" s="291"/>
      <c r="H971" s="292"/>
      <c r="I971" s="293"/>
    </row>
    <row r="972" spans="1:9">
      <c r="A972" s="294"/>
      <c r="B972" s="294"/>
      <c r="C972" s="294"/>
      <c r="D972" s="294"/>
      <c r="E972" s="290"/>
      <c r="F972" s="290"/>
      <c r="G972" s="291"/>
      <c r="H972" s="292"/>
      <c r="I972" s="293"/>
    </row>
    <row r="973" spans="1:9">
      <c r="A973" s="294"/>
      <c r="B973" s="294"/>
      <c r="C973" s="294"/>
      <c r="D973" s="294"/>
      <c r="E973" s="290"/>
      <c r="F973" s="290"/>
      <c r="G973" s="291"/>
      <c r="H973" s="292"/>
      <c r="I973" s="293"/>
    </row>
    <row r="974" spans="1:9">
      <c r="A974" s="294"/>
      <c r="B974" s="294"/>
      <c r="C974" s="294"/>
      <c r="D974" s="294"/>
      <c r="E974" s="290"/>
      <c r="F974" s="290"/>
      <c r="G974" s="291"/>
      <c r="H974" s="292"/>
      <c r="I974" s="293"/>
    </row>
    <row r="975" spans="1:9">
      <c r="A975" s="294"/>
      <c r="B975" s="294"/>
      <c r="C975" s="294"/>
      <c r="D975" s="294"/>
      <c r="E975" s="290"/>
      <c r="F975" s="290"/>
      <c r="G975" s="291"/>
      <c r="H975" s="292"/>
      <c r="I975" s="293"/>
    </row>
    <row r="976" spans="1:9">
      <c r="A976" s="294"/>
      <c r="B976" s="294"/>
      <c r="C976" s="294"/>
      <c r="D976" s="294"/>
      <c r="E976" s="290"/>
      <c r="F976" s="290"/>
      <c r="G976" s="291"/>
      <c r="H976" s="292"/>
      <c r="I976" s="293"/>
    </row>
    <row r="977" spans="1:9">
      <c r="A977" s="294"/>
      <c r="B977" s="294"/>
      <c r="C977" s="294"/>
      <c r="D977" s="294"/>
      <c r="E977" s="290"/>
      <c r="F977" s="290"/>
      <c r="G977" s="291"/>
      <c r="H977" s="292"/>
      <c r="I977" s="293"/>
    </row>
    <row r="978" spans="1:9">
      <c r="A978" s="294"/>
      <c r="B978" s="294"/>
      <c r="C978" s="294"/>
      <c r="D978" s="294"/>
      <c r="E978" s="290"/>
      <c r="F978" s="290"/>
      <c r="G978" s="292"/>
      <c r="H978" s="292"/>
      <c r="I978" s="293"/>
    </row>
    <row r="979" spans="1:9">
      <c r="A979" s="294"/>
      <c r="B979" s="294"/>
      <c r="C979" s="294"/>
      <c r="D979" s="294"/>
      <c r="E979" s="290"/>
      <c r="F979" s="290"/>
      <c r="G979" s="292"/>
      <c r="H979" s="292"/>
      <c r="I979" s="293"/>
    </row>
    <row r="980" spans="1:9">
      <c r="A980" s="294"/>
      <c r="B980" s="294"/>
      <c r="C980" s="294"/>
      <c r="D980" s="294"/>
      <c r="E980" s="290"/>
      <c r="F980" s="290"/>
      <c r="G980" s="292"/>
      <c r="H980" s="292"/>
      <c r="I980" s="293"/>
    </row>
    <row r="981" spans="1:9">
      <c r="A981" s="294"/>
      <c r="B981" s="294"/>
      <c r="C981" s="294"/>
      <c r="D981" s="294"/>
      <c r="E981" s="290"/>
      <c r="F981" s="290"/>
      <c r="G981" s="292"/>
      <c r="H981" s="292"/>
      <c r="I981" s="293"/>
    </row>
    <row r="982" spans="1:9">
      <c r="A982" s="294"/>
      <c r="B982" s="294"/>
      <c r="C982" s="294"/>
      <c r="D982" s="294"/>
      <c r="E982" s="290"/>
      <c r="F982" s="290"/>
      <c r="G982" s="292"/>
      <c r="H982" s="292"/>
      <c r="I982" s="293"/>
    </row>
    <row r="983" spans="1:9">
      <c r="A983" s="294"/>
      <c r="B983" s="294"/>
      <c r="C983" s="294"/>
      <c r="D983" s="294"/>
      <c r="E983" s="290"/>
      <c r="F983" s="290"/>
      <c r="G983" s="292"/>
      <c r="H983" s="292"/>
      <c r="I983" s="293"/>
    </row>
    <row r="984" spans="1:9">
      <c r="A984" s="294"/>
      <c r="B984" s="294"/>
      <c r="C984" s="294"/>
      <c r="D984" s="294"/>
      <c r="E984" s="290"/>
      <c r="F984" s="290"/>
      <c r="G984" s="292"/>
      <c r="H984" s="292"/>
      <c r="I984" s="293"/>
    </row>
    <row r="985" spans="1:9">
      <c r="A985" s="294"/>
      <c r="B985" s="294"/>
      <c r="C985" s="294"/>
      <c r="D985" s="294"/>
      <c r="E985" s="290"/>
      <c r="F985" s="290"/>
      <c r="G985" s="292"/>
      <c r="H985" s="292"/>
      <c r="I985" s="293"/>
    </row>
    <row r="986" spans="1:9">
      <c r="A986" s="294"/>
      <c r="B986" s="294"/>
      <c r="C986" s="294"/>
      <c r="D986" s="294"/>
      <c r="E986" s="290"/>
      <c r="F986" s="290"/>
      <c r="G986" s="292"/>
      <c r="H986" s="292"/>
      <c r="I986" s="293"/>
    </row>
    <row r="987" spans="1:9">
      <c r="A987" s="294"/>
      <c r="B987" s="294"/>
      <c r="C987" s="294"/>
      <c r="D987" s="294"/>
      <c r="E987" s="290"/>
      <c r="F987" s="290"/>
      <c r="G987" s="292"/>
      <c r="H987" s="292"/>
      <c r="I987" s="293"/>
    </row>
    <row r="988" spans="1:9">
      <c r="A988" s="294"/>
      <c r="B988" s="294"/>
      <c r="C988" s="294"/>
      <c r="D988" s="294"/>
      <c r="E988" s="290"/>
      <c r="F988" s="290"/>
      <c r="G988" s="292"/>
      <c r="H988" s="292"/>
      <c r="I988" s="293"/>
    </row>
    <row r="989" spans="1:9">
      <c r="A989" s="294"/>
      <c r="B989" s="294"/>
      <c r="C989" s="294"/>
      <c r="D989" s="294"/>
      <c r="E989" s="290"/>
      <c r="F989" s="290"/>
      <c r="G989" s="292"/>
      <c r="H989" s="292"/>
      <c r="I989" s="293"/>
    </row>
    <row r="990" spans="1:9">
      <c r="A990" s="294"/>
      <c r="B990" s="294"/>
      <c r="C990" s="294"/>
      <c r="D990" s="294"/>
      <c r="E990" s="290"/>
      <c r="F990" s="290"/>
      <c r="G990" s="292"/>
      <c r="H990" s="292"/>
      <c r="I990" s="293"/>
    </row>
    <row r="991" spans="1:9">
      <c r="A991" s="294"/>
      <c r="B991" s="294"/>
      <c r="C991" s="294"/>
      <c r="D991" s="294"/>
      <c r="E991" s="290"/>
      <c r="F991" s="290"/>
      <c r="G991" s="292"/>
      <c r="H991" s="292"/>
      <c r="I991" s="293"/>
    </row>
    <row r="992" spans="1:9">
      <c r="A992" s="294"/>
      <c r="B992" s="294"/>
      <c r="C992" s="294"/>
      <c r="D992" s="294"/>
      <c r="E992" s="290"/>
      <c r="F992" s="290"/>
      <c r="G992" s="292"/>
      <c r="H992" s="292"/>
      <c r="I992" s="293"/>
    </row>
    <row r="993" spans="1:9">
      <c r="A993" s="294"/>
      <c r="B993" s="294"/>
      <c r="C993" s="294"/>
      <c r="D993" s="294"/>
      <c r="E993" s="290"/>
      <c r="F993" s="290"/>
      <c r="G993" s="292"/>
      <c r="H993" s="292"/>
      <c r="I993" s="293"/>
    </row>
    <row r="994" spans="1:9">
      <c r="A994" s="294"/>
      <c r="B994" s="294"/>
      <c r="C994" s="294"/>
      <c r="D994" s="294"/>
      <c r="E994" s="290"/>
      <c r="F994" s="290"/>
      <c r="G994" s="292"/>
      <c r="H994" s="292"/>
      <c r="I994" s="293"/>
    </row>
    <row r="995" spans="1:9">
      <c r="A995" s="294"/>
      <c r="B995" s="294"/>
      <c r="C995" s="294"/>
      <c r="D995" s="294"/>
      <c r="E995" s="290"/>
      <c r="F995" s="290"/>
      <c r="G995" s="292"/>
      <c r="H995" s="292"/>
      <c r="I995" s="293"/>
    </row>
    <row r="996" spans="1:9">
      <c r="A996" s="294"/>
      <c r="B996" s="294"/>
      <c r="C996" s="294"/>
      <c r="D996" s="294"/>
      <c r="E996" s="290"/>
      <c r="F996" s="290"/>
      <c r="G996" s="292"/>
      <c r="H996" s="292"/>
      <c r="I996" s="293"/>
    </row>
    <row r="997" spans="1:9">
      <c r="A997" s="294"/>
      <c r="B997" s="294"/>
      <c r="C997" s="294"/>
      <c r="D997" s="294"/>
      <c r="E997" s="290"/>
      <c r="F997" s="290"/>
      <c r="G997" s="292"/>
      <c r="H997" s="292"/>
      <c r="I997" s="293"/>
    </row>
    <row r="998" spans="1:9">
      <c r="A998" s="294"/>
      <c r="B998" s="294"/>
      <c r="C998" s="294"/>
      <c r="D998" s="294"/>
      <c r="E998" s="290"/>
      <c r="F998" s="290"/>
      <c r="G998" s="292"/>
      <c r="H998" s="292"/>
      <c r="I998" s="293"/>
    </row>
    <row r="999" spans="1:9">
      <c r="A999" s="294"/>
      <c r="B999" s="294"/>
      <c r="C999" s="294"/>
      <c r="D999" s="294"/>
      <c r="E999" s="290"/>
      <c r="F999" s="290"/>
      <c r="G999" s="292"/>
      <c r="H999" s="292"/>
      <c r="I999" s="293"/>
    </row>
    <row r="1000" spans="1:9">
      <c r="A1000" s="294"/>
      <c r="B1000" s="294"/>
      <c r="C1000" s="294"/>
      <c r="D1000" s="294"/>
      <c r="E1000" s="290"/>
      <c r="F1000" s="290"/>
      <c r="G1000" s="292"/>
      <c r="H1000" s="292"/>
      <c r="I1000" s="293"/>
    </row>
    <row r="1001" spans="1:9">
      <c r="A1001" s="294"/>
      <c r="B1001" s="294"/>
      <c r="C1001" s="294"/>
      <c r="D1001" s="294"/>
      <c r="E1001" s="290"/>
      <c r="F1001" s="290"/>
      <c r="G1001" s="292"/>
      <c r="H1001" s="292"/>
      <c r="I1001" s="293"/>
    </row>
    <row r="1002" spans="1:9">
      <c r="A1002" s="294"/>
      <c r="B1002" s="294"/>
      <c r="C1002" s="294"/>
      <c r="D1002" s="294"/>
      <c r="E1002" s="290"/>
      <c r="F1002" s="290"/>
      <c r="G1002" s="292"/>
      <c r="H1002" s="292"/>
      <c r="I1002" s="293"/>
    </row>
    <row r="1003" spans="1:9">
      <c r="A1003" s="294"/>
      <c r="B1003" s="294"/>
      <c r="C1003" s="294"/>
      <c r="D1003" s="294"/>
      <c r="E1003" s="290"/>
      <c r="F1003" s="290"/>
      <c r="G1003" s="292"/>
      <c r="H1003" s="292"/>
      <c r="I1003" s="293"/>
    </row>
    <row r="1004" spans="1:9">
      <c r="A1004" s="294"/>
      <c r="B1004" s="294"/>
      <c r="C1004" s="294"/>
      <c r="D1004" s="294"/>
      <c r="E1004" s="290"/>
      <c r="F1004" s="290"/>
      <c r="G1004" s="292"/>
      <c r="H1004" s="292"/>
      <c r="I1004" s="293"/>
    </row>
    <row r="1005" spans="1:9">
      <c r="A1005" s="294"/>
      <c r="B1005" s="294"/>
      <c r="C1005" s="294"/>
      <c r="D1005" s="294"/>
      <c r="E1005" s="290"/>
      <c r="F1005" s="290"/>
      <c r="G1005" s="292"/>
      <c r="H1005" s="292"/>
      <c r="I1005" s="293"/>
    </row>
    <row r="1006" spans="1:9">
      <c r="A1006" s="294"/>
      <c r="B1006" s="294"/>
      <c r="C1006" s="294"/>
      <c r="D1006" s="294"/>
      <c r="E1006" s="290"/>
      <c r="F1006" s="290"/>
      <c r="G1006" s="292"/>
      <c r="H1006" s="292"/>
      <c r="I1006" s="293"/>
    </row>
    <row r="1007" spans="1:9">
      <c r="A1007" s="294"/>
      <c r="B1007" s="294"/>
      <c r="C1007" s="294"/>
      <c r="D1007" s="294"/>
      <c r="E1007" s="290"/>
      <c r="F1007" s="290"/>
      <c r="G1007" s="291"/>
      <c r="H1007" s="292"/>
      <c r="I1007" s="293"/>
    </row>
    <row r="1008" spans="1:9">
      <c r="A1008" s="294"/>
      <c r="B1008" s="294"/>
      <c r="C1008" s="294"/>
      <c r="D1008" s="294"/>
      <c r="E1008" s="290"/>
      <c r="F1008" s="290"/>
      <c r="G1008" s="291"/>
      <c r="H1008" s="292"/>
      <c r="I1008" s="293"/>
    </row>
    <row r="1009" spans="1:9">
      <c r="A1009" s="294"/>
      <c r="B1009" s="294"/>
      <c r="C1009" s="294"/>
      <c r="D1009" s="294"/>
      <c r="E1009" s="290"/>
      <c r="F1009" s="290"/>
      <c r="G1009" s="291"/>
      <c r="H1009" s="292"/>
      <c r="I1009" s="293"/>
    </row>
    <row r="1010" spans="1:9">
      <c r="A1010" s="294"/>
      <c r="B1010" s="294"/>
      <c r="C1010" s="294"/>
      <c r="D1010" s="294"/>
      <c r="E1010" s="290"/>
      <c r="F1010" s="290"/>
      <c r="G1010" s="291"/>
      <c r="H1010" s="292"/>
      <c r="I1010" s="293"/>
    </row>
    <row r="1011" spans="1:9">
      <c r="A1011" s="294"/>
      <c r="B1011" s="294"/>
      <c r="C1011" s="294"/>
      <c r="D1011" s="294"/>
      <c r="E1011" s="290"/>
      <c r="F1011" s="290"/>
      <c r="G1011" s="291"/>
      <c r="H1011" s="292"/>
      <c r="I1011" s="293"/>
    </row>
    <row r="1012" spans="1:9">
      <c r="A1012" s="294"/>
      <c r="B1012" s="294"/>
      <c r="C1012" s="294"/>
      <c r="D1012" s="294"/>
      <c r="E1012" s="290"/>
      <c r="F1012" s="290"/>
      <c r="G1012" s="291"/>
      <c r="H1012" s="292"/>
      <c r="I1012" s="293"/>
    </row>
    <row r="1013" spans="1:9">
      <c r="A1013" s="294"/>
      <c r="B1013" s="294"/>
      <c r="C1013" s="294"/>
      <c r="D1013" s="294"/>
      <c r="E1013" s="290"/>
      <c r="F1013" s="290"/>
      <c r="G1013" s="291"/>
      <c r="H1013" s="292"/>
      <c r="I1013" s="293"/>
    </row>
    <row r="1014" spans="1:9">
      <c r="A1014" s="294"/>
      <c r="B1014" s="294"/>
      <c r="C1014" s="294"/>
      <c r="D1014" s="294"/>
      <c r="E1014" s="290"/>
      <c r="F1014" s="290"/>
      <c r="G1014" s="291"/>
      <c r="H1014" s="292"/>
      <c r="I1014" s="293"/>
    </row>
    <row r="1015" spans="1:9">
      <c r="A1015" s="294"/>
      <c r="B1015" s="294"/>
      <c r="C1015" s="294"/>
      <c r="D1015" s="294"/>
      <c r="E1015" s="290"/>
      <c r="F1015" s="290"/>
      <c r="G1015" s="291"/>
      <c r="H1015" s="292"/>
      <c r="I1015" s="293"/>
    </row>
    <row r="1016" spans="1:9">
      <c r="A1016" s="294"/>
      <c r="B1016" s="294"/>
      <c r="C1016" s="294"/>
      <c r="D1016" s="294"/>
      <c r="E1016" s="290"/>
      <c r="F1016" s="290"/>
      <c r="G1016" s="291"/>
      <c r="H1016" s="292"/>
      <c r="I1016" s="293"/>
    </row>
    <row r="1017" spans="1:9">
      <c r="A1017" s="294"/>
      <c r="B1017" s="294"/>
      <c r="C1017" s="294"/>
      <c r="D1017" s="294"/>
      <c r="E1017" s="290"/>
      <c r="F1017" s="290"/>
      <c r="G1017" s="291"/>
      <c r="H1017" s="292"/>
      <c r="I1017" s="293"/>
    </row>
    <row r="1018" spans="1:9">
      <c r="A1018" s="294"/>
      <c r="B1018" s="294"/>
      <c r="C1018" s="294"/>
      <c r="D1018" s="294"/>
      <c r="E1018" s="290"/>
      <c r="F1018" s="290"/>
      <c r="G1018" s="291"/>
      <c r="H1018" s="292"/>
      <c r="I1018" s="293"/>
    </row>
    <row r="1019" spans="1:9">
      <c r="A1019" s="294"/>
      <c r="B1019" s="294"/>
      <c r="C1019" s="294"/>
      <c r="D1019" s="294"/>
      <c r="E1019" s="290"/>
      <c r="F1019" s="290"/>
      <c r="G1019" s="291"/>
      <c r="H1019" s="292"/>
      <c r="I1019" s="293"/>
    </row>
    <row r="1020" spans="1:9">
      <c r="A1020" s="294"/>
      <c r="B1020" s="294"/>
      <c r="C1020" s="294"/>
      <c r="D1020" s="294"/>
      <c r="E1020" s="290"/>
      <c r="F1020" s="290"/>
      <c r="G1020" s="291"/>
      <c r="H1020" s="292"/>
      <c r="I1020" s="293"/>
    </row>
    <row r="1021" spans="1:9">
      <c r="A1021" s="294"/>
      <c r="B1021" s="294"/>
      <c r="C1021" s="294"/>
      <c r="D1021" s="294"/>
      <c r="E1021" s="290"/>
      <c r="F1021" s="290"/>
      <c r="G1021" s="291"/>
      <c r="H1021" s="292"/>
      <c r="I1021" s="293"/>
    </row>
    <row r="1022" spans="1:9">
      <c r="A1022" s="294"/>
      <c r="B1022" s="294"/>
      <c r="C1022" s="294"/>
      <c r="D1022" s="294"/>
      <c r="E1022" s="290"/>
      <c r="F1022" s="290"/>
      <c r="G1022" s="291"/>
      <c r="H1022" s="292"/>
      <c r="I1022" s="293"/>
    </row>
    <row r="1023" spans="1:9">
      <c r="A1023" s="294"/>
      <c r="B1023" s="294"/>
      <c r="C1023" s="294"/>
      <c r="D1023" s="294"/>
      <c r="E1023" s="290"/>
      <c r="F1023" s="290"/>
      <c r="G1023" s="291"/>
      <c r="H1023" s="292"/>
      <c r="I1023" s="293"/>
    </row>
    <row r="1024" spans="1:9">
      <c r="A1024" s="294"/>
      <c r="B1024" s="294"/>
      <c r="C1024" s="294"/>
      <c r="D1024" s="294"/>
      <c r="E1024" s="290"/>
      <c r="F1024" s="290"/>
      <c r="G1024" s="291"/>
      <c r="H1024" s="292"/>
      <c r="I1024" s="293"/>
    </row>
    <row r="1025" spans="1:9">
      <c r="A1025" s="294"/>
      <c r="B1025" s="294"/>
      <c r="C1025" s="294"/>
      <c r="D1025" s="294"/>
      <c r="E1025" s="290"/>
      <c r="F1025" s="290"/>
      <c r="G1025" s="291"/>
      <c r="H1025" s="292"/>
      <c r="I1025" s="293"/>
    </row>
    <row r="1026" spans="1:9">
      <c r="A1026" s="294"/>
      <c r="B1026" s="294"/>
      <c r="C1026" s="294"/>
      <c r="D1026" s="294"/>
      <c r="E1026" s="290"/>
      <c r="F1026" s="290"/>
      <c r="G1026" s="291"/>
      <c r="H1026" s="292"/>
      <c r="I1026" s="293"/>
    </row>
    <row r="1027" spans="1:9">
      <c r="A1027" s="294"/>
      <c r="B1027" s="294"/>
      <c r="C1027" s="294"/>
      <c r="D1027" s="294"/>
      <c r="E1027" s="290"/>
      <c r="F1027" s="290"/>
      <c r="G1027" s="291"/>
      <c r="H1027" s="292"/>
      <c r="I1027" s="293"/>
    </row>
    <row r="1028" spans="1:9">
      <c r="A1028" s="294"/>
      <c r="B1028" s="294"/>
      <c r="C1028" s="294"/>
      <c r="D1028" s="294"/>
      <c r="E1028" s="290"/>
      <c r="F1028" s="290"/>
      <c r="G1028" s="291"/>
      <c r="H1028" s="292"/>
      <c r="I1028" s="293"/>
    </row>
    <row r="1029" spans="1:9">
      <c r="A1029" s="294"/>
      <c r="B1029" s="294"/>
      <c r="C1029" s="294"/>
      <c r="D1029" s="294"/>
      <c r="E1029" s="290"/>
      <c r="F1029" s="290"/>
      <c r="G1029" s="291"/>
      <c r="H1029" s="292"/>
      <c r="I1029" s="293"/>
    </row>
    <row r="1030" spans="1:9">
      <c r="A1030" s="294"/>
      <c r="B1030" s="294"/>
      <c r="C1030" s="294"/>
      <c r="D1030" s="294"/>
      <c r="E1030" s="290"/>
      <c r="F1030" s="290"/>
      <c r="G1030" s="292"/>
      <c r="H1030" s="292"/>
      <c r="I1030" s="293"/>
    </row>
    <row r="1031" spans="1:9">
      <c r="A1031" s="294"/>
      <c r="B1031" s="294"/>
      <c r="C1031" s="294"/>
      <c r="D1031" s="294"/>
      <c r="E1031" s="290"/>
      <c r="F1031" s="290"/>
      <c r="G1031" s="292"/>
      <c r="H1031" s="292"/>
      <c r="I1031" s="293"/>
    </row>
    <row r="1032" spans="1:9">
      <c r="A1032" s="294"/>
      <c r="B1032" s="294"/>
      <c r="C1032" s="294"/>
      <c r="D1032" s="294"/>
      <c r="E1032" s="290"/>
      <c r="F1032" s="290"/>
      <c r="G1032" s="292"/>
      <c r="H1032" s="292"/>
      <c r="I1032" s="293"/>
    </row>
    <row r="1033" spans="1:9">
      <c r="A1033" s="294"/>
      <c r="B1033" s="294"/>
      <c r="C1033" s="294"/>
      <c r="D1033" s="294"/>
      <c r="E1033" s="290"/>
      <c r="F1033" s="290"/>
      <c r="G1033" s="292"/>
      <c r="H1033" s="292"/>
      <c r="I1033" s="293"/>
    </row>
    <row r="1034" spans="1:9">
      <c r="A1034" s="294"/>
      <c r="B1034" s="294"/>
      <c r="C1034" s="294"/>
      <c r="D1034" s="294"/>
      <c r="E1034" s="290"/>
      <c r="F1034" s="290"/>
      <c r="G1034" s="292"/>
      <c r="H1034" s="292"/>
      <c r="I1034" s="293"/>
    </row>
    <row r="1035" spans="1:9">
      <c r="A1035" s="294"/>
      <c r="B1035" s="294"/>
      <c r="C1035" s="294"/>
      <c r="D1035" s="294"/>
      <c r="E1035" s="290"/>
      <c r="F1035" s="290"/>
      <c r="G1035" s="292"/>
      <c r="H1035" s="292"/>
      <c r="I1035" s="293"/>
    </row>
    <row r="1036" spans="1:9">
      <c r="A1036" s="294"/>
      <c r="B1036" s="294"/>
      <c r="C1036" s="294"/>
      <c r="D1036" s="294"/>
      <c r="E1036" s="290"/>
      <c r="F1036" s="290"/>
      <c r="G1036" s="292"/>
      <c r="H1036" s="292"/>
      <c r="I1036" s="293"/>
    </row>
    <row r="1037" spans="1:9">
      <c r="A1037" s="294"/>
      <c r="B1037" s="294"/>
      <c r="C1037" s="294"/>
      <c r="D1037" s="294"/>
      <c r="E1037" s="290"/>
      <c r="F1037" s="290"/>
      <c r="G1037" s="292"/>
      <c r="H1037" s="292"/>
      <c r="I1037" s="293"/>
    </row>
    <row r="1038" spans="1:9">
      <c r="A1038" s="294"/>
      <c r="B1038" s="294"/>
      <c r="C1038" s="294"/>
      <c r="D1038" s="294"/>
      <c r="E1038" s="290"/>
      <c r="F1038" s="290"/>
      <c r="G1038" s="292"/>
      <c r="H1038" s="292"/>
      <c r="I1038" s="293"/>
    </row>
    <row r="1039" spans="1:9">
      <c r="A1039" s="294"/>
      <c r="B1039" s="294"/>
      <c r="C1039" s="294"/>
      <c r="D1039" s="294"/>
      <c r="E1039" s="290"/>
      <c r="F1039" s="290"/>
      <c r="G1039" s="292"/>
      <c r="H1039" s="292"/>
      <c r="I1039" s="293"/>
    </row>
    <row r="1040" spans="1:9">
      <c r="A1040" s="294"/>
      <c r="B1040" s="294"/>
      <c r="C1040" s="294"/>
      <c r="D1040" s="294"/>
      <c r="E1040" s="290"/>
      <c r="F1040" s="290"/>
      <c r="G1040" s="292"/>
      <c r="H1040" s="292"/>
      <c r="I1040" s="293"/>
    </row>
    <row r="1041" spans="1:9">
      <c r="A1041" s="294"/>
      <c r="B1041" s="294"/>
      <c r="C1041" s="294"/>
      <c r="D1041" s="294"/>
      <c r="E1041" s="290"/>
      <c r="F1041" s="290"/>
      <c r="G1041" s="292"/>
      <c r="H1041" s="292"/>
      <c r="I1041" s="293"/>
    </row>
    <row r="1042" spans="1:9">
      <c r="A1042" s="294"/>
      <c r="B1042" s="294"/>
      <c r="C1042" s="294"/>
      <c r="D1042" s="294"/>
      <c r="E1042" s="290"/>
      <c r="F1042" s="290"/>
      <c r="G1042" s="292"/>
      <c r="H1042" s="292"/>
      <c r="I1042" s="293"/>
    </row>
    <row r="1043" spans="1:9">
      <c r="A1043" s="294"/>
      <c r="B1043" s="294"/>
      <c r="C1043" s="294"/>
      <c r="D1043" s="294"/>
      <c r="E1043" s="290"/>
      <c r="F1043" s="290"/>
      <c r="G1043" s="292"/>
      <c r="H1043" s="292"/>
      <c r="I1043" s="293"/>
    </row>
    <row r="1044" spans="1:9">
      <c r="A1044" s="294"/>
      <c r="B1044" s="294"/>
      <c r="C1044" s="294"/>
      <c r="D1044" s="294"/>
      <c r="E1044" s="290"/>
      <c r="F1044" s="290"/>
      <c r="G1044" s="292"/>
      <c r="H1044" s="292"/>
      <c r="I1044" s="293"/>
    </row>
    <row r="1045" spans="1:9">
      <c r="A1045" s="294"/>
      <c r="B1045" s="294"/>
      <c r="C1045" s="294"/>
      <c r="D1045" s="294"/>
      <c r="E1045" s="290"/>
      <c r="F1045" s="290"/>
      <c r="G1045" s="292"/>
      <c r="H1045" s="292"/>
      <c r="I1045" s="293"/>
    </row>
    <row r="1046" spans="1:9">
      <c r="A1046" s="294"/>
      <c r="B1046" s="294"/>
      <c r="C1046" s="294"/>
      <c r="D1046" s="294"/>
      <c r="E1046" s="290"/>
      <c r="F1046" s="290"/>
      <c r="G1046" s="292"/>
      <c r="H1046" s="292"/>
      <c r="I1046" s="293"/>
    </row>
    <row r="1047" spans="1:9">
      <c r="A1047" s="294"/>
      <c r="B1047" s="294"/>
      <c r="C1047" s="294"/>
      <c r="D1047" s="294"/>
      <c r="E1047" s="290"/>
      <c r="F1047" s="290"/>
      <c r="G1047" s="292"/>
      <c r="H1047" s="292"/>
      <c r="I1047" s="293"/>
    </row>
    <row r="1048" spans="1:9">
      <c r="A1048" s="294"/>
      <c r="B1048" s="294"/>
      <c r="C1048" s="294"/>
      <c r="D1048" s="294"/>
      <c r="E1048" s="290"/>
      <c r="F1048" s="290"/>
      <c r="G1048" s="292"/>
      <c r="H1048" s="292"/>
      <c r="I1048" s="293"/>
    </row>
    <row r="1049" spans="1:9">
      <c r="A1049" s="294"/>
      <c r="B1049" s="294"/>
      <c r="C1049" s="294"/>
      <c r="D1049" s="294"/>
      <c r="E1049" s="290"/>
      <c r="F1049" s="290"/>
      <c r="G1049" s="292"/>
      <c r="H1049" s="292"/>
      <c r="I1049" s="293"/>
    </row>
    <row r="1050" spans="1:9">
      <c r="A1050" s="294"/>
      <c r="B1050" s="294"/>
      <c r="C1050" s="294"/>
      <c r="D1050" s="294"/>
      <c r="E1050" s="290"/>
      <c r="F1050" s="290"/>
      <c r="G1050" s="292"/>
      <c r="H1050" s="292"/>
      <c r="I1050" s="293"/>
    </row>
    <row r="1051" spans="1:9">
      <c r="A1051" s="294"/>
      <c r="B1051" s="294"/>
      <c r="C1051" s="294"/>
      <c r="D1051" s="294"/>
      <c r="E1051" s="290"/>
      <c r="F1051" s="290"/>
      <c r="G1051" s="292"/>
      <c r="H1051" s="292"/>
      <c r="I1051" s="293"/>
    </row>
    <row r="1052" spans="1:9">
      <c r="A1052" s="294"/>
      <c r="B1052" s="294"/>
      <c r="C1052" s="294"/>
      <c r="D1052" s="294"/>
      <c r="E1052" s="290"/>
      <c r="F1052" s="290"/>
      <c r="G1052" s="292"/>
      <c r="H1052" s="292"/>
      <c r="I1052" s="293"/>
    </row>
    <row r="1053" spans="1:9">
      <c r="A1053" s="294"/>
      <c r="B1053" s="294"/>
      <c r="C1053" s="294"/>
      <c r="D1053" s="294"/>
      <c r="E1053" s="290"/>
      <c r="F1053" s="290"/>
      <c r="G1053" s="292"/>
      <c r="H1053" s="292"/>
      <c r="I1053" s="293"/>
    </row>
    <row r="1054" spans="1:9">
      <c r="A1054" s="294"/>
      <c r="B1054" s="294"/>
      <c r="C1054" s="294"/>
      <c r="D1054" s="294"/>
      <c r="E1054" s="290"/>
      <c r="F1054" s="290"/>
      <c r="G1054" s="292"/>
      <c r="H1054" s="292"/>
      <c r="I1054" s="293"/>
    </row>
    <row r="1055" spans="1:9">
      <c r="A1055" s="294"/>
      <c r="B1055" s="294"/>
      <c r="C1055" s="294"/>
      <c r="D1055" s="294"/>
      <c r="E1055" s="290"/>
      <c r="F1055" s="290"/>
      <c r="G1055" s="292"/>
      <c r="H1055" s="292"/>
      <c r="I1055" s="293"/>
    </row>
    <row r="1056" spans="1:9">
      <c r="A1056" s="294"/>
      <c r="B1056" s="294"/>
      <c r="C1056" s="294"/>
      <c r="D1056" s="294"/>
      <c r="E1056" s="290"/>
      <c r="F1056" s="290"/>
      <c r="G1056" s="292"/>
      <c r="H1056" s="292"/>
      <c r="I1056" s="293"/>
    </row>
    <row r="1057" spans="1:9">
      <c r="A1057" s="294"/>
      <c r="B1057" s="294"/>
      <c r="C1057" s="294"/>
      <c r="D1057" s="294"/>
      <c r="E1057" s="290"/>
      <c r="F1057" s="290"/>
      <c r="G1057" s="292"/>
      <c r="H1057" s="292"/>
      <c r="I1057" s="293"/>
    </row>
    <row r="1058" spans="1:9">
      <c r="A1058" s="294"/>
      <c r="B1058" s="294"/>
      <c r="C1058" s="294"/>
      <c r="D1058" s="294"/>
      <c r="E1058" s="290"/>
      <c r="F1058" s="290"/>
      <c r="G1058" s="292"/>
      <c r="H1058" s="292"/>
      <c r="I1058" s="293"/>
    </row>
    <row r="1059" spans="1:9">
      <c r="A1059" s="294"/>
      <c r="B1059" s="294"/>
      <c r="C1059" s="294"/>
      <c r="D1059" s="294"/>
      <c r="E1059" s="290"/>
      <c r="F1059" s="290"/>
      <c r="G1059" s="292"/>
      <c r="H1059" s="292"/>
      <c r="I1059" s="293"/>
    </row>
    <row r="1060" spans="1:9">
      <c r="A1060" s="294"/>
      <c r="B1060" s="294"/>
      <c r="C1060" s="294"/>
      <c r="D1060" s="294"/>
      <c r="E1060" s="290"/>
      <c r="F1060" s="290"/>
      <c r="G1060" s="292"/>
      <c r="H1060" s="292"/>
      <c r="I1060" s="293"/>
    </row>
    <row r="1061" spans="1:9">
      <c r="A1061" s="294"/>
      <c r="B1061" s="294"/>
      <c r="C1061" s="294"/>
      <c r="D1061" s="294"/>
      <c r="E1061" s="290"/>
      <c r="F1061" s="290"/>
      <c r="G1061" s="292"/>
      <c r="H1061" s="292"/>
      <c r="I1061" s="293"/>
    </row>
    <row r="1062" spans="1:9">
      <c r="A1062" s="294"/>
      <c r="B1062" s="294"/>
      <c r="C1062" s="294"/>
      <c r="D1062" s="294"/>
      <c r="E1062" s="290"/>
      <c r="F1062" s="290"/>
      <c r="G1062" s="292"/>
      <c r="H1062" s="292"/>
      <c r="I1062" s="293"/>
    </row>
    <row r="1063" spans="1:9">
      <c r="A1063" s="294"/>
      <c r="B1063" s="294"/>
      <c r="C1063" s="294"/>
      <c r="D1063" s="294"/>
      <c r="E1063" s="290"/>
      <c r="F1063" s="290"/>
      <c r="G1063" s="292"/>
      <c r="H1063" s="292"/>
      <c r="I1063" s="293"/>
    </row>
    <row r="1064" spans="1:9">
      <c r="A1064" s="294"/>
      <c r="B1064" s="294"/>
      <c r="C1064" s="294"/>
      <c r="D1064" s="294"/>
      <c r="E1064" s="290"/>
      <c r="F1064" s="290"/>
      <c r="G1064" s="292"/>
      <c r="H1064" s="292"/>
      <c r="I1064" s="293"/>
    </row>
    <row r="1065" spans="1:9">
      <c r="A1065" s="294"/>
      <c r="B1065" s="294"/>
      <c r="C1065" s="294"/>
      <c r="D1065" s="294"/>
      <c r="E1065" s="290"/>
      <c r="F1065" s="290"/>
      <c r="G1065" s="292"/>
      <c r="H1065" s="292"/>
      <c r="I1065" s="293"/>
    </row>
    <row r="1066" spans="1:9">
      <c r="A1066" s="294"/>
      <c r="B1066" s="294"/>
      <c r="C1066" s="294"/>
      <c r="D1066" s="294"/>
      <c r="E1066" s="290"/>
      <c r="F1066" s="290"/>
      <c r="G1066" s="292"/>
      <c r="H1066" s="292"/>
      <c r="I1066" s="293"/>
    </row>
    <row r="1067" spans="1:9">
      <c r="A1067" s="294"/>
      <c r="B1067" s="294"/>
      <c r="C1067" s="294"/>
      <c r="D1067" s="294"/>
      <c r="E1067" s="290"/>
      <c r="F1067" s="290"/>
      <c r="G1067" s="292"/>
      <c r="H1067" s="292"/>
      <c r="I1067" s="293"/>
    </row>
    <row r="1068" spans="1:9">
      <c r="A1068" s="294"/>
      <c r="B1068" s="294"/>
      <c r="C1068" s="294"/>
      <c r="D1068" s="294"/>
      <c r="E1068" s="290"/>
      <c r="F1068" s="290"/>
      <c r="G1068" s="292"/>
      <c r="H1068" s="292"/>
      <c r="I1068" s="293"/>
    </row>
    <row r="1069" spans="1:9">
      <c r="A1069" s="294"/>
      <c r="B1069" s="294"/>
      <c r="C1069" s="294"/>
      <c r="D1069" s="294"/>
      <c r="E1069" s="290"/>
      <c r="F1069" s="290"/>
      <c r="G1069" s="292"/>
      <c r="H1069" s="292"/>
      <c r="I1069" s="293"/>
    </row>
    <row r="1070" spans="1:9">
      <c r="A1070" s="294"/>
      <c r="B1070" s="294"/>
      <c r="C1070" s="294"/>
      <c r="D1070" s="294"/>
      <c r="E1070" s="290"/>
      <c r="F1070" s="290"/>
      <c r="G1070" s="292"/>
      <c r="H1070" s="292"/>
      <c r="I1070" s="293"/>
    </row>
    <row r="1071" spans="1:9">
      <c r="A1071" s="294"/>
      <c r="B1071" s="294"/>
      <c r="C1071" s="294"/>
      <c r="D1071" s="294"/>
      <c r="E1071" s="290"/>
      <c r="F1071" s="290"/>
      <c r="G1071" s="292"/>
      <c r="H1071" s="292"/>
      <c r="I1071" s="293"/>
    </row>
    <row r="1072" spans="1:9">
      <c r="A1072" s="294"/>
      <c r="B1072" s="294"/>
      <c r="C1072" s="294"/>
      <c r="D1072" s="294"/>
      <c r="E1072" s="290"/>
      <c r="F1072" s="290"/>
      <c r="G1072" s="292"/>
      <c r="H1072" s="292"/>
      <c r="I1072" s="293"/>
    </row>
    <row r="1073" spans="1:9">
      <c r="A1073" s="294"/>
      <c r="B1073" s="294"/>
      <c r="C1073" s="294"/>
      <c r="D1073" s="294"/>
      <c r="E1073" s="290"/>
      <c r="F1073" s="290"/>
      <c r="G1073" s="292"/>
      <c r="H1073" s="292"/>
      <c r="I1073" s="293"/>
    </row>
    <row r="1074" spans="1:9">
      <c r="A1074" s="294"/>
      <c r="B1074" s="294"/>
      <c r="C1074" s="294"/>
      <c r="D1074" s="294"/>
      <c r="E1074" s="290"/>
      <c r="F1074" s="290"/>
      <c r="G1074" s="292"/>
      <c r="H1074" s="292"/>
      <c r="I1074" s="293"/>
    </row>
    <row r="1075" spans="1:9">
      <c r="A1075" s="294"/>
      <c r="B1075" s="294"/>
      <c r="C1075" s="294"/>
      <c r="D1075" s="294"/>
      <c r="E1075" s="290"/>
      <c r="F1075" s="290"/>
      <c r="G1075" s="292"/>
      <c r="H1075" s="292"/>
      <c r="I1075" s="293"/>
    </row>
    <row r="1076" spans="1:9">
      <c r="A1076" s="294"/>
      <c r="B1076" s="294"/>
      <c r="C1076" s="294"/>
      <c r="D1076" s="294"/>
      <c r="E1076" s="290"/>
      <c r="F1076" s="290"/>
      <c r="G1076" s="292"/>
      <c r="H1076" s="292"/>
      <c r="I1076" s="293"/>
    </row>
    <row r="1077" spans="1:9">
      <c r="A1077" s="294"/>
      <c r="B1077" s="294"/>
      <c r="C1077" s="294"/>
      <c r="D1077" s="294"/>
      <c r="E1077" s="290"/>
      <c r="F1077" s="290"/>
      <c r="G1077" s="292"/>
      <c r="H1077" s="292"/>
      <c r="I1077" s="293"/>
    </row>
    <row r="1078" spans="1:9">
      <c r="A1078" s="294"/>
      <c r="B1078" s="294"/>
      <c r="C1078" s="294"/>
      <c r="D1078" s="294"/>
      <c r="E1078" s="290"/>
      <c r="F1078" s="290"/>
      <c r="G1078" s="292"/>
      <c r="H1078" s="292"/>
      <c r="I1078" s="293"/>
    </row>
    <row r="1079" spans="1:9">
      <c r="A1079" s="294"/>
      <c r="B1079" s="294"/>
      <c r="C1079" s="294"/>
      <c r="D1079" s="294"/>
      <c r="E1079" s="290"/>
      <c r="F1079" s="290"/>
      <c r="G1079" s="292"/>
      <c r="H1079" s="292"/>
      <c r="I1079" s="293"/>
    </row>
    <row r="1080" spans="1:9">
      <c r="A1080" s="294"/>
      <c r="B1080" s="294"/>
      <c r="C1080" s="294"/>
      <c r="D1080" s="294"/>
      <c r="E1080" s="290"/>
      <c r="F1080" s="290"/>
      <c r="G1080" s="292"/>
      <c r="H1080" s="292"/>
      <c r="I1080" s="293"/>
    </row>
    <row r="1081" spans="1:9">
      <c r="A1081" s="294"/>
      <c r="B1081" s="294"/>
      <c r="C1081" s="294"/>
      <c r="D1081" s="294"/>
      <c r="E1081" s="290"/>
      <c r="F1081" s="290"/>
      <c r="G1081" s="292"/>
      <c r="H1081" s="292"/>
      <c r="I1081" s="293"/>
    </row>
    <row r="1082" spans="1:9">
      <c r="A1082" s="294"/>
      <c r="B1082" s="294"/>
      <c r="C1082" s="294"/>
      <c r="D1082" s="294"/>
      <c r="E1082" s="290"/>
      <c r="F1082" s="290"/>
      <c r="G1082" s="292"/>
      <c r="H1082" s="292"/>
      <c r="I1082" s="293"/>
    </row>
    <row r="1083" spans="1:9">
      <c r="A1083" s="294"/>
      <c r="B1083" s="294"/>
      <c r="C1083" s="294"/>
      <c r="D1083" s="294"/>
      <c r="E1083" s="290"/>
      <c r="F1083" s="290"/>
      <c r="G1083" s="292"/>
      <c r="H1083" s="292"/>
      <c r="I1083" s="293"/>
    </row>
    <row r="1084" spans="1:9">
      <c r="A1084" s="294"/>
      <c r="B1084" s="294"/>
      <c r="C1084" s="294"/>
      <c r="D1084" s="294"/>
      <c r="E1084" s="290"/>
      <c r="F1084" s="290"/>
      <c r="G1084" s="292"/>
      <c r="H1084" s="292"/>
      <c r="I1084" s="293"/>
    </row>
    <row r="1085" spans="1:9">
      <c r="A1085" s="294"/>
      <c r="B1085" s="294"/>
      <c r="C1085" s="294"/>
      <c r="D1085" s="294"/>
      <c r="E1085" s="290"/>
      <c r="F1085" s="290"/>
      <c r="G1085" s="292"/>
      <c r="H1085" s="292"/>
      <c r="I1085" s="293"/>
    </row>
    <row r="1086" spans="1:9">
      <c r="A1086" s="294"/>
      <c r="B1086" s="294"/>
      <c r="C1086" s="294"/>
      <c r="D1086" s="294"/>
      <c r="E1086" s="290"/>
      <c r="F1086" s="290"/>
      <c r="G1086" s="292"/>
      <c r="H1086" s="292"/>
      <c r="I1086" s="293"/>
    </row>
    <row r="1087" spans="1:9">
      <c r="A1087" s="294"/>
      <c r="B1087" s="294"/>
      <c r="C1087" s="294"/>
      <c r="D1087" s="294"/>
      <c r="E1087" s="290"/>
      <c r="F1087" s="290"/>
      <c r="G1087" s="292"/>
      <c r="H1087" s="292"/>
      <c r="I1087" s="293"/>
    </row>
    <row r="1088" spans="1:9">
      <c r="A1088" s="294"/>
      <c r="B1088" s="294"/>
      <c r="C1088" s="294"/>
      <c r="D1088" s="294"/>
      <c r="E1088" s="290"/>
      <c r="F1088" s="290"/>
      <c r="G1088" s="292"/>
      <c r="H1088" s="292"/>
      <c r="I1088" s="293"/>
    </row>
    <row r="1089" spans="1:9">
      <c r="A1089" s="294"/>
      <c r="B1089" s="294"/>
      <c r="C1089" s="294"/>
      <c r="D1089" s="294"/>
      <c r="E1089" s="290"/>
      <c r="F1089" s="290"/>
      <c r="G1089" s="292"/>
      <c r="H1089" s="292"/>
      <c r="I1089" s="293"/>
    </row>
    <row r="1090" spans="1:9">
      <c r="A1090" s="294"/>
      <c r="B1090" s="294"/>
      <c r="C1090" s="294"/>
      <c r="D1090" s="294"/>
      <c r="E1090" s="290"/>
      <c r="F1090" s="290"/>
      <c r="G1090" s="292"/>
      <c r="H1090" s="292"/>
      <c r="I1090" s="293"/>
    </row>
    <row r="1091" spans="1:9">
      <c r="A1091" s="294"/>
      <c r="B1091" s="294"/>
      <c r="C1091" s="294"/>
      <c r="D1091" s="294"/>
      <c r="E1091" s="290"/>
      <c r="F1091" s="290"/>
      <c r="G1091" s="292"/>
      <c r="H1091" s="292"/>
      <c r="I1091" s="293"/>
    </row>
    <row r="1092" spans="1:9">
      <c r="A1092" s="294"/>
      <c r="B1092" s="294"/>
      <c r="C1092" s="294"/>
      <c r="D1092" s="294"/>
      <c r="E1092" s="290"/>
      <c r="F1092" s="290"/>
      <c r="G1092" s="292"/>
      <c r="H1092" s="292"/>
      <c r="I1092" s="293"/>
    </row>
    <row r="1093" spans="1:9">
      <c r="A1093" s="294"/>
      <c r="B1093" s="294"/>
      <c r="C1093" s="294"/>
      <c r="D1093" s="294"/>
      <c r="E1093" s="290"/>
      <c r="F1093" s="290"/>
      <c r="G1093" s="292"/>
      <c r="H1093" s="292"/>
      <c r="I1093" s="293"/>
    </row>
    <row r="1094" spans="1:9">
      <c r="A1094" s="294"/>
      <c r="B1094" s="294"/>
      <c r="C1094" s="294"/>
      <c r="D1094" s="294"/>
      <c r="E1094" s="290"/>
      <c r="F1094" s="290"/>
      <c r="G1094" s="292"/>
      <c r="H1094" s="292"/>
      <c r="I1094" s="293"/>
    </row>
    <row r="1095" spans="1:9">
      <c r="A1095" s="294"/>
      <c r="B1095" s="294"/>
      <c r="C1095" s="294"/>
      <c r="D1095" s="294"/>
      <c r="E1095" s="290"/>
      <c r="F1095" s="290"/>
      <c r="G1095" s="292"/>
      <c r="H1095" s="292"/>
      <c r="I1095" s="293"/>
    </row>
    <row r="1096" spans="1:9">
      <c r="A1096" s="294"/>
      <c r="B1096" s="294"/>
      <c r="C1096" s="294"/>
      <c r="D1096" s="294"/>
      <c r="E1096" s="290"/>
      <c r="F1096" s="290"/>
      <c r="G1096" s="292"/>
      <c r="H1096" s="292"/>
      <c r="I1096" s="293"/>
    </row>
    <row r="1097" spans="1:9">
      <c r="A1097" s="294"/>
      <c r="B1097" s="294"/>
      <c r="C1097" s="294"/>
      <c r="D1097" s="294"/>
      <c r="E1097" s="290"/>
      <c r="F1097" s="290"/>
      <c r="G1097" s="292"/>
      <c r="H1097" s="292"/>
      <c r="I1097" s="293"/>
    </row>
    <row r="1098" spans="1:9">
      <c r="A1098" s="294"/>
      <c r="B1098" s="294"/>
      <c r="C1098" s="294"/>
      <c r="D1098" s="294"/>
      <c r="E1098" s="290"/>
      <c r="F1098" s="290"/>
      <c r="G1098" s="292"/>
      <c r="H1098" s="292"/>
      <c r="I1098" s="293"/>
    </row>
    <row r="1099" spans="1:9">
      <c r="A1099" s="294"/>
      <c r="B1099" s="294"/>
      <c r="C1099" s="294"/>
      <c r="D1099" s="294"/>
      <c r="E1099" s="290"/>
      <c r="F1099" s="290"/>
      <c r="G1099" s="292"/>
      <c r="H1099" s="292"/>
      <c r="I1099" s="293"/>
    </row>
    <row r="1100" spans="1:9">
      <c r="A1100" s="294"/>
      <c r="B1100" s="294"/>
      <c r="C1100" s="294"/>
      <c r="D1100" s="294"/>
      <c r="E1100" s="290"/>
      <c r="F1100" s="290"/>
      <c r="G1100" s="292"/>
      <c r="H1100" s="292"/>
      <c r="I1100" s="293"/>
    </row>
    <row r="1101" spans="1:9">
      <c r="A1101" s="294"/>
      <c r="B1101" s="294"/>
      <c r="C1101" s="294"/>
      <c r="D1101" s="294"/>
      <c r="E1101" s="290"/>
      <c r="F1101" s="290"/>
      <c r="G1101" s="292"/>
      <c r="H1101" s="292"/>
      <c r="I1101" s="293"/>
    </row>
    <row r="1102" spans="1:9">
      <c r="A1102" s="294"/>
      <c r="B1102" s="294"/>
      <c r="C1102" s="294"/>
      <c r="D1102" s="294"/>
      <c r="E1102" s="290"/>
      <c r="F1102" s="290"/>
      <c r="G1102" s="292"/>
      <c r="H1102" s="292"/>
      <c r="I1102" s="293"/>
    </row>
    <row r="1103" spans="1:9">
      <c r="A1103" s="294"/>
      <c r="B1103" s="294"/>
      <c r="C1103" s="294"/>
      <c r="D1103" s="294"/>
      <c r="E1103" s="290"/>
      <c r="F1103" s="290"/>
      <c r="G1103" s="292"/>
      <c r="H1103" s="292"/>
      <c r="I1103" s="293"/>
    </row>
    <row r="1104" spans="1:9">
      <c r="A1104" s="294"/>
      <c r="B1104" s="294"/>
      <c r="C1104" s="294"/>
      <c r="D1104" s="294"/>
      <c r="E1104" s="290"/>
      <c r="F1104" s="290"/>
      <c r="G1104" s="292"/>
      <c r="H1104" s="292"/>
      <c r="I1104" s="293"/>
    </row>
    <row r="1105" spans="1:9">
      <c r="A1105" s="294"/>
      <c r="B1105" s="294"/>
      <c r="C1105" s="294"/>
      <c r="D1105" s="294"/>
      <c r="E1105" s="290"/>
      <c r="F1105" s="290"/>
      <c r="G1105" s="292"/>
      <c r="H1105" s="292"/>
      <c r="I1105" s="293"/>
    </row>
    <row r="1106" spans="1:9">
      <c r="A1106" s="294"/>
      <c r="B1106" s="294"/>
      <c r="C1106" s="294"/>
      <c r="D1106" s="294"/>
      <c r="E1106" s="290"/>
      <c r="F1106" s="290"/>
      <c r="G1106" s="292"/>
      <c r="H1106" s="292"/>
      <c r="I1106" s="293"/>
    </row>
    <row r="1107" spans="1:9">
      <c r="A1107" s="294"/>
      <c r="B1107" s="294"/>
      <c r="C1107" s="294"/>
      <c r="D1107" s="294"/>
      <c r="E1107" s="290"/>
      <c r="F1107" s="290"/>
      <c r="G1107" s="292"/>
      <c r="H1107" s="292"/>
      <c r="I1107" s="293"/>
    </row>
    <row r="1108" spans="1:9">
      <c r="A1108" s="294"/>
      <c r="B1108" s="294"/>
      <c r="C1108" s="294"/>
      <c r="D1108" s="294"/>
      <c r="E1108" s="290"/>
      <c r="F1108" s="290"/>
      <c r="G1108" s="292"/>
      <c r="H1108" s="292"/>
      <c r="I1108" s="293"/>
    </row>
    <row r="1109" spans="1:9">
      <c r="A1109" s="294"/>
      <c r="B1109" s="294"/>
      <c r="C1109" s="294"/>
      <c r="D1109" s="294"/>
      <c r="E1109" s="290"/>
      <c r="F1109" s="290"/>
      <c r="G1109" s="292"/>
      <c r="H1109" s="292"/>
      <c r="I1109" s="293"/>
    </row>
    <row r="1110" spans="1:9">
      <c r="A1110" s="294"/>
      <c r="B1110" s="294"/>
      <c r="C1110" s="294"/>
      <c r="D1110" s="294"/>
      <c r="E1110" s="290"/>
      <c r="F1110" s="290"/>
      <c r="G1110" s="292"/>
      <c r="H1110" s="292"/>
      <c r="I1110" s="293"/>
    </row>
    <row r="1111" spans="1:9">
      <c r="A1111" s="294"/>
      <c r="B1111" s="294"/>
      <c r="C1111" s="294"/>
      <c r="D1111" s="294"/>
      <c r="E1111" s="290"/>
      <c r="F1111" s="290"/>
      <c r="G1111" s="292"/>
      <c r="H1111" s="292"/>
      <c r="I1111" s="293"/>
    </row>
    <row r="1112" spans="1:9">
      <c r="A1112" s="294"/>
      <c r="B1112" s="294"/>
      <c r="C1112" s="294"/>
      <c r="D1112" s="294"/>
      <c r="E1112" s="290"/>
      <c r="F1112" s="290"/>
      <c r="G1112" s="292"/>
      <c r="H1112" s="292"/>
      <c r="I1112" s="293"/>
    </row>
    <row r="1113" spans="1:9">
      <c r="A1113" s="294"/>
      <c r="B1113" s="294"/>
      <c r="C1113" s="294"/>
      <c r="D1113" s="294"/>
      <c r="E1113" s="290"/>
      <c r="F1113" s="290"/>
      <c r="G1113" s="292"/>
      <c r="H1113" s="292"/>
      <c r="I1113" s="293"/>
    </row>
    <row r="1114" spans="1:9">
      <c r="A1114" s="294"/>
      <c r="B1114" s="294"/>
      <c r="C1114" s="294"/>
      <c r="D1114" s="294"/>
      <c r="E1114" s="290"/>
      <c r="F1114" s="290"/>
      <c r="G1114" s="292"/>
      <c r="H1114" s="292"/>
      <c r="I1114" s="293"/>
    </row>
    <row r="1115" spans="1:9">
      <c r="A1115" s="294"/>
      <c r="B1115" s="294"/>
      <c r="C1115" s="294"/>
      <c r="D1115" s="294"/>
      <c r="E1115" s="290"/>
      <c r="F1115" s="290"/>
      <c r="G1115" s="292"/>
      <c r="H1115" s="292"/>
      <c r="I1115" s="293"/>
    </row>
    <row r="1116" spans="1:9">
      <c r="A1116" s="294"/>
      <c r="B1116" s="294"/>
      <c r="C1116" s="294"/>
      <c r="D1116" s="294"/>
      <c r="E1116" s="290"/>
      <c r="F1116" s="290"/>
      <c r="G1116" s="292"/>
      <c r="H1116" s="292"/>
      <c r="I1116" s="293"/>
    </row>
    <row r="1117" spans="1:9">
      <c r="A1117" s="294"/>
      <c r="B1117" s="294"/>
      <c r="C1117" s="294"/>
      <c r="D1117" s="294"/>
      <c r="E1117" s="290"/>
      <c r="F1117" s="290"/>
      <c r="G1117" s="292"/>
      <c r="H1117" s="292"/>
      <c r="I1117" s="293"/>
    </row>
    <row r="1118" spans="1:9">
      <c r="A1118" s="294"/>
      <c r="B1118" s="294"/>
      <c r="C1118" s="294"/>
      <c r="D1118" s="294"/>
      <c r="E1118" s="290"/>
      <c r="F1118" s="290"/>
      <c r="G1118" s="292"/>
      <c r="H1118" s="292"/>
      <c r="I1118" s="293"/>
    </row>
    <row r="1119" spans="1:9">
      <c r="A1119" s="294"/>
      <c r="B1119" s="294"/>
      <c r="C1119" s="294"/>
      <c r="D1119" s="294"/>
      <c r="E1119" s="290"/>
      <c r="F1119" s="290"/>
      <c r="G1119" s="292"/>
      <c r="H1119" s="292"/>
      <c r="I1119" s="293"/>
    </row>
    <row r="1120" spans="1:9">
      <c r="A1120" s="294"/>
      <c r="B1120" s="294"/>
      <c r="C1120" s="294"/>
      <c r="D1120" s="294"/>
      <c r="E1120" s="290"/>
      <c r="F1120" s="290"/>
      <c r="G1120" s="292"/>
      <c r="H1120" s="292"/>
      <c r="I1120" s="293"/>
    </row>
    <row r="1121" spans="1:9">
      <c r="A1121" s="294"/>
      <c r="B1121" s="294"/>
      <c r="C1121" s="294"/>
      <c r="D1121" s="294"/>
      <c r="E1121" s="290"/>
      <c r="F1121" s="290"/>
      <c r="G1121" s="292"/>
      <c r="H1121" s="292"/>
      <c r="I1121" s="293"/>
    </row>
    <row r="1122" spans="1:9">
      <c r="A1122" s="294"/>
      <c r="B1122" s="294"/>
      <c r="C1122" s="294"/>
      <c r="D1122" s="294"/>
      <c r="E1122" s="290"/>
      <c r="F1122" s="290"/>
      <c r="G1122" s="292"/>
      <c r="H1122" s="292"/>
      <c r="I1122" s="293"/>
    </row>
    <row r="1123" spans="1:9">
      <c r="A1123" s="294"/>
      <c r="B1123" s="294"/>
      <c r="C1123" s="294"/>
      <c r="D1123" s="294"/>
      <c r="E1123" s="290"/>
      <c r="F1123" s="290"/>
      <c r="G1123" s="292"/>
      <c r="H1123" s="292"/>
      <c r="I1123" s="293"/>
    </row>
    <row r="1124" spans="1:9">
      <c r="A1124" s="294"/>
      <c r="B1124" s="294"/>
      <c r="C1124" s="294"/>
      <c r="D1124" s="294"/>
      <c r="E1124" s="290"/>
      <c r="F1124" s="290"/>
      <c r="G1124" s="292"/>
      <c r="H1124" s="292"/>
      <c r="I1124" s="293"/>
    </row>
    <row r="1125" spans="1:9">
      <c r="A1125" s="294"/>
      <c r="B1125" s="294"/>
      <c r="C1125" s="294"/>
      <c r="D1125" s="294"/>
      <c r="E1125" s="290"/>
      <c r="F1125" s="290"/>
      <c r="G1125" s="292"/>
      <c r="H1125" s="292"/>
      <c r="I1125" s="293"/>
    </row>
    <row r="1126" spans="1:9">
      <c r="A1126" s="294"/>
      <c r="B1126" s="294"/>
      <c r="C1126" s="294"/>
      <c r="D1126" s="294"/>
      <c r="E1126" s="290"/>
      <c r="F1126" s="290"/>
      <c r="G1126" s="292"/>
      <c r="H1126" s="292"/>
      <c r="I1126" s="293"/>
    </row>
    <row r="1127" spans="1:9">
      <c r="A1127" s="294"/>
      <c r="B1127" s="294"/>
      <c r="C1127" s="294"/>
      <c r="D1127" s="294"/>
      <c r="E1127" s="290"/>
      <c r="F1127" s="290"/>
      <c r="G1127" s="292"/>
      <c r="H1127" s="292"/>
      <c r="I1127" s="293"/>
    </row>
    <row r="1128" spans="1:9">
      <c r="A1128" s="294"/>
      <c r="B1128" s="294"/>
      <c r="C1128" s="294"/>
      <c r="D1128" s="294"/>
      <c r="E1128" s="290"/>
      <c r="F1128" s="290"/>
      <c r="G1128" s="292"/>
      <c r="H1128" s="292"/>
      <c r="I1128" s="293"/>
    </row>
    <row r="1129" spans="1:9">
      <c r="A1129" s="294"/>
      <c r="B1129" s="294"/>
      <c r="C1129" s="294"/>
      <c r="D1129" s="294"/>
      <c r="E1129" s="290"/>
      <c r="F1129" s="290"/>
      <c r="G1129" s="292"/>
      <c r="H1129" s="292"/>
      <c r="I1129" s="293"/>
    </row>
    <row r="1130" spans="1:9">
      <c r="A1130" s="294"/>
      <c r="B1130" s="294"/>
      <c r="C1130" s="294"/>
      <c r="D1130" s="294"/>
      <c r="E1130" s="290"/>
      <c r="F1130" s="290"/>
      <c r="G1130" s="292"/>
      <c r="H1130" s="292"/>
      <c r="I1130" s="293"/>
    </row>
    <row r="1131" spans="1:9">
      <c r="A1131" s="294"/>
      <c r="B1131" s="294"/>
      <c r="C1131" s="294"/>
      <c r="D1131" s="294"/>
      <c r="E1131" s="290"/>
      <c r="F1131" s="290"/>
      <c r="G1131" s="292"/>
      <c r="H1131" s="292"/>
      <c r="I1131" s="293"/>
    </row>
    <row r="1132" spans="1:9">
      <c r="A1132" s="294"/>
      <c r="B1132" s="294"/>
      <c r="C1132" s="294"/>
      <c r="D1132" s="294"/>
      <c r="E1132" s="290"/>
      <c r="F1132" s="290"/>
      <c r="G1132" s="292"/>
      <c r="H1132" s="292"/>
      <c r="I1132" s="293"/>
    </row>
    <row r="1133" spans="1:9">
      <c r="A1133" s="294"/>
      <c r="B1133" s="294"/>
      <c r="C1133" s="294"/>
      <c r="D1133" s="294"/>
      <c r="E1133" s="290"/>
      <c r="F1133" s="290"/>
      <c r="G1133" s="292"/>
      <c r="H1133" s="292"/>
      <c r="I1133" s="293"/>
    </row>
    <row r="1134" spans="1:9">
      <c r="A1134" s="294"/>
      <c r="B1134" s="294"/>
      <c r="C1134" s="294"/>
      <c r="D1134" s="294"/>
      <c r="E1134" s="290"/>
      <c r="F1134" s="290"/>
      <c r="G1134" s="292"/>
      <c r="H1134" s="292"/>
      <c r="I1134" s="293"/>
    </row>
    <row r="1135" spans="1:9">
      <c r="A1135" s="294"/>
      <c r="B1135" s="294"/>
      <c r="C1135" s="294"/>
      <c r="D1135" s="294"/>
      <c r="E1135" s="290"/>
      <c r="F1135" s="290"/>
      <c r="G1135" s="292"/>
      <c r="H1135" s="292"/>
      <c r="I1135" s="293"/>
    </row>
    <row r="1136" spans="1:9">
      <c r="A1136" s="294"/>
      <c r="B1136" s="294"/>
      <c r="C1136" s="294"/>
      <c r="D1136" s="294"/>
      <c r="E1136" s="290"/>
      <c r="F1136" s="290"/>
      <c r="G1136" s="292"/>
      <c r="H1136" s="292"/>
      <c r="I1136" s="293"/>
    </row>
    <row r="1137" spans="1:9">
      <c r="A1137" s="294"/>
      <c r="B1137" s="294"/>
      <c r="C1137" s="294"/>
      <c r="D1137" s="294"/>
      <c r="E1137" s="290"/>
      <c r="F1137" s="290"/>
      <c r="G1137" s="292"/>
      <c r="H1137" s="292"/>
      <c r="I1137" s="293"/>
    </row>
    <row r="1138" spans="1:9">
      <c r="A1138" s="294"/>
      <c r="B1138" s="294"/>
      <c r="C1138" s="294"/>
      <c r="D1138" s="294"/>
      <c r="E1138" s="290"/>
      <c r="F1138" s="290"/>
      <c r="G1138" s="292"/>
      <c r="H1138" s="292"/>
      <c r="I1138" s="293"/>
    </row>
    <row r="1139" spans="1:9">
      <c r="A1139" s="294"/>
      <c r="B1139" s="294"/>
      <c r="C1139" s="294"/>
      <c r="D1139" s="294"/>
      <c r="E1139" s="290"/>
      <c r="F1139" s="290"/>
      <c r="G1139" s="292"/>
      <c r="H1139" s="292"/>
      <c r="I1139" s="293"/>
    </row>
    <row r="1140" spans="1:9">
      <c r="A1140" s="294"/>
      <c r="B1140" s="294"/>
      <c r="C1140" s="294"/>
      <c r="D1140" s="294"/>
      <c r="E1140" s="290"/>
      <c r="F1140" s="290"/>
      <c r="G1140" s="292"/>
      <c r="H1140" s="292"/>
      <c r="I1140" s="293"/>
    </row>
    <row r="1141" spans="1:9">
      <c r="A1141" s="294"/>
      <c r="B1141" s="294"/>
      <c r="C1141" s="294"/>
      <c r="D1141" s="294"/>
      <c r="E1141" s="290"/>
      <c r="F1141" s="290"/>
      <c r="G1141" s="292"/>
      <c r="H1141" s="292"/>
      <c r="I1141" s="293"/>
    </row>
    <row r="1142" spans="1:9">
      <c r="A1142" s="294"/>
      <c r="B1142" s="294"/>
      <c r="C1142" s="294"/>
      <c r="D1142" s="294"/>
      <c r="E1142" s="290"/>
      <c r="F1142" s="290"/>
      <c r="G1142" s="292"/>
      <c r="H1142" s="292"/>
      <c r="I1142" s="293"/>
    </row>
    <row r="1143" spans="1:9">
      <c r="A1143" s="294"/>
      <c r="B1143" s="294"/>
      <c r="C1143" s="294"/>
      <c r="D1143" s="294"/>
      <c r="E1143" s="290"/>
      <c r="F1143" s="290"/>
      <c r="G1143" s="292"/>
      <c r="H1143" s="292"/>
      <c r="I1143" s="293"/>
    </row>
    <row r="1144" spans="1:9">
      <c r="A1144" s="294"/>
      <c r="B1144" s="294"/>
      <c r="C1144" s="294"/>
      <c r="D1144" s="294"/>
      <c r="E1144" s="290"/>
      <c r="F1144" s="290"/>
      <c r="G1144" s="292"/>
      <c r="H1144" s="292"/>
      <c r="I1144" s="293"/>
    </row>
    <row r="1145" spans="1:9">
      <c r="A1145" s="294"/>
      <c r="B1145" s="294"/>
      <c r="C1145" s="294"/>
      <c r="D1145" s="294"/>
      <c r="E1145" s="290"/>
      <c r="F1145" s="290"/>
      <c r="G1145" s="292"/>
      <c r="H1145" s="292"/>
      <c r="I1145" s="293"/>
    </row>
    <row r="1146" spans="1:9">
      <c r="A1146" s="294"/>
      <c r="B1146" s="294"/>
      <c r="C1146" s="294"/>
      <c r="D1146" s="294"/>
      <c r="E1146" s="290"/>
      <c r="F1146" s="290"/>
      <c r="G1146" s="292"/>
      <c r="H1146" s="292"/>
      <c r="I1146" s="293"/>
    </row>
    <row r="1147" spans="1:9">
      <c r="A1147" s="294"/>
      <c r="B1147" s="294"/>
      <c r="C1147" s="294"/>
      <c r="D1147" s="294"/>
      <c r="E1147" s="290"/>
      <c r="F1147" s="290"/>
      <c r="G1147" s="292"/>
      <c r="H1147" s="292"/>
      <c r="I1147" s="293"/>
    </row>
    <row r="1148" spans="1:9">
      <c r="A1148" s="294"/>
      <c r="B1148" s="294"/>
      <c r="C1148" s="294"/>
      <c r="D1148" s="294"/>
      <c r="E1148" s="290"/>
      <c r="F1148" s="290"/>
      <c r="G1148" s="292"/>
      <c r="H1148" s="292"/>
      <c r="I1148" s="293"/>
    </row>
    <row r="1149" spans="1:9">
      <c r="A1149" s="294"/>
      <c r="B1149" s="294"/>
      <c r="C1149" s="294"/>
      <c r="D1149" s="294"/>
      <c r="E1149" s="290"/>
      <c r="F1149" s="290"/>
      <c r="G1149" s="292"/>
      <c r="H1149" s="292"/>
      <c r="I1149" s="293"/>
    </row>
    <row r="1150" spans="1:9">
      <c r="A1150" s="294"/>
      <c r="B1150" s="294"/>
      <c r="C1150" s="294"/>
      <c r="D1150" s="294"/>
      <c r="E1150" s="290"/>
      <c r="F1150" s="290"/>
      <c r="G1150" s="292"/>
      <c r="H1150" s="292"/>
      <c r="I1150" s="293"/>
    </row>
    <row r="1151" spans="1:9">
      <c r="A1151" s="294"/>
      <c r="B1151" s="294"/>
      <c r="C1151" s="294"/>
      <c r="D1151" s="294"/>
      <c r="E1151" s="290"/>
      <c r="F1151" s="290"/>
      <c r="G1151" s="292"/>
      <c r="H1151" s="292"/>
      <c r="I1151" s="293"/>
    </row>
    <row r="1152" spans="1:9">
      <c r="A1152" s="294"/>
      <c r="B1152" s="294"/>
      <c r="C1152" s="294"/>
      <c r="D1152" s="294"/>
      <c r="E1152" s="290"/>
      <c r="F1152" s="290"/>
      <c r="G1152" s="292"/>
      <c r="H1152" s="292"/>
      <c r="I1152" s="293"/>
    </row>
    <row r="1153" spans="1:9">
      <c r="A1153" s="294"/>
      <c r="B1153" s="294"/>
      <c r="C1153" s="294"/>
      <c r="D1153" s="294"/>
      <c r="E1153" s="290"/>
      <c r="F1153" s="290"/>
      <c r="G1153" s="292"/>
      <c r="H1153" s="292"/>
      <c r="I1153" s="293"/>
    </row>
    <row r="1154" spans="1:9">
      <c r="A1154" s="294"/>
      <c r="B1154" s="294"/>
      <c r="C1154" s="294"/>
      <c r="D1154" s="294"/>
      <c r="E1154" s="290"/>
      <c r="F1154" s="290"/>
      <c r="G1154" s="292"/>
      <c r="H1154" s="292"/>
      <c r="I1154" s="293"/>
    </row>
    <row r="1155" spans="1:9">
      <c r="A1155" s="294"/>
      <c r="B1155" s="294"/>
      <c r="C1155" s="294"/>
      <c r="D1155" s="294"/>
      <c r="E1155" s="290"/>
      <c r="F1155" s="290"/>
      <c r="G1155" s="292"/>
      <c r="H1155" s="292"/>
      <c r="I1155" s="293"/>
    </row>
    <row r="1156" spans="1:9">
      <c r="A1156" s="294"/>
      <c r="B1156" s="294"/>
      <c r="C1156" s="294"/>
      <c r="D1156" s="294"/>
      <c r="E1156" s="290"/>
      <c r="F1156" s="290"/>
      <c r="G1156" s="292"/>
      <c r="H1156" s="292"/>
      <c r="I1156" s="293"/>
    </row>
    <row r="1157" spans="1:9">
      <c r="A1157" s="294"/>
      <c r="B1157" s="294"/>
      <c r="C1157" s="294"/>
      <c r="D1157" s="294"/>
      <c r="E1157" s="290"/>
      <c r="F1157" s="290"/>
      <c r="G1157" s="292"/>
      <c r="H1157" s="292"/>
      <c r="I1157" s="293"/>
    </row>
    <row r="1158" spans="1:9">
      <c r="A1158" s="294"/>
      <c r="B1158" s="294"/>
      <c r="C1158" s="294"/>
      <c r="D1158" s="294"/>
      <c r="E1158" s="290"/>
      <c r="F1158" s="290"/>
      <c r="G1158" s="292"/>
      <c r="H1158" s="292"/>
      <c r="I1158" s="293"/>
    </row>
    <row r="1159" spans="1:9">
      <c r="A1159" s="294"/>
      <c r="B1159" s="294"/>
      <c r="C1159" s="294"/>
      <c r="D1159" s="294"/>
      <c r="E1159" s="290"/>
      <c r="F1159" s="290"/>
      <c r="G1159" s="292"/>
      <c r="H1159" s="292"/>
      <c r="I1159" s="293"/>
    </row>
    <row r="1160" spans="1:9">
      <c r="A1160" s="294"/>
      <c r="B1160" s="294"/>
      <c r="C1160" s="294"/>
      <c r="D1160" s="294"/>
      <c r="E1160" s="290"/>
      <c r="F1160" s="290"/>
      <c r="G1160" s="292"/>
      <c r="H1160" s="292"/>
      <c r="I1160" s="293"/>
    </row>
    <row r="1161" spans="1:9">
      <c r="A1161" s="294"/>
      <c r="B1161" s="294"/>
      <c r="C1161" s="294"/>
      <c r="D1161" s="294"/>
      <c r="E1161" s="290"/>
      <c r="F1161" s="290"/>
      <c r="G1161" s="292"/>
      <c r="H1161" s="292"/>
      <c r="I1161" s="293"/>
    </row>
    <row r="1162" spans="1:9">
      <c r="A1162" s="294"/>
      <c r="B1162" s="294"/>
      <c r="C1162" s="294"/>
      <c r="D1162" s="294"/>
      <c r="E1162" s="290"/>
      <c r="F1162" s="290"/>
      <c r="G1162" s="292"/>
      <c r="H1162" s="292"/>
      <c r="I1162" s="293"/>
    </row>
    <row r="1163" spans="1:9">
      <c r="A1163" s="294"/>
      <c r="B1163" s="294"/>
      <c r="C1163" s="294"/>
      <c r="D1163" s="294"/>
      <c r="E1163" s="290"/>
      <c r="F1163" s="290"/>
      <c r="G1163" s="292"/>
      <c r="H1163" s="292"/>
      <c r="I1163" s="293"/>
    </row>
    <row r="1164" spans="1:9">
      <c r="A1164" s="294"/>
      <c r="B1164" s="294"/>
      <c r="C1164" s="294"/>
      <c r="D1164" s="294"/>
      <c r="E1164" s="290"/>
      <c r="F1164" s="290"/>
      <c r="G1164" s="292"/>
      <c r="H1164" s="292"/>
      <c r="I1164" s="293"/>
    </row>
    <row r="1165" spans="1:9">
      <c r="A1165" s="294"/>
      <c r="B1165" s="294"/>
      <c r="C1165" s="294"/>
      <c r="D1165" s="294"/>
      <c r="E1165" s="290"/>
      <c r="F1165" s="290"/>
      <c r="G1165" s="292"/>
      <c r="H1165" s="292"/>
      <c r="I1165" s="293"/>
    </row>
    <row r="1166" spans="1:9">
      <c r="A1166" s="294"/>
      <c r="B1166" s="294"/>
      <c r="C1166" s="294"/>
      <c r="D1166" s="294"/>
      <c r="E1166" s="290"/>
      <c r="F1166" s="290"/>
      <c r="G1166" s="292"/>
      <c r="H1166" s="292"/>
      <c r="I1166" s="293"/>
    </row>
    <row r="1167" spans="1:9">
      <c r="A1167" s="294"/>
      <c r="B1167" s="294"/>
      <c r="C1167" s="294"/>
      <c r="D1167" s="294"/>
      <c r="E1167" s="290"/>
      <c r="F1167" s="290"/>
      <c r="G1167" s="292"/>
      <c r="H1167" s="292"/>
      <c r="I1167" s="293"/>
    </row>
    <row r="1168" spans="1:9">
      <c r="A1168" s="294"/>
      <c r="B1168" s="294"/>
      <c r="C1168" s="294"/>
      <c r="D1168" s="294"/>
      <c r="E1168" s="290"/>
      <c r="F1168" s="290"/>
      <c r="G1168" s="292"/>
      <c r="H1168" s="292"/>
      <c r="I1168" s="293"/>
    </row>
    <row r="1169" spans="1:9">
      <c r="A1169" s="294"/>
      <c r="B1169" s="294"/>
      <c r="C1169" s="294"/>
      <c r="D1169" s="294"/>
      <c r="E1169" s="290"/>
      <c r="F1169" s="290"/>
      <c r="G1169" s="292"/>
      <c r="H1169" s="292"/>
      <c r="I1169" s="293"/>
    </row>
    <row r="1170" spans="1:9">
      <c r="A1170" s="294"/>
      <c r="B1170" s="294"/>
      <c r="C1170" s="294"/>
      <c r="D1170" s="294"/>
      <c r="E1170" s="290"/>
      <c r="F1170" s="290"/>
      <c r="G1170" s="292"/>
      <c r="H1170" s="292"/>
      <c r="I1170" s="293"/>
    </row>
    <row r="1171" spans="1:9">
      <c r="A1171" s="294"/>
      <c r="B1171" s="294"/>
      <c r="C1171" s="294"/>
      <c r="D1171" s="294"/>
      <c r="E1171" s="290"/>
      <c r="F1171" s="290"/>
      <c r="G1171" s="292"/>
      <c r="H1171" s="292"/>
      <c r="I1171" s="293"/>
    </row>
    <row r="1172" spans="1:9">
      <c r="A1172" s="294"/>
      <c r="B1172" s="294"/>
      <c r="C1172" s="294"/>
      <c r="D1172" s="294"/>
      <c r="E1172" s="290"/>
      <c r="F1172" s="290"/>
      <c r="G1172" s="292"/>
      <c r="H1172" s="292"/>
      <c r="I1172" s="293"/>
    </row>
    <row r="1173" spans="1:9">
      <c r="A1173" s="294"/>
      <c r="B1173" s="294"/>
      <c r="C1173" s="294"/>
      <c r="D1173" s="294"/>
      <c r="E1173" s="290"/>
      <c r="F1173" s="290"/>
      <c r="G1173" s="292"/>
      <c r="H1173" s="292"/>
      <c r="I1173" s="293"/>
    </row>
    <row r="1174" spans="1:9">
      <c r="A1174" s="294"/>
      <c r="B1174" s="294"/>
      <c r="C1174" s="294"/>
      <c r="D1174" s="294"/>
      <c r="E1174" s="290"/>
      <c r="F1174" s="290"/>
      <c r="G1174" s="292"/>
      <c r="H1174" s="292"/>
      <c r="I1174" s="293"/>
    </row>
    <row r="1175" spans="1:9">
      <c r="A1175" s="294"/>
      <c r="B1175" s="294"/>
      <c r="C1175" s="294"/>
      <c r="D1175" s="294"/>
      <c r="E1175" s="290"/>
      <c r="F1175" s="290"/>
      <c r="G1175" s="292"/>
      <c r="H1175" s="292"/>
      <c r="I1175" s="293"/>
    </row>
    <row r="1176" spans="1:9">
      <c r="A1176" s="294"/>
      <c r="B1176" s="294"/>
      <c r="C1176" s="294"/>
      <c r="D1176" s="294"/>
      <c r="E1176" s="290"/>
      <c r="F1176" s="290"/>
      <c r="G1176" s="292"/>
      <c r="H1176" s="292"/>
      <c r="I1176" s="293"/>
    </row>
    <row r="1177" spans="1:9">
      <c r="A1177" s="294"/>
      <c r="B1177" s="294"/>
      <c r="C1177" s="294"/>
      <c r="D1177" s="294"/>
      <c r="E1177" s="290"/>
      <c r="F1177" s="290"/>
      <c r="G1177" s="292"/>
      <c r="H1177" s="292"/>
      <c r="I1177" s="293"/>
    </row>
    <row r="1178" spans="1:9">
      <c r="A1178" s="294"/>
      <c r="B1178" s="294"/>
      <c r="C1178" s="294"/>
      <c r="D1178" s="294"/>
      <c r="E1178" s="290"/>
      <c r="F1178" s="290"/>
      <c r="G1178" s="292"/>
      <c r="H1178" s="292"/>
      <c r="I1178" s="293"/>
    </row>
    <row r="1179" spans="1:9">
      <c r="A1179" s="294"/>
      <c r="B1179" s="294"/>
      <c r="C1179" s="294"/>
      <c r="D1179" s="294"/>
      <c r="E1179" s="290"/>
      <c r="F1179" s="290"/>
      <c r="G1179" s="292"/>
      <c r="H1179" s="292"/>
      <c r="I1179" s="293"/>
    </row>
    <row r="1180" spans="1:9">
      <c r="A1180" s="294"/>
      <c r="B1180" s="294"/>
      <c r="C1180" s="294"/>
      <c r="D1180" s="294"/>
      <c r="E1180" s="290"/>
      <c r="F1180" s="290"/>
      <c r="G1180" s="292"/>
      <c r="H1180" s="292"/>
      <c r="I1180" s="293"/>
    </row>
    <row r="1181" spans="1:9">
      <c r="A1181" s="294"/>
      <c r="B1181" s="294"/>
      <c r="C1181" s="294"/>
      <c r="D1181" s="294"/>
      <c r="E1181" s="290"/>
      <c r="F1181" s="290"/>
      <c r="G1181" s="292"/>
      <c r="H1181" s="292"/>
      <c r="I1181" s="293"/>
    </row>
    <row r="1182" spans="1:9">
      <c r="A1182" s="294"/>
      <c r="B1182" s="294"/>
      <c r="C1182" s="294"/>
      <c r="D1182" s="294"/>
      <c r="E1182" s="290"/>
      <c r="F1182" s="290"/>
      <c r="G1182" s="292"/>
      <c r="H1182" s="292"/>
      <c r="I1182" s="293"/>
    </row>
    <row r="1183" spans="1:9">
      <c r="A1183" s="294"/>
      <c r="B1183" s="294"/>
      <c r="C1183" s="294"/>
      <c r="D1183" s="294"/>
      <c r="E1183" s="290"/>
      <c r="F1183" s="290"/>
      <c r="G1183" s="292"/>
      <c r="H1183" s="292"/>
      <c r="I1183" s="293"/>
    </row>
    <row r="1184" spans="1:9">
      <c r="A1184" s="294"/>
      <c r="B1184" s="294"/>
      <c r="C1184" s="294"/>
      <c r="D1184" s="294"/>
      <c r="E1184" s="290"/>
      <c r="F1184" s="290"/>
      <c r="G1184" s="292"/>
      <c r="H1184" s="292"/>
      <c r="I1184" s="293"/>
    </row>
    <row r="1185" spans="1:9">
      <c r="A1185" s="294"/>
      <c r="B1185" s="294"/>
      <c r="C1185" s="294"/>
      <c r="D1185" s="294"/>
      <c r="E1185" s="290"/>
      <c r="F1185" s="290"/>
      <c r="G1185" s="292"/>
      <c r="H1185" s="292"/>
      <c r="I1185" s="293"/>
    </row>
    <row r="1186" spans="1:9">
      <c r="A1186" s="294"/>
      <c r="B1186" s="294"/>
      <c r="C1186" s="294"/>
      <c r="D1186" s="294"/>
      <c r="E1186" s="290"/>
      <c r="F1186" s="290"/>
      <c r="G1186" s="292"/>
      <c r="H1186" s="292"/>
      <c r="I1186" s="293"/>
    </row>
    <row r="1187" spans="1:9">
      <c r="A1187" s="294"/>
      <c r="B1187" s="294"/>
      <c r="C1187" s="294"/>
      <c r="D1187" s="294"/>
      <c r="E1187" s="290"/>
      <c r="F1187" s="290"/>
      <c r="G1187" s="292"/>
      <c r="H1187" s="292"/>
      <c r="I1187" s="293"/>
    </row>
    <row r="1188" spans="1:9">
      <c r="A1188" s="294"/>
      <c r="B1188" s="294"/>
      <c r="C1188" s="294"/>
      <c r="D1188" s="294"/>
      <c r="E1188" s="290"/>
      <c r="F1188" s="290"/>
      <c r="G1188" s="292"/>
      <c r="H1188" s="292"/>
      <c r="I1188" s="293"/>
    </row>
    <row r="1189" spans="1:9">
      <c r="A1189" s="294"/>
      <c r="B1189" s="294"/>
      <c r="C1189" s="294"/>
      <c r="D1189" s="294"/>
      <c r="E1189" s="290"/>
      <c r="F1189" s="290"/>
      <c r="G1189" s="292"/>
      <c r="H1189" s="292"/>
      <c r="I1189" s="293"/>
    </row>
    <row r="1190" spans="1:9">
      <c r="A1190" s="294"/>
      <c r="B1190" s="294"/>
      <c r="C1190" s="294"/>
      <c r="D1190" s="294"/>
      <c r="E1190" s="290"/>
      <c r="F1190" s="290"/>
      <c r="G1190" s="292"/>
      <c r="H1190" s="292"/>
      <c r="I1190" s="293"/>
    </row>
    <row r="1191" spans="1:9">
      <c r="A1191" s="294"/>
      <c r="B1191" s="294"/>
      <c r="C1191" s="294"/>
      <c r="D1191" s="294"/>
      <c r="E1191" s="290"/>
      <c r="F1191" s="290"/>
      <c r="G1191" s="292"/>
      <c r="H1191" s="292"/>
      <c r="I1191" s="293"/>
    </row>
    <row r="1192" spans="1:9">
      <c r="A1192" s="294"/>
      <c r="B1192" s="294"/>
      <c r="C1192" s="294"/>
      <c r="D1192" s="294"/>
      <c r="E1192" s="290"/>
      <c r="F1192" s="290"/>
      <c r="G1192" s="292"/>
      <c r="H1192" s="292"/>
      <c r="I1192" s="293"/>
    </row>
    <row r="1193" spans="1:9">
      <c r="A1193" s="294"/>
      <c r="B1193" s="294"/>
      <c r="C1193" s="294"/>
      <c r="D1193" s="294"/>
      <c r="E1193" s="290"/>
      <c r="F1193" s="290"/>
      <c r="G1193" s="292"/>
      <c r="H1193" s="292"/>
      <c r="I1193" s="293"/>
    </row>
    <row r="1194" spans="1:9">
      <c r="A1194" s="294"/>
      <c r="B1194" s="294"/>
      <c r="C1194" s="294"/>
      <c r="D1194" s="294"/>
      <c r="E1194" s="290"/>
      <c r="F1194" s="290"/>
      <c r="G1194" s="292"/>
      <c r="H1194" s="292"/>
      <c r="I1194" s="293"/>
    </row>
    <row r="1195" spans="1:9">
      <c r="A1195" s="294"/>
      <c r="B1195" s="294"/>
      <c r="C1195" s="294"/>
      <c r="D1195" s="294"/>
      <c r="E1195" s="290"/>
      <c r="F1195" s="290"/>
      <c r="G1195" s="292"/>
      <c r="H1195" s="292"/>
      <c r="I1195" s="293"/>
    </row>
    <row r="1196" spans="1:9">
      <c r="A1196" s="294"/>
      <c r="B1196" s="294"/>
      <c r="C1196" s="294"/>
      <c r="D1196" s="294"/>
      <c r="E1196" s="290"/>
      <c r="F1196" s="290"/>
      <c r="G1196" s="292"/>
      <c r="H1196" s="292"/>
      <c r="I1196" s="293"/>
    </row>
    <row r="1197" spans="1:9">
      <c r="A1197" s="294"/>
      <c r="B1197" s="294"/>
      <c r="C1197" s="294"/>
      <c r="D1197" s="294"/>
      <c r="E1197" s="290"/>
      <c r="F1197" s="290"/>
      <c r="G1197" s="292"/>
      <c r="H1197" s="292"/>
      <c r="I1197" s="293"/>
    </row>
    <row r="1198" spans="1:9">
      <c r="A1198" s="294"/>
      <c r="B1198" s="294"/>
      <c r="C1198" s="294"/>
      <c r="D1198" s="294"/>
      <c r="E1198" s="290"/>
      <c r="F1198" s="290"/>
      <c r="G1198" s="292"/>
      <c r="H1198" s="292"/>
      <c r="I1198" s="293"/>
    </row>
    <row r="1199" spans="1:9">
      <c r="A1199" s="294"/>
      <c r="B1199" s="294"/>
      <c r="C1199" s="294"/>
      <c r="D1199" s="294"/>
      <c r="E1199" s="290"/>
      <c r="F1199" s="290"/>
      <c r="G1199" s="292"/>
      <c r="H1199" s="292"/>
      <c r="I1199" s="293"/>
    </row>
    <row r="1200" spans="1:9">
      <c r="A1200" s="294"/>
      <c r="B1200" s="294"/>
      <c r="C1200" s="294"/>
      <c r="D1200" s="294"/>
      <c r="E1200" s="290"/>
      <c r="F1200" s="290"/>
      <c r="G1200" s="292"/>
      <c r="H1200" s="292"/>
      <c r="I1200" s="293"/>
    </row>
    <row r="1201" spans="1:9">
      <c r="A1201" s="294"/>
      <c r="B1201" s="294"/>
      <c r="C1201" s="294"/>
      <c r="D1201" s="294"/>
      <c r="E1201" s="290"/>
      <c r="F1201" s="290"/>
      <c r="G1201" s="292"/>
      <c r="H1201" s="292"/>
      <c r="I1201" s="293"/>
    </row>
    <row r="1202" spans="1:9">
      <c r="A1202" s="294"/>
      <c r="B1202" s="294"/>
      <c r="C1202" s="294"/>
      <c r="D1202" s="294"/>
      <c r="E1202" s="290"/>
      <c r="F1202" s="290"/>
      <c r="G1202" s="292"/>
      <c r="H1202" s="292"/>
      <c r="I1202" s="293"/>
    </row>
    <row r="1203" spans="1:9">
      <c r="A1203" s="294"/>
      <c r="B1203" s="294"/>
      <c r="C1203" s="294"/>
      <c r="D1203" s="294"/>
      <c r="E1203" s="290"/>
      <c r="F1203" s="290"/>
      <c r="G1203" s="292"/>
      <c r="H1203" s="292"/>
      <c r="I1203" s="293"/>
    </row>
    <row r="1204" spans="1:9">
      <c r="A1204" s="294"/>
      <c r="B1204" s="294"/>
      <c r="C1204" s="294"/>
      <c r="D1204" s="294"/>
      <c r="E1204" s="290"/>
      <c r="F1204" s="290"/>
      <c r="G1204" s="292"/>
      <c r="H1204" s="292"/>
      <c r="I1204" s="293"/>
    </row>
    <row r="1205" spans="1:9">
      <c r="A1205" s="294"/>
      <c r="B1205" s="294"/>
      <c r="C1205" s="294"/>
      <c r="D1205" s="294"/>
      <c r="E1205" s="290"/>
      <c r="F1205" s="290"/>
      <c r="G1205" s="292"/>
      <c r="H1205" s="292"/>
      <c r="I1205" s="293"/>
    </row>
    <row r="1206" spans="1:9">
      <c r="A1206" s="294"/>
      <c r="B1206" s="294"/>
      <c r="C1206" s="294"/>
      <c r="D1206" s="294"/>
      <c r="E1206" s="290"/>
      <c r="F1206" s="290"/>
      <c r="G1206" s="292"/>
      <c r="H1206" s="292"/>
      <c r="I1206" s="293"/>
    </row>
    <row r="1207" spans="1:9">
      <c r="A1207" s="294"/>
      <c r="B1207" s="294"/>
      <c r="C1207" s="294"/>
      <c r="D1207" s="294"/>
      <c r="E1207" s="290"/>
      <c r="F1207" s="290"/>
      <c r="G1207" s="292"/>
      <c r="H1207" s="292"/>
      <c r="I1207" s="293"/>
    </row>
    <row r="1208" spans="1:9">
      <c r="A1208" s="294"/>
      <c r="B1208" s="294"/>
      <c r="C1208" s="294"/>
      <c r="D1208" s="294"/>
      <c r="E1208" s="290"/>
      <c r="F1208" s="290"/>
      <c r="G1208" s="292"/>
      <c r="H1208" s="292"/>
      <c r="I1208" s="293"/>
    </row>
    <row r="1209" spans="1:9">
      <c r="A1209" s="294"/>
      <c r="B1209" s="294"/>
      <c r="C1209" s="294"/>
      <c r="D1209" s="294"/>
      <c r="E1209" s="290"/>
      <c r="F1209" s="290"/>
      <c r="G1209" s="292"/>
      <c r="H1209" s="292"/>
      <c r="I1209" s="293"/>
    </row>
    <row r="1210" spans="1:9">
      <c r="A1210" s="294"/>
      <c r="B1210" s="294"/>
      <c r="C1210" s="294"/>
      <c r="D1210" s="294"/>
      <c r="E1210" s="290"/>
      <c r="F1210" s="290"/>
      <c r="G1210" s="292"/>
      <c r="H1210" s="292"/>
      <c r="I1210" s="293"/>
    </row>
    <row r="1211" spans="1:9">
      <c r="A1211" s="294"/>
      <c r="B1211" s="294"/>
      <c r="C1211" s="294"/>
      <c r="D1211" s="294"/>
      <c r="E1211" s="290"/>
      <c r="F1211" s="290"/>
      <c r="G1211" s="292"/>
      <c r="H1211" s="292"/>
      <c r="I1211" s="293"/>
    </row>
    <row r="1212" spans="1:9">
      <c r="A1212" s="294"/>
      <c r="B1212" s="294"/>
      <c r="C1212" s="294"/>
      <c r="D1212" s="294"/>
      <c r="E1212" s="290"/>
      <c r="F1212" s="290"/>
      <c r="G1212" s="292"/>
      <c r="H1212" s="292"/>
      <c r="I1212" s="293"/>
    </row>
    <row r="1213" spans="1:9">
      <c r="A1213" s="294"/>
      <c r="B1213" s="294"/>
      <c r="C1213" s="294"/>
      <c r="D1213" s="294"/>
      <c r="E1213" s="290"/>
      <c r="F1213" s="290"/>
      <c r="G1213" s="292"/>
      <c r="H1213" s="292"/>
      <c r="I1213" s="293"/>
    </row>
    <row r="1214" spans="1:9">
      <c r="A1214" s="294"/>
      <c r="B1214" s="294"/>
      <c r="C1214" s="294"/>
      <c r="D1214" s="294"/>
      <c r="E1214" s="290"/>
      <c r="F1214" s="290"/>
      <c r="G1214" s="292"/>
      <c r="H1214" s="292"/>
      <c r="I1214" s="293"/>
    </row>
    <row r="1215" spans="1:9">
      <c r="A1215" s="294"/>
      <c r="B1215" s="294"/>
      <c r="C1215" s="294"/>
      <c r="D1215" s="294"/>
      <c r="E1215" s="290"/>
      <c r="F1215" s="290"/>
      <c r="G1215" s="292"/>
      <c r="H1215" s="292"/>
      <c r="I1215" s="293"/>
    </row>
    <row r="1216" spans="1:9">
      <c r="A1216" s="294"/>
      <c r="B1216" s="294"/>
      <c r="C1216" s="294"/>
      <c r="D1216" s="294"/>
      <c r="E1216" s="290"/>
      <c r="F1216" s="290"/>
      <c r="G1216" s="292"/>
      <c r="H1216" s="292"/>
      <c r="I1216" s="293"/>
    </row>
    <row r="1217" spans="1:9">
      <c r="A1217" s="294"/>
      <c r="B1217" s="294"/>
      <c r="C1217" s="294"/>
      <c r="D1217" s="294"/>
      <c r="E1217" s="290"/>
      <c r="F1217" s="290"/>
      <c r="G1217" s="292"/>
      <c r="H1217" s="292"/>
      <c r="I1217" s="293"/>
    </row>
    <row r="1218" spans="1:9">
      <c r="A1218" s="294"/>
      <c r="B1218" s="294"/>
      <c r="C1218" s="294"/>
      <c r="D1218" s="294"/>
      <c r="E1218" s="290"/>
      <c r="F1218" s="290"/>
      <c r="G1218" s="292"/>
      <c r="H1218" s="292"/>
      <c r="I1218" s="293"/>
    </row>
    <row r="1219" spans="1:9">
      <c r="A1219" s="294"/>
      <c r="B1219" s="294"/>
      <c r="C1219" s="294"/>
      <c r="D1219" s="294"/>
      <c r="E1219" s="290"/>
      <c r="F1219" s="290"/>
      <c r="G1219" s="292"/>
      <c r="H1219" s="292"/>
      <c r="I1219" s="293"/>
    </row>
    <row r="1220" spans="1:9">
      <c r="A1220" s="294"/>
      <c r="B1220" s="294"/>
      <c r="C1220" s="294"/>
      <c r="D1220" s="294"/>
      <c r="E1220" s="290"/>
      <c r="F1220" s="290"/>
      <c r="G1220" s="292"/>
      <c r="H1220" s="292"/>
      <c r="I1220" s="293"/>
    </row>
    <row r="1221" spans="1:9">
      <c r="A1221" s="294"/>
      <c r="B1221" s="294"/>
      <c r="C1221" s="294"/>
      <c r="D1221" s="294"/>
      <c r="E1221" s="290"/>
      <c r="F1221" s="290"/>
      <c r="G1221" s="292"/>
      <c r="H1221" s="292"/>
      <c r="I1221" s="293"/>
    </row>
    <row r="1222" spans="1:9">
      <c r="A1222" s="294"/>
      <c r="B1222" s="294"/>
      <c r="C1222" s="294"/>
      <c r="D1222" s="294"/>
      <c r="E1222" s="290"/>
      <c r="F1222" s="290"/>
      <c r="G1222" s="292"/>
      <c r="H1222" s="292"/>
      <c r="I1222" s="293"/>
    </row>
    <row r="1223" spans="1:9">
      <c r="A1223" s="294"/>
      <c r="B1223" s="294"/>
      <c r="C1223" s="294"/>
      <c r="D1223" s="294"/>
      <c r="E1223" s="290"/>
      <c r="F1223" s="290"/>
      <c r="G1223" s="292"/>
      <c r="H1223" s="292"/>
      <c r="I1223" s="293"/>
    </row>
    <row r="1224" spans="1:9">
      <c r="A1224" s="294"/>
      <c r="B1224" s="294"/>
      <c r="C1224" s="294"/>
      <c r="D1224" s="294"/>
      <c r="E1224" s="290"/>
      <c r="F1224" s="290"/>
      <c r="G1224" s="292"/>
      <c r="H1224" s="292"/>
      <c r="I1224" s="293"/>
    </row>
    <row r="1225" spans="1:9">
      <c r="A1225" s="294"/>
      <c r="B1225" s="294"/>
      <c r="C1225" s="294"/>
      <c r="D1225" s="294"/>
      <c r="E1225" s="290"/>
      <c r="F1225" s="290"/>
      <c r="G1225" s="291"/>
      <c r="H1225" s="292"/>
      <c r="I1225" s="293"/>
    </row>
    <row r="1226" spans="1:9">
      <c r="A1226" s="294"/>
      <c r="B1226" s="294"/>
      <c r="C1226" s="294"/>
      <c r="D1226" s="294"/>
      <c r="E1226" s="290"/>
      <c r="F1226" s="290"/>
      <c r="G1226" s="292"/>
      <c r="H1226" s="292"/>
      <c r="I1226" s="293"/>
    </row>
    <row r="1227" spans="1:9">
      <c r="A1227" s="294"/>
      <c r="B1227" s="294"/>
      <c r="C1227" s="294"/>
      <c r="D1227" s="294"/>
      <c r="E1227" s="290"/>
      <c r="F1227" s="290"/>
      <c r="G1227" s="292"/>
      <c r="H1227" s="292"/>
      <c r="I1227" s="293"/>
    </row>
    <row r="1228" spans="1:9">
      <c r="A1228" s="294"/>
      <c r="B1228" s="294"/>
      <c r="C1228" s="294"/>
      <c r="D1228" s="294"/>
      <c r="E1228" s="290"/>
      <c r="F1228" s="290"/>
      <c r="G1228" s="292"/>
      <c r="H1228" s="292"/>
      <c r="I1228" s="293"/>
    </row>
    <row r="1229" spans="1:9">
      <c r="A1229" s="294"/>
      <c r="B1229" s="294"/>
      <c r="C1229" s="294"/>
      <c r="D1229" s="294"/>
      <c r="E1229" s="290"/>
      <c r="F1229" s="290"/>
      <c r="G1229" s="292"/>
      <c r="H1229" s="292"/>
      <c r="I1229" s="293"/>
    </row>
    <row r="1230" spans="1:9">
      <c r="A1230" s="294"/>
      <c r="B1230" s="294"/>
      <c r="C1230" s="294"/>
      <c r="D1230" s="294"/>
      <c r="E1230" s="290"/>
      <c r="F1230" s="290"/>
      <c r="G1230" s="292"/>
      <c r="H1230" s="292"/>
      <c r="I1230" s="293"/>
    </row>
    <row r="1231" spans="1:9">
      <c r="A1231" s="294"/>
      <c r="B1231" s="294"/>
      <c r="C1231" s="294"/>
      <c r="D1231" s="294"/>
      <c r="E1231" s="290"/>
      <c r="F1231" s="290"/>
      <c r="G1231" s="292"/>
      <c r="H1231" s="292"/>
      <c r="I1231" s="293"/>
    </row>
    <row r="1232" spans="1:9">
      <c r="A1232" s="294"/>
      <c r="B1232" s="294"/>
      <c r="C1232" s="294"/>
      <c r="D1232" s="294"/>
      <c r="E1232" s="290"/>
      <c r="F1232" s="290"/>
      <c r="G1232" s="292"/>
      <c r="H1232" s="292"/>
      <c r="I1232" s="293"/>
    </row>
    <row r="1233" spans="1:9">
      <c r="A1233" s="294"/>
      <c r="B1233" s="294"/>
      <c r="C1233" s="294"/>
      <c r="D1233" s="294"/>
      <c r="E1233" s="290"/>
      <c r="F1233" s="290"/>
      <c r="G1233" s="292"/>
      <c r="H1233" s="292"/>
      <c r="I1233" s="293"/>
    </row>
    <row r="1234" spans="1:9">
      <c r="A1234" s="294"/>
      <c r="B1234" s="294"/>
      <c r="C1234" s="294"/>
      <c r="D1234" s="294"/>
      <c r="E1234" s="290"/>
      <c r="F1234" s="290"/>
      <c r="G1234" s="292"/>
      <c r="H1234" s="292"/>
      <c r="I1234" s="293"/>
    </row>
    <row r="1235" spans="1:9">
      <c r="A1235" s="294"/>
      <c r="B1235" s="294"/>
      <c r="C1235" s="294"/>
      <c r="D1235" s="294"/>
      <c r="E1235" s="290"/>
      <c r="F1235" s="290"/>
      <c r="G1235" s="292"/>
      <c r="H1235" s="292"/>
      <c r="I1235" s="293"/>
    </row>
    <row r="1236" spans="1:9">
      <c r="A1236" s="294"/>
      <c r="B1236" s="294"/>
      <c r="C1236" s="294"/>
      <c r="D1236" s="294"/>
      <c r="E1236" s="290"/>
      <c r="F1236" s="290"/>
      <c r="G1236" s="292"/>
      <c r="H1236" s="292"/>
      <c r="I1236" s="293"/>
    </row>
    <row r="1237" spans="1:9">
      <c r="A1237" s="294"/>
      <c r="B1237" s="294"/>
      <c r="C1237" s="294"/>
      <c r="D1237" s="294"/>
      <c r="E1237" s="290"/>
      <c r="F1237" s="290"/>
      <c r="G1237" s="292"/>
      <c r="H1237" s="292"/>
      <c r="I1237" s="293"/>
    </row>
    <row r="1238" spans="1:9">
      <c r="A1238" s="294"/>
      <c r="B1238" s="294"/>
      <c r="C1238" s="294"/>
      <c r="D1238" s="294"/>
      <c r="E1238" s="290"/>
      <c r="F1238" s="290"/>
      <c r="G1238" s="292"/>
      <c r="H1238" s="292"/>
      <c r="I1238" s="293"/>
    </row>
    <row r="1239" spans="1:9">
      <c r="A1239" s="294"/>
      <c r="B1239" s="294"/>
      <c r="C1239" s="294"/>
      <c r="D1239" s="294"/>
      <c r="E1239" s="290"/>
      <c r="F1239" s="290"/>
      <c r="G1239" s="292"/>
      <c r="H1239" s="292"/>
      <c r="I1239" s="293"/>
    </row>
    <row r="1240" spans="1:9">
      <c r="A1240" s="294"/>
      <c r="B1240" s="294"/>
      <c r="C1240" s="294"/>
      <c r="D1240" s="294"/>
      <c r="E1240" s="290"/>
      <c r="F1240" s="290"/>
      <c r="G1240" s="292"/>
      <c r="H1240" s="292"/>
      <c r="I1240" s="293"/>
    </row>
    <row r="1241" spans="1:9">
      <c r="A1241" s="294"/>
      <c r="B1241" s="294"/>
      <c r="C1241" s="294"/>
      <c r="D1241" s="294"/>
      <c r="E1241" s="290"/>
      <c r="F1241" s="290"/>
      <c r="G1241" s="292"/>
      <c r="H1241" s="292"/>
      <c r="I1241" s="293"/>
    </row>
    <row r="1242" spans="1:9">
      <c r="A1242" s="294"/>
      <c r="B1242" s="294"/>
      <c r="C1242" s="294"/>
      <c r="D1242" s="294"/>
      <c r="E1242" s="290"/>
      <c r="F1242" s="290"/>
      <c r="G1242" s="292"/>
      <c r="H1242" s="292"/>
      <c r="I1242" s="293"/>
    </row>
    <row r="1243" spans="1:9">
      <c r="A1243" s="294"/>
      <c r="B1243" s="294"/>
      <c r="C1243" s="294"/>
      <c r="D1243" s="294"/>
      <c r="E1243" s="290"/>
      <c r="F1243" s="290"/>
      <c r="G1243" s="292"/>
      <c r="H1243" s="292"/>
      <c r="I1243" s="293"/>
    </row>
    <row r="1244" spans="1:9">
      <c r="A1244" s="294"/>
      <c r="B1244" s="294"/>
      <c r="C1244" s="294"/>
      <c r="D1244" s="294"/>
      <c r="E1244" s="290"/>
      <c r="F1244" s="290"/>
      <c r="G1244" s="292"/>
      <c r="H1244" s="292"/>
      <c r="I1244" s="293"/>
    </row>
    <row r="1245" spans="1:9">
      <c r="A1245" s="294"/>
      <c r="B1245" s="294"/>
      <c r="C1245" s="294"/>
      <c r="D1245" s="294"/>
      <c r="E1245" s="290"/>
      <c r="F1245" s="290"/>
      <c r="G1245" s="292"/>
      <c r="H1245" s="292"/>
      <c r="I1245" s="293"/>
    </row>
    <row r="1246" spans="1:9">
      <c r="A1246" s="294"/>
      <c r="B1246" s="294"/>
      <c r="C1246" s="294"/>
      <c r="D1246" s="294"/>
      <c r="E1246" s="290"/>
      <c r="F1246" s="290"/>
      <c r="G1246" s="292"/>
      <c r="H1246" s="292"/>
      <c r="I1246" s="293"/>
    </row>
    <row r="1247" spans="1:9">
      <c r="A1247" s="294"/>
      <c r="B1247" s="294"/>
      <c r="C1247" s="294"/>
      <c r="D1247" s="294"/>
      <c r="E1247" s="290"/>
      <c r="F1247" s="290"/>
      <c r="G1247" s="292"/>
      <c r="H1247" s="292"/>
      <c r="I1247" s="293"/>
    </row>
    <row r="1248" spans="1:9">
      <c r="A1248" s="294"/>
      <c r="B1248" s="294"/>
      <c r="C1248" s="294"/>
      <c r="D1248" s="294"/>
      <c r="E1248" s="290"/>
      <c r="F1248" s="290"/>
      <c r="G1248" s="292"/>
      <c r="H1248" s="292"/>
      <c r="I1248" s="293"/>
    </row>
    <row r="1249" spans="1:9">
      <c r="A1249" s="294"/>
      <c r="B1249" s="294"/>
      <c r="C1249" s="294"/>
      <c r="D1249" s="294"/>
      <c r="E1249" s="290"/>
      <c r="F1249" s="290"/>
      <c r="G1249" s="292"/>
      <c r="H1249" s="292"/>
      <c r="I1249" s="293"/>
    </row>
    <row r="1250" spans="1:9">
      <c r="A1250" s="294"/>
      <c r="B1250" s="294"/>
      <c r="C1250" s="294"/>
      <c r="D1250" s="294"/>
      <c r="E1250" s="290"/>
      <c r="F1250" s="290"/>
      <c r="G1250" s="292"/>
      <c r="H1250" s="292"/>
      <c r="I1250" s="293"/>
    </row>
    <row r="1251" spans="1:9">
      <c r="A1251" s="294"/>
      <c r="B1251" s="294"/>
      <c r="C1251" s="294"/>
      <c r="D1251" s="294"/>
      <c r="E1251" s="290"/>
      <c r="F1251" s="290"/>
      <c r="G1251" s="292"/>
      <c r="H1251" s="292"/>
      <c r="I1251" s="293"/>
    </row>
    <row r="1252" spans="1:9">
      <c r="A1252" s="294"/>
      <c r="B1252" s="294"/>
      <c r="C1252" s="294"/>
      <c r="D1252" s="294"/>
      <c r="E1252" s="290"/>
      <c r="F1252" s="290"/>
      <c r="G1252" s="292"/>
      <c r="H1252" s="292"/>
      <c r="I1252" s="293"/>
    </row>
    <row r="1253" spans="1:9">
      <c r="A1253" s="294"/>
      <c r="B1253" s="294"/>
      <c r="C1253" s="294"/>
      <c r="D1253" s="294"/>
      <c r="E1253" s="290"/>
      <c r="F1253" s="290"/>
      <c r="G1253" s="292"/>
      <c r="H1253" s="292"/>
      <c r="I1253" s="293"/>
    </row>
    <row r="1254" spans="1:9">
      <c r="A1254" s="294"/>
      <c r="B1254" s="294"/>
      <c r="C1254" s="294"/>
      <c r="D1254" s="294"/>
      <c r="E1254" s="290"/>
      <c r="F1254" s="290"/>
      <c r="G1254" s="292"/>
      <c r="H1254" s="292"/>
      <c r="I1254" s="293"/>
    </row>
    <row r="1255" spans="1:9">
      <c r="A1255" s="294"/>
      <c r="B1255" s="294"/>
      <c r="C1255" s="294"/>
      <c r="D1255" s="294"/>
      <c r="E1255" s="290"/>
      <c r="F1255" s="290"/>
      <c r="G1255" s="291"/>
      <c r="H1255" s="292"/>
      <c r="I1255" s="293"/>
    </row>
    <row r="1256" spans="1:9">
      <c r="A1256" s="294"/>
      <c r="B1256" s="294"/>
      <c r="C1256" s="294"/>
      <c r="D1256" s="294"/>
      <c r="E1256" s="290"/>
      <c r="F1256" s="290"/>
      <c r="G1256" s="291"/>
      <c r="H1256" s="292"/>
      <c r="I1256" s="293"/>
    </row>
    <row r="1257" spans="1:9">
      <c r="A1257" s="294"/>
      <c r="B1257" s="294"/>
      <c r="C1257" s="294"/>
      <c r="D1257" s="294"/>
      <c r="E1257" s="290"/>
      <c r="F1257" s="290"/>
      <c r="G1257" s="291"/>
      <c r="H1257" s="292"/>
      <c r="I1257" s="293"/>
    </row>
    <row r="1258" spans="1:9">
      <c r="A1258" s="294"/>
      <c r="B1258" s="294"/>
      <c r="C1258" s="294"/>
      <c r="D1258" s="294"/>
      <c r="E1258" s="290"/>
      <c r="F1258" s="290"/>
      <c r="G1258" s="291"/>
      <c r="H1258" s="292"/>
      <c r="I1258" s="293"/>
    </row>
    <row r="1259" spans="1:9">
      <c r="A1259" s="294"/>
      <c r="B1259" s="294"/>
      <c r="C1259" s="294"/>
      <c r="D1259" s="294"/>
      <c r="E1259" s="290"/>
      <c r="F1259" s="290"/>
      <c r="G1259" s="291"/>
      <c r="H1259" s="292"/>
      <c r="I1259" s="293"/>
    </row>
    <row r="1260" spans="1:9">
      <c r="A1260" s="294"/>
      <c r="B1260" s="294"/>
      <c r="C1260" s="294"/>
      <c r="D1260" s="294"/>
      <c r="E1260" s="290"/>
      <c r="F1260" s="290"/>
      <c r="G1260" s="291"/>
      <c r="H1260" s="292"/>
      <c r="I1260" s="293"/>
    </row>
    <row r="1261" spans="1:9">
      <c r="A1261" s="294"/>
      <c r="B1261" s="294"/>
      <c r="C1261" s="294"/>
      <c r="D1261" s="294"/>
      <c r="E1261" s="290"/>
      <c r="F1261" s="290"/>
      <c r="G1261" s="291"/>
      <c r="H1261" s="292"/>
      <c r="I1261" s="293"/>
    </row>
    <row r="1262" spans="1:9">
      <c r="A1262" s="294"/>
      <c r="B1262" s="294"/>
      <c r="C1262" s="294"/>
      <c r="D1262" s="294"/>
      <c r="E1262" s="290"/>
      <c r="F1262" s="290"/>
      <c r="G1262" s="291"/>
      <c r="H1262" s="292"/>
      <c r="I1262" s="293"/>
    </row>
    <row r="1263" spans="1:9">
      <c r="A1263" s="294"/>
      <c r="B1263" s="294"/>
      <c r="C1263" s="294"/>
      <c r="D1263" s="294"/>
      <c r="E1263" s="290"/>
      <c r="F1263" s="290"/>
      <c r="G1263" s="291"/>
      <c r="H1263" s="292"/>
      <c r="I1263" s="293"/>
    </row>
    <row r="1264" spans="1:9">
      <c r="A1264" s="294"/>
      <c r="B1264" s="294"/>
      <c r="C1264" s="294"/>
      <c r="D1264" s="294"/>
      <c r="E1264" s="290"/>
      <c r="F1264" s="290"/>
      <c r="G1264" s="291"/>
      <c r="H1264" s="292"/>
      <c r="I1264" s="293"/>
    </row>
    <row r="1265" spans="1:9">
      <c r="A1265" s="294"/>
      <c r="B1265" s="294"/>
      <c r="C1265" s="294"/>
      <c r="D1265" s="294"/>
      <c r="E1265" s="290"/>
      <c r="F1265" s="290"/>
      <c r="G1265" s="291"/>
      <c r="H1265" s="292"/>
      <c r="I1265" s="293"/>
    </row>
    <row r="1266" spans="1:9">
      <c r="A1266" s="294"/>
      <c r="B1266" s="294"/>
      <c r="C1266" s="294"/>
      <c r="D1266" s="294"/>
      <c r="E1266" s="290"/>
      <c r="F1266" s="290"/>
      <c r="G1266" s="291"/>
      <c r="H1266" s="292"/>
      <c r="I1266" s="293"/>
    </row>
    <row r="1267" spans="1:9">
      <c r="A1267" s="294"/>
      <c r="B1267" s="294"/>
      <c r="C1267" s="294"/>
      <c r="D1267" s="294"/>
      <c r="E1267" s="290"/>
      <c r="F1267" s="290"/>
      <c r="G1267" s="291"/>
      <c r="H1267" s="292"/>
      <c r="I1267" s="293"/>
    </row>
    <row r="1268" spans="1:9">
      <c r="A1268" s="294"/>
      <c r="B1268" s="294"/>
      <c r="C1268" s="294"/>
      <c r="D1268" s="294"/>
      <c r="E1268" s="290"/>
      <c r="F1268" s="290"/>
      <c r="G1268" s="291"/>
      <c r="H1268" s="292"/>
      <c r="I1268" s="293"/>
    </row>
    <row r="1269" spans="1:9">
      <c r="A1269" s="294"/>
      <c r="B1269" s="294"/>
      <c r="C1269" s="294"/>
      <c r="D1269" s="294"/>
      <c r="E1269" s="290"/>
      <c r="F1269" s="290"/>
      <c r="G1269" s="291"/>
      <c r="H1269" s="292"/>
      <c r="I1269" s="293"/>
    </row>
    <row r="1270" spans="1:9">
      <c r="A1270" s="294"/>
      <c r="B1270" s="294"/>
      <c r="C1270" s="294"/>
      <c r="D1270" s="294"/>
      <c r="E1270" s="290"/>
      <c r="F1270" s="290"/>
      <c r="G1270" s="291"/>
      <c r="H1270" s="292"/>
      <c r="I1270" s="293"/>
    </row>
    <row r="1271" spans="1:9">
      <c r="A1271" s="294"/>
      <c r="B1271" s="294"/>
      <c r="C1271" s="294"/>
      <c r="D1271" s="294"/>
      <c r="E1271" s="290"/>
      <c r="F1271" s="290"/>
      <c r="G1271" s="291"/>
      <c r="H1271" s="292"/>
      <c r="I1271" s="293"/>
    </row>
    <row r="1272" spans="1:9">
      <c r="A1272" s="294"/>
      <c r="B1272" s="294"/>
      <c r="C1272" s="294"/>
      <c r="D1272" s="294"/>
      <c r="E1272" s="290"/>
      <c r="F1272" s="290"/>
      <c r="G1272" s="291"/>
      <c r="H1272" s="292"/>
      <c r="I1272" s="293"/>
    </row>
    <row r="1273" spans="1:9">
      <c r="A1273" s="294"/>
      <c r="B1273" s="294"/>
      <c r="C1273" s="294"/>
      <c r="D1273" s="294"/>
      <c r="E1273" s="290"/>
      <c r="F1273" s="290"/>
      <c r="G1273" s="291"/>
      <c r="H1273" s="292"/>
      <c r="I1273" s="293"/>
    </row>
    <row r="1274" spans="1:9">
      <c r="A1274" s="294"/>
      <c r="B1274" s="294"/>
      <c r="C1274" s="294"/>
      <c r="D1274" s="294"/>
      <c r="E1274" s="290"/>
      <c r="F1274" s="290"/>
      <c r="G1274" s="291"/>
      <c r="H1274" s="292"/>
      <c r="I1274" s="293"/>
    </row>
    <row r="1275" spans="1:9">
      <c r="A1275" s="294"/>
      <c r="B1275" s="294"/>
      <c r="C1275" s="294"/>
      <c r="D1275" s="294"/>
      <c r="E1275" s="290"/>
      <c r="F1275" s="290"/>
      <c r="G1275" s="291"/>
      <c r="H1275" s="292"/>
      <c r="I1275" s="293"/>
    </row>
    <row r="1276" spans="1:9">
      <c r="A1276" s="294"/>
      <c r="B1276" s="294"/>
      <c r="C1276" s="294"/>
      <c r="D1276" s="294"/>
      <c r="E1276" s="290"/>
      <c r="F1276" s="290"/>
      <c r="G1276" s="291"/>
      <c r="H1276" s="292"/>
      <c r="I1276" s="293"/>
    </row>
    <row r="1277" spans="1:9">
      <c r="A1277" s="294"/>
      <c r="B1277" s="294"/>
      <c r="C1277" s="294"/>
      <c r="D1277" s="294"/>
      <c r="E1277" s="290"/>
      <c r="F1277" s="290"/>
      <c r="G1277" s="291"/>
      <c r="H1277" s="292"/>
      <c r="I1277" s="293"/>
    </row>
    <row r="1278" spans="1:9">
      <c r="A1278" s="294"/>
      <c r="B1278" s="294"/>
      <c r="C1278" s="294"/>
      <c r="D1278" s="294"/>
      <c r="E1278" s="290"/>
      <c r="F1278" s="290"/>
      <c r="G1278" s="292"/>
      <c r="H1278" s="292"/>
      <c r="I1278" s="293"/>
    </row>
    <row r="1279" spans="1:9">
      <c r="A1279" s="294"/>
      <c r="B1279" s="294"/>
      <c r="C1279" s="294"/>
      <c r="D1279" s="294"/>
      <c r="E1279" s="290"/>
      <c r="F1279" s="290"/>
      <c r="G1279" s="292"/>
      <c r="H1279" s="292"/>
      <c r="I1279" s="293"/>
    </row>
    <row r="1280" spans="1:9">
      <c r="A1280" s="294"/>
      <c r="B1280" s="294"/>
      <c r="C1280" s="294"/>
      <c r="D1280" s="294"/>
      <c r="E1280" s="290"/>
      <c r="F1280" s="290"/>
      <c r="G1280" s="292"/>
      <c r="H1280" s="292"/>
      <c r="I1280" s="293"/>
    </row>
    <row r="1281" spans="1:9">
      <c r="A1281" s="294"/>
      <c r="B1281" s="294"/>
      <c r="C1281" s="294"/>
      <c r="D1281" s="294"/>
      <c r="E1281" s="290"/>
      <c r="F1281" s="290"/>
      <c r="G1281" s="292"/>
      <c r="H1281" s="292"/>
      <c r="I1281" s="293"/>
    </row>
    <row r="1282" spans="1:9">
      <c r="A1282" s="294"/>
      <c r="B1282" s="294"/>
      <c r="C1282" s="294"/>
      <c r="D1282" s="294"/>
      <c r="E1282" s="290"/>
      <c r="F1282" s="290"/>
      <c r="G1282" s="292"/>
      <c r="H1282" s="292"/>
      <c r="I1282" s="293"/>
    </row>
    <row r="1283" spans="1:9">
      <c r="A1283" s="294"/>
      <c r="B1283" s="294"/>
      <c r="C1283" s="294"/>
      <c r="D1283" s="294"/>
      <c r="E1283" s="290"/>
      <c r="F1283" s="290"/>
      <c r="G1283" s="292"/>
      <c r="H1283" s="292"/>
      <c r="I1283" s="293"/>
    </row>
    <row r="1284" spans="1:9">
      <c r="A1284" s="294"/>
      <c r="B1284" s="294"/>
      <c r="C1284" s="294"/>
      <c r="D1284" s="294"/>
      <c r="E1284" s="290"/>
      <c r="F1284" s="290"/>
      <c r="G1284" s="292"/>
      <c r="H1284" s="292"/>
      <c r="I1284" s="293"/>
    </row>
    <row r="1285" spans="1:9">
      <c r="A1285" s="294"/>
      <c r="B1285" s="294"/>
      <c r="C1285" s="294"/>
      <c r="D1285" s="294"/>
      <c r="E1285" s="290"/>
      <c r="F1285" s="290"/>
      <c r="G1285" s="292"/>
      <c r="H1285" s="292"/>
      <c r="I1285" s="293"/>
    </row>
    <row r="1286" spans="1:9">
      <c r="A1286" s="294"/>
      <c r="B1286" s="294"/>
      <c r="C1286" s="294"/>
      <c r="D1286" s="294"/>
      <c r="E1286" s="290"/>
      <c r="F1286" s="290"/>
      <c r="G1286" s="292"/>
      <c r="H1286" s="292"/>
      <c r="I1286" s="293"/>
    </row>
    <row r="1287" spans="1:9">
      <c r="A1287" s="294"/>
      <c r="B1287" s="294"/>
      <c r="C1287" s="294"/>
      <c r="D1287" s="294"/>
      <c r="E1287" s="290"/>
      <c r="F1287" s="290"/>
      <c r="G1287" s="292"/>
      <c r="H1287" s="292"/>
      <c r="I1287" s="293"/>
    </row>
    <row r="1288" spans="1:9">
      <c r="A1288" s="294"/>
      <c r="B1288" s="294"/>
      <c r="C1288" s="294"/>
      <c r="D1288" s="294"/>
      <c r="E1288" s="290"/>
      <c r="F1288" s="290"/>
      <c r="G1288" s="292"/>
      <c r="H1288" s="292"/>
      <c r="I1288" s="293"/>
    </row>
    <row r="1289" spans="1:9">
      <c r="A1289" s="294"/>
      <c r="B1289" s="294"/>
      <c r="C1289" s="294"/>
      <c r="D1289" s="294"/>
      <c r="E1289" s="290"/>
      <c r="F1289" s="290"/>
      <c r="G1289" s="292"/>
      <c r="H1289" s="292"/>
      <c r="I1289" s="293"/>
    </row>
    <row r="1290" spans="1:9">
      <c r="A1290" s="294"/>
      <c r="B1290" s="294"/>
      <c r="C1290" s="294"/>
      <c r="D1290" s="294"/>
      <c r="E1290" s="290"/>
      <c r="F1290" s="290"/>
      <c r="G1290" s="292"/>
      <c r="H1290" s="292"/>
      <c r="I1290" s="293"/>
    </row>
    <row r="1291" spans="1:9">
      <c r="A1291" s="294"/>
      <c r="B1291" s="294"/>
      <c r="C1291" s="294"/>
      <c r="D1291" s="294"/>
      <c r="E1291" s="290"/>
      <c r="F1291" s="290"/>
      <c r="G1291" s="292"/>
      <c r="H1291" s="292"/>
      <c r="I1291" s="293"/>
    </row>
    <row r="1292" spans="1:9">
      <c r="A1292" s="294"/>
      <c r="B1292" s="294"/>
      <c r="C1292" s="294"/>
      <c r="D1292" s="294"/>
      <c r="E1292" s="290"/>
      <c r="F1292" s="290"/>
      <c r="G1292" s="292"/>
      <c r="H1292" s="292"/>
      <c r="I1292" s="293"/>
    </row>
    <row r="1293" spans="1:9">
      <c r="A1293" s="294"/>
      <c r="B1293" s="294"/>
      <c r="C1293" s="294"/>
      <c r="D1293" s="294"/>
      <c r="E1293" s="290"/>
      <c r="F1293" s="290"/>
      <c r="G1293" s="292"/>
      <c r="H1293" s="292"/>
      <c r="I1293" s="293"/>
    </row>
    <row r="1294" spans="1:9">
      <c r="A1294" s="294"/>
      <c r="B1294" s="294"/>
      <c r="C1294" s="294"/>
      <c r="D1294" s="294"/>
      <c r="E1294" s="290"/>
      <c r="F1294" s="290"/>
      <c r="G1294" s="292"/>
      <c r="H1294" s="292"/>
      <c r="I1294" s="293"/>
    </row>
    <row r="1295" spans="1:9">
      <c r="A1295" s="294"/>
      <c r="B1295" s="294"/>
      <c r="C1295" s="294"/>
      <c r="D1295" s="294"/>
      <c r="E1295" s="290"/>
      <c r="F1295" s="290"/>
      <c r="G1295" s="292"/>
      <c r="H1295" s="292"/>
      <c r="I1295" s="293"/>
    </row>
    <row r="1296" spans="1:9">
      <c r="A1296" s="294"/>
      <c r="B1296" s="294"/>
      <c r="C1296" s="294"/>
      <c r="D1296" s="294"/>
      <c r="E1296" s="290"/>
      <c r="F1296" s="290"/>
      <c r="G1296" s="292"/>
      <c r="H1296" s="292"/>
      <c r="I1296" s="293"/>
    </row>
    <row r="1297" spans="1:9">
      <c r="A1297" s="294"/>
      <c r="B1297" s="294"/>
      <c r="C1297" s="294"/>
      <c r="D1297" s="294"/>
      <c r="E1297" s="290"/>
      <c r="F1297" s="290"/>
      <c r="G1297" s="292"/>
      <c r="H1297" s="292"/>
      <c r="I1297" s="293"/>
    </row>
    <row r="1298" spans="1:9">
      <c r="A1298" s="294"/>
      <c r="B1298" s="294"/>
      <c r="C1298" s="294"/>
      <c r="D1298" s="294"/>
      <c r="E1298" s="290"/>
      <c r="F1298" s="290"/>
      <c r="G1298" s="292"/>
      <c r="H1298" s="292"/>
      <c r="I1298" s="293"/>
    </row>
    <row r="1299" spans="1:9">
      <c r="A1299" s="294"/>
      <c r="B1299" s="294"/>
      <c r="C1299" s="294"/>
      <c r="D1299" s="294"/>
      <c r="E1299" s="290"/>
      <c r="F1299" s="290"/>
      <c r="G1299" s="292"/>
      <c r="H1299" s="292"/>
      <c r="I1299" s="293"/>
    </row>
    <row r="1300" spans="1:9">
      <c r="A1300" s="294"/>
      <c r="B1300" s="294"/>
      <c r="C1300" s="294"/>
      <c r="D1300" s="294"/>
      <c r="E1300" s="290"/>
      <c r="F1300" s="290"/>
      <c r="G1300" s="292"/>
      <c r="H1300" s="292"/>
      <c r="I1300" s="293"/>
    </row>
    <row r="1301" spans="1:9">
      <c r="A1301" s="294"/>
      <c r="B1301" s="294"/>
      <c r="C1301" s="294"/>
      <c r="D1301" s="294"/>
      <c r="E1301" s="290"/>
      <c r="F1301" s="290"/>
      <c r="G1301" s="292"/>
      <c r="H1301" s="292"/>
      <c r="I1301" s="293"/>
    </row>
    <row r="1302" spans="1:9">
      <c r="A1302" s="294"/>
      <c r="B1302" s="294"/>
      <c r="C1302" s="294"/>
      <c r="D1302" s="294"/>
      <c r="E1302" s="290"/>
      <c r="F1302" s="290"/>
      <c r="G1302" s="292"/>
      <c r="H1302" s="292"/>
      <c r="I1302" s="293"/>
    </row>
    <row r="1303" spans="1:9">
      <c r="A1303" s="294"/>
      <c r="B1303" s="294"/>
      <c r="C1303" s="294"/>
      <c r="D1303" s="294"/>
      <c r="E1303" s="290"/>
      <c r="F1303" s="290"/>
      <c r="G1303" s="292"/>
      <c r="H1303" s="292"/>
      <c r="I1303" s="293"/>
    </row>
    <row r="1304" spans="1:9">
      <c r="A1304" s="294"/>
      <c r="B1304" s="294"/>
      <c r="C1304" s="294"/>
      <c r="D1304" s="294"/>
      <c r="E1304" s="290"/>
      <c r="F1304" s="290"/>
      <c r="G1304" s="292"/>
      <c r="H1304" s="292"/>
      <c r="I1304" s="293"/>
    </row>
    <row r="1305" spans="1:9">
      <c r="A1305" s="294"/>
      <c r="B1305" s="294"/>
      <c r="C1305" s="294"/>
      <c r="D1305" s="294"/>
      <c r="E1305" s="290"/>
      <c r="F1305" s="290"/>
      <c r="G1305" s="292"/>
      <c r="H1305" s="292"/>
      <c r="I1305" s="293"/>
    </row>
    <row r="1306" spans="1:9">
      <c r="A1306" s="294"/>
      <c r="B1306" s="294"/>
      <c r="C1306" s="294"/>
      <c r="D1306" s="294"/>
      <c r="E1306" s="290"/>
      <c r="F1306" s="290"/>
      <c r="G1306" s="292"/>
      <c r="H1306" s="292"/>
      <c r="I1306" s="293"/>
    </row>
    <row r="1307" spans="1:9">
      <c r="A1307" s="294"/>
      <c r="B1307" s="294"/>
      <c r="C1307" s="294"/>
      <c r="D1307" s="294"/>
      <c r="E1307" s="290"/>
      <c r="F1307" s="290"/>
      <c r="G1307" s="291"/>
      <c r="H1307" s="292"/>
      <c r="I1307" s="293"/>
    </row>
    <row r="1308" spans="1:9">
      <c r="A1308" s="294"/>
      <c r="B1308" s="294"/>
      <c r="C1308" s="294"/>
      <c r="D1308" s="294"/>
      <c r="E1308" s="290"/>
      <c r="F1308" s="290"/>
      <c r="G1308" s="291"/>
      <c r="H1308" s="292"/>
      <c r="I1308" s="293"/>
    </row>
    <row r="1309" spans="1:9">
      <c r="A1309" s="294"/>
      <c r="B1309" s="294"/>
      <c r="C1309" s="294"/>
      <c r="D1309" s="294"/>
      <c r="E1309" s="290"/>
      <c r="F1309" s="290"/>
      <c r="G1309" s="291"/>
      <c r="H1309" s="292"/>
      <c r="I1309" s="293"/>
    </row>
    <row r="1310" spans="1:9">
      <c r="A1310" s="294"/>
      <c r="B1310" s="294"/>
      <c r="C1310" s="294"/>
      <c r="D1310" s="294"/>
      <c r="E1310" s="290"/>
      <c r="F1310" s="290"/>
      <c r="G1310" s="291"/>
      <c r="H1310" s="292"/>
      <c r="I1310" s="293"/>
    </row>
    <row r="1311" spans="1:9">
      <c r="A1311" s="294"/>
      <c r="B1311" s="294"/>
      <c r="C1311" s="294"/>
      <c r="D1311" s="294"/>
      <c r="E1311" s="290"/>
      <c r="F1311" s="290"/>
      <c r="G1311" s="291"/>
      <c r="H1311" s="292"/>
      <c r="I1311" s="293"/>
    </row>
    <row r="1312" spans="1:9">
      <c r="A1312" s="294"/>
      <c r="B1312" s="294"/>
      <c r="C1312" s="294"/>
      <c r="D1312" s="294"/>
      <c r="E1312" s="290"/>
      <c r="F1312" s="290"/>
      <c r="G1312" s="291"/>
      <c r="H1312" s="292"/>
      <c r="I1312" s="293"/>
    </row>
    <row r="1313" spans="1:9">
      <c r="A1313" s="294"/>
      <c r="B1313" s="294"/>
      <c r="C1313" s="294"/>
      <c r="D1313" s="294"/>
      <c r="E1313" s="290"/>
      <c r="F1313" s="290"/>
      <c r="G1313" s="291"/>
      <c r="H1313" s="292"/>
      <c r="I1313" s="293"/>
    </row>
    <row r="1314" spans="1:9">
      <c r="A1314" s="294"/>
      <c r="B1314" s="294"/>
      <c r="C1314" s="294"/>
      <c r="D1314" s="294"/>
      <c r="E1314" s="290"/>
      <c r="F1314" s="290"/>
      <c r="G1314" s="291"/>
      <c r="H1314" s="292"/>
      <c r="I1314" s="293"/>
    </row>
    <row r="1315" spans="1:9">
      <c r="A1315" s="294"/>
      <c r="B1315" s="294"/>
      <c r="C1315" s="294"/>
      <c r="D1315" s="294"/>
      <c r="E1315" s="290"/>
      <c r="F1315" s="290"/>
      <c r="G1315" s="291"/>
      <c r="H1315" s="292"/>
      <c r="I1315" s="293"/>
    </row>
    <row r="1316" spans="1:9">
      <c r="A1316" s="294"/>
      <c r="B1316" s="294"/>
      <c r="C1316" s="294"/>
      <c r="D1316" s="294"/>
      <c r="E1316" s="290"/>
      <c r="F1316" s="290"/>
      <c r="G1316" s="291"/>
      <c r="H1316" s="292"/>
      <c r="I1316" s="293"/>
    </row>
    <row r="1317" spans="1:9">
      <c r="A1317" s="294"/>
      <c r="B1317" s="294"/>
      <c r="C1317" s="294"/>
      <c r="D1317" s="294"/>
      <c r="E1317" s="290"/>
      <c r="F1317" s="290"/>
      <c r="G1317" s="291"/>
      <c r="H1317" s="292"/>
      <c r="I1317" s="293"/>
    </row>
    <row r="1318" spans="1:9">
      <c r="A1318" s="294"/>
      <c r="B1318" s="294"/>
      <c r="C1318" s="294"/>
      <c r="D1318" s="294"/>
      <c r="E1318" s="290"/>
      <c r="F1318" s="290"/>
      <c r="G1318" s="291"/>
      <c r="H1318" s="292"/>
      <c r="I1318" s="293"/>
    </row>
    <row r="1319" spans="1:9">
      <c r="A1319" s="294"/>
      <c r="B1319" s="294"/>
      <c r="C1319" s="294"/>
      <c r="D1319" s="294"/>
      <c r="E1319" s="290"/>
      <c r="F1319" s="290"/>
      <c r="G1319" s="291"/>
      <c r="H1319" s="292"/>
      <c r="I1319" s="293"/>
    </row>
    <row r="1320" spans="1:9">
      <c r="A1320" s="294"/>
      <c r="B1320" s="294"/>
      <c r="C1320" s="294"/>
      <c r="D1320" s="294"/>
      <c r="E1320" s="290"/>
      <c r="F1320" s="290"/>
      <c r="G1320" s="291"/>
      <c r="H1320" s="292"/>
      <c r="I1320" s="293"/>
    </row>
    <row r="1321" spans="1:9">
      <c r="A1321" s="294"/>
      <c r="B1321" s="294"/>
      <c r="C1321" s="294"/>
      <c r="D1321" s="294"/>
      <c r="E1321" s="290"/>
      <c r="F1321" s="290"/>
      <c r="G1321" s="291"/>
      <c r="H1321" s="292"/>
      <c r="I1321" s="293"/>
    </row>
    <row r="1322" spans="1:9">
      <c r="A1322" s="294"/>
      <c r="B1322" s="294"/>
      <c r="C1322" s="294"/>
      <c r="D1322" s="294"/>
      <c r="E1322" s="290"/>
      <c r="F1322" s="290"/>
      <c r="G1322" s="291"/>
      <c r="H1322" s="292"/>
      <c r="I1322" s="293"/>
    </row>
    <row r="1323" spans="1:9">
      <c r="A1323" s="294"/>
      <c r="B1323" s="294"/>
      <c r="C1323" s="294"/>
      <c r="D1323" s="294"/>
      <c r="E1323" s="290"/>
      <c r="F1323" s="290"/>
      <c r="G1323" s="291"/>
      <c r="H1323" s="292"/>
      <c r="I1323" s="293"/>
    </row>
    <row r="1324" spans="1:9">
      <c r="A1324" s="294"/>
      <c r="B1324" s="294"/>
      <c r="C1324" s="294"/>
      <c r="D1324" s="294"/>
      <c r="E1324" s="290"/>
      <c r="F1324" s="290"/>
      <c r="G1324" s="291"/>
      <c r="H1324" s="292"/>
      <c r="I1324" s="293"/>
    </row>
    <row r="1325" spans="1:9">
      <c r="A1325" s="294"/>
      <c r="B1325" s="294"/>
      <c r="C1325" s="294"/>
      <c r="D1325" s="294"/>
      <c r="E1325" s="290"/>
      <c r="F1325" s="290"/>
      <c r="G1325" s="291"/>
      <c r="H1325" s="292"/>
      <c r="I1325" s="293"/>
    </row>
    <row r="1326" spans="1:9">
      <c r="A1326" s="294"/>
      <c r="B1326" s="294"/>
      <c r="C1326" s="294"/>
      <c r="D1326" s="294"/>
      <c r="E1326" s="290"/>
      <c r="F1326" s="290"/>
      <c r="G1326" s="291"/>
      <c r="H1326" s="292"/>
      <c r="I1326" s="293"/>
    </row>
    <row r="1327" spans="1:9">
      <c r="A1327" s="294"/>
      <c r="B1327" s="294"/>
      <c r="C1327" s="294"/>
      <c r="D1327" s="294"/>
      <c r="E1327" s="290"/>
      <c r="F1327" s="290"/>
      <c r="G1327" s="291"/>
      <c r="H1327" s="292"/>
      <c r="I1327" s="293"/>
    </row>
    <row r="1328" spans="1:9">
      <c r="A1328" s="294"/>
      <c r="B1328" s="294"/>
      <c r="C1328" s="294"/>
      <c r="D1328" s="294"/>
      <c r="E1328" s="290"/>
      <c r="F1328" s="290"/>
      <c r="G1328" s="291"/>
      <c r="H1328" s="292"/>
      <c r="I1328" s="293"/>
    </row>
    <row r="1329" spans="1:9">
      <c r="A1329" s="294"/>
      <c r="B1329" s="294"/>
      <c r="C1329" s="294"/>
      <c r="D1329" s="294"/>
      <c r="E1329" s="290"/>
      <c r="F1329" s="290"/>
      <c r="G1329" s="291"/>
      <c r="H1329" s="292"/>
      <c r="I1329" s="293"/>
    </row>
    <row r="1330" spans="1:9">
      <c r="A1330" s="294"/>
      <c r="B1330" s="294"/>
      <c r="C1330" s="294"/>
      <c r="D1330" s="294"/>
      <c r="E1330" s="290"/>
      <c r="F1330" s="290"/>
      <c r="G1330" s="292"/>
      <c r="H1330" s="292"/>
      <c r="I1330" s="293"/>
    </row>
    <row r="1331" spans="1:9">
      <c r="A1331" s="294"/>
      <c r="B1331" s="294"/>
      <c r="C1331" s="294"/>
      <c r="D1331" s="294"/>
      <c r="E1331" s="290"/>
      <c r="F1331" s="290"/>
      <c r="G1331" s="292"/>
      <c r="H1331" s="292"/>
      <c r="I1331" s="293"/>
    </row>
    <row r="1332" spans="1:9">
      <c r="A1332" s="294"/>
      <c r="B1332" s="294"/>
      <c r="C1332" s="294"/>
      <c r="D1332" s="294"/>
      <c r="E1332" s="290"/>
      <c r="F1332" s="290"/>
      <c r="G1332" s="292"/>
      <c r="H1332" s="292"/>
      <c r="I1332" s="293"/>
    </row>
    <row r="1333" spans="1:9">
      <c r="A1333" s="294"/>
      <c r="B1333" s="294"/>
      <c r="C1333" s="294"/>
      <c r="D1333" s="294"/>
      <c r="E1333" s="290"/>
      <c r="F1333" s="290"/>
      <c r="G1333" s="292"/>
      <c r="H1333" s="292"/>
      <c r="I1333" s="293"/>
    </row>
    <row r="1334" spans="1:9">
      <c r="A1334" s="294"/>
      <c r="B1334" s="294"/>
      <c r="C1334" s="294"/>
      <c r="D1334" s="294"/>
      <c r="E1334" s="290"/>
      <c r="F1334" s="290"/>
      <c r="G1334" s="292"/>
      <c r="H1334" s="292"/>
      <c r="I1334" s="293"/>
    </row>
    <row r="1335" spans="1:9">
      <c r="A1335" s="294"/>
      <c r="B1335" s="294"/>
      <c r="C1335" s="294"/>
      <c r="D1335" s="294"/>
      <c r="E1335" s="290"/>
      <c r="F1335" s="290"/>
      <c r="G1335" s="292"/>
      <c r="H1335" s="292"/>
      <c r="I1335" s="293"/>
    </row>
    <row r="1336" spans="1:9">
      <c r="A1336" s="294"/>
      <c r="B1336" s="294"/>
      <c r="C1336" s="294"/>
      <c r="D1336" s="294"/>
      <c r="E1336" s="290"/>
      <c r="F1336" s="290"/>
      <c r="G1336" s="292"/>
      <c r="H1336" s="292"/>
      <c r="I1336" s="293"/>
    </row>
    <row r="1337" spans="1:9">
      <c r="A1337" s="294"/>
      <c r="B1337" s="294"/>
      <c r="C1337" s="294"/>
      <c r="D1337" s="294"/>
      <c r="E1337" s="290"/>
      <c r="F1337" s="290"/>
      <c r="G1337" s="292"/>
      <c r="H1337" s="292"/>
      <c r="I1337" s="293"/>
    </row>
    <row r="1338" spans="1:9">
      <c r="A1338" s="294"/>
      <c r="B1338" s="294"/>
      <c r="C1338" s="294"/>
      <c r="D1338" s="294"/>
      <c r="E1338" s="290"/>
      <c r="F1338" s="290"/>
      <c r="G1338" s="292"/>
      <c r="H1338" s="292"/>
      <c r="I1338" s="293"/>
    </row>
    <row r="1339" spans="1:9">
      <c r="A1339" s="294"/>
      <c r="B1339" s="294"/>
      <c r="C1339" s="294"/>
      <c r="D1339" s="294"/>
      <c r="E1339" s="290"/>
      <c r="F1339" s="290"/>
      <c r="G1339" s="292"/>
      <c r="H1339" s="292"/>
      <c r="I1339" s="293"/>
    </row>
    <row r="1340" spans="1:9">
      <c r="A1340" s="294"/>
      <c r="B1340" s="294"/>
      <c r="C1340" s="294"/>
      <c r="D1340" s="294"/>
      <c r="E1340" s="290"/>
      <c r="F1340" s="290"/>
      <c r="G1340" s="292"/>
      <c r="H1340" s="292"/>
      <c r="I1340" s="293"/>
    </row>
    <row r="1341" spans="1:9">
      <c r="A1341" s="294"/>
      <c r="B1341" s="294"/>
      <c r="C1341" s="294"/>
      <c r="D1341" s="294"/>
      <c r="E1341" s="290"/>
      <c r="F1341" s="290"/>
      <c r="G1341" s="292"/>
      <c r="H1341" s="292"/>
      <c r="I1341" s="293"/>
    </row>
    <row r="1342" spans="1:9">
      <c r="A1342" s="294"/>
      <c r="B1342" s="294"/>
      <c r="C1342" s="294"/>
      <c r="D1342" s="294"/>
      <c r="E1342" s="290"/>
      <c r="F1342" s="290"/>
      <c r="G1342" s="292"/>
      <c r="H1342" s="292"/>
      <c r="I1342" s="293"/>
    </row>
    <row r="1343" spans="1:9">
      <c r="A1343" s="294"/>
      <c r="B1343" s="294"/>
      <c r="C1343" s="294"/>
      <c r="D1343" s="294"/>
      <c r="E1343" s="290"/>
      <c r="F1343" s="290"/>
      <c r="G1343" s="292"/>
      <c r="H1343" s="292"/>
      <c r="I1343" s="293"/>
    </row>
    <row r="1344" spans="1:9">
      <c r="A1344" s="294"/>
      <c r="B1344" s="294"/>
      <c r="C1344" s="294"/>
      <c r="D1344" s="294"/>
      <c r="E1344" s="290"/>
      <c r="F1344" s="290"/>
      <c r="G1344" s="292"/>
      <c r="H1344" s="292"/>
      <c r="I1344" s="293"/>
    </row>
    <row r="1345" spans="1:9">
      <c r="A1345" s="294"/>
      <c r="B1345" s="294"/>
      <c r="C1345" s="294"/>
      <c r="D1345" s="294"/>
      <c r="E1345" s="290"/>
      <c r="F1345" s="290"/>
      <c r="G1345" s="292"/>
      <c r="H1345" s="292"/>
      <c r="I1345" s="293"/>
    </row>
    <row r="1346" spans="1:9">
      <c r="A1346" s="294"/>
      <c r="B1346" s="294"/>
      <c r="C1346" s="294"/>
      <c r="D1346" s="294"/>
      <c r="E1346" s="290"/>
      <c r="F1346" s="290"/>
      <c r="G1346" s="292"/>
      <c r="H1346" s="292"/>
      <c r="I1346" s="293"/>
    </row>
    <row r="1347" spans="1:9">
      <c r="A1347" s="294"/>
      <c r="B1347" s="294"/>
      <c r="C1347" s="294"/>
      <c r="D1347" s="294"/>
      <c r="E1347" s="290"/>
      <c r="F1347" s="290"/>
      <c r="G1347" s="292"/>
      <c r="H1347" s="292"/>
      <c r="I1347" s="293"/>
    </row>
    <row r="1348" spans="1:9">
      <c r="A1348" s="294"/>
      <c r="B1348" s="294"/>
      <c r="C1348" s="294"/>
      <c r="D1348" s="294"/>
      <c r="E1348" s="290"/>
      <c r="F1348" s="290"/>
      <c r="G1348" s="292"/>
      <c r="H1348" s="292"/>
      <c r="I1348" s="293"/>
    </row>
    <row r="1349" spans="1:9">
      <c r="A1349" s="294"/>
      <c r="B1349" s="294"/>
      <c r="C1349" s="294"/>
      <c r="D1349" s="294"/>
      <c r="E1349" s="290"/>
      <c r="F1349" s="290"/>
      <c r="G1349" s="292"/>
      <c r="H1349" s="292"/>
      <c r="I1349" s="293"/>
    </row>
    <row r="1350" spans="1:9">
      <c r="A1350" s="294"/>
      <c r="B1350" s="294"/>
      <c r="C1350" s="294"/>
      <c r="D1350" s="294"/>
      <c r="E1350" s="290"/>
      <c r="F1350" s="290"/>
      <c r="G1350" s="292"/>
      <c r="H1350" s="292"/>
      <c r="I1350" s="293"/>
    </row>
    <row r="1351" spans="1:9">
      <c r="A1351" s="294"/>
      <c r="B1351" s="294"/>
      <c r="C1351" s="294"/>
      <c r="D1351" s="294"/>
      <c r="E1351" s="290"/>
      <c r="F1351" s="290"/>
      <c r="G1351" s="292"/>
      <c r="H1351" s="292"/>
      <c r="I1351" s="293"/>
    </row>
    <row r="1352" spans="1:9">
      <c r="A1352" s="294"/>
      <c r="B1352" s="294"/>
      <c r="C1352" s="294"/>
      <c r="D1352" s="294"/>
      <c r="E1352" s="290"/>
      <c r="F1352" s="290"/>
      <c r="G1352" s="292"/>
      <c r="H1352" s="292"/>
      <c r="I1352" s="293"/>
    </row>
    <row r="1353" spans="1:9">
      <c r="A1353" s="294"/>
      <c r="B1353" s="294"/>
      <c r="C1353" s="294"/>
      <c r="D1353" s="294"/>
      <c r="E1353" s="290"/>
      <c r="F1353" s="290"/>
      <c r="G1353" s="292"/>
      <c r="H1353" s="292"/>
      <c r="I1353" s="293"/>
    </row>
    <row r="1354" spans="1:9">
      <c r="A1354" s="294"/>
      <c r="B1354" s="294"/>
      <c r="C1354" s="294"/>
      <c r="D1354" s="294"/>
      <c r="E1354" s="290"/>
      <c r="F1354" s="290"/>
      <c r="G1354" s="292"/>
      <c r="H1354" s="292"/>
      <c r="I1354" s="293"/>
    </row>
    <row r="1355" spans="1:9">
      <c r="A1355" s="294"/>
      <c r="B1355" s="294"/>
      <c r="C1355" s="294"/>
      <c r="D1355" s="294"/>
      <c r="E1355" s="290"/>
      <c r="F1355" s="290"/>
      <c r="G1355" s="292"/>
      <c r="H1355" s="292"/>
      <c r="I1355" s="293"/>
    </row>
    <row r="1356" spans="1:9">
      <c r="A1356" s="294"/>
      <c r="B1356" s="294"/>
      <c r="C1356" s="294"/>
      <c r="D1356" s="294"/>
      <c r="E1356" s="290"/>
      <c r="F1356" s="290"/>
      <c r="G1356" s="292"/>
      <c r="H1356" s="292"/>
      <c r="I1356" s="293"/>
    </row>
    <row r="1357" spans="1:9">
      <c r="A1357" s="294"/>
      <c r="B1357" s="294"/>
      <c r="C1357" s="294"/>
      <c r="D1357" s="294"/>
      <c r="E1357" s="290"/>
      <c r="F1357" s="290"/>
      <c r="G1357" s="292"/>
      <c r="H1357" s="292"/>
      <c r="I1357" s="293"/>
    </row>
    <row r="1358" spans="1:9">
      <c r="A1358" s="294"/>
      <c r="B1358" s="294"/>
      <c r="C1358" s="294"/>
      <c r="D1358" s="294"/>
      <c r="E1358" s="290"/>
      <c r="F1358" s="290"/>
      <c r="G1358" s="292"/>
      <c r="H1358" s="292"/>
      <c r="I1358" s="293"/>
    </row>
    <row r="1359" spans="1:9">
      <c r="A1359" s="294"/>
      <c r="B1359" s="294"/>
      <c r="C1359" s="294"/>
      <c r="D1359" s="294"/>
      <c r="E1359" s="290"/>
      <c r="F1359" s="290"/>
      <c r="G1359" s="292"/>
      <c r="H1359" s="292"/>
      <c r="I1359" s="293"/>
    </row>
    <row r="1360" spans="1:9">
      <c r="A1360" s="294"/>
      <c r="B1360" s="294"/>
      <c r="C1360" s="294"/>
      <c r="D1360" s="294"/>
      <c r="E1360" s="290"/>
      <c r="F1360" s="290"/>
      <c r="G1360" s="292"/>
      <c r="H1360" s="292"/>
      <c r="I1360" s="293"/>
    </row>
    <row r="1361" spans="1:9">
      <c r="A1361" s="294"/>
      <c r="B1361" s="294"/>
      <c r="C1361" s="294"/>
      <c r="D1361" s="294"/>
      <c r="E1361" s="290"/>
      <c r="F1361" s="290"/>
      <c r="G1361" s="292"/>
      <c r="H1361" s="292"/>
      <c r="I1361" s="293"/>
    </row>
    <row r="1362" spans="1:9">
      <c r="A1362" s="294"/>
      <c r="B1362" s="294"/>
      <c r="C1362" s="294"/>
      <c r="D1362" s="294"/>
      <c r="E1362" s="290"/>
      <c r="F1362" s="290"/>
      <c r="G1362" s="292"/>
      <c r="H1362" s="292"/>
      <c r="I1362" s="293"/>
    </row>
    <row r="1363" spans="1:9">
      <c r="A1363" s="294"/>
      <c r="B1363" s="294"/>
      <c r="C1363" s="294"/>
      <c r="D1363" s="294"/>
      <c r="E1363" s="290"/>
      <c r="F1363" s="290"/>
      <c r="G1363" s="292"/>
      <c r="H1363" s="292"/>
      <c r="I1363" s="293"/>
    </row>
    <row r="1364" spans="1:9">
      <c r="A1364" s="294"/>
      <c r="B1364" s="294"/>
      <c r="C1364" s="294"/>
      <c r="D1364" s="294"/>
      <c r="E1364" s="290"/>
      <c r="F1364" s="290"/>
      <c r="G1364" s="292"/>
      <c r="H1364" s="292"/>
      <c r="I1364" s="293"/>
    </row>
    <row r="1365" spans="1:9">
      <c r="A1365" s="294"/>
      <c r="B1365" s="294"/>
      <c r="C1365" s="294"/>
      <c r="D1365" s="294"/>
      <c r="E1365" s="290"/>
      <c r="F1365" s="290"/>
      <c r="G1365" s="292"/>
      <c r="H1365" s="292"/>
      <c r="I1365" s="293"/>
    </row>
    <row r="1366" spans="1:9">
      <c r="A1366" s="294"/>
      <c r="B1366" s="294"/>
      <c r="C1366" s="294"/>
      <c r="D1366" s="294"/>
      <c r="E1366" s="290"/>
      <c r="F1366" s="290"/>
      <c r="G1366" s="292"/>
      <c r="H1366" s="292"/>
      <c r="I1366" s="293"/>
    </row>
    <row r="1367" spans="1:9">
      <c r="A1367" s="294"/>
      <c r="B1367" s="294"/>
      <c r="C1367" s="294"/>
      <c r="D1367" s="294"/>
      <c r="E1367" s="290"/>
      <c r="F1367" s="290"/>
      <c r="G1367" s="292"/>
      <c r="H1367" s="292"/>
      <c r="I1367" s="293"/>
    </row>
    <row r="1368" spans="1:9">
      <c r="A1368" s="294"/>
      <c r="B1368" s="294"/>
      <c r="C1368" s="294"/>
      <c r="D1368" s="294"/>
      <c r="E1368" s="290"/>
      <c r="F1368" s="290"/>
      <c r="G1368" s="292"/>
      <c r="H1368" s="292"/>
      <c r="I1368" s="293"/>
    </row>
    <row r="1369" spans="1:9">
      <c r="A1369" s="294"/>
      <c r="B1369" s="294"/>
      <c r="C1369" s="294"/>
      <c r="D1369" s="294"/>
      <c r="E1369" s="290"/>
      <c r="F1369" s="290"/>
      <c r="G1369" s="292"/>
      <c r="H1369" s="292"/>
      <c r="I1369" s="293"/>
    </row>
    <row r="1370" spans="1:9">
      <c r="A1370" s="294"/>
      <c r="B1370" s="294"/>
      <c r="C1370" s="294"/>
      <c r="D1370" s="294"/>
      <c r="E1370" s="290"/>
      <c r="F1370" s="290"/>
      <c r="G1370" s="292"/>
      <c r="H1370" s="292"/>
      <c r="I1370" s="293"/>
    </row>
    <row r="1371" spans="1:9">
      <c r="A1371" s="294"/>
      <c r="B1371" s="294"/>
      <c r="C1371" s="294"/>
      <c r="D1371" s="294"/>
      <c r="E1371" s="290"/>
      <c r="F1371" s="290"/>
      <c r="G1371" s="292"/>
      <c r="H1371" s="292"/>
      <c r="I1371" s="293"/>
    </row>
    <row r="1372" spans="1:9">
      <c r="A1372" s="294"/>
      <c r="B1372" s="294"/>
      <c r="C1372" s="294"/>
      <c r="D1372" s="294"/>
      <c r="E1372" s="290"/>
      <c r="F1372" s="290"/>
      <c r="G1372" s="292"/>
      <c r="H1372" s="292"/>
      <c r="I1372" s="293"/>
    </row>
    <row r="1373" spans="1:9">
      <c r="A1373" s="294"/>
      <c r="B1373" s="294"/>
      <c r="C1373" s="294"/>
      <c r="D1373" s="294"/>
      <c r="E1373" s="290"/>
      <c r="F1373" s="290"/>
      <c r="G1373" s="292"/>
      <c r="H1373" s="292"/>
      <c r="I1373" s="293"/>
    </row>
    <row r="1374" spans="1:9">
      <c r="A1374" s="294"/>
      <c r="B1374" s="294"/>
      <c r="C1374" s="294"/>
      <c r="D1374" s="294"/>
      <c r="E1374" s="290"/>
      <c r="F1374" s="290"/>
      <c r="G1374" s="292"/>
      <c r="H1374" s="292"/>
      <c r="I1374" s="293"/>
    </row>
    <row r="1375" spans="1:9">
      <c r="A1375" s="294"/>
      <c r="B1375" s="294"/>
      <c r="C1375" s="294"/>
      <c r="D1375" s="294"/>
      <c r="E1375" s="290"/>
      <c r="F1375" s="290"/>
      <c r="G1375" s="292"/>
      <c r="H1375" s="292"/>
      <c r="I1375" s="293"/>
    </row>
    <row r="1376" spans="1:9">
      <c r="A1376" s="294"/>
      <c r="B1376" s="294"/>
      <c r="C1376" s="294"/>
      <c r="D1376" s="294"/>
      <c r="E1376" s="290"/>
      <c r="F1376" s="290"/>
      <c r="G1376" s="292"/>
      <c r="H1376" s="292"/>
      <c r="I1376" s="293"/>
    </row>
    <row r="1377" spans="1:9">
      <c r="A1377" s="294"/>
      <c r="B1377" s="294"/>
      <c r="C1377" s="294"/>
      <c r="D1377" s="294"/>
      <c r="E1377" s="290"/>
      <c r="F1377" s="290"/>
      <c r="G1377" s="292"/>
      <c r="H1377" s="292"/>
      <c r="I1377" s="293"/>
    </row>
    <row r="1378" spans="1:9">
      <c r="A1378" s="294"/>
      <c r="B1378" s="294"/>
      <c r="C1378" s="294"/>
      <c r="D1378" s="294"/>
      <c r="E1378" s="290"/>
      <c r="F1378" s="290"/>
      <c r="G1378" s="292"/>
      <c r="H1378" s="292"/>
      <c r="I1378" s="293"/>
    </row>
    <row r="1379" spans="1:9">
      <c r="A1379" s="294"/>
      <c r="B1379" s="294"/>
      <c r="C1379" s="294"/>
      <c r="D1379" s="294"/>
      <c r="E1379" s="290"/>
      <c r="F1379" s="290"/>
      <c r="G1379" s="292"/>
      <c r="H1379" s="292"/>
      <c r="I1379" s="293"/>
    </row>
    <row r="1380" spans="1:9">
      <c r="A1380" s="294"/>
      <c r="B1380" s="294"/>
      <c r="C1380" s="294"/>
      <c r="D1380" s="294"/>
      <c r="E1380" s="290"/>
      <c r="F1380" s="290"/>
      <c r="G1380" s="292"/>
      <c r="H1380" s="292"/>
      <c r="I1380" s="293"/>
    </row>
    <row r="1381" spans="1:9">
      <c r="A1381" s="294"/>
      <c r="B1381" s="294"/>
      <c r="C1381" s="294"/>
      <c r="D1381" s="294"/>
      <c r="E1381" s="290"/>
      <c r="F1381" s="290"/>
      <c r="G1381" s="292"/>
      <c r="H1381" s="292"/>
      <c r="I1381" s="293"/>
    </row>
    <row r="1382" spans="1:9">
      <c r="A1382" s="294"/>
      <c r="B1382" s="294"/>
      <c r="C1382" s="294"/>
      <c r="D1382" s="294"/>
      <c r="E1382" s="290"/>
      <c r="F1382" s="290"/>
      <c r="G1382" s="292"/>
      <c r="H1382" s="292"/>
      <c r="I1382" s="293"/>
    </row>
    <row r="1383" spans="1:9">
      <c r="A1383" s="294"/>
      <c r="B1383" s="294"/>
      <c r="C1383" s="294"/>
      <c r="D1383" s="294"/>
      <c r="E1383" s="290"/>
      <c r="F1383" s="290"/>
      <c r="G1383" s="292"/>
      <c r="H1383" s="292"/>
      <c r="I1383" s="293"/>
    </row>
    <row r="1384" spans="1:9">
      <c r="A1384" s="294"/>
      <c r="B1384" s="294"/>
      <c r="C1384" s="294"/>
      <c r="D1384" s="294"/>
      <c r="E1384" s="290"/>
      <c r="F1384" s="290"/>
      <c r="G1384" s="292"/>
      <c r="H1384" s="292"/>
      <c r="I1384" s="293"/>
    </row>
    <row r="1385" spans="1:9">
      <c r="A1385" s="294"/>
      <c r="B1385" s="294"/>
      <c r="C1385" s="294"/>
      <c r="D1385" s="294"/>
      <c r="E1385" s="290"/>
      <c r="F1385" s="290"/>
      <c r="G1385" s="292"/>
      <c r="H1385" s="292"/>
      <c r="I1385" s="293"/>
    </row>
    <row r="1386" spans="1:9">
      <c r="A1386" s="294"/>
      <c r="B1386" s="294"/>
      <c r="C1386" s="294"/>
      <c r="D1386" s="294"/>
      <c r="E1386" s="290"/>
      <c r="F1386" s="290"/>
      <c r="G1386" s="292"/>
      <c r="H1386" s="292"/>
      <c r="I1386" s="293"/>
    </row>
    <row r="1387" spans="1:9">
      <c r="A1387" s="294"/>
      <c r="B1387" s="294"/>
      <c r="C1387" s="294"/>
      <c r="D1387" s="294"/>
      <c r="E1387" s="290"/>
      <c r="F1387" s="290"/>
      <c r="G1387" s="292"/>
      <c r="H1387" s="292"/>
      <c r="I1387" s="293"/>
    </row>
    <row r="1388" spans="1:9">
      <c r="A1388" s="294"/>
      <c r="B1388" s="294"/>
      <c r="C1388" s="294"/>
      <c r="D1388" s="294"/>
      <c r="E1388" s="290"/>
      <c r="F1388" s="290"/>
      <c r="G1388" s="292"/>
      <c r="H1388" s="292"/>
      <c r="I1388" s="293"/>
    </row>
    <row r="1389" spans="1:9">
      <c r="A1389" s="294"/>
      <c r="B1389" s="294"/>
      <c r="C1389" s="294"/>
      <c r="D1389" s="294"/>
      <c r="E1389" s="290"/>
      <c r="F1389" s="290"/>
      <c r="G1389" s="292"/>
      <c r="H1389" s="292"/>
      <c r="I1389" s="293"/>
    </row>
    <row r="1390" spans="1:9">
      <c r="A1390" s="294"/>
      <c r="B1390" s="294"/>
      <c r="C1390" s="294"/>
      <c r="D1390" s="294"/>
      <c r="E1390" s="290"/>
      <c r="F1390" s="290"/>
      <c r="G1390" s="292"/>
      <c r="H1390" s="292"/>
      <c r="I1390" s="293"/>
    </row>
    <row r="1391" spans="1:9">
      <c r="A1391" s="294"/>
      <c r="B1391" s="294"/>
      <c r="C1391" s="294"/>
      <c r="D1391" s="294"/>
      <c r="E1391" s="290"/>
      <c r="F1391" s="290"/>
      <c r="G1391" s="292"/>
      <c r="H1391" s="292"/>
      <c r="I1391" s="293"/>
    </row>
    <row r="1392" spans="1:9">
      <c r="A1392" s="294"/>
      <c r="B1392" s="294"/>
      <c r="C1392" s="294"/>
      <c r="D1392" s="294"/>
      <c r="E1392" s="290"/>
      <c r="F1392" s="290"/>
      <c r="G1392" s="292"/>
      <c r="H1392" s="292"/>
      <c r="I1392" s="293"/>
    </row>
    <row r="1393" spans="1:9">
      <c r="A1393" s="294"/>
      <c r="B1393" s="294"/>
      <c r="C1393" s="294"/>
      <c r="D1393" s="294"/>
      <c r="E1393" s="290"/>
      <c r="F1393" s="290"/>
      <c r="G1393" s="292"/>
      <c r="H1393" s="292"/>
      <c r="I1393" s="293"/>
    </row>
    <row r="1394" spans="1:9">
      <c r="A1394" s="294"/>
      <c r="B1394" s="294"/>
      <c r="C1394" s="294"/>
      <c r="D1394" s="294"/>
      <c r="E1394" s="290"/>
      <c r="F1394" s="290"/>
      <c r="G1394" s="292"/>
      <c r="H1394" s="292"/>
      <c r="I1394" s="293"/>
    </row>
    <row r="1395" spans="1:9">
      <c r="A1395" s="294"/>
      <c r="B1395" s="294"/>
      <c r="C1395" s="294"/>
      <c r="D1395" s="294"/>
      <c r="E1395" s="290"/>
      <c r="F1395" s="290"/>
      <c r="G1395" s="292"/>
      <c r="H1395" s="292"/>
      <c r="I1395" s="293"/>
    </row>
    <row r="1396" spans="1:9">
      <c r="A1396" s="294"/>
      <c r="B1396" s="294"/>
      <c r="C1396" s="294"/>
      <c r="D1396" s="294"/>
      <c r="E1396" s="290"/>
      <c r="F1396" s="290"/>
      <c r="G1396" s="292"/>
      <c r="H1396" s="292"/>
      <c r="I1396" s="293"/>
    </row>
    <row r="1397" spans="1:9">
      <c r="A1397" s="294"/>
      <c r="B1397" s="294"/>
      <c r="C1397" s="294"/>
      <c r="D1397" s="294"/>
      <c r="E1397" s="290"/>
      <c r="F1397" s="290"/>
      <c r="G1397" s="292"/>
      <c r="H1397" s="292"/>
      <c r="I1397" s="293"/>
    </row>
    <row r="1398" spans="1:9">
      <c r="A1398" s="294"/>
      <c r="B1398" s="294"/>
      <c r="C1398" s="294"/>
      <c r="D1398" s="294"/>
      <c r="E1398" s="290"/>
      <c r="F1398" s="290"/>
      <c r="G1398" s="292"/>
      <c r="H1398" s="292"/>
      <c r="I1398" s="293"/>
    </row>
    <row r="1399" spans="1:9">
      <c r="A1399" s="294"/>
      <c r="B1399" s="294"/>
      <c r="C1399" s="294"/>
      <c r="D1399" s="294"/>
      <c r="E1399" s="290"/>
      <c r="F1399" s="290"/>
      <c r="G1399" s="292"/>
      <c r="H1399" s="292"/>
      <c r="I1399" s="293"/>
    </row>
    <row r="1400" spans="1:9">
      <c r="A1400" s="294"/>
      <c r="B1400" s="294"/>
      <c r="C1400" s="294"/>
      <c r="D1400" s="294"/>
      <c r="E1400" s="290"/>
      <c r="F1400" s="290"/>
      <c r="G1400" s="292"/>
      <c r="H1400" s="292"/>
      <c r="I1400" s="293"/>
    </row>
    <row r="1401" spans="1:9">
      <c r="A1401" s="294"/>
      <c r="B1401" s="294"/>
      <c r="C1401" s="294"/>
      <c r="D1401" s="294"/>
      <c r="E1401" s="290"/>
      <c r="F1401" s="290"/>
      <c r="G1401" s="292"/>
      <c r="H1401" s="292"/>
      <c r="I1401" s="293"/>
    </row>
    <row r="1402" spans="1:9">
      <c r="A1402" s="294"/>
      <c r="B1402" s="294"/>
      <c r="C1402" s="294"/>
      <c r="D1402" s="294"/>
      <c r="E1402" s="290"/>
      <c r="F1402" s="290"/>
      <c r="G1402" s="292"/>
      <c r="H1402" s="292"/>
      <c r="I1402" s="293"/>
    </row>
    <row r="1403" spans="1:9">
      <c r="A1403" s="294"/>
      <c r="B1403" s="294"/>
      <c r="C1403" s="294"/>
      <c r="D1403" s="294"/>
      <c r="E1403" s="290"/>
      <c r="F1403" s="290"/>
      <c r="G1403" s="292"/>
      <c r="H1403" s="292"/>
      <c r="I1403" s="293"/>
    </row>
    <row r="1404" spans="1:9">
      <c r="A1404" s="294"/>
      <c r="B1404" s="294"/>
      <c r="C1404" s="294"/>
      <c r="D1404" s="294"/>
      <c r="E1404" s="290"/>
      <c r="F1404" s="290"/>
      <c r="G1404" s="292"/>
      <c r="H1404" s="292"/>
      <c r="I1404" s="293"/>
    </row>
    <row r="1405" spans="1:9">
      <c r="A1405" s="294"/>
      <c r="B1405" s="294"/>
      <c r="C1405" s="294"/>
      <c r="D1405" s="294"/>
      <c r="E1405" s="290"/>
      <c r="F1405" s="290"/>
      <c r="G1405" s="292"/>
      <c r="H1405" s="292"/>
      <c r="I1405" s="293"/>
    </row>
    <row r="1406" spans="1:9">
      <c r="A1406" s="294"/>
      <c r="B1406" s="294"/>
      <c r="C1406" s="294"/>
      <c r="D1406" s="294"/>
      <c r="E1406" s="290"/>
      <c r="F1406" s="290"/>
      <c r="G1406" s="292"/>
      <c r="H1406" s="292"/>
      <c r="I1406" s="293"/>
    </row>
    <row r="1407" spans="1:9">
      <c r="A1407" s="294"/>
      <c r="B1407" s="294"/>
      <c r="C1407" s="294"/>
      <c r="D1407" s="294"/>
      <c r="E1407" s="290"/>
      <c r="F1407" s="290"/>
      <c r="G1407" s="292"/>
      <c r="H1407" s="292"/>
      <c r="I1407" s="293"/>
    </row>
    <row r="1408" spans="1:9">
      <c r="A1408" s="294"/>
      <c r="B1408" s="294"/>
      <c r="C1408" s="294"/>
      <c r="D1408" s="294"/>
      <c r="E1408" s="290"/>
      <c r="F1408" s="290"/>
      <c r="G1408" s="292"/>
      <c r="H1408" s="292"/>
      <c r="I1408" s="293"/>
    </row>
    <row r="1409" spans="1:9">
      <c r="A1409" s="294"/>
      <c r="B1409" s="294"/>
      <c r="C1409" s="294"/>
      <c r="D1409" s="294"/>
      <c r="E1409" s="290"/>
      <c r="F1409" s="290"/>
      <c r="G1409" s="292"/>
      <c r="H1409" s="292"/>
      <c r="I1409" s="293"/>
    </row>
    <row r="1410" spans="1:9">
      <c r="A1410" s="294"/>
      <c r="B1410" s="294"/>
      <c r="C1410" s="294"/>
      <c r="D1410" s="294"/>
      <c r="E1410" s="290"/>
      <c r="F1410" s="290"/>
      <c r="G1410" s="292"/>
      <c r="H1410" s="292"/>
      <c r="I1410" s="293"/>
    </row>
    <row r="1411" spans="1:9">
      <c r="A1411" s="294"/>
      <c r="B1411" s="294"/>
      <c r="C1411" s="294"/>
      <c r="D1411" s="294"/>
      <c r="E1411" s="290"/>
      <c r="F1411" s="290"/>
      <c r="G1411" s="292"/>
      <c r="H1411" s="292"/>
      <c r="I1411" s="293"/>
    </row>
    <row r="1412" spans="1:9">
      <c r="A1412" s="294"/>
      <c r="B1412" s="294"/>
      <c r="C1412" s="294"/>
      <c r="D1412" s="294"/>
      <c r="E1412" s="290"/>
      <c r="F1412" s="290"/>
      <c r="G1412" s="292"/>
      <c r="H1412" s="292"/>
      <c r="I1412" s="293"/>
    </row>
    <row r="1413" spans="1:9">
      <c r="A1413" s="294"/>
      <c r="B1413" s="294"/>
      <c r="C1413" s="294"/>
      <c r="D1413" s="294"/>
      <c r="E1413" s="290"/>
      <c r="F1413" s="290"/>
      <c r="G1413" s="292"/>
      <c r="H1413" s="292"/>
      <c r="I1413" s="293"/>
    </row>
    <row r="1414" spans="1:9">
      <c r="A1414" s="294"/>
      <c r="B1414" s="294"/>
      <c r="C1414" s="294"/>
      <c r="D1414" s="294"/>
      <c r="E1414" s="290"/>
      <c r="F1414" s="290"/>
      <c r="G1414" s="292"/>
      <c r="H1414" s="292"/>
      <c r="I1414" s="293"/>
    </row>
    <row r="1415" spans="1:9">
      <c r="A1415" s="294"/>
      <c r="B1415" s="294"/>
      <c r="C1415" s="294"/>
      <c r="D1415" s="294"/>
      <c r="E1415" s="290"/>
      <c r="F1415" s="290"/>
      <c r="G1415" s="292"/>
      <c r="H1415" s="292"/>
      <c r="I1415" s="293"/>
    </row>
    <row r="1416" spans="1:9">
      <c r="A1416" s="294"/>
      <c r="B1416" s="294"/>
      <c r="C1416" s="294"/>
      <c r="D1416" s="294"/>
      <c r="E1416" s="290"/>
      <c r="F1416" s="290"/>
      <c r="G1416" s="292"/>
      <c r="H1416" s="292"/>
      <c r="I1416" s="293"/>
    </row>
    <row r="1417" spans="1:9">
      <c r="A1417" s="294"/>
      <c r="B1417" s="294"/>
      <c r="C1417" s="294"/>
      <c r="D1417" s="294"/>
      <c r="E1417" s="290"/>
      <c r="F1417" s="290"/>
      <c r="G1417" s="292"/>
      <c r="H1417" s="292"/>
      <c r="I1417" s="293"/>
    </row>
    <row r="1418" spans="1:9">
      <c r="A1418" s="294"/>
      <c r="B1418" s="294"/>
      <c r="C1418" s="294"/>
      <c r="D1418" s="294"/>
      <c r="E1418" s="290"/>
      <c r="F1418" s="290"/>
      <c r="G1418" s="292"/>
      <c r="H1418" s="292"/>
      <c r="I1418" s="293"/>
    </row>
    <row r="1419" spans="1:9">
      <c r="A1419" s="294"/>
      <c r="B1419" s="294"/>
      <c r="C1419" s="294"/>
      <c r="D1419" s="294"/>
      <c r="E1419" s="290"/>
      <c r="F1419" s="290"/>
      <c r="G1419" s="292"/>
      <c r="H1419" s="292"/>
      <c r="I1419" s="293"/>
    </row>
    <row r="1420" spans="1:9">
      <c r="A1420" s="294"/>
      <c r="B1420" s="294"/>
      <c r="C1420" s="294"/>
      <c r="D1420" s="294"/>
      <c r="E1420" s="290"/>
      <c r="F1420" s="290"/>
      <c r="G1420" s="292"/>
      <c r="H1420" s="292"/>
      <c r="I1420" s="293"/>
    </row>
    <row r="1421" spans="1:9">
      <c r="A1421" s="294"/>
      <c r="B1421" s="294"/>
      <c r="C1421" s="294"/>
      <c r="D1421" s="294"/>
      <c r="E1421" s="290"/>
      <c r="F1421" s="290"/>
      <c r="G1421" s="292"/>
      <c r="H1421" s="292"/>
      <c r="I1421" s="293"/>
    </row>
    <row r="1422" spans="1:9">
      <c r="A1422" s="294"/>
      <c r="B1422" s="294"/>
      <c r="C1422" s="294"/>
      <c r="D1422" s="294"/>
      <c r="E1422" s="290"/>
      <c r="F1422" s="290"/>
      <c r="G1422" s="292"/>
      <c r="H1422" s="292"/>
      <c r="I1422" s="293"/>
    </row>
    <row r="1423" spans="1:9">
      <c r="A1423" s="294"/>
      <c r="B1423" s="294"/>
      <c r="C1423" s="294"/>
      <c r="D1423" s="294"/>
      <c r="E1423" s="290"/>
      <c r="F1423" s="290"/>
      <c r="G1423" s="292"/>
      <c r="H1423" s="292"/>
      <c r="I1423" s="293"/>
    </row>
    <row r="1424" spans="1:9">
      <c r="A1424" s="294"/>
      <c r="B1424" s="294"/>
      <c r="C1424" s="294"/>
      <c r="D1424" s="294"/>
      <c r="E1424" s="290"/>
      <c r="F1424" s="290"/>
      <c r="G1424" s="292"/>
      <c r="H1424" s="292"/>
      <c r="I1424" s="293"/>
    </row>
    <row r="1425" spans="1:9">
      <c r="A1425" s="294"/>
      <c r="B1425" s="294"/>
      <c r="C1425" s="294"/>
      <c r="D1425" s="294"/>
      <c r="E1425" s="290"/>
      <c r="F1425" s="290"/>
      <c r="G1425" s="292"/>
      <c r="H1425" s="292"/>
      <c r="I1425" s="293"/>
    </row>
    <row r="1426" spans="1:9">
      <c r="A1426" s="294"/>
      <c r="B1426" s="294"/>
      <c r="C1426" s="294"/>
      <c r="D1426" s="294"/>
      <c r="E1426" s="290"/>
      <c r="F1426" s="290"/>
      <c r="G1426" s="292"/>
      <c r="H1426" s="292"/>
      <c r="I1426" s="293"/>
    </row>
    <row r="1427" spans="1:9">
      <c r="A1427" s="294"/>
      <c r="B1427" s="294"/>
      <c r="C1427" s="294"/>
      <c r="D1427" s="294"/>
      <c r="E1427" s="290"/>
      <c r="F1427" s="290"/>
      <c r="G1427" s="292"/>
      <c r="H1427" s="292"/>
      <c r="I1427" s="293"/>
    </row>
    <row r="1428" spans="1:9">
      <c r="A1428" s="294"/>
      <c r="B1428" s="294"/>
      <c r="C1428" s="294"/>
      <c r="D1428" s="294"/>
      <c r="E1428" s="290"/>
      <c r="F1428" s="290"/>
      <c r="G1428" s="292"/>
      <c r="H1428" s="292"/>
      <c r="I1428" s="293"/>
    </row>
    <row r="1429" spans="1:9">
      <c r="A1429" s="294"/>
      <c r="B1429" s="294"/>
      <c r="C1429" s="294"/>
      <c r="D1429" s="294"/>
      <c r="E1429" s="290"/>
      <c r="F1429" s="290"/>
      <c r="G1429" s="292"/>
      <c r="H1429" s="292"/>
      <c r="I1429" s="293"/>
    </row>
    <row r="1430" spans="1:9">
      <c r="A1430" s="294"/>
      <c r="B1430" s="294"/>
      <c r="C1430" s="294"/>
      <c r="D1430" s="294"/>
      <c r="E1430" s="290"/>
      <c r="F1430" s="290"/>
      <c r="G1430" s="292"/>
      <c r="H1430" s="292"/>
      <c r="I1430" s="293"/>
    </row>
    <row r="1431" spans="1:9">
      <c r="A1431" s="294"/>
      <c r="B1431" s="294"/>
      <c r="C1431" s="294"/>
      <c r="D1431" s="294"/>
      <c r="E1431" s="290"/>
      <c r="F1431" s="290"/>
      <c r="G1431" s="292"/>
      <c r="H1431" s="292"/>
      <c r="I1431" s="293"/>
    </row>
    <row r="1432" spans="1:9">
      <c r="A1432" s="294"/>
      <c r="B1432" s="294"/>
      <c r="C1432" s="294"/>
      <c r="D1432" s="294"/>
      <c r="E1432" s="290"/>
      <c r="F1432" s="290"/>
      <c r="G1432" s="292"/>
      <c r="H1432" s="292"/>
      <c r="I1432" s="293"/>
    </row>
    <row r="1433" spans="1:9">
      <c r="A1433" s="294"/>
      <c r="B1433" s="294"/>
      <c r="C1433" s="294"/>
      <c r="D1433" s="294"/>
      <c r="E1433" s="290"/>
      <c r="F1433" s="290"/>
      <c r="G1433" s="292"/>
      <c r="H1433" s="292"/>
      <c r="I1433" s="293"/>
    </row>
    <row r="1434" spans="1:9">
      <c r="A1434" s="294"/>
      <c r="B1434" s="294"/>
      <c r="C1434" s="294"/>
      <c r="D1434" s="294"/>
      <c r="E1434" s="290"/>
      <c r="F1434" s="290"/>
      <c r="G1434" s="292"/>
      <c r="H1434" s="292"/>
      <c r="I1434" s="293"/>
    </row>
    <row r="1435" spans="1:9">
      <c r="A1435" s="294"/>
      <c r="B1435" s="294"/>
      <c r="C1435" s="294"/>
      <c r="D1435" s="294"/>
      <c r="E1435" s="290"/>
      <c r="F1435" s="290"/>
      <c r="G1435" s="292"/>
      <c r="H1435" s="292"/>
      <c r="I1435" s="293"/>
    </row>
    <row r="1436" spans="1:9">
      <c r="A1436" s="294"/>
      <c r="B1436" s="294"/>
      <c r="C1436" s="294"/>
      <c r="D1436" s="294"/>
      <c r="E1436" s="290"/>
      <c r="F1436" s="290"/>
      <c r="G1436" s="292"/>
      <c r="H1436" s="292"/>
      <c r="I1436" s="293"/>
    </row>
    <row r="1437" spans="1:9">
      <c r="A1437" s="294"/>
      <c r="B1437" s="294"/>
      <c r="C1437" s="294"/>
      <c r="D1437" s="294"/>
      <c r="E1437" s="290"/>
      <c r="F1437" s="290"/>
      <c r="G1437" s="292"/>
      <c r="H1437" s="292"/>
      <c r="I1437" s="293"/>
    </row>
    <row r="1438" spans="1:9">
      <c r="A1438" s="294"/>
      <c r="B1438" s="294"/>
      <c r="C1438" s="294"/>
      <c r="D1438" s="294"/>
      <c r="E1438" s="290"/>
      <c r="F1438" s="290"/>
      <c r="G1438" s="292"/>
      <c r="H1438" s="292"/>
      <c r="I1438" s="293"/>
    </row>
    <row r="1439" spans="1:9">
      <c r="A1439" s="294"/>
      <c r="B1439" s="294"/>
      <c r="C1439" s="294"/>
      <c r="D1439" s="294"/>
      <c r="E1439" s="290"/>
      <c r="F1439" s="290"/>
      <c r="G1439" s="292"/>
      <c r="H1439" s="292"/>
      <c r="I1439" s="293"/>
    </row>
    <row r="1440" spans="1:9">
      <c r="A1440" s="294"/>
      <c r="B1440" s="294"/>
      <c r="C1440" s="294"/>
      <c r="D1440" s="294"/>
      <c r="E1440" s="290"/>
      <c r="F1440" s="290"/>
      <c r="G1440" s="292"/>
      <c r="H1440" s="292"/>
      <c r="I1440" s="293"/>
    </row>
    <row r="1441" spans="1:9">
      <c r="A1441" s="294"/>
      <c r="B1441" s="294"/>
      <c r="C1441" s="294"/>
      <c r="D1441" s="294"/>
      <c r="E1441" s="290"/>
      <c r="F1441" s="290"/>
      <c r="G1441" s="292"/>
      <c r="H1441" s="292"/>
      <c r="I1441" s="293"/>
    </row>
    <row r="1442" spans="1:9">
      <c r="A1442" s="294"/>
      <c r="B1442" s="294"/>
      <c r="C1442" s="294"/>
      <c r="D1442" s="294"/>
      <c r="E1442" s="290"/>
      <c r="F1442" s="290"/>
      <c r="G1442" s="292"/>
      <c r="H1442" s="292"/>
      <c r="I1442" s="293"/>
    </row>
    <row r="1443" spans="1:9">
      <c r="A1443" s="294"/>
      <c r="B1443" s="294"/>
      <c r="C1443" s="294"/>
      <c r="D1443" s="294"/>
      <c r="E1443" s="290"/>
      <c r="F1443" s="290"/>
      <c r="G1443" s="292"/>
      <c r="H1443" s="292"/>
      <c r="I1443" s="293"/>
    </row>
    <row r="1444" spans="1:9">
      <c r="A1444" s="294"/>
      <c r="B1444" s="294"/>
      <c r="C1444" s="294"/>
      <c r="D1444" s="294"/>
      <c r="E1444" s="290"/>
      <c r="F1444" s="290"/>
      <c r="G1444" s="292"/>
      <c r="H1444" s="292"/>
      <c r="I1444" s="293"/>
    </row>
    <row r="1445" spans="1:9">
      <c r="A1445" s="294"/>
      <c r="B1445" s="294"/>
      <c r="C1445" s="294"/>
      <c r="D1445" s="294"/>
      <c r="E1445" s="290"/>
      <c r="F1445" s="290"/>
      <c r="G1445" s="292"/>
      <c r="H1445" s="292"/>
      <c r="I1445" s="293"/>
    </row>
    <row r="1446" spans="1:9">
      <c r="A1446" s="294"/>
      <c r="B1446" s="294"/>
      <c r="C1446" s="294"/>
      <c r="D1446" s="294"/>
      <c r="E1446" s="290"/>
      <c r="F1446" s="290"/>
      <c r="G1446" s="292"/>
      <c r="H1446" s="292"/>
      <c r="I1446" s="293"/>
    </row>
    <row r="1447" spans="1:9">
      <c r="A1447" s="294"/>
      <c r="B1447" s="294"/>
      <c r="C1447" s="294"/>
      <c r="D1447" s="294"/>
      <c r="E1447" s="290"/>
      <c r="F1447" s="290"/>
      <c r="G1447" s="292"/>
      <c r="H1447" s="292"/>
      <c r="I1447" s="293"/>
    </row>
    <row r="1448" spans="1:9">
      <c r="A1448" s="294"/>
      <c r="B1448" s="294"/>
      <c r="C1448" s="294"/>
      <c r="D1448" s="294"/>
      <c r="E1448" s="290"/>
      <c r="F1448" s="290"/>
      <c r="G1448" s="292"/>
      <c r="H1448" s="292"/>
      <c r="I1448" s="293"/>
    </row>
    <row r="1449" spans="1:9">
      <c r="A1449" s="294"/>
      <c r="B1449" s="294"/>
      <c r="C1449" s="294"/>
      <c r="D1449" s="294"/>
      <c r="E1449" s="290"/>
      <c r="F1449" s="290"/>
      <c r="G1449" s="292"/>
      <c r="H1449" s="292"/>
      <c r="I1449" s="293"/>
    </row>
    <row r="1450" spans="1:9">
      <c r="A1450" s="294"/>
      <c r="B1450" s="294"/>
      <c r="C1450" s="294"/>
      <c r="D1450" s="294"/>
      <c r="E1450" s="290"/>
      <c r="F1450" s="290"/>
      <c r="G1450" s="292"/>
      <c r="H1450" s="292"/>
      <c r="I1450" s="293"/>
    </row>
    <row r="1451" spans="1:9">
      <c r="A1451" s="294"/>
      <c r="B1451" s="294"/>
      <c r="C1451" s="294"/>
      <c r="D1451" s="294"/>
      <c r="E1451" s="290"/>
      <c r="F1451" s="290"/>
      <c r="G1451" s="292"/>
      <c r="H1451" s="292"/>
      <c r="I1451" s="293"/>
    </row>
    <row r="1452" spans="1:9">
      <c r="A1452" s="294"/>
      <c r="B1452" s="294"/>
      <c r="C1452" s="294"/>
      <c r="D1452" s="294"/>
      <c r="E1452" s="290"/>
      <c r="F1452" s="290"/>
      <c r="G1452" s="292"/>
      <c r="H1452" s="292"/>
      <c r="I1452" s="293"/>
    </row>
    <row r="1453" spans="1:9">
      <c r="A1453" s="294"/>
      <c r="B1453" s="294"/>
      <c r="C1453" s="294"/>
      <c r="D1453" s="294"/>
      <c r="E1453" s="290"/>
      <c r="F1453" s="290"/>
      <c r="G1453" s="292"/>
      <c r="H1453" s="292"/>
      <c r="I1453" s="293"/>
    </row>
    <row r="1454" spans="1:9">
      <c r="A1454" s="294"/>
      <c r="B1454" s="294"/>
      <c r="C1454" s="294"/>
      <c r="D1454" s="294"/>
      <c r="E1454" s="290"/>
      <c r="F1454" s="290"/>
      <c r="G1454" s="292"/>
      <c r="H1454" s="292"/>
      <c r="I1454" s="293"/>
    </row>
    <row r="1455" spans="1:9">
      <c r="A1455" s="294"/>
      <c r="B1455" s="294"/>
      <c r="C1455" s="294"/>
      <c r="D1455" s="294"/>
      <c r="E1455" s="290"/>
      <c r="F1455" s="290"/>
      <c r="G1455" s="292"/>
      <c r="H1455" s="292"/>
      <c r="I1455" s="293"/>
    </row>
    <row r="1456" spans="1:9">
      <c r="A1456" s="294"/>
      <c r="B1456" s="294"/>
      <c r="C1456" s="294"/>
      <c r="D1456" s="294"/>
      <c r="E1456" s="290"/>
      <c r="F1456" s="290"/>
      <c r="G1456" s="292"/>
      <c r="H1456" s="292"/>
      <c r="I1456" s="293"/>
    </row>
    <row r="1457" spans="1:9">
      <c r="A1457" s="294"/>
      <c r="B1457" s="294"/>
      <c r="C1457" s="294"/>
      <c r="D1457" s="294"/>
      <c r="E1457" s="290"/>
      <c r="F1457" s="290"/>
      <c r="G1457" s="292"/>
      <c r="H1457" s="292"/>
      <c r="I1457" s="293"/>
    </row>
    <row r="1458" spans="1:9">
      <c r="A1458" s="294"/>
      <c r="B1458" s="294"/>
      <c r="C1458" s="294"/>
      <c r="D1458" s="294"/>
      <c r="E1458" s="290"/>
      <c r="F1458" s="290"/>
      <c r="G1458" s="292"/>
      <c r="H1458" s="292"/>
      <c r="I1458" s="293"/>
    </row>
    <row r="1459" spans="1:9">
      <c r="A1459" s="294"/>
      <c r="B1459" s="294"/>
      <c r="C1459" s="294"/>
      <c r="D1459" s="294"/>
      <c r="E1459" s="290"/>
      <c r="F1459" s="290"/>
      <c r="G1459" s="292"/>
      <c r="H1459" s="292"/>
      <c r="I1459" s="293"/>
    </row>
    <row r="1460" spans="1:9">
      <c r="A1460" s="294"/>
      <c r="B1460" s="294"/>
      <c r="C1460" s="294"/>
      <c r="D1460" s="294"/>
      <c r="E1460" s="290"/>
      <c r="F1460" s="290"/>
      <c r="G1460" s="292"/>
      <c r="H1460" s="292"/>
      <c r="I1460" s="293"/>
    </row>
    <row r="1461" spans="1:9">
      <c r="A1461" s="294"/>
      <c r="B1461" s="294"/>
      <c r="C1461" s="294"/>
      <c r="D1461" s="294"/>
      <c r="E1461" s="290"/>
      <c r="F1461" s="290"/>
      <c r="G1461" s="292"/>
      <c r="H1461" s="292"/>
      <c r="I1461" s="293"/>
    </row>
    <row r="1462" spans="1:9">
      <c r="A1462" s="294"/>
      <c r="B1462" s="294"/>
      <c r="C1462" s="294"/>
      <c r="D1462" s="294"/>
      <c r="E1462" s="290"/>
      <c r="F1462" s="290"/>
      <c r="G1462" s="292"/>
      <c r="H1462" s="292"/>
      <c r="I1462" s="293"/>
    </row>
    <row r="1463" spans="1:9">
      <c r="A1463" s="294"/>
      <c r="B1463" s="294"/>
      <c r="C1463" s="294"/>
      <c r="D1463" s="294"/>
      <c r="E1463" s="290"/>
      <c r="F1463" s="290"/>
      <c r="G1463" s="292"/>
      <c r="H1463" s="292"/>
      <c r="I1463" s="293"/>
    </row>
    <row r="1464" spans="1:9">
      <c r="A1464" s="294"/>
      <c r="B1464" s="294"/>
      <c r="C1464" s="294"/>
      <c r="D1464" s="294"/>
      <c r="E1464" s="290"/>
      <c r="F1464" s="290"/>
      <c r="G1464" s="292"/>
      <c r="H1464" s="292"/>
      <c r="I1464" s="293"/>
    </row>
    <row r="1465" spans="1:9">
      <c r="A1465" s="294"/>
      <c r="B1465" s="294"/>
      <c r="C1465" s="294"/>
      <c r="D1465" s="294"/>
      <c r="E1465" s="290"/>
      <c r="F1465" s="290"/>
      <c r="G1465" s="292"/>
      <c r="H1465" s="292"/>
      <c r="I1465" s="293"/>
    </row>
    <row r="1466" spans="1:9">
      <c r="A1466" s="294"/>
      <c r="B1466" s="294"/>
      <c r="C1466" s="294"/>
      <c r="D1466" s="294"/>
      <c r="E1466" s="290"/>
      <c r="F1466" s="290"/>
      <c r="G1466" s="292"/>
      <c r="H1466" s="292"/>
      <c r="I1466" s="293"/>
    </row>
    <row r="1467" spans="1:9">
      <c r="A1467" s="294"/>
      <c r="B1467" s="294"/>
      <c r="C1467" s="294"/>
      <c r="D1467" s="294"/>
      <c r="E1467" s="290"/>
      <c r="F1467" s="290"/>
      <c r="G1467" s="292"/>
      <c r="H1467" s="292"/>
      <c r="I1467" s="293"/>
    </row>
    <row r="1468" spans="1:9">
      <c r="A1468" s="294"/>
      <c r="B1468" s="294"/>
      <c r="C1468" s="294"/>
      <c r="D1468" s="294"/>
      <c r="E1468" s="290"/>
      <c r="F1468" s="290"/>
      <c r="G1468" s="292"/>
      <c r="H1468" s="292"/>
      <c r="I1468" s="293"/>
    </row>
    <row r="1469" spans="1:9">
      <c r="A1469" s="294"/>
      <c r="B1469" s="294"/>
      <c r="C1469" s="294"/>
      <c r="D1469" s="294"/>
      <c r="E1469" s="290"/>
      <c r="F1469" s="290"/>
      <c r="G1469" s="292"/>
      <c r="H1469" s="292"/>
      <c r="I1469" s="293"/>
    </row>
    <row r="1470" spans="1:9">
      <c r="A1470" s="294"/>
      <c r="B1470" s="294"/>
      <c r="C1470" s="294"/>
      <c r="D1470" s="294"/>
      <c r="E1470" s="290"/>
      <c r="F1470" s="290"/>
      <c r="G1470" s="292"/>
      <c r="H1470" s="292"/>
      <c r="I1470" s="293"/>
    </row>
    <row r="1471" spans="1:9">
      <c r="A1471" s="294"/>
      <c r="B1471" s="294"/>
      <c r="C1471" s="294"/>
      <c r="D1471" s="294"/>
      <c r="E1471" s="290"/>
      <c r="F1471" s="290"/>
      <c r="G1471" s="292"/>
      <c r="H1471" s="292"/>
      <c r="I1471" s="293"/>
    </row>
    <row r="1472" spans="1:9">
      <c r="A1472" s="294"/>
      <c r="B1472" s="294"/>
      <c r="C1472" s="294"/>
      <c r="D1472" s="294"/>
      <c r="E1472" s="290"/>
      <c r="F1472" s="290"/>
      <c r="G1472" s="292"/>
      <c r="H1472" s="292"/>
      <c r="I1472" s="293"/>
    </row>
    <row r="1473" spans="1:9">
      <c r="A1473" s="294"/>
      <c r="B1473" s="294"/>
      <c r="C1473" s="294"/>
      <c r="D1473" s="294"/>
      <c r="E1473" s="290"/>
      <c r="F1473" s="290"/>
      <c r="G1473" s="292"/>
      <c r="H1473" s="292"/>
      <c r="I1473" s="293"/>
    </row>
    <row r="1474" spans="1:9">
      <c r="A1474" s="294"/>
      <c r="B1474" s="294"/>
      <c r="C1474" s="294"/>
      <c r="D1474" s="294"/>
      <c r="E1474" s="290"/>
      <c r="F1474" s="290"/>
      <c r="G1474" s="292"/>
      <c r="H1474" s="292"/>
      <c r="I1474" s="293"/>
    </row>
    <row r="1475" spans="1:9">
      <c r="A1475" s="294"/>
      <c r="B1475" s="294"/>
      <c r="C1475" s="294"/>
      <c r="D1475" s="294"/>
      <c r="E1475" s="290"/>
      <c r="F1475" s="290"/>
      <c r="G1475" s="292"/>
      <c r="H1475" s="292"/>
      <c r="I1475" s="293"/>
    </row>
    <row r="1476" spans="1:9">
      <c r="A1476" s="294"/>
      <c r="B1476" s="294"/>
      <c r="C1476" s="294"/>
      <c r="D1476" s="294"/>
      <c r="E1476" s="290"/>
      <c r="F1476" s="290"/>
      <c r="G1476" s="292"/>
      <c r="H1476" s="292"/>
      <c r="I1476" s="293"/>
    </row>
    <row r="1477" spans="1:9">
      <c r="A1477" s="294"/>
      <c r="B1477" s="294"/>
      <c r="C1477" s="294"/>
      <c r="D1477" s="294"/>
      <c r="E1477" s="290"/>
      <c r="F1477" s="290"/>
      <c r="G1477" s="292"/>
      <c r="H1477" s="292"/>
      <c r="I1477" s="293"/>
    </row>
    <row r="1478" spans="1:9">
      <c r="A1478" s="294"/>
      <c r="B1478" s="294"/>
      <c r="C1478" s="294"/>
      <c r="D1478" s="294"/>
      <c r="E1478" s="290"/>
      <c r="F1478" s="290"/>
      <c r="G1478" s="292"/>
      <c r="H1478" s="292"/>
      <c r="I1478" s="293"/>
    </row>
    <row r="1479" spans="1:9">
      <c r="A1479" s="294"/>
      <c r="B1479" s="294"/>
      <c r="C1479" s="294"/>
      <c r="D1479" s="294"/>
      <c r="E1479" s="290"/>
      <c r="F1479" s="290"/>
      <c r="G1479" s="292"/>
      <c r="H1479" s="292"/>
      <c r="I1479" s="293"/>
    </row>
    <row r="1480" spans="1:9">
      <c r="A1480" s="294"/>
      <c r="B1480" s="294"/>
      <c r="C1480" s="294"/>
      <c r="D1480" s="294"/>
      <c r="E1480" s="290"/>
      <c r="F1480" s="290"/>
      <c r="G1480" s="292"/>
      <c r="H1480" s="292"/>
      <c r="I1480" s="293"/>
    </row>
    <row r="1481" spans="1:9">
      <c r="A1481" s="294"/>
      <c r="B1481" s="294"/>
      <c r="C1481" s="294"/>
      <c r="D1481" s="294"/>
      <c r="E1481" s="290"/>
      <c r="F1481" s="290"/>
      <c r="G1481" s="292"/>
      <c r="H1481" s="292"/>
      <c r="I1481" s="293"/>
    </row>
    <row r="1482" spans="1:9">
      <c r="A1482" s="294"/>
      <c r="B1482" s="294"/>
      <c r="C1482" s="294"/>
      <c r="D1482" s="294"/>
      <c r="E1482" s="290"/>
      <c r="F1482" s="290"/>
      <c r="G1482" s="292"/>
      <c r="H1482" s="292"/>
      <c r="I1482" s="293"/>
    </row>
    <row r="1483" spans="1:9">
      <c r="A1483" s="294"/>
      <c r="B1483" s="294"/>
      <c r="C1483" s="294"/>
      <c r="D1483" s="294"/>
      <c r="E1483" s="290"/>
      <c r="F1483" s="290"/>
      <c r="G1483" s="292"/>
      <c r="H1483" s="292"/>
      <c r="I1483" s="293"/>
    </row>
    <row r="1484" spans="1:9">
      <c r="A1484" s="294"/>
      <c r="B1484" s="294"/>
      <c r="C1484" s="294"/>
      <c r="D1484" s="294"/>
      <c r="E1484" s="290"/>
      <c r="F1484" s="290"/>
      <c r="G1484" s="292"/>
      <c r="H1484" s="292"/>
      <c r="I1484" s="293"/>
    </row>
    <row r="1485" spans="1:9">
      <c r="A1485" s="294"/>
      <c r="B1485" s="294"/>
      <c r="C1485" s="294"/>
      <c r="D1485" s="294"/>
      <c r="E1485" s="290"/>
      <c r="F1485" s="290"/>
      <c r="G1485" s="292"/>
      <c r="H1485" s="292"/>
      <c r="I1485" s="293"/>
    </row>
    <row r="1486" spans="1:9">
      <c r="A1486" s="294"/>
      <c r="B1486" s="294"/>
      <c r="C1486" s="294"/>
      <c r="D1486" s="294"/>
      <c r="E1486" s="290"/>
      <c r="F1486" s="290"/>
      <c r="G1486" s="292"/>
      <c r="H1486" s="292"/>
      <c r="I1486" s="293"/>
    </row>
    <row r="1487" spans="1:9">
      <c r="A1487" s="294"/>
      <c r="B1487" s="294"/>
      <c r="C1487" s="294"/>
      <c r="D1487" s="294"/>
      <c r="E1487" s="290"/>
      <c r="F1487" s="290"/>
      <c r="G1487" s="292"/>
      <c r="H1487" s="292"/>
      <c r="I1487" s="293"/>
    </row>
    <row r="1488" spans="1:9">
      <c r="A1488" s="294"/>
      <c r="B1488" s="294"/>
      <c r="C1488" s="294"/>
      <c r="D1488" s="294"/>
      <c r="E1488" s="290"/>
      <c r="F1488" s="290"/>
      <c r="G1488" s="292"/>
      <c r="H1488" s="292"/>
      <c r="I1488" s="293"/>
    </row>
    <row r="1489" spans="1:9">
      <c r="A1489" s="294"/>
      <c r="B1489" s="294"/>
      <c r="C1489" s="294"/>
      <c r="D1489" s="294"/>
      <c r="E1489" s="290"/>
      <c r="F1489" s="290"/>
      <c r="G1489" s="292"/>
      <c r="H1489" s="292"/>
      <c r="I1489" s="293"/>
    </row>
    <row r="1490" spans="1:9">
      <c r="A1490" s="294"/>
      <c r="B1490" s="294"/>
      <c r="C1490" s="294"/>
      <c r="D1490" s="294"/>
      <c r="E1490" s="290"/>
      <c r="F1490" s="290"/>
      <c r="G1490" s="292"/>
      <c r="H1490" s="292"/>
      <c r="I1490" s="293"/>
    </row>
    <row r="1491" spans="1:9">
      <c r="A1491" s="294"/>
      <c r="B1491" s="294"/>
      <c r="C1491" s="294"/>
      <c r="D1491" s="294"/>
      <c r="E1491" s="290"/>
      <c r="F1491" s="290"/>
      <c r="G1491" s="292"/>
      <c r="H1491" s="292"/>
      <c r="I1491" s="293"/>
    </row>
    <row r="1492" spans="1:9">
      <c r="A1492" s="294"/>
      <c r="B1492" s="294"/>
      <c r="C1492" s="294"/>
      <c r="D1492" s="294"/>
      <c r="E1492" s="290"/>
      <c r="F1492" s="290"/>
      <c r="G1492" s="292"/>
      <c r="H1492" s="292"/>
      <c r="I1492" s="293"/>
    </row>
    <row r="1493" spans="1:9">
      <c r="A1493" s="294"/>
      <c r="B1493" s="294"/>
      <c r="C1493" s="294"/>
      <c r="D1493" s="294"/>
      <c r="E1493" s="290"/>
      <c r="F1493" s="290"/>
      <c r="G1493" s="292"/>
      <c r="H1493" s="292"/>
      <c r="I1493" s="293"/>
    </row>
    <row r="1494" spans="1:9">
      <c r="A1494" s="294"/>
      <c r="B1494" s="294"/>
      <c r="C1494" s="294"/>
      <c r="D1494" s="294"/>
      <c r="E1494" s="290"/>
      <c r="F1494" s="290"/>
      <c r="G1494" s="292"/>
      <c r="H1494" s="292"/>
      <c r="I1494" s="293"/>
    </row>
    <row r="1495" spans="1:9">
      <c r="A1495" s="294"/>
      <c r="B1495" s="294"/>
      <c r="C1495" s="294"/>
      <c r="D1495" s="294"/>
      <c r="E1495" s="290"/>
      <c r="F1495" s="290"/>
      <c r="G1495" s="292"/>
      <c r="H1495" s="292"/>
      <c r="I1495" s="293"/>
    </row>
    <row r="1496" spans="1:9">
      <c r="A1496" s="294"/>
      <c r="B1496" s="294"/>
      <c r="C1496" s="294"/>
      <c r="D1496" s="294"/>
      <c r="E1496" s="290"/>
      <c r="F1496" s="290"/>
      <c r="G1496" s="292"/>
      <c r="H1496" s="292"/>
      <c r="I1496" s="293"/>
    </row>
    <row r="1497" spans="1:9">
      <c r="A1497" s="294"/>
      <c r="B1497" s="294"/>
      <c r="C1497" s="294"/>
      <c r="D1497" s="294"/>
      <c r="E1497" s="290"/>
      <c r="F1497" s="290"/>
      <c r="G1497" s="292"/>
      <c r="H1497" s="292"/>
      <c r="I1497" s="293"/>
    </row>
    <row r="1498" spans="1:9">
      <c r="A1498" s="294"/>
      <c r="B1498" s="294"/>
      <c r="C1498" s="294"/>
      <c r="D1498" s="294"/>
      <c r="E1498" s="290"/>
      <c r="F1498" s="290"/>
      <c r="G1498" s="292"/>
      <c r="H1498" s="292"/>
      <c r="I1498" s="293"/>
    </row>
    <row r="1499" spans="1:9">
      <c r="A1499" s="294"/>
      <c r="B1499" s="294"/>
      <c r="C1499" s="294"/>
      <c r="D1499" s="294"/>
      <c r="E1499" s="290"/>
      <c r="F1499" s="290"/>
      <c r="G1499" s="292"/>
      <c r="H1499" s="292"/>
      <c r="I1499" s="293"/>
    </row>
    <row r="1500" spans="1:9">
      <c r="A1500" s="294"/>
      <c r="B1500" s="294"/>
      <c r="C1500" s="294"/>
      <c r="D1500" s="294"/>
      <c r="E1500" s="290"/>
      <c r="F1500" s="290"/>
      <c r="G1500" s="292"/>
      <c r="H1500" s="292"/>
      <c r="I1500" s="293"/>
    </row>
    <row r="1501" spans="1:9">
      <c r="A1501" s="294"/>
      <c r="B1501" s="294"/>
      <c r="C1501" s="294"/>
      <c r="D1501" s="294"/>
      <c r="E1501" s="290"/>
      <c r="F1501" s="290"/>
      <c r="G1501" s="292"/>
      <c r="H1501" s="292"/>
      <c r="I1501" s="293"/>
    </row>
    <row r="1502" spans="1:9">
      <c r="A1502" s="294"/>
      <c r="B1502" s="294"/>
      <c r="C1502" s="294"/>
      <c r="D1502" s="294"/>
      <c r="E1502" s="290"/>
      <c r="F1502" s="290"/>
      <c r="G1502" s="292"/>
      <c r="H1502" s="292"/>
      <c r="I1502" s="293"/>
    </row>
    <row r="1503" spans="1:9">
      <c r="A1503" s="294"/>
      <c r="B1503" s="294"/>
      <c r="C1503" s="294"/>
      <c r="D1503" s="294"/>
      <c r="E1503" s="290"/>
      <c r="F1503" s="290"/>
      <c r="G1503" s="292"/>
      <c r="H1503" s="292"/>
      <c r="I1503" s="293"/>
    </row>
    <row r="1504" spans="1:9">
      <c r="A1504" s="294"/>
      <c r="B1504" s="294"/>
      <c r="C1504" s="294"/>
      <c r="D1504" s="294"/>
      <c r="E1504" s="290"/>
      <c r="F1504" s="290"/>
      <c r="G1504" s="292"/>
      <c r="H1504" s="292"/>
      <c r="I1504" s="293"/>
    </row>
    <row r="1505" spans="1:9">
      <c r="A1505" s="294"/>
      <c r="B1505" s="294"/>
      <c r="C1505" s="294"/>
      <c r="D1505" s="294"/>
      <c r="E1505" s="290"/>
      <c r="F1505" s="290"/>
      <c r="G1505" s="292"/>
      <c r="H1505" s="292"/>
      <c r="I1505" s="293"/>
    </row>
    <row r="1506" spans="1:9">
      <c r="A1506" s="294"/>
      <c r="B1506" s="294"/>
      <c r="C1506" s="294"/>
      <c r="D1506" s="294"/>
      <c r="E1506" s="290"/>
      <c r="F1506" s="290"/>
      <c r="G1506" s="292"/>
      <c r="H1506" s="292"/>
      <c r="I1506" s="293"/>
    </row>
    <row r="1507" spans="1:9">
      <c r="A1507" s="294"/>
      <c r="B1507" s="294"/>
      <c r="C1507" s="294"/>
      <c r="D1507" s="294"/>
      <c r="E1507" s="290"/>
      <c r="F1507" s="290"/>
      <c r="G1507" s="292"/>
      <c r="H1507" s="292"/>
      <c r="I1507" s="293"/>
    </row>
    <row r="1508" spans="1:9">
      <c r="A1508" s="294"/>
      <c r="B1508" s="294"/>
      <c r="C1508" s="294"/>
      <c r="D1508" s="294"/>
      <c r="E1508" s="290"/>
      <c r="F1508" s="290"/>
      <c r="G1508" s="292"/>
      <c r="H1508" s="292"/>
      <c r="I1508" s="293"/>
    </row>
    <row r="1509" spans="1:9">
      <c r="A1509" s="294"/>
      <c r="B1509" s="294"/>
      <c r="C1509" s="294"/>
      <c r="D1509" s="294"/>
      <c r="E1509" s="290"/>
      <c r="F1509" s="290"/>
      <c r="G1509" s="292"/>
      <c r="H1509" s="292"/>
      <c r="I1509" s="293"/>
    </row>
    <row r="1510" spans="1:9">
      <c r="A1510" s="294"/>
      <c r="B1510" s="294"/>
      <c r="C1510" s="294"/>
      <c r="D1510" s="294"/>
      <c r="E1510" s="290"/>
      <c r="F1510" s="290"/>
      <c r="G1510" s="292"/>
      <c r="H1510" s="292"/>
      <c r="I1510" s="293"/>
    </row>
    <row r="1511" spans="1:9">
      <c r="A1511" s="294"/>
      <c r="B1511" s="294"/>
      <c r="C1511" s="294"/>
      <c r="D1511" s="294"/>
      <c r="E1511" s="290"/>
      <c r="F1511" s="290"/>
      <c r="G1511" s="292"/>
      <c r="H1511" s="292"/>
      <c r="I1511" s="293"/>
    </row>
    <row r="1512" spans="1:9">
      <c r="A1512" s="294"/>
      <c r="B1512" s="294"/>
      <c r="C1512" s="294"/>
      <c r="D1512" s="294"/>
      <c r="E1512" s="290"/>
      <c r="F1512" s="290"/>
      <c r="G1512" s="292"/>
      <c r="H1512" s="292"/>
      <c r="I1512" s="293"/>
    </row>
    <row r="1513" spans="1:9">
      <c r="A1513" s="294"/>
      <c r="B1513" s="294"/>
      <c r="C1513" s="294"/>
      <c r="D1513" s="294"/>
      <c r="E1513" s="290"/>
      <c r="F1513" s="290"/>
      <c r="G1513" s="292"/>
      <c r="H1513" s="292"/>
      <c r="I1513" s="293"/>
    </row>
    <row r="1514" spans="1:9">
      <c r="A1514" s="294"/>
      <c r="B1514" s="294"/>
      <c r="C1514" s="294"/>
      <c r="D1514" s="294"/>
      <c r="E1514" s="290"/>
      <c r="F1514" s="290"/>
      <c r="G1514" s="292"/>
      <c r="H1514" s="292"/>
      <c r="I1514" s="293"/>
    </row>
    <row r="1515" spans="1:9">
      <c r="A1515" s="294"/>
      <c r="B1515" s="294"/>
      <c r="C1515" s="294"/>
      <c r="D1515" s="294"/>
      <c r="E1515" s="290"/>
      <c r="F1515" s="290"/>
      <c r="G1515" s="292"/>
      <c r="H1515" s="292"/>
      <c r="I1515" s="293"/>
    </row>
    <row r="1516" spans="1:9">
      <c r="A1516" s="294"/>
      <c r="B1516" s="294"/>
      <c r="C1516" s="294"/>
      <c r="D1516" s="294"/>
      <c r="E1516" s="290"/>
      <c r="F1516" s="290"/>
      <c r="G1516" s="292"/>
      <c r="H1516" s="292"/>
      <c r="I1516" s="293"/>
    </row>
    <row r="1517" spans="1:9">
      <c r="A1517" s="294"/>
      <c r="B1517" s="294"/>
      <c r="C1517" s="294"/>
      <c r="D1517" s="294"/>
      <c r="E1517" s="290"/>
      <c r="F1517" s="290"/>
      <c r="G1517" s="292"/>
      <c r="H1517" s="292"/>
      <c r="I1517" s="293"/>
    </row>
    <row r="1518" spans="1:9">
      <c r="A1518" s="294"/>
      <c r="B1518" s="294"/>
      <c r="C1518" s="294"/>
      <c r="D1518" s="294"/>
      <c r="E1518" s="290"/>
      <c r="F1518" s="290"/>
      <c r="G1518" s="292"/>
      <c r="H1518" s="292"/>
      <c r="I1518" s="293"/>
    </row>
    <row r="1519" spans="1:9">
      <c r="A1519" s="294"/>
      <c r="B1519" s="294"/>
      <c r="C1519" s="294"/>
      <c r="D1519" s="294"/>
      <c r="E1519" s="290"/>
      <c r="F1519" s="290"/>
      <c r="G1519" s="292"/>
      <c r="H1519" s="292"/>
      <c r="I1519" s="293"/>
    </row>
    <row r="1520" spans="1:9">
      <c r="A1520" s="294"/>
      <c r="B1520" s="294"/>
      <c r="C1520" s="294"/>
      <c r="D1520" s="294"/>
      <c r="E1520" s="290"/>
      <c r="F1520" s="290"/>
      <c r="G1520" s="292"/>
      <c r="H1520" s="292"/>
      <c r="I1520" s="293"/>
    </row>
    <row r="1521" spans="1:9">
      <c r="A1521" s="294"/>
      <c r="B1521" s="294"/>
      <c r="C1521" s="294"/>
      <c r="D1521" s="294"/>
      <c r="E1521" s="290"/>
      <c r="F1521" s="290"/>
      <c r="G1521" s="292"/>
      <c r="H1521" s="292"/>
      <c r="I1521" s="293"/>
    </row>
    <row r="1522" spans="1:9">
      <c r="A1522" s="294"/>
      <c r="B1522" s="294"/>
      <c r="C1522" s="294"/>
      <c r="D1522" s="294"/>
      <c r="E1522" s="290"/>
      <c r="F1522" s="290"/>
      <c r="G1522" s="292"/>
      <c r="H1522" s="292"/>
      <c r="I1522" s="293"/>
    </row>
    <row r="1523" spans="1:9">
      <c r="A1523" s="294"/>
      <c r="B1523" s="294"/>
      <c r="C1523" s="294"/>
      <c r="D1523" s="294"/>
      <c r="E1523" s="290"/>
      <c r="F1523" s="290"/>
      <c r="G1523" s="292"/>
      <c r="H1523" s="292"/>
      <c r="I1523" s="293"/>
    </row>
    <row r="1524" spans="1:9">
      <c r="A1524" s="294"/>
      <c r="B1524" s="294"/>
      <c r="C1524" s="294"/>
      <c r="D1524" s="294"/>
      <c r="E1524" s="290"/>
      <c r="F1524" s="290"/>
      <c r="G1524" s="292"/>
      <c r="H1524" s="292"/>
      <c r="I1524" s="293"/>
    </row>
    <row r="1525" spans="1:9">
      <c r="A1525" s="294"/>
      <c r="B1525" s="294"/>
      <c r="C1525" s="294"/>
      <c r="D1525" s="294"/>
      <c r="E1525" s="290"/>
      <c r="F1525" s="290"/>
      <c r="G1525" s="291"/>
      <c r="H1525" s="292"/>
      <c r="I1525" s="293"/>
    </row>
    <row r="1526" spans="1:9">
      <c r="A1526" s="294"/>
      <c r="B1526" s="294"/>
      <c r="C1526" s="294"/>
      <c r="D1526" s="294"/>
      <c r="E1526" s="290"/>
      <c r="F1526" s="290"/>
      <c r="G1526" s="292"/>
      <c r="H1526" s="292"/>
      <c r="I1526" s="293"/>
    </row>
    <row r="1527" spans="1:9">
      <c r="A1527" s="294"/>
      <c r="B1527" s="294"/>
      <c r="C1527" s="294"/>
      <c r="D1527" s="294"/>
      <c r="E1527" s="290"/>
      <c r="F1527" s="290"/>
      <c r="G1527" s="292"/>
      <c r="H1527" s="292"/>
      <c r="I1527" s="293"/>
    </row>
    <row r="1528" spans="1:9">
      <c r="A1528" s="294"/>
      <c r="B1528" s="294"/>
      <c r="C1528" s="294"/>
      <c r="D1528" s="294"/>
      <c r="E1528" s="290"/>
      <c r="F1528" s="290"/>
      <c r="G1528" s="292"/>
      <c r="H1528" s="292"/>
      <c r="I1528" s="293"/>
    </row>
    <row r="1529" spans="1:9">
      <c r="A1529" s="294"/>
      <c r="B1529" s="294"/>
      <c r="C1529" s="294"/>
      <c r="D1529" s="294"/>
      <c r="E1529" s="290"/>
      <c r="F1529" s="290"/>
      <c r="G1529" s="292"/>
      <c r="H1529" s="292"/>
      <c r="I1529" s="293"/>
    </row>
    <row r="1530" spans="1:9">
      <c r="A1530" s="294"/>
      <c r="B1530" s="294"/>
      <c r="C1530" s="294"/>
      <c r="D1530" s="294"/>
      <c r="E1530" s="290"/>
      <c r="F1530" s="290"/>
      <c r="G1530" s="292"/>
      <c r="H1530" s="292"/>
      <c r="I1530" s="293"/>
    </row>
    <row r="1531" spans="1:9">
      <c r="A1531" s="294"/>
      <c r="B1531" s="294"/>
      <c r="C1531" s="294"/>
      <c r="D1531" s="294"/>
      <c r="E1531" s="290"/>
      <c r="F1531" s="290"/>
      <c r="G1531" s="292"/>
      <c r="H1531" s="292"/>
      <c r="I1531" s="293"/>
    </row>
    <row r="1532" spans="1:9">
      <c r="A1532" s="294"/>
      <c r="B1532" s="294"/>
      <c r="C1532" s="294"/>
      <c r="D1532" s="294"/>
      <c r="E1532" s="290"/>
      <c r="F1532" s="290"/>
      <c r="G1532" s="292"/>
      <c r="H1532" s="292"/>
      <c r="I1532" s="293"/>
    </row>
    <row r="1533" spans="1:9">
      <c r="A1533" s="294"/>
      <c r="B1533" s="294"/>
      <c r="C1533" s="294"/>
      <c r="D1533" s="294"/>
      <c r="E1533" s="290"/>
      <c r="F1533" s="290"/>
      <c r="G1533" s="292"/>
      <c r="H1533" s="292"/>
      <c r="I1533" s="293"/>
    </row>
    <row r="1534" spans="1:9">
      <c r="A1534" s="294"/>
      <c r="B1534" s="294"/>
      <c r="C1534" s="294"/>
      <c r="D1534" s="294"/>
      <c r="E1534" s="290"/>
      <c r="F1534" s="290"/>
      <c r="G1534" s="292"/>
      <c r="H1534" s="292"/>
      <c r="I1534" s="293"/>
    </row>
    <row r="1535" spans="1:9">
      <c r="A1535" s="294"/>
      <c r="B1535" s="294"/>
      <c r="C1535" s="294"/>
      <c r="D1535" s="294"/>
      <c r="E1535" s="290"/>
      <c r="F1535" s="290"/>
      <c r="G1535" s="292"/>
      <c r="H1535" s="292"/>
      <c r="I1535" s="293"/>
    </row>
    <row r="1536" spans="1:9">
      <c r="A1536" s="294"/>
      <c r="B1536" s="294"/>
      <c r="C1536" s="294"/>
      <c r="D1536" s="294"/>
      <c r="E1536" s="290"/>
      <c r="F1536" s="290"/>
      <c r="G1536" s="292"/>
      <c r="H1536" s="292"/>
      <c r="I1536" s="293"/>
    </row>
    <row r="1537" spans="1:9">
      <c r="A1537" s="294"/>
      <c r="B1537" s="294"/>
      <c r="C1537" s="294"/>
      <c r="D1537" s="294"/>
      <c r="E1537" s="290"/>
      <c r="F1537" s="290"/>
      <c r="G1537" s="292"/>
      <c r="H1537" s="292"/>
      <c r="I1537" s="293"/>
    </row>
    <row r="1538" spans="1:9">
      <c r="A1538" s="294"/>
      <c r="B1538" s="294"/>
      <c r="C1538" s="294"/>
      <c r="D1538" s="294"/>
      <c r="E1538" s="290"/>
      <c r="F1538" s="290"/>
      <c r="G1538" s="292"/>
      <c r="H1538" s="292"/>
      <c r="I1538" s="293"/>
    </row>
    <row r="1539" spans="1:9">
      <c r="A1539" s="294"/>
      <c r="B1539" s="294"/>
      <c r="C1539" s="294"/>
      <c r="D1539" s="294"/>
      <c r="E1539" s="290"/>
      <c r="F1539" s="290"/>
      <c r="G1539" s="292"/>
      <c r="H1539" s="292"/>
      <c r="I1539" s="293"/>
    </row>
    <row r="1540" spans="1:9">
      <c r="A1540" s="294"/>
      <c r="B1540" s="294"/>
      <c r="C1540" s="294"/>
      <c r="D1540" s="294"/>
      <c r="E1540" s="290"/>
      <c r="F1540" s="290"/>
      <c r="G1540" s="292"/>
      <c r="H1540" s="292"/>
      <c r="I1540" s="293"/>
    </row>
    <row r="1541" spans="1:9">
      <c r="A1541" s="294"/>
      <c r="B1541" s="294"/>
      <c r="C1541" s="294"/>
      <c r="D1541" s="294"/>
      <c r="E1541" s="290"/>
      <c r="F1541" s="290"/>
      <c r="G1541" s="292"/>
      <c r="H1541" s="292"/>
      <c r="I1541" s="293"/>
    </row>
    <row r="1542" spans="1:9">
      <c r="A1542" s="294"/>
      <c r="B1542" s="294"/>
      <c r="C1542" s="294"/>
      <c r="D1542" s="294"/>
      <c r="E1542" s="290"/>
      <c r="F1542" s="290"/>
      <c r="G1542" s="292"/>
      <c r="H1542" s="292"/>
      <c r="I1542" s="293"/>
    </row>
    <row r="1543" spans="1:9">
      <c r="A1543" s="294"/>
      <c r="B1543" s="294"/>
      <c r="C1543" s="294"/>
      <c r="D1543" s="294"/>
      <c r="E1543" s="290"/>
      <c r="F1543" s="290"/>
      <c r="G1543" s="292"/>
      <c r="H1543" s="292"/>
      <c r="I1543" s="293"/>
    </row>
    <row r="1544" spans="1:9">
      <c r="A1544" s="294"/>
      <c r="B1544" s="294"/>
      <c r="C1544" s="294"/>
      <c r="D1544" s="294"/>
      <c r="E1544" s="290"/>
      <c r="F1544" s="290"/>
      <c r="G1544" s="292"/>
      <c r="H1544" s="292"/>
      <c r="I1544" s="293"/>
    </row>
    <row r="1545" spans="1:9">
      <c r="A1545" s="294"/>
      <c r="B1545" s="294"/>
      <c r="C1545" s="294"/>
      <c r="D1545" s="294"/>
      <c r="E1545" s="290"/>
      <c r="F1545" s="290"/>
      <c r="G1545" s="292"/>
      <c r="H1545" s="292"/>
      <c r="I1545" s="293"/>
    </row>
    <row r="1546" spans="1:9">
      <c r="A1546" s="294"/>
      <c r="B1546" s="294"/>
      <c r="C1546" s="294"/>
      <c r="D1546" s="294"/>
      <c r="E1546" s="290"/>
      <c r="F1546" s="290"/>
      <c r="G1546" s="292"/>
      <c r="H1546" s="292"/>
      <c r="I1546" s="293"/>
    </row>
    <row r="1547" spans="1:9">
      <c r="A1547" s="294"/>
      <c r="B1547" s="294"/>
      <c r="C1547" s="294"/>
      <c r="D1547" s="294"/>
      <c r="E1547" s="290"/>
      <c r="F1547" s="290"/>
      <c r="G1547" s="292"/>
      <c r="H1547" s="292"/>
      <c r="I1547" s="293"/>
    </row>
    <row r="1548" spans="1:9">
      <c r="A1548" s="294"/>
      <c r="B1548" s="294"/>
      <c r="C1548" s="294"/>
      <c r="D1548" s="294"/>
      <c r="E1548" s="290"/>
      <c r="F1548" s="290"/>
      <c r="G1548" s="292"/>
      <c r="H1548" s="292"/>
      <c r="I1548" s="293"/>
    </row>
    <row r="1549" spans="1:9">
      <c r="A1549" s="294"/>
      <c r="B1549" s="294"/>
      <c r="C1549" s="294"/>
      <c r="D1549" s="294"/>
      <c r="E1549" s="290"/>
      <c r="F1549" s="290"/>
      <c r="G1549" s="292"/>
      <c r="H1549" s="292"/>
      <c r="I1549" s="293"/>
    </row>
    <row r="1550" spans="1:9">
      <c r="A1550" s="294"/>
      <c r="B1550" s="294"/>
      <c r="C1550" s="294"/>
      <c r="D1550" s="294"/>
      <c r="E1550" s="290"/>
      <c r="F1550" s="290"/>
      <c r="G1550" s="292"/>
      <c r="H1550" s="292"/>
      <c r="I1550" s="293"/>
    </row>
    <row r="1551" spans="1:9">
      <c r="A1551" s="294"/>
      <c r="B1551" s="294"/>
      <c r="C1551" s="294"/>
      <c r="D1551" s="294"/>
      <c r="E1551" s="290"/>
      <c r="F1551" s="290"/>
      <c r="G1551" s="292"/>
      <c r="H1551" s="292"/>
      <c r="I1551" s="293"/>
    </row>
    <row r="1552" spans="1:9">
      <c r="A1552" s="294"/>
      <c r="B1552" s="294"/>
      <c r="C1552" s="294"/>
      <c r="D1552" s="294"/>
      <c r="E1552" s="290"/>
      <c r="F1552" s="290"/>
      <c r="G1552" s="292"/>
      <c r="H1552" s="292"/>
      <c r="I1552" s="293"/>
    </row>
    <row r="1553" spans="1:9">
      <c r="A1553" s="294"/>
      <c r="B1553" s="294"/>
      <c r="C1553" s="294"/>
      <c r="D1553" s="294"/>
      <c r="E1553" s="290"/>
      <c r="F1553" s="290"/>
      <c r="G1553" s="292"/>
      <c r="H1553" s="292"/>
      <c r="I1553" s="293"/>
    </row>
    <row r="1554" spans="1:9">
      <c r="A1554" s="294"/>
      <c r="B1554" s="294"/>
      <c r="C1554" s="294"/>
      <c r="D1554" s="294"/>
      <c r="E1554" s="290"/>
      <c r="F1554" s="290"/>
      <c r="G1554" s="292"/>
      <c r="H1554" s="292"/>
      <c r="I1554" s="293"/>
    </row>
    <row r="1555" spans="1:9">
      <c r="A1555" s="294"/>
      <c r="B1555" s="294"/>
      <c r="C1555" s="294"/>
      <c r="D1555" s="294"/>
      <c r="E1555" s="290"/>
      <c r="F1555" s="290"/>
      <c r="G1555" s="291"/>
      <c r="H1555" s="292"/>
      <c r="I1555" s="293"/>
    </row>
    <row r="1556" spans="1:9">
      <c r="A1556" s="294"/>
      <c r="B1556" s="294"/>
      <c r="C1556" s="294"/>
      <c r="D1556" s="294"/>
      <c r="E1556" s="290"/>
      <c r="F1556" s="290"/>
      <c r="G1556" s="291"/>
      <c r="H1556" s="292"/>
      <c r="I1556" s="293"/>
    </row>
    <row r="1557" spans="1:9">
      <c r="A1557" s="294"/>
      <c r="B1557" s="294"/>
      <c r="C1557" s="294"/>
      <c r="D1557" s="294"/>
      <c r="E1557" s="290"/>
      <c r="F1557" s="290"/>
      <c r="G1557" s="291"/>
      <c r="H1557" s="292"/>
      <c r="I1557" s="293"/>
    </row>
    <row r="1558" spans="1:9">
      <c r="A1558" s="294"/>
      <c r="B1558" s="294"/>
      <c r="C1558" s="294"/>
      <c r="D1558" s="294"/>
      <c r="E1558" s="290"/>
      <c r="F1558" s="290"/>
      <c r="G1558" s="291"/>
      <c r="H1558" s="292"/>
      <c r="I1558" s="293"/>
    </row>
    <row r="1559" spans="1:9">
      <c r="A1559" s="294"/>
      <c r="B1559" s="294"/>
      <c r="C1559" s="294"/>
      <c r="D1559" s="294"/>
      <c r="E1559" s="290"/>
      <c r="F1559" s="290"/>
      <c r="G1559" s="291"/>
      <c r="H1559" s="292"/>
      <c r="I1559" s="293"/>
    </row>
    <row r="1560" spans="1:9">
      <c r="A1560" s="294"/>
      <c r="B1560" s="294"/>
      <c r="C1560" s="294"/>
      <c r="D1560" s="294"/>
      <c r="E1560" s="290"/>
      <c r="F1560" s="290"/>
      <c r="G1560" s="291"/>
      <c r="H1560" s="292"/>
      <c r="I1560" s="293"/>
    </row>
    <row r="1561" spans="1:9">
      <c r="A1561" s="294"/>
      <c r="B1561" s="294"/>
      <c r="C1561" s="294"/>
      <c r="D1561" s="294"/>
      <c r="E1561" s="290"/>
      <c r="F1561" s="290"/>
      <c r="G1561" s="291"/>
      <c r="H1561" s="292"/>
      <c r="I1561" s="293"/>
    </row>
    <row r="1562" spans="1:9">
      <c r="A1562" s="294"/>
      <c r="B1562" s="294"/>
      <c r="C1562" s="294"/>
      <c r="D1562" s="294"/>
      <c r="E1562" s="290"/>
      <c r="F1562" s="290"/>
      <c r="G1562" s="291"/>
      <c r="H1562" s="292"/>
      <c r="I1562" s="293"/>
    </row>
    <row r="1563" spans="1:9">
      <c r="A1563" s="294"/>
      <c r="B1563" s="294"/>
      <c r="C1563" s="294"/>
      <c r="D1563" s="294"/>
      <c r="E1563" s="290"/>
      <c r="F1563" s="290"/>
      <c r="G1563" s="291"/>
      <c r="H1563" s="292"/>
      <c r="I1563" s="293"/>
    </row>
    <row r="1564" spans="1:9">
      <c r="A1564" s="294"/>
      <c r="B1564" s="294"/>
      <c r="C1564" s="294"/>
      <c r="D1564" s="294"/>
      <c r="E1564" s="290"/>
      <c r="F1564" s="290"/>
      <c r="G1564" s="291"/>
      <c r="H1564" s="292"/>
      <c r="I1564" s="293"/>
    </row>
    <row r="1565" spans="1:9">
      <c r="A1565" s="294"/>
      <c r="B1565" s="294"/>
      <c r="C1565" s="294"/>
      <c r="D1565" s="294"/>
      <c r="E1565" s="290"/>
      <c r="F1565" s="290"/>
      <c r="G1565" s="291"/>
      <c r="H1565" s="292"/>
      <c r="I1565" s="293"/>
    </row>
    <row r="1566" spans="1:9">
      <c r="A1566" s="294"/>
      <c r="B1566" s="294"/>
      <c r="C1566" s="294"/>
      <c r="D1566" s="294"/>
      <c r="E1566" s="290"/>
      <c r="F1566" s="290"/>
      <c r="G1566" s="291"/>
      <c r="H1566" s="292"/>
      <c r="I1566" s="293"/>
    </row>
    <row r="1567" spans="1:9">
      <c r="A1567" s="294"/>
      <c r="B1567" s="294"/>
      <c r="C1567" s="294"/>
      <c r="D1567" s="294"/>
      <c r="E1567" s="290"/>
      <c r="F1567" s="290"/>
      <c r="G1567" s="291"/>
      <c r="H1567" s="292"/>
      <c r="I1567" s="293"/>
    </row>
    <row r="1568" spans="1:9">
      <c r="A1568" s="294"/>
      <c r="B1568" s="294"/>
      <c r="C1568" s="294"/>
      <c r="D1568" s="294"/>
      <c r="E1568" s="290"/>
      <c r="F1568" s="290"/>
      <c r="G1568" s="291"/>
      <c r="H1568" s="292"/>
      <c r="I1568" s="293"/>
    </row>
    <row r="1569" spans="1:9">
      <c r="A1569" s="294"/>
      <c r="B1569" s="294"/>
      <c r="C1569" s="294"/>
      <c r="D1569" s="294"/>
      <c r="E1569" s="290"/>
      <c r="F1569" s="290"/>
      <c r="G1569" s="291"/>
      <c r="H1569" s="292"/>
      <c r="I1569" s="293"/>
    </row>
    <row r="1570" spans="1:9">
      <c r="A1570" s="294"/>
      <c r="B1570" s="294"/>
      <c r="C1570" s="294"/>
      <c r="D1570" s="294"/>
      <c r="E1570" s="290"/>
      <c r="F1570" s="290"/>
      <c r="G1570" s="291"/>
      <c r="H1570" s="292"/>
      <c r="I1570" s="293"/>
    </row>
    <row r="1571" spans="1:9">
      <c r="A1571" s="294"/>
      <c r="B1571" s="294"/>
      <c r="C1571" s="294"/>
      <c r="D1571" s="294"/>
      <c r="E1571" s="290"/>
      <c r="F1571" s="290"/>
      <c r="G1571" s="291"/>
      <c r="H1571" s="292"/>
      <c r="I1571" s="293"/>
    </row>
    <row r="1572" spans="1:9">
      <c r="A1572" s="294"/>
      <c r="B1572" s="294"/>
      <c r="C1572" s="294"/>
      <c r="D1572" s="294"/>
      <c r="E1572" s="290"/>
      <c r="F1572" s="290"/>
      <c r="G1572" s="291"/>
      <c r="H1572" s="292"/>
      <c r="I1572" s="293"/>
    </row>
    <row r="1573" spans="1:9">
      <c r="A1573" s="294"/>
      <c r="B1573" s="294"/>
      <c r="C1573" s="294"/>
      <c r="D1573" s="294"/>
      <c r="E1573" s="290"/>
      <c r="F1573" s="290"/>
      <c r="G1573" s="291"/>
      <c r="H1573" s="292"/>
      <c r="I1573" s="293"/>
    </row>
    <row r="1574" spans="1:9">
      <c r="A1574" s="294"/>
      <c r="B1574" s="294"/>
      <c r="C1574" s="294"/>
      <c r="D1574" s="294"/>
      <c r="E1574" s="290"/>
      <c r="F1574" s="290"/>
      <c r="G1574" s="291"/>
      <c r="H1574" s="292"/>
      <c r="I1574" s="293"/>
    </row>
    <row r="1575" spans="1:9">
      <c r="A1575" s="294"/>
      <c r="B1575" s="294"/>
      <c r="C1575" s="294"/>
      <c r="D1575" s="294"/>
      <c r="E1575" s="290"/>
      <c r="F1575" s="290"/>
      <c r="G1575" s="291"/>
      <c r="H1575" s="292"/>
      <c r="I1575" s="293"/>
    </row>
    <row r="1576" spans="1:9">
      <c r="A1576" s="294"/>
      <c r="B1576" s="294"/>
      <c r="C1576" s="294"/>
      <c r="D1576" s="294"/>
      <c r="E1576" s="290"/>
      <c r="F1576" s="290"/>
      <c r="G1576" s="291"/>
      <c r="H1576" s="292"/>
      <c r="I1576" s="293"/>
    </row>
    <row r="1577" spans="1:9">
      <c r="A1577" s="294"/>
      <c r="B1577" s="294"/>
      <c r="C1577" s="294"/>
      <c r="D1577" s="294"/>
      <c r="E1577" s="290"/>
      <c r="F1577" s="290"/>
      <c r="G1577" s="291"/>
      <c r="H1577" s="292"/>
      <c r="I1577" s="293"/>
    </row>
    <row r="1578" spans="1:9">
      <c r="A1578" s="294"/>
      <c r="B1578" s="294"/>
      <c r="C1578" s="294"/>
      <c r="D1578" s="294"/>
      <c r="E1578" s="290"/>
      <c r="F1578" s="290"/>
      <c r="G1578" s="292"/>
      <c r="H1578" s="292"/>
      <c r="I1578" s="293"/>
    </row>
    <row r="1579" spans="1:9">
      <c r="A1579" s="294"/>
      <c r="B1579" s="294"/>
      <c r="C1579" s="294"/>
      <c r="D1579" s="294"/>
      <c r="E1579" s="290"/>
      <c r="F1579" s="290"/>
      <c r="G1579" s="292"/>
      <c r="H1579" s="292"/>
      <c r="I1579" s="293"/>
    </row>
    <row r="1580" spans="1:9">
      <c r="A1580" s="294"/>
      <c r="B1580" s="294"/>
      <c r="C1580" s="294"/>
      <c r="D1580" s="294"/>
      <c r="E1580" s="290"/>
      <c r="F1580" s="290"/>
      <c r="G1580" s="292"/>
      <c r="H1580" s="292"/>
      <c r="I1580" s="293"/>
    </row>
    <row r="1581" spans="1:9">
      <c r="A1581" s="294"/>
      <c r="B1581" s="294"/>
      <c r="C1581" s="294"/>
      <c r="D1581" s="294"/>
      <c r="E1581" s="290"/>
      <c r="F1581" s="290"/>
      <c r="G1581" s="292"/>
      <c r="H1581" s="292"/>
      <c r="I1581" s="293"/>
    </row>
    <row r="1582" spans="1:9">
      <c r="A1582" s="294"/>
      <c r="B1582" s="294"/>
      <c r="C1582" s="294"/>
      <c r="D1582" s="294"/>
      <c r="E1582" s="290"/>
      <c r="F1582" s="290"/>
      <c r="G1582" s="292"/>
      <c r="H1582" s="292"/>
      <c r="I1582" s="293"/>
    </row>
    <row r="1583" spans="1:9">
      <c r="A1583" s="294"/>
      <c r="B1583" s="294"/>
      <c r="C1583" s="294"/>
      <c r="D1583" s="294"/>
      <c r="E1583" s="290"/>
      <c r="F1583" s="290"/>
      <c r="G1583" s="292"/>
      <c r="H1583" s="292"/>
      <c r="I1583" s="293"/>
    </row>
    <row r="1584" spans="1:9">
      <c r="A1584" s="294"/>
      <c r="B1584" s="294"/>
      <c r="C1584" s="294"/>
      <c r="D1584" s="294"/>
      <c r="E1584" s="290"/>
      <c r="F1584" s="290"/>
      <c r="G1584" s="292"/>
      <c r="H1584" s="292"/>
      <c r="I1584" s="293"/>
    </row>
    <row r="1585" spans="1:9">
      <c r="A1585" s="294"/>
      <c r="B1585" s="294"/>
      <c r="C1585" s="294"/>
      <c r="D1585" s="294"/>
      <c r="E1585" s="290"/>
      <c r="F1585" s="290"/>
      <c r="G1585" s="292"/>
      <c r="H1585" s="292"/>
      <c r="I1585" s="293"/>
    </row>
    <row r="1586" spans="1:9">
      <c r="A1586" s="294"/>
      <c r="B1586" s="294"/>
      <c r="C1586" s="294"/>
      <c r="D1586" s="294"/>
      <c r="E1586" s="290"/>
      <c r="F1586" s="290"/>
      <c r="G1586" s="292"/>
      <c r="H1586" s="292"/>
      <c r="I1586" s="293"/>
    </row>
    <row r="1587" spans="1:9">
      <c r="A1587" s="294"/>
      <c r="B1587" s="294"/>
      <c r="C1587" s="294"/>
      <c r="D1587" s="294"/>
      <c r="E1587" s="290"/>
      <c r="F1587" s="290"/>
      <c r="G1587" s="292"/>
      <c r="H1587" s="292"/>
      <c r="I1587" s="293"/>
    </row>
    <row r="1588" spans="1:9">
      <c r="A1588" s="294"/>
      <c r="B1588" s="294"/>
      <c r="C1588" s="294"/>
      <c r="D1588" s="294"/>
      <c r="E1588" s="290"/>
      <c r="F1588" s="290"/>
      <c r="G1588" s="292"/>
      <c r="H1588" s="292"/>
      <c r="I1588" s="293"/>
    </row>
    <row r="1589" spans="1:9">
      <c r="A1589" s="294"/>
      <c r="B1589" s="294"/>
      <c r="C1589" s="294"/>
      <c r="D1589" s="294"/>
      <c r="E1589" s="290"/>
      <c r="F1589" s="290"/>
      <c r="G1589" s="292"/>
      <c r="H1589" s="292"/>
      <c r="I1589" s="293"/>
    </row>
    <row r="1590" spans="1:9">
      <c r="A1590" s="294"/>
      <c r="B1590" s="294"/>
      <c r="C1590" s="294"/>
      <c r="D1590" s="294"/>
      <c r="E1590" s="290"/>
      <c r="F1590" s="290"/>
      <c r="G1590" s="292"/>
      <c r="H1590" s="292"/>
      <c r="I1590" s="293"/>
    </row>
    <row r="1591" spans="1:9">
      <c r="A1591" s="294"/>
      <c r="B1591" s="294"/>
      <c r="C1591" s="294"/>
      <c r="D1591" s="294"/>
      <c r="E1591" s="290"/>
      <c r="F1591" s="290"/>
      <c r="G1591" s="292"/>
      <c r="H1591" s="292"/>
      <c r="I1591" s="293"/>
    </row>
    <row r="1592" spans="1:9">
      <c r="A1592" s="294"/>
      <c r="B1592" s="294"/>
      <c r="C1592" s="294"/>
      <c r="D1592" s="294"/>
      <c r="E1592" s="290"/>
      <c r="F1592" s="290"/>
      <c r="G1592" s="292"/>
      <c r="H1592" s="292"/>
      <c r="I1592" s="293"/>
    </row>
    <row r="1593" spans="1:9">
      <c r="A1593" s="294"/>
      <c r="B1593" s="294"/>
      <c r="C1593" s="294"/>
      <c r="D1593" s="294"/>
      <c r="E1593" s="290"/>
      <c r="F1593" s="290"/>
      <c r="G1593" s="292"/>
      <c r="H1593" s="292"/>
      <c r="I1593" s="293"/>
    </row>
    <row r="1594" spans="1:9">
      <c r="A1594" s="294"/>
      <c r="B1594" s="294"/>
      <c r="C1594" s="294"/>
      <c r="D1594" s="294"/>
      <c r="E1594" s="290"/>
      <c r="F1594" s="290"/>
      <c r="G1594" s="292"/>
      <c r="H1594" s="292"/>
      <c r="I1594" s="293"/>
    </row>
    <row r="1595" spans="1:9">
      <c r="A1595" s="294"/>
      <c r="B1595" s="294"/>
      <c r="C1595" s="294"/>
      <c r="D1595" s="294"/>
      <c r="E1595" s="290"/>
      <c r="F1595" s="290"/>
      <c r="G1595" s="292"/>
      <c r="H1595" s="292"/>
      <c r="I1595" s="293"/>
    </row>
    <row r="1596" spans="1:9">
      <c r="A1596" s="294"/>
      <c r="B1596" s="294"/>
      <c r="C1596" s="294"/>
      <c r="D1596" s="294"/>
      <c r="E1596" s="290"/>
      <c r="F1596" s="290"/>
      <c r="G1596" s="292"/>
      <c r="H1596" s="292"/>
      <c r="I1596" s="293"/>
    </row>
    <row r="1597" spans="1:9">
      <c r="A1597" s="294"/>
      <c r="B1597" s="294"/>
      <c r="C1597" s="294"/>
      <c r="D1597" s="294"/>
      <c r="E1597" s="290"/>
      <c r="F1597" s="290"/>
      <c r="G1597" s="292"/>
      <c r="H1597" s="292"/>
      <c r="I1597" s="293"/>
    </row>
    <row r="1598" spans="1:9">
      <c r="A1598" s="294"/>
      <c r="B1598" s="294"/>
      <c r="C1598" s="294"/>
      <c r="D1598" s="294"/>
      <c r="E1598" s="290"/>
      <c r="F1598" s="290"/>
      <c r="G1598" s="292"/>
      <c r="H1598" s="292"/>
      <c r="I1598" s="293"/>
    </row>
    <row r="1599" spans="1:9">
      <c r="A1599" s="294"/>
      <c r="B1599" s="294"/>
      <c r="C1599" s="294"/>
      <c r="D1599" s="294"/>
      <c r="E1599" s="290"/>
      <c r="F1599" s="290"/>
      <c r="G1599" s="292"/>
      <c r="H1599" s="292"/>
      <c r="I1599" s="293"/>
    </row>
    <row r="1600" spans="1:9">
      <c r="A1600" s="294"/>
      <c r="B1600" s="294"/>
      <c r="C1600" s="294"/>
      <c r="D1600" s="294"/>
      <c r="E1600" s="290"/>
      <c r="F1600" s="290"/>
      <c r="G1600" s="292"/>
      <c r="H1600" s="292"/>
      <c r="I1600" s="293"/>
    </row>
    <row r="1601" spans="1:9">
      <c r="A1601" s="294"/>
      <c r="B1601" s="294"/>
      <c r="C1601" s="294"/>
      <c r="D1601" s="294"/>
      <c r="E1601" s="290"/>
      <c r="F1601" s="290"/>
      <c r="G1601" s="292"/>
      <c r="H1601" s="292"/>
      <c r="I1601" s="293"/>
    </row>
    <row r="1602" spans="1:9">
      <c r="A1602" s="294"/>
      <c r="B1602" s="294"/>
      <c r="C1602" s="294"/>
      <c r="D1602" s="294"/>
      <c r="E1602" s="290"/>
      <c r="F1602" s="290"/>
      <c r="G1602" s="292"/>
      <c r="H1602" s="292"/>
      <c r="I1602" s="293"/>
    </row>
    <row r="1603" spans="1:9">
      <c r="A1603" s="294"/>
      <c r="B1603" s="294"/>
      <c r="C1603" s="294"/>
      <c r="D1603" s="294"/>
      <c r="E1603" s="290"/>
      <c r="F1603" s="290"/>
      <c r="G1603" s="292"/>
      <c r="H1603" s="292"/>
      <c r="I1603" s="293"/>
    </row>
    <row r="1604" spans="1:9">
      <c r="A1604" s="294"/>
      <c r="B1604" s="294"/>
      <c r="C1604" s="294"/>
      <c r="D1604" s="294"/>
      <c r="E1604" s="290"/>
      <c r="F1604" s="290"/>
      <c r="G1604" s="292"/>
      <c r="H1604" s="292"/>
      <c r="I1604" s="293"/>
    </row>
    <row r="1605" spans="1:9">
      <c r="A1605" s="294"/>
      <c r="B1605" s="294"/>
      <c r="C1605" s="294"/>
      <c r="D1605" s="294"/>
      <c r="E1605" s="290"/>
      <c r="F1605" s="290"/>
      <c r="G1605" s="292"/>
      <c r="H1605" s="292"/>
      <c r="I1605" s="293"/>
    </row>
    <row r="1606" spans="1:9">
      <c r="A1606" s="294"/>
      <c r="B1606" s="294"/>
      <c r="C1606" s="294"/>
      <c r="D1606" s="294"/>
      <c r="E1606" s="290"/>
      <c r="F1606" s="290"/>
      <c r="G1606" s="292"/>
      <c r="H1606" s="292"/>
      <c r="I1606" s="293"/>
    </row>
    <row r="1607" spans="1:9">
      <c r="A1607" s="294"/>
      <c r="B1607" s="294"/>
      <c r="C1607" s="294"/>
      <c r="D1607" s="294"/>
      <c r="E1607" s="290"/>
      <c r="F1607" s="290"/>
      <c r="G1607" s="291"/>
      <c r="H1607" s="292"/>
      <c r="I1607" s="293"/>
    </row>
    <row r="1608" spans="1:9">
      <c r="A1608" s="294"/>
      <c r="B1608" s="294"/>
      <c r="C1608" s="294"/>
      <c r="D1608" s="294"/>
      <c r="E1608" s="290"/>
      <c r="F1608" s="290"/>
      <c r="G1608" s="291"/>
      <c r="H1608" s="292"/>
      <c r="I1608" s="293"/>
    </row>
    <row r="1609" spans="1:9">
      <c r="A1609" s="294"/>
      <c r="B1609" s="294"/>
      <c r="C1609" s="294"/>
      <c r="D1609" s="294"/>
      <c r="E1609" s="290"/>
      <c r="F1609" s="290"/>
      <c r="G1609" s="291"/>
      <c r="H1609" s="292"/>
      <c r="I1609" s="293"/>
    </row>
    <row r="1610" spans="1:9">
      <c r="A1610" s="294"/>
      <c r="B1610" s="294"/>
      <c r="C1610" s="294"/>
      <c r="D1610" s="294"/>
      <c r="E1610" s="290"/>
      <c r="F1610" s="290"/>
      <c r="G1610" s="291"/>
      <c r="H1610" s="292"/>
      <c r="I1610" s="293"/>
    </row>
    <row r="1611" spans="1:9">
      <c r="A1611" s="294"/>
      <c r="B1611" s="294"/>
      <c r="C1611" s="294"/>
      <c r="D1611" s="294"/>
      <c r="E1611" s="290"/>
      <c r="F1611" s="290"/>
      <c r="G1611" s="291"/>
      <c r="H1611" s="292"/>
      <c r="I1611" s="293"/>
    </row>
    <row r="1612" spans="1:9">
      <c r="A1612" s="294"/>
      <c r="B1612" s="294"/>
      <c r="C1612" s="294"/>
      <c r="D1612" s="294"/>
      <c r="E1612" s="290"/>
      <c r="F1612" s="290"/>
      <c r="G1612" s="291"/>
      <c r="H1612" s="292"/>
      <c r="I1612" s="293"/>
    </row>
    <row r="1613" spans="1:9">
      <c r="A1613" s="294"/>
      <c r="B1613" s="294"/>
      <c r="C1613" s="294"/>
      <c r="D1613" s="294"/>
      <c r="E1613" s="290"/>
      <c r="F1613" s="290"/>
      <c r="G1613" s="291"/>
      <c r="H1613" s="292"/>
      <c r="I1613" s="293"/>
    </row>
    <row r="1614" spans="1:9">
      <c r="A1614" s="294"/>
      <c r="B1614" s="294"/>
      <c r="C1614" s="294"/>
      <c r="D1614" s="294"/>
      <c r="E1614" s="290"/>
      <c r="F1614" s="290"/>
      <c r="G1614" s="291"/>
      <c r="H1614" s="292"/>
      <c r="I1614" s="293"/>
    </row>
    <row r="1615" spans="1:9">
      <c r="A1615" s="294"/>
      <c r="B1615" s="294"/>
      <c r="C1615" s="294"/>
      <c r="D1615" s="294"/>
      <c r="E1615" s="290"/>
      <c r="F1615" s="290"/>
      <c r="G1615" s="291"/>
      <c r="H1615" s="292"/>
      <c r="I1615" s="293"/>
    </row>
    <row r="1616" spans="1:9">
      <c r="A1616" s="294"/>
      <c r="B1616" s="294"/>
      <c r="C1616" s="294"/>
      <c r="D1616" s="294"/>
      <c r="E1616" s="290"/>
      <c r="F1616" s="290"/>
      <c r="G1616" s="291"/>
      <c r="H1616" s="292"/>
      <c r="I1616" s="293"/>
    </row>
    <row r="1617" spans="1:9">
      <c r="A1617" s="294"/>
      <c r="B1617" s="294"/>
      <c r="C1617" s="294"/>
      <c r="D1617" s="294"/>
      <c r="E1617" s="290"/>
      <c r="F1617" s="290"/>
      <c r="G1617" s="291"/>
      <c r="H1617" s="292"/>
      <c r="I1617" s="293"/>
    </row>
    <row r="1618" spans="1:9">
      <c r="A1618" s="294"/>
      <c r="B1618" s="294"/>
      <c r="C1618" s="294"/>
      <c r="D1618" s="294"/>
      <c r="E1618" s="290"/>
      <c r="F1618" s="290"/>
      <c r="G1618" s="291"/>
      <c r="H1618" s="292"/>
      <c r="I1618" s="293"/>
    </row>
    <row r="1619" spans="1:9">
      <c r="A1619" s="294"/>
      <c r="B1619" s="294"/>
      <c r="C1619" s="294"/>
      <c r="D1619" s="294"/>
      <c r="E1619" s="290"/>
      <c r="F1619" s="290"/>
      <c r="G1619" s="291"/>
      <c r="H1619" s="292"/>
      <c r="I1619" s="293"/>
    </row>
    <row r="1620" spans="1:9">
      <c r="A1620" s="294"/>
      <c r="B1620" s="294"/>
      <c r="C1620" s="294"/>
      <c r="D1620" s="294"/>
      <c r="E1620" s="290"/>
      <c r="F1620" s="290"/>
      <c r="G1620" s="291"/>
      <c r="H1620" s="292"/>
      <c r="I1620" s="293"/>
    </row>
    <row r="1621" spans="1:9">
      <c r="A1621" s="294"/>
      <c r="B1621" s="294"/>
      <c r="C1621" s="294"/>
      <c r="D1621" s="294"/>
      <c r="E1621" s="290"/>
      <c r="F1621" s="290"/>
      <c r="G1621" s="291"/>
      <c r="H1621" s="292"/>
      <c r="I1621" s="293"/>
    </row>
    <row r="1622" spans="1:9">
      <c r="A1622" s="294"/>
      <c r="B1622" s="294"/>
      <c r="C1622" s="294"/>
      <c r="D1622" s="294"/>
      <c r="E1622" s="290"/>
      <c r="F1622" s="290"/>
      <c r="G1622" s="291"/>
      <c r="H1622" s="292"/>
      <c r="I1622" s="293"/>
    </row>
    <row r="1623" spans="1:9">
      <c r="A1623" s="294"/>
      <c r="B1623" s="294"/>
      <c r="C1623" s="294"/>
      <c r="D1623" s="294"/>
      <c r="E1623" s="290"/>
      <c r="F1623" s="290"/>
      <c r="G1623" s="291"/>
      <c r="H1623" s="292"/>
      <c r="I1623" s="293"/>
    </row>
    <row r="1624" spans="1:9">
      <c r="A1624" s="294"/>
      <c r="B1624" s="294"/>
      <c r="C1624" s="294"/>
      <c r="D1624" s="294"/>
      <c r="E1624" s="290"/>
      <c r="F1624" s="290"/>
      <c r="G1624" s="291"/>
      <c r="H1624" s="292"/>
      <c r="I1624" s="293"/>
    </row>
    <row r="1625" spans="1:9">
      <c r="A1625" s="294"/>
      <c r="B1625" s="294"/>
      <c r="C1625" s="294"/>
      <c r="D1625" s="294"/>
      <c r="E1625" s="290"/>
      <c r="F1625" s="290"/>
      <c r="G1625" s="291"/>
      <c r="H1625" s="292"/>
      <c r="I1625" s="293"/>
    </row>
    <row r="1626" spans="1:9">
      <c r="A1626" s="294"/>
      <c r="B1626" s="294"/>
      <c r="C1626" s="294"/>
      <c r="D1626" s="294"/>
      <c r="E1626" s="290"/>
      <c r="F1626" s="290"/>
      <c r="G1626" s="291"/>
      <c r="H1626" s="292"/>
      <c r="I1626" s="293"/>
    </row>
    <row r="1627" spans="1:9">
      <c r="A1627" s="294"/>
      <c r="B1627" s="294"/>
      <c r="C1627" s="294"/>
      <c r="D1627" s="294"/>
      <c r="E1627" s="290"/>
      <c r="F1627" s="290"/>
      <c r="G1627" s="291"/>
      <c r="H1627" s="292"/>
      <c r="I1627" s="293"/>
    </row>
    <row r="1628" spans="1:9">
      <c r="A1628" s="294"/>
      <c r="B1628" s="294"/>
      <c r="C1628" s="294"/>
      <c r="D1628" s="294"/>
      <c r="E1628" s="290"/>
      <c r="F1628" s="290"/>
      <c r="G1628" s="291"/>
      <c r="H1628" s="292"/>
      <c r="I1628" s="293"/>
    </row>
    <row r="1629" spans="1:9">
      <c r="A1629" s="294"/>
      <c r="B1629" s="294"/>
      <c r="C1629" s="294"/>
      <c r="D1629" s="294"/>
      <c r="E1629" s="290"/>
      <c r="F1629" s="290"/>
      <c r="G1629" s="291"/>
      <c r="H1629" s="292"/>
      <c r="I1629" s="293"/>
    </row>
    <row r="1630" spans="1:9">
      <c r="A1630" s="294"/>
      <c r="B1630" s="294"/>
      <c r="C1630" s="294"/>
      <c r="D1630" s="294"/>
      <c r="E1630" s="290"/>
      <c r="F1630" s="290"/>
      <c r="G1630" s="292"/>
      <c r="H1630" s="292"/>
      <c r="I1630" s="293"/>
    </row>
    <row r="1631" spans="1:9">
      <c r="A1631" s="294"/>
      <c r="B1631" s="294"/>
      <c r="C1631" s="294"/>
      <c r="D1631" s="294"/>
      <c r="E1631" s="290"/>
      <c r="F1631" s="290"/>
      <c r="G1631" s="292"/>
      <c r="H1631" s="292"/>
      <c r="I1631" s="293"/>
    </row>
    <row r="1632" spans="1:9">
      <c r="A1632" s="294"/>
      <c r="B1632" s="294"/>
      <c r="C1632" s="294"/>
      <c r="D1632" s="294"/>
      <c r="E1632" s="290"/>
      <c r="F1632" s="290"/>
      <c r="G1632" s="292"/>
      <c r="H1632" s="292"/>
      <c r="I1632" s="293"/>
    </row>
    <row r="1633" spans="1:9">
      <c r="A1633" s="294"/>
      <c r="B1633" s="294"/>
      <c r="C1633" s="294"/>
      <c r="D1633" s="294"/>
      <c r="E1633" s="290"/>
      <c r="F1633" s="290"/>
      <c r="G1633" s="292"/>
      <c r="H1633" s="292"/>
      <c r="I1633" s="293"/>
    </row>
    <row r="1634" spans="1:9">
      <c r="A1634" s="294"/>
      <c r="B1634" s="294"/>
      <c r="C1634" s="294"/>
      <c r="D1634" s="294"/>
      <c r="E1634" s="290"/>
      <c r="F1634" s="290"/>
      <c r="G1634" s="292"/>
      <c r="H1634" s="292"/>
      <c r="I1634" s="293"/>
    </row>
    <row r="1635" spans="1:9">
      <c r="A1635" s="294"/>
      <c r="B1635" s="294"/>
      <c r="C1635" s="294"/>
      <c r="D1635" s="294"/>
      <c r="E1635" s="290"/>
      <c r="F1635" s="290"/>
      <c r="G1635" s="292"/>
      <c r="H1635" s="292"/>
      <c r="I1635" s="293"/>
    </row>
    <row r="1636" spans="1:9">
      <c r="A1636" s="294"/>
      <c r="B1636" s="294"/>
      <c r="C1636" s="294"/>
      <c r="D1636" s="294"/>
      <c r="E1636" s="290"/>
      <c r="F1636" s="290"/>
      <c r="G1636" s="292"/>
      <c r="H1636" s="292"/>
      <c r="I1636" s="293"/>
    </row>
    <row r="1637" spans="1:9">
      <c r="A1637" s="294"/>
      <c r="B1637" s="294"/>
      <c r="C1637" s="294"/>
      <c r="D1637" s="294"/>
      <c r="E1637" s="290"/>
      <c r="F1637" s="290"/>
      <c r="G1637" s="292"/>
      <c r="H1637" s="292"/>
      <c r="I1637" s="293"/>
    </row>
    <row r="1638" spans="1:9">
      <c r="A1638" s="294"/>
      <c r="B1638" s="294"/>
      <c r="C1638" s="294"/>
      <c r="D1638" s="294"/>
      <c r="E1638" s="290"/>
      <c r="F1638" s="290"/>
      <c r="G1638" s="292"/>
      <c r="H1638" s="292"/>
      <c r="I1638" s="293"/>
    </row>
    <row r="1639" spans="1:9">
      <c r="A1639" s="294"/>
      <c r="B1639" s="294"/>
      <c r="C1639" s="294"/>
      <c r="D1639" s="294"/>
      <c r="E1639" s="290"/>
      <c r="F1639" s="290"/>
      <c r="G1639" s="292"/>
      <c r="H1639" s="292"/>
      <c r="I1639" s="293"/>
    </row>
    <row r="1640" spans="1:9">
      <c r="A1640" s="294"/>
      <c r="B1640" s="294"/>
      <c r="C1640" s="294"/>
      <c r="D1640" s="294"/>
      <c r="E1640" s="290"/>
      <c r="F1640" s="290"/>
      <c r="G1640" s="292"/>
      <c r="H1640" s="292"/>
      <c r="I1640" s="293"/>
    </row>
    <row r="1641" spans="1:9">
      <c r="A1641" s="294"/>
      <c r="B1641" s="294"/>
      <c r="C1641" s="294"/>
      <c r="D1641" s="294"/>
      <c r="E1641" s="290"/>
      <c r="F1641" s="290"/>
      <c r="G1641" s="292"/>
      <c r="H1641" s="292"/>
      <c r="I1641" s="293"/>
    </row>
    <row r="1642" spans="1:9">
      <c r="A1642" s="294"/>
      <c r="B1642" s="294"/>
      <c r="C1642" s="294"/>
      <c r="D1642" s="294"/>
      <c r="E1642" s="290"/>
      <c r="F1642" s="290"/>
      <c r="G1642" s="292"/>
      <c r="H1642" s="292"/>
      <c r="I1642" s="293"/>
    </row>
    <row r="1643" spans="1:9">
      <c r="A1643" s="294"/>
      <c r="B1643" s="294"/>
      <c r="C1643" s="294"/>
      <c r="D1643" s="294"/>
      <c r="E1643" s="290"/>
      <c r="F1643" s="290"/>
      <c r="G1643" s="292"/>
      <c r="H1643" s="292"/>
      <c r="I1643" s="293"/>
    </row>
    <row r="1644" spans="1:9">
      <c r="A1644" s="294"/>
      <c r="B1644" s="294"/>
      <c r="C1644" s="294"/>
      <c r="D1644" s="294"/>
      <c r="E1644" s="290"/>
      <c r="F1644" s="290"/>
      <c r="G1644" s="292"/>
      <c r="H1644" s="292"/>
      <c r="I1644" s="293"/>
    </row>
    <row r="1645" spans="1:9">
      <c r="A1645" s="294"/>
      <c r="B1645" s="294"/>
      <c r="C1645" s="294"/>
      <c r="D1645" s="294"/>
      <c r="E1645" s="290"/>
      <c r="F1645" s="290"/>
      <c r="G1645" s="292"/>
      <c r="H1645" s="292"/>
      <c r="I1645" s="293"/>
    </row>
    <row r="1646" spans="1:9">
      <c r="A1646" s="294"/>
      <c r="B1646" s="294"/>
      <c r="C1646" s="294"/>
      <c r="D1646" s="294"/>
      <c r="E1646" s="290"/>
      <c r="F1646" s="290"/>
      <c r="G1646" s="292"/>
      <c r="H1646" s="292"/>
      <c r="I1646" s="293"/>
    </row>
    <row r="1647" spans="1:9">
      <c r="A1647" s="294"/>
      <c r="B1647" s="294"/>
      <c r="C1647" s="294"/>
      <c r="D1647" s="294"/>
      <c r="E1647" s="290"/>
      <c r="F1647" s="290"/>
      <c r="G1647" s="292"/>
      <c r="H1647" s="292"/>
      <c r="I1647" s="293"/>
    </row>
    <row r="1648" spans="1:9">
      <c r="A1648" s="294"/>
      <c r="B1648" s="294"/>
      <c r="C1648" s="294"/>
      <c r="D1648" s="294"/>
      <c r="E1648" s="290"/>
      <c r="F1648" s="290"/>
      <c r="G1648" s="292"/>
      <c r="H1648" s="292"/>
      <c r="I1648" s="293"/>
    </row>
    <row r="1649" spans="1:9">
      <c r="A1649" s="294"/>
      <c r="B1649" s="294"/>
      <c r="C1649" s="294"/>
      <c r="D1649" s="294"/>
      <c r="E1649" s="290"/>
      <c r="F1649" s="290"/>
      <c r="G1649" s="292"/>
      <c r="H1649" s="292"/>
      <c r="I1649" s="293"/>
    </row>
    <row r="1650" spans="1:9">
      <c r="A1650" s="294"/>
      <c r="B1650" s="294"/>
      <c r="C1650" s="294"/>
      <c r="D1650" s="294"/>
      <c r="E1650" s="290"/>
      <c r="F1650" s="290"/>
      <c r="G1650" s="292"/>
      <c r="H1650" s="292"/>
      <c r="I1650" s="293"/>
    </row>
    <row r="1651" spans="1:9">
      <c r="A1651" s="294"/>
      <c r="B1651" s="294"/>
      <c r="C1651" s="294"/>
      <c r="D1651" s="294"/>
      <c r="E1651" s="290"/>
      <c r="F1651" s="290"/>
      <c r="G1651" s="292"/>
      <c r="H1651" s="292"/>
      <c r="I1651" s="293"/>
    </row>
    <row r="1652" spans="1:9">
      <c r="A1652" s="294"/>
      <c r="B1652" s="294"/>
      <c r="C1652" s="294"/>
      <c r="D1652" s="294"/>
      <c r="E1652" s="290"/>
      <c r="F1652" s="290"/>
      <c r="G1652" s="292"/>
      <c r="H1652" s="292"/>
      <c r="I1652" s="293"/>
    </row>
    <row r="1653" spans="1:9">
      <c r="A1653" s="294"/>
      <c r="B1653" s="294"/>
      <c r="C1653" s="294"/>
      <c r="D1653" s="294"/>
      <c r="E1653" s="290"/>
      <c r="F1653" s="290"/>
      <c r="G1653" s="292"/>
      <c r="H1653" s="292"/>
      <c r="I1653" s="293"/>
    </row>
    <row r="1654" spans="1:9">
      <c r="A1654" s="294"/>
      <c r="B1654" s="294"/>
      <c r="C1654" s="294"/>
      <c r="D1654" s="294"/>
      <c r="E1654" s="290"/>
      <c r="F1654" s="290"/>
      <c r="G1654" s="292"/>
      <c r="H1654" s="292"/>
      <c r="I1654" s="293"/>
    </row>
    <row r="1655" spans="1:9">
      <c r="A1655" s="294"/>
      <c r="B1655" s="294"/>
      <c r="C1655" s="294"/>
      <c r="D1655" s="294"/>
      <c r="E1655" s="290"/>
      <c r="F1655" s="290"/>
      <c r="G1655" s="292"/>
      <c r="H1655" s="292"/>
      <c r="I1655" s="293"/>
    </row>
    <row r="1656" spans="1:9">
      <c r="A1656" s="294"/>
      <c r="B1656" s="294"/>
      <c r="C1656" s="294"/>
      <c r="D1656" s="294"/>
      <c r="E1656" s="290"/>
      <c r="F1656" s="290"/>
      <c r="G1656" s="292"/>
      <c r="H1656" s="292"/>
      <c r="I1656" s="293"/>
    </row>
    <row r="1657" spans="1:9">
      <c r="A1657" s="294"/>
      <c r="B1657" s="294"/>
      <c r="C1657" s="294"/>
      <c r="D1657" s="294"/>
      <c r="E1657" s="290"/>
      <c r="F1657" s="290"/>
      <c r="G1657" s="292"/>
      <c r="H1657" s="292"/>
      <c r="I1657" s="293"/>
    </row>
    <row r="1658" spans="1:9">
      <c r="A1658" s="294"/>
      <c r="B1658" s="294"/>
      <c r="C1658" s="294"/>
      <c r="D1658" s="294"/>
      <c r="E1658" s="290"/>
      <c r="F1658" s="290"/>
      <c r="G1658" s="292"/>
      <c r="H1658" s="292"/>
      <c r="I1658" s="293"/>
    </row>
    <row r="1659" spans="1:9">
      <c r="A1659" s="294"/>
      <c r="B1659" s="294"/>
      <c r="C1659" s="294"/>
      <c r="D1659" s="294"/>
      <c r="E1659" s="290"/>
      <c r="F1659" s="290"/>
      <c r="G1659" s="292"/>
      <c r="H1659" s="292"/>
      <c r="I1659" s="293"/>
    </row>
    <row r="1660" spans="1:9">
      <c r="A1660" s="294"/>
      <c r="B1660" s="294"/>
      <c r="C1660" s="294"/>
      <c r="D1660" s="294"/>
      <c r="E1660" s="290"/>
      <c r="F1660" s="290"/>
      <c r="G1660" s="292"/>
      <c r="H1660" s="292"/>
      <c r="I1660" s="293"/>
    </row>
    <row r="1661" spans="1:9">
      <c r="A1661" s="294"/>
      <c r="B1661" s="294"/>
      <c r="C1661" s="294"/>
      <c r="D1661" s="294"/>
      <c r="E1661" s="290"/>
      <c r="F1661" s="290"/>
      <c r="G1661" s="292"/>
      <c r="H1661" s="292"/>
      <c r="I1661" s="293"/>
    </row>
    <row r="1662" spans="1:9">
      <c r="A1662" s="294"/>
      <c r="B1662" s="294"/>
      <c r="C1662" s="294"/>
      <c r="D1662" s="294"/>
      <c r="E1662" s="290"/>
      <c r="F1662" s="290"/>
      <c r="G1662" s="292"/>
      <c r="H1662" s="292"/>
      <c r="I1662" s="293"/>
    </row>
    <row r="1663" spans="1:9">
      <c r="A1663" s="294"/>
      <c r="B1663" s="294"/>
      <c r="C1663" s="294"/>
      <c r="D1663" s="294"/>
      <c r="E1663" s="290"/>
      <c r="F1663" s="290"/>
      <c r="G1663" s="292"/>
      <c r="H1663" s="292"/>
      <c r="I1663" s="293"/>
    </row>
    <row r="1664" spans="1:9">
      <c r="A1664" s="294"/>
      <c r="B1664" s="294"/>
      <c r="C1664" s="294"/>
      <c r="D1664" s="294"/>
      <c r="E1664" s="290"/>
      <c r="F1664" s="290"/>
      <c r="G1664" s="292"/>
      <c r="H1664" s="292"/>
      <c r="I1664" s="293"/>
    </row>
    <row r="1665" spans="1:9">
      <c r="A1665" s="294"/>
      <c r="B1665" s="294"/>
      <c r="C1665" s="294"/>
      <c r="D1665" s="294"/>
      <c r="E1665" s="290"/>
      <c r="F1665" s="290"/>
      <c r="G1665" s="292"/>
      <c r="H1665" s="292"/>
      <c r="I1665" s="293"/>
    </row>
    <row r="1666" spans="1:9">
      <c r="A1666" s="294"/>
      <c r="B1666" s="294"/>
      <c r="C1666" s="294"/>
      <c r="D1666" s="294"/>
      <c r="E1666" s="290"/>
      <c r="F1666" s="290"/>
      <c r="G1666" s="292"/>
      <c r="H1666" s="292"/>
      <c r="I1666" s="293"/>
    </row>
    <row r="1667" spans="1:9">
      <c r="A1667" s="294"/>
      <c r="B1667" s="294"/>
      <c r="C1667" s="294"/>
      <c r="D1667" s="294"/>
      <c r="E1667" s="290"/>
      <c r="F1667" s="290"/>
      <c r="G1667" s="292"/>
      <c r="H1667" s="292"/>
      <c r="I1667" s="293"/>
    </row>
    <row r="1668" spans="1:9">
      <c r="A1668" s="294"/>
      <c r="B1668" s="294"/>
      <c r="C1668" s="294"/>
      <c r="D1668" s="294"/>
      <c r="E1668" s="290"/>
      <c r="F1668" s="290"/>
      <c r="G1668" s="292"/>
      <c r="H1668" s="292"/>
      <c r="I1668" s="293"/>
    </row>
    <row r="1669" spans="1:9">
      <c r="A1669" s="294"/>
      <c r="B1669" s="294"/>
      <c r="C1669" s="294"/>
      <c r="D1669" s="294"/>
      <c r="E1669" s="290"/>
      <c r="F1669" s="290"/>
      <c r="G1669" s="292"/>
      <c r="H1669" s="292"/>
      <c r="I1669" s="293"/>
    </row>
    <row r="1670" spans="1:9">
      <c r="A1670" s="294"/>
      <c r="B1670" s="294"/>
      <c r="C1670" s="294"/>
      <c r="D1670" s="294"/>
      <c r="E1670" s="290"/>
      <c r="F1670" s="290"/>
      <c r="G1670" s="292"/>
      <c r="H1670" s="292"/>
      <c r="I1670" s="293"/>
    </row>
    <row r="1671" spans="1:9">
      <c r="A1671" s="294"/>
      <c r="B1671" s="294"/>
      <c r="C1671" s="294"/>
      <c r="D1671" s="294"/>
      <c r="E1671" s="290"/>
      <c r="F1671" s="290"/>
      <c r="G1671" s="292"/>
      <c r="H1671" s="292"/>
      <c r="I1671" s="293"/>
    </row>
    <row r="1672" spans="1:9">
      <c r="A1672" s="294"/>
      <c r="B1672" s="294"/>
      <c r="C1672" s="294"/>
      <c r="D1672" s="294"/>
      <c r="E1672" s="290"/>
      <c r="F1672" s="290"/>
      <c r="G1672" s="292"/>
      <c r="H1672" s="292"/>
      <c r="I1672" s="293"/>
    </row>
    <row r="1673" spans="1:9">
      <c r="A1673" s="294"/>
      <c r="B1673" s="294"/>
      <c r="C1673" s="294"/>
      <c r="D1673" s="294"/>
      <c r="E1673" s="290"/>
      <c r="F1673" s="290"/>
      <c r="G1673" s="292"/>
      <c r="H1673" s="292"/>
      <c r="I1673" s="293"/>
    </row>
    <row r="1674" spans="1:9">
      <c r="A1674" s="294"/>
      <c r="B1674" s="294"/>
      <c r="C1674" s="294"/>
      <c r="D1674" s="294"/>
      <c r="E1674" s="290"/>
      <c r="F1674" s="290"/>
      <c r="G1674" s="292"/>
      <c r="H1674" s="292"/>
      <c r="I1674" s="293"/>
    </row>
    <row r="1675" spans="1:9">
      <c r="A1675" s="294"/>
      <c r="B1675" s="294"/>
      <c r="C1675" s="294"/>
      <c r="D1675" s="294"/>
      <c r="E1675" s="290"/>
      <c r="F1675" s="290"/>
      <c r="G1675" s="292"/>
      <c r="H1675" s="292"/>
      <c r="I1675" s="293"/>
    </row>
    <row r="1676" spans="1:9">
      <c r="A1676" s="294"/>
      <c r="B1676" s="294"/>
      <c r="C1676" s="294"/>
      <c r="D1676" s="294"/>
      <c r="E1676" s="290"/>
      <c r="F1676" s="290"/>
      <c r="G1676" s="292"/>
      <c r="H1676" s="292"/>
      <c r="I1676" s="293"/>
    </row>
    <row r="1677" spans="1:9">
      <c r="A1677" s="294"/>
      <c r="B1677" s="294"/>
      <c r="C1677" s="294"/>
      <c r="D1677" s="294"/>
      <c r="E1677" s="290"/>
      <c r="F1677" s="290"/>
      <c r="G1677" s="292"/>
      <c r="H1677" s="292"/>
      <c r="I1677" s="293"/>
    </row>
    <row r="1678" spans="1:9">
      <c r="A1678" s="294"/>
      <c r="B1678" s="294"/>
      <c r="C1678" s="294"/>
      <c r="D1678" s="294"/>
      <c r="E1678" s="290"/>
      <c r="F1678" s="290"/>
      <c r="G1678" s="292"/>
      <c r="H1678" s="292"/>
      <c r="I1678" s="293"/>
    </row>
    <row r="1679" spans="1:9">
      <c r="A1679" s="294"/>
      <c r="B1679" s="294"/>
      <c r="C1679" s="294"/>
      <c r="D1679" s="294"/>
      <c r="E1679" s="290"/>
      <c r="F1679" s="290"/>
      <c r="G1679" s="292"/>
      <c r="H1679" s="292"/>
      <c r="I1679" s="293"/>
    </row>
    <row r="1680" spans="1:9">
      <c r="A1680" s="294"/>
      <c r="B1680" s="294"/>
      <c r="C1680" s="294"/>
      <c r="D1680" s="294"/>
      <c r="E1680" s="290"/>
      <c r="F1680" s="290"/>
      <c r="G1680" s="292"/>
      <c r="H1680" s="292"/>
      <c r="I1680" s="293"/>
    </row>
    <row r="1681" spans="1:9">
      <c r="A1681" s="294"/>
      <c r="B1681" s="294"/>
      <c r="C1681" s="294"/>
      <c r="D1681" s="294"/>
      <c r="E1681" s="290"/>
      <c r="F1681" s="290"/>
      <c r="G1681" s="292"/>
      <c r="H1681" s="292"/>
      <c r="I1681" s="293"/>
    </row>
    <row r="1682" spans="1:9">
      <c r="A1682" s="294"/>
      <c r="B1682" s="294"/>
      <c r="C1682" s="294"/>
      <c r="D1682" s="294"/>
      <c r="E1682" s="290"/>
      <c r="F1682" s="290"/>
      <c r="G1682" s="292"/>
      <c r="H1682" s="292"/>
      <c r="I1682" s="293"/>
    </row>
    <row r="1683" spans="1:9">
      <c r="A1683" s="294"/>
      <c r="B1683" s="294"/>
      <c r="C1683" s="294"/>
      <c r="D1683" s="294"/>
      <c r="E1683" s="290"/>
      <c r="F1683" s="290"/>
      <c r="G1683" s="292"/>
      <c r="H1683" s="292"/>
      <c r="I1683" s="293"/>
    </row>
    <row r="1684" spans="1:9">
      <c r="A1684" s="294"/>
      <c r="B1684" s="294"/>
      <c r="C1684" s="294"/>
      <c r="D1684" s="294"/>
      <c r="E1684" s="290"/>
      <c r="F1684" s="290"/>
      <c r="G1684" s="292"/>
      <c r="H1684" s="292"/>
      <c r="I1684" s="293"/>
    </row>
    <row r="1685" spans="1:9">
      <c r="A1685" s="294"/>
      <c r="B1685" s="294"/>
      <c r="C1685" s="294"/>
      <c r="D1685" s="294"/>
      <c r="E1685" s="290"/>
      <c r="F1685" s="290"/>
      <c r="G1685" s="292"/>
      <c r="H1685" s="292"/>
      <c r="I1685" s="293"/>
    </row>
    <row r="1686" spans="1:9">
      <c r="A1686" s="294"/>
      <c r="B1686" s="294"/>
      <c r="C1686" s="294"/>
      <c r="D1686" s="294"/>
      <c r="E1686" s="290"/>
      <c r="F1686" s="290"/>
      <c r="G1686" s="292"/>
      <c r="H1686" s="292"/>
      <c r="I1686" s="293"/>
    </row>
    <row r="1687" spans="1:9">
      <c r="A1687" s="294"/>
      <c r="B1687" s="294"/>
      <c r="C1687" s="294"/>
      <c r="D1687" s="294"/>
      <c r="E1687" s="290"/>
      <c r="F1687" s="290"/>
      <c r="G1687" s="292"/>
      <c r="H1687" s="292"/>
      <c r="I1687" s="293"/>
    </row>
    <row r="1688" spans="1:9">
      <c r="A1688" s="294"/>
      <c r="B1688" s="294"/>
      <c r="C1688" s="294"/>
      <c r="D1688" s="294"/>
      <c r="E1688" s="290"/>
      <c r="F1688" s="290"/>
      <c r="G1688" s="292"/>
      <c r="H1688" s="292"/>
      <c r="I1688" s="293"/>
    </row>
    <row r="1689" spans="1:9">
      <c r="A1689" s="294"/>
      <c r="B1689" s="294"/>
      <c r="C1689" s="294"/>
      <c r="D1689" s="294"/>
      <c r="E1689" s="290"/>
      <c r="F1689" s="290"/>
      <c r="G1689" s="292"/>
      <c r="H1689" s="292"/>
      <c r="I1689" s="293"/>
    </row>
    <row r="1690" spans="1:9">
      <c r="A1690" s="294"/>
      <c r="B1690" s="294"/>
      <c r="C1690" s="294"/>
      <c r="D1690" s="294"/>
      <c r="E1690" s="290"/>
      <c r="F1690" s="290"/>
      <c r="G1690" s="292"/>
      <c r="H1690" s="292"/>
      <c r="I1690" s="293"/>
    </row>
    <row r="1691" spans="1:9">
      <c r="A1691" s="294"/>
      <c r="B1691" s="294"/>
      <c r="C1691" s="294"/>
      <c r="D1691" s="294"/>
      <c r="E1691" s="290"/>
      <c r="F1691" s="290"/>
      <c r="G1691" s="292"/>
      <c r="H1691" s="292"/>
      <c r="I1691" s="293"/>
    </row>
    <row r="1692" spans="1:9">
      <c r="A1692" s="294"/>
      <c r="B1692" s="294"/>
      <c r="C1692" s="294"/>
      <c r="D1692" s="294"/>
      <c r="E1692" s="290"/>
      <c r="F1692" s="290"/>
      <c r="G1692" s="292"/>
      <c r="H1692" s="292"/>
      <c r="I1692" s="293"/>
    </row>
    <row r="1693" spans="1:9">
      <c r="A1693" s="294"/>
      <c r="B1693" s="294"/>
      <c r="C1693" s="294"/>
      <c r="D1693" s="294"/>
      <c r="E1693" s="290"/>
      <c r="F1693" s="290"/>
      <c r="G1693" s="292"/>
      <c r="H1693" s="292"/>
      <c r="I1693" s="293"/>
    </row>
    <row r="1694" spans="1:9">
      <c r="A1694" s="294"/>
      <c r="B1694" s="294"/>
      <c r="C1694" s="294"/>
      <c r="D1694" s="294"/>
      <c r="E1694" s="290"/>
      <c r="F1694" s="290"/>
      <c r="G1694" s="292"/>
      <c r="H1694" s="292"/>
      <c r="I1694" s="293"/>
    </row>
    <row r="1695" spans="1:9">
      <c r="A1695" s="294"/>
      <c r="B1695" s="294"/>
      <c r="C1695" s="294"/>
      <c r="D1695" s="294"/>
      <c r="E1695" s="290"/>
      <c r="F1695" s="290"/>
      <c r="G1695" s="292"/>
      <c r="H1695" s="292"/>
      <c r="I1695" s="293"/>
    </row>
    <row r="1696" spans="1:9">
      <c r="A1696" s="294"/>
      <c r="B1696" s="294"/>
      <c r="C1696" s="294"/>
      <c r="D1696" s="294"/>
      <c r="E1696" s="290"/>
      <c r="F1696" s="290"/>
      <c r="G1696" s="292"/>
      <c r="H1696" s="292"/>
      <c r="I1696" s="293"/>
    </row>
    <row r="1697" spans="1:9">
      <c r="A1697" s="294"/>
      <c r="B1697" s="294"/>
      <c r="C1697" s="294"/>
      <c r="D1697" s="294"/>
      <c r="E1697" s="290"/>
      <c r="F1697" s="290"/>
      <c r="G1697" s="292"/>
      <c r="H1697" s="292"/>
      <c r="I1697" s="293"/>
    </row>
    <row r="1698" spans="1:9">
      <c r="A1698" s="294"/>
      <c r="B1698" s="294"/>
      <c r="C1698" s="294"/>
      <c r="D1698" s="294"/>
      <c r="E1698" s="290"/>
      <c r="F1698" s="290"/>
      <c r="G1698" s="292"/>
      <c r="H1698" s="292"/>
      <c r="I1698" s="293"/>
    </row>
    <row r="1699" spans="1:9">
      <c r="A1699" s="294"/>
      <c r="B1699" s="294"/>
      <c r="C1699" s="294"/>
      <c r="D1699" s="294"/>
      <c r="E1699" s="290"/>
      <c r="F1699" s="290"/>
      <c r="G1699" s="292"/>
      <c r="H1699" s="292"/>
      <c r="I1699" s="293"/>
    </row>
    <row r="1700" spans="1:9">
      <c r="A1700" s="294"/>
      <c r="B1700" s="294"/>
      <c r="C1700" s="294"/>
      <c r="D1700" s="294"/>
      <c r="E1700" s="290"/>
      <c r="F1700" s="290"/>
      <c r="G1700" s="292"/>
      <c r="H1700" s="292"/>
      <c r="I1700" s="293"/>
    </row>
    <row r="1701" spans="1:9">
      <c r="A1701" s="294"/>
      <c r="B1701" s="294"/>
      <c r="C1701" s="294"/>
      <c r="D1701" s="294"/>
      <c r="E1701" s="290"/>
      <c r="F1701" s="290"/>
      <c r="G1701" s="292"/>
      <c r="H1701" s="292"/>
      <c r="I1701" s="293"/>
    </row>
    <row r="1702" spans="1:9">
      <c r="A1702" s="294"/>
      <c r="B1702" s="294"/>
      <c r="C1702" s="294"/>
      <c r="D1702" s="294"/>
      <c r="E1702" s="290"/>
      <c r="F1702" s="290"/>
      <c r="G1702" s="292"/>
      <c r="H1702" s="292"/>
      <c r="I1702" s="293"/>
    </row>
    <row r="1703" spans="1:9">
      <c r="A1703" s="294"/>
      <c r="B1703" s="294"/>
      <c r="C1703" s="294"/>
      <c r="D1703" s="294"/>
      <c r="E1703" s="290"/>
      <c r="F1703" s="290"/>
      <c r="G1703" s="292"/>
      <c r="H1703" s="292"/>
      <c r="I1703" s="293"/>
    </row>
    <row r="1704" spans="1:9">
      <c r="A1704" s="294"/>
      <c r="B1704" s="294"/>
      <c r="C1704" s="294"/>
      <c r="D1704" s="294"/>
      <c r="E1704" s="290"/>
      <c r="F1704" s="290"/>
      <c r="G1704" s="292"/>
      <c r="H1704" s="292"/>
      <c r="I1704" s="293"/>
    </row>
    <row r="1705" spans="1:9">
      <c r="A1705" s="294"/>
      <c r="B1705" s="294"/>
      <c r="C1705" s="294"/>
      <c r="D1705" s="294"/>
      <c r="E1705" s="290"/>
      <c r="F1705" s="290"/>
      <c r="G1705" s="292"/>
      <c r="H1705" s="292"/>
      <c r="I1705" s="293"/>
    </row>
    <row r="1706" spans="1:9">
      <c r="A1706" s="294"/>
      <c r="B1706" s="294"/>
      <c r="C1706" s="294"/>
      <c r="D1706" s="294"/>
      <c r="E1706" s="290"/>
      <c r="F1706" s="290"/>
      <c r="G1706" s="292"/>
      <c r="H1706" s="292"/>
      <c r="I1706" s="293"/>
    </row>
    <row r="1707" spans="1:9">
      <c r="A1707" s="294"/>
      <c r="B1707" s="294"/>
      <c r="C1707" s="294"/>
      <c r="D1707" s="294"/>
      <c r="E1707" s="290"/>
      <c r="F1707" s="290"/>
      <c r="G1707" s="292"/>
      <c r="H1707" s="292"/>
      <c r="I1707" s="293"/>
    </row>
    <row r="1708" spans="1:9">
      <c r="A1708" s="294"/>
      <c r="B1708" s="294"/>
      <c r="C1708" s="294"/>
      <c r="D1708" s="294"/>
      <c r="E1708" s="290"/>
      <c r="F1708" s="290"/>
      <c r="G1708" s="292"/>
      <c r="H1708" s="292"/>
      <c r="I1708" s="293"/>
    </row>
    <row r="1709" spans="1:9">
      <c r="A1709" s="294"/>
      <c r="B1709" s="294"/>
      <c r="C1709" s="294"/>
      <c r="D1709" s="294"/>
      <c r="E1709" s="290"/>
      <c r="F1709" s="290"/>
      <c r="G1709" s="292"/>
      <c r="H1709" s="292"/>
      <c r="I1709" s="293"/>
    </row>
    <row r="1710" spans="1:9">
      <c r="A1710" s="294"/>
      <c r="B1710" s="294"/>
      <c r="C1710" s="294"/>
      <c r="D1710" s="294"/>
      <c r="E1710" s="290"/>
      <c r="F1710" s="290"/>
      <c r="G1710" s="292"/>
      <c r="H1710" s="292"/>
      <c r="I1710" s="293"/>
    </row>
    <row r="1711" spans="1:9">
      <c r="A1711" s="294"/>
      <c r="B1711" s="294"/>
      <c r="C1711" s="294"/>
      <c r="D1711" s="294"/>
      <c r="E1711" s="290"/>
      <c r="F1711" s="290"/>
      <c r="G1711" s="292"/>
      <c r="H1711" s="292"/>
      <c r="I1711" s="293"/>
    </row>
    <row r="1712" spans="1:9">
      <c r="A1712" s="294"/>
      <c r="B1712" s="294"/>
      <c r="C1712" s="294"/>
      <c r="D1712" s="294"/>
      <c r="E1712" s="290"/>
      <c r="F1712" s="290"/>
      <c r="G1712" s="292"/>
      <c r="H1712" s="292"/>
      <c r="I1712" s="293"/>
    </row>
    <row r="1713" spans="1:9">
      <c r="A1713" s="294"/>
      <c r="B1713" s="294"/>
      <c r="C1713" s="294"/>
      <c r="D1713" s="294"/>
      <c r="E1713" s="290"/>
      <c r="F1713" s="290"/>
      <c r="G1713" s="292"/>
      <c r="H1713" s="292"/>
      <c r="I1713" s="293"/>
    </row>
    <row r="1714" spans="1:9">
      <c r="A1714" s="294"/>
      <c r="B1714" s="294"/>
      <c r="C1714" s="294"/>
      <c r="D1714" s="294"/>
      <c r="E1714" s="290"/>
      <c r="F1714" s="290"/>
      <c r="G1714" s="292"/>
      <c r="H1714" s="292"/>
      <c r="I1714" s="293"/>
    </row>
    <row r="1715" spans="1:9">
      <c r="A1715" s="294"/>
      <c r="B1715" s="294"/>
      <c r="C1715" s="294"/>
      <c r="D1715" s="294"/>
      <c r="E1715" s="290"/>
      <c r="F1715" s="290"/>
      <c r="G1715" s="292"/>
      <c r="H1715" s="292"/>
      <c r="I1715" s="293"/>
    </row>
    <row r="1716" spans="1:9">
      <c r="A1716" s="294"/>
      <c r="B1716" s="294"/>
      <c r="C1716" s="294"/>
      <c r="D1716" s="294"/>
      <c r="E1716" s="290"/>
      <c r="F1716" s="290"/>
      <c r="G1716" s="292"/>
      <c r="H1716" s="292"/>
      <c r="I1716" s="293"/>
    </row>
    <row r="1717" spans="1:9">
      <c r="A1717" s="294"/>
      <c r="B1717" s="294"/>
      <c r="C1717" s="294"/>
      <c r="D1717" s="294"/>
      <c r="E1717" s="290"/>
      <c r="F1717" s="290"/>
      <c r="G1717" s="292"/>
      <c r="H1717" s="292"/>
      <c r="I1717" s="293"/>
    </row>
    <row r="1718" spans="1:9">
      <c r="A1718" s="294"/>
      <c r="B1718" s="294"/>
      <c r="C1718" s="294"/>
      <c r="D1718" s="294"/>
      <c r="E1718" s="290"/>
      <c r="F1718" s="290"/>
      <c r="G1718" s="292"/>
      <c r="H1718" s="292"/>
      <c r="I1718" s="293"/>
    </row>
    <row r="1719" spans="1:9">
      <c r="A1719" s="294"/>
      <c r="B1719" s="294"/>
      <c r="C1719" s="294"/>
      <c r="D1719" s="294"/>
      <c r="E1719" s="290"/>
      <c r="F1719" s="290"/>
      <c r="G1719" s="292"/>
      <c r="H1719" s="292"/>
      <c r="I1719" s="293"/>
    </row>
    <row r="1720" spans="1:9">
      <c r="A1720" s="294"/>
      <c r="B1720" s="294"/>
      <c r="C1720" s="294"/>
      <c r="D1720" s="294"/>
      <c r="E1720" s="290"/>
      <c r="F1720" s="290"/>
      <c r="G1720" s="292"/>
      <c r="H1720" s="292"/>
      <c r="I1720" s="293"/>
    </row>
    <row r="1721" spans="1:9">
      <c r="A1721" s="294"/>
      <c r="B1721" s="294"/>
      <c r="C1721" s="294"/>
      <c r="D1721" s="294"/>
      <c r="E1721" s="290"/>
      <c r="F1721" s="290"/>
      <c r="G1721" s="292"/>
      <c r="H1721" s="292"/>
      <c r="I1721" s="293"/>
    </row>
    <row r="1722" spans="1:9">
      <c r="A1722" s="294"/>
      <c r="B1722" s="294"/>
      <c r="C1722" s="294"/>
      <c r="D1722" s="294"/>
      <c r="E1722" s="290"/>
      <c r="F1722" s="290"/>
      <c r="G1722" s="292"/>
      <c r="H1722" s="292"/>
      <c r="I1722" s="293"/>
    </row>
    <row r="1723" spans="1:9">
      <c r="A1723" s="294"/>
      <c r="B1723" s="294"/>
      <c r="C1723" s="294"/>
      <c r="D1723" s="294"/>
      <c r="E1723" s="290"/>
      <c r="F1723" s="290"/>
      <c r="G1723" s="292"/>
      <c r="H1723" s="292"/>
      <c r="I1723" s="293"/>
    </row>
    <row r="1724" spans="1:9">
      <c r="A1724" s="294"/>
      <c r="B1724" s="294"/>
      <c r="C1724" s="294"/>
      <c r="D1724" s="294"/>
      <c r="E1724" s="290"/>
      <c r="F1724" s="290"/>
      <c r="G1724" s="292"/>
      <c r="H1724" s="292"/>
      <c r="I1724" s="293"/>
    </row>
    <row r="1725" spans="1:9">
      <c r="A1725" s="294"/>
      <c r="B1725" s="294"/>
      <c r="C1725" s="294"/>
      <c r="D1725" s="294"/>
      <c r="E1725" s="290"/>
      <c r="F1725" s="290"/>
      <c r="G1725" s="292"/>
      <c r="H1725" s="292"/>
      <c r="I1725" s="293"/>
    </row>
    <row r="1726" spans="1:9">
      <c r="A1726" s="294"/>
      <c r="B1726" s="294"/>
      <c r="C1726" s="294"/>
      <c r="D1726" s="294"/>
      <c r="E1726" s="290"/>
      <c r="F1726" s="290"/>
      <c r="G1726" s="292"/>
      <c r="H1726" s="292"/>
      <c r="I1726" s="293"/>
    </row>
    <row r="1727" spans="1:9">
      <c r="A1727" s="294"/>
      <c r="B1727" s="294"/>
      <c r="C1727" s="294"/>
      <c r="D1727" s="294"/>
      <c r="E1727" s="290"/>
      <c r="F1727" s="290"/>
      <c r="G1727" s="292"/>
      <c r="H1727" s="292"/>
      <c r="I1727" s="293"/>
    </row>
    <row r="1728" spans="1:9">
      <c r="A1728" s="294"/>
      <c r="B1728" s="294"/>
      <c r="C1728" s="294"/>
      <c r="D1728" s="294"/>
      <c r="E1728" s="290"/>
      <c r="F1728" s="290"/>
      <c r="G1728" s="292"/>
      <c r="H1728" s="292"/>
      <c r="I1728" s="293"/>
    </row>
    <row r="1729" spans="1:9">
      <c r="A1729" s="294"/>
      <c r="B1729" s="294"/>
      <c r="C1729" s="294"/>
      <c r="D1729" s="294"/>
      <c r="E1729" s="290"/>
      <c r="F1729" s="290"/>
      <c r="G1729" s="292"/>
      <c r="H1729" s="292"/>
      <c r="I1729" s="293"/>
    </row>
    <row r="1730" spans="1:9">
      <c r="A1730" s="294"/>
      <c r="B1730" s="294"/>
      <c r="C1730" s="294"/>
      <c r="D1730" s="294"/>
      <c r="E1730" s="290"/>
      <c r="F1730" s="290"/>
      <c r="G1730" s="292"/>
      <c r="H1730" s="292"/>
      <c r="I1730" s="293"/>
    </row>
    <row r="1731" spans="1:9">
      <c r="A1731" s="294"/>
      <c r="B1731" s="294"/>
      <c r="C1731" s="294"/>
      <c r="D1731" s="294"/>
      <c r="E1731" s="290"/>
      <c r="F1731" s="290"/>
      <c r="G1731" s="292"/>
      <c r="H1731" s="292"/>
      <c r="I1731" s="293"/>
    </row>
    <row r="1732" spans="1:9">
      <c r="A1732" s="294"/>
      <c r="B1732" s="294"/>
      <c r="C1732" s="294"/>
      <c r="D1732" s="294"/>
      <c r="E1732" s="290"/>
      <c r="F1732" s="290"/>
      <c r="G1732" s="292"/>
      <c r="H1732" s="292"/>
      <c r="I1732" s="293"/>
    </row>
    <row r="1733" spans="1:9">
      <c r="A1733" s="294"/>
      <c r="B1733" s="294"/>
      <c r="C1733" s="294"/>
      <c r="D1733" s="294"/>
      <c r="E1733" s="290"/>
      <c r="F1733" s="290"/>
      <c r="G1733" s="292"/>
      <c r="H1733" s="292"/>
      <c r="I1733" s="293"/>
    </row>
    <row r="1734" spans="1:9">
      <c r="A1734" s="294"/>
      <c r="B1734" s="294"/>
      <c r="C1734" s="294"/>
      <c r="D1734" s="294"/>
      <c r="E1734" s="290"/>
      <c r="F1734" s="290"/>
      <c r="G1734" s="292"/>
      <c r="H1734" s="292"/>
      <c r="I1734" s="293"/>
    </row>
    <row r="1735" spans="1:9">
      <c r="A1735" s="294"/>
      <c r="B1735" s="294"/>
      <c r="C1735" s="294"/>
      <c r="D1735" s="294"/>
      <c r="E1735" s="290"/>
      <c r="F1735" s="290"/>
      <c r="G1735" s="292"/>
      <c r="H1735" s="292"/>
      <c r="I1735" s="293"/>
    </row>
    <row r="1736" spans="1:9">
      <c r="A1736" s="294"/>
      <c r="B1736" s="294"/>
      <c r="C1736" s="294"/>
      <c r="D1736" s="294"/>
      <c r="E1736" s="290"/>
      <c r="F1736" s="290"/>
      <c r="G1736" s="292"/>
      <c r="H1736" s="292"/>
      <c r="I1736" s="293"/>
    </row>
    <row r="1737" spans="1:9">
      <c r="A1737" s="294"/>
      <c r="B1737" s="294"/>
      <c r="C1737" s="294"/>
      <c r="D1737" s="294"/>
      <c r="E1737" s="290"/>
      <c r="F1737" s="290"/>
      <c r="G1737" s="292"/>
      <c r="H1737" s="292"/>
      <c r="I1737" s="293"/>
    </row>
    <row r="1738" spans="1:9">
      <c r="A1738" s="294"/>
      <c r="B1738" s="294"/>
      <c r="C1738" s="294"/>
      <c r="D1738" s="294"/>
      <c r="E1738" s="290"/>
      <c r="F1738" s="290"/>
      <c r="G1738" s="292"/>
      <c r="H1738" s="292"/>
      <c r="I1738" s="293"/>
    </row>
    <row r="1739" spans="1:9">
      <c r="A1739" s="294"/>
      <c r="B1739" s="294"/>
      <c r="C1739" s="294"/>
      <c r="D1739" s="294"/>
      <c r="E1739" s="290"/>
      <c r="F1739" s="290"/>
      <c r="G1739" s="292"/>
      <c r="H1739" s="292"/>
      <c r="I1739" s="293"/>
    </row>
    <row r="1740" spans="1:9">
      <c r="A1740" s="294"/>
      <c r="B1740" s="294"/>
      <c r="C1740" s="294"/>
      <c r="D1740" s="294"/>
      <c r="E1740" s="290"/>
      <c r="F1740" s="290"/>
      <c r="G1740" s="292"/>
      <c r="H1740" s="292"/>
      <c r="I1740" s="293"/>
    </row>
    <row r="1741" spans="1:9">
      <c r="A1741" s="294"/>
      <c r="B1741" s="294"/>
      <c r="C1741" s="294"/>
      <c r="D1741" s="294"/>
      <c r="E1741" s="290"/>
      <c r="F1741" s="290"/>
      <c r="G1741" s="292"/>
      <c r="H1741" s="292"/>
      <c r="I1741" s="293"/>
    </row>
    <row r="1742" spans="1:9">
      <c r="A1742" s="294"/>
      <c r="B1742" s="294"/>
      <c r="C1742" s="294"/>
      <c r="D1742" s="294"/>
      <c r="E1742" s="290"/>
      <c r="F1742" s="290"/>
      <c r="G1742" s="292"/>
      <c r="H1742" s="292"/>
      <c r="I1742" s="293"/>
    </row>
    <row r="1743" spans="1:9">
      <c r="A1743" s="294"/>
      <c r="B1743" s="294"/>
      <c r="C1743" s="294"/>
      <c r="D1743" s="294"/>
      <c r="E1743" s="290"/>
      <c r="F1743" s="290"/>
      <c r="G1743" s="292"/>
      <c r="H1743" s="292"/>
      <c r="I1743" s="293"/>
    </row>
    <row r="1744" spans="1:9">
      <c r="A1744" s="294"/>
      <c r="B1744" s="294"/>
      <c r="C1744" s="294"/>
      <c r="D1744" s="294"/>
      <c r="E1744" s="290"/>
      <c r="F1744" s="290"/>
      <c r="G1744" s="292"/>
      <c r="H1744" s="292"/>
      <c r="I1744" s="293"/>
    </row>
    <row r="1745" spans="1:9">
      <c r="A1745" s="294"/>
      <c r="B1745" s="294"/>
      <c r="C1745" s="294"/>
      <c r="D1745" s="294"/>
      <c r="E1745" s="290"/>
      <c r="F1745" s="290"/>
      <c r="G1745" s="292"/>
      <c r="H1745" s="292"/>
      <c r="I1745" s="293"/>
    </row>
    <row r="1746" spans="1:9">
      <c r="A1746" s="294"/>
      <c r="B1746" s="294"/>
      <c r="C1746" s="294"/>
      <c r="D1746" s="294"/>
      <c r="E1746" s="290"/>
      <c r="F1746" s="290"/>
      <c r="G1746" s="292"/>
      <c r="H1746" s="292"/>
      <c r="I1746" s="293"/>
    </row>
    <row r="1747" spans="1:9">
      <c r="A1747" s="294"/>
      <c r="B1747" s="294"/>
      <c r="C1747" s="294"/>
      <c r="D1747" s="294"/>
      <c r="E1747" s="290"/>
      <c r="F1747" s="290"/>
      <c r="G1747" s="292"/>
      <c r="H1747" s="292"/>
      <c r="I1747" s="293"/>
    </row>
    <row r="1748" spans="1:9">
      <c r="A1748" s="294"/>
      <c r="B1748" s="294"/>
      <c r="C1748" s="294"/>
      <c r="D1748" s="294"/>
      <c r="E1748" s="290"/>
      <c r="F1748" s="290"/>
      <c r="G1748" s="292"/>
      <c r="H1748" s="292"/>
      <c r="I1748" s="293"/>
    </row>
    <row r="1749" spans="1:9">
      <c r="A1749" s="294"/>
      <c r="B1749" s="294"/>
      <c r="C1749" s="294"/>
      <c r="D1749" s="294"/>
      <c r="E1749" s="290"/>
      <c r="F1749" s="290"/>
      <c r="G1749" s="292"/>
      <c r="H1749" s="292"/>
      <c r="I1749" s="293"/>
    </row>
    <row r="1750" spans="1:9">
      <c r="A1750" s="294"/>
      <c r="B1750" s="294"/>
      <c r="C1750" s="294"/>
      <c r="D1750" s="294"/>
      <c r="E1750" s="290"/>
      <c r="F1750" s="290"/>
      <c r="G1750" s="292"/>
      <c r="H1750" s="292"/>
      <c r="I1750" s="293"/>
    </row>
    <row r="1751" spans="1:9">
      <c r="A1751" s="294"/>
      <c r="B1751" s="294"/>
      <c r="C1751" s="294"/>
      <c r="D1751" s="294"/>
      <c r="E1751" s="290"/>
      <c r="F1751" s="290"/>
      <c r="G1751" s="292"/>
      <c r="H1751" s="292"/>
      <c r="I1751" s="293"/>
    </row>
    <row r="1752" spans="1:9">
      <c r="A1752" s="294"/>
      <c r="B1752" s="294"/>
      <c r="C1752" s="294"/>
      <c r="D1752" s="294"/>
      <c r="E1752" s="290"/>
      <c r="F1752" s="290"/>
      <c r="G1752" s="292"/>
      <c r="H1752" s="292"/>
      <c r="I1752" s="293"/>
    </row>
    <row r="1753" spans="1:9">
      <c r="A1753" s="294"/>
      <c r="B1753" s="294"/>
      <c r="C1753" s="294"/>
      <c r="D1753" s="294"/>
      <c r="E1753" s="290"/>
      <c r="F1753" s="290"/>
      <c r="G1753" s="292"/>
      <c r="H1753" s="292"/>
      <c r="I1753" s="293"/>
    </row>
    <row r="1754" spans="1:9">
      <c r="A1754" s="294"/>
      <c r="B1754" s="294"/>
      <c r="C1754" s="294"/>
      <c r="D1754" s="294"/>
      <c r="E1754" s="290"/>
      <c r="F1754" s="290"/>
      <c r="G1754" s="292"/>
      <c r="H1754" s="292"/>
      <c r="I1754" s="293"/>
    </row>
    <row r="1755" spans="1:9">
      <c r="A1755" s="294"/>
      <c r="B1755" s="294"/>
      <c r="C1755" s="294"/>
      <c r="D1755" s="294"/>
      <c r="E1755" s="290"/>
      <c r="F1755" s="290"/>
      <c r="G1755" s="292"/>
      <c r="H1755" s="292"/>
      <c r="I1755" s="293"/>
    </row>
    <row r="1756" spans="1:9">
      <c r="A1756" s="294"/>
      <c r="B1756" s="294"/>
      <c r="C1756" s="294"/>
      <c r="D1756" s="294"/>
      <c r="E1756" s="290"/>
      <c r="F1756" s="290"/>
      <c r="G1756" s="292"/>
      <c r="H1756" s="292"/>
      <c r="I1756" s="293"/>
    </row>
    <row r="1757" spans="1:9">
      <c r="A1757" s="294"/>
      <c r="B1757" s="294"/>
      <c r="C1757" s="294"/>
      <c r="D1757" s="294"/>
      <c r="E1757" s="290"/>
      <c r="F1757" s="290"/>
      <c r="G1757" s="292"/>
      <c r="H1757" s="292"/>
      <c r="I1757" s="293"/>
    </row>
    <row r="1758" spans="1:9">
      <c r="A1758" s="294"/>
      <c r="B1758" s="294"/>
      <c r="C1758" s="294"/>
      <c r="D1758" s="294"/>
      <c r="E1758" s="290"/>
      <c r="F1758" s="290"/>
      <c r="G1758" s="292"/>
      <c r="H1758" s="292"/>
      <c r="I1758" s="293"/>
    </row>
    <row r="1759" spans="1:9">
      <c r="A1759" s="294"/>
      <c r="B1759" s="294"/>
      <c r="C1759" s="294"/>
      <c r="D1759" s="294"/>
      <c r="E1759" s="290"/>
      <c r="F1759" s="290"/>
      <c r="G1759" s="292"/>
      <c r="H1759" s="292"/>
      <c r="I1759" s="293"/>
    </row>
    <row r="1760" spans="1:9">
      <c r="A1760" s="294"/>
      <c r="B1760" s="294"/>
      <c r="C1760" s="294"/>
      <c r="D1760" s="294"/>
      <c r="E1760" s="290"/>
      <c r="F1760" s="290"/>
      <c r="G1760" s="292"/>
      <c r="H1760" s="292"/>
      <c r="I1760" s="293"/>
    </row>
    <row r="1761" spans="1:9">
      <c r="A1761" s="294"/>
      <c r="B1761" s="294"/>
      <c r="C1761" s="294"/>
      <c r="D1761" s="294"/>
      <c r="E1761" s="290"/>
      <c r="F1761" s="290"/>
      <c r="G1761" s="292"/>
      <c r="H1761" s="292"/>
      <c r="I1761" s="293"/>
    </row>
    <row r="1762" spans="1:9">
      <c r="A1762" s="294"/>
      <c r="B1762" s="294"/>
      <c r="C1762" s="294"/>
      <c r="D1762" s="294"/>
      <c r="E1762" s="290"/>
      <c r="F1762" s="290"/>
      <c r="G1762" s="292"/>
      <c r="H1762" s="292"/>
      <c r="I1762" s="293"/>
    </row>
    <row r="1763" spans="1:9">
      <c r="A1763" s="294"/>
      <c r="B1763" s="294"/>
      <c r="C1763" s="294"/>
      <c r="D1763" s="294"/>
      <c r="E1763" s="290"/>
      <c r="F1763" s="290"/>
      <c r="G1763" s="292"/>
      <c r="H1763" s="292"/>
      <c r="I1763" s="293"/>
    </row>
    <row r="1764" spans="1:9">
      <c r="A1764" s="294"/>
      <c r="B1764" s="294"/>
      <c r="C1764" s="294"/>
      <c r="D1764" s="294"/>
      <c r="E1764" s="290"/>
      <c r="F1764" s="290"/>
      <c r="G1764" s="292"/>
      <c r="H1764" s="292"/>
      <c r="I1764" s="293"/>
    </row>
    <row r="1765" spans="1:9">
      <c r="A1765" s="294"/>
      <c r="B1765" s="294"/>
      <c r="C1765" s="294"/>
      <c r="D1765" s="294"/>
      <c r="E1765" s="290"/>
      <c r="F1765" s="290"/>
      <c r="G1765" s="292"/>
      <c r="H1765" s="292"/>
      <c r="I1765" s="293"/>
    </row>
    <row r="1766" spans="1:9">
      <c r="A1766" s="294"/>
      <c r="B1766" s="294"/>
      <c r="C1766" s="294"/>
      <c r="D1766" s="294"/>
      <c r="E1766" s="290"/>
      <c r="F1766" s="290"/>
      <c r="G1766" s="292"/>
      <c r="H1766" s="292"/>
      <c r="I1766" s="293"/>
    </row>
    <row r="1767" spans="1:9">
      <c r="A1767" s="294"/>
      <c r="B1767" s="294"/>
      <c r="C1767" s="294"/>
      <c r="D1767" s="294"/>
      <c r="E1767" s="290"/>
      <c r="F1767" s="290"/>
      <c r="G1767" s="292"/>
      <c r="H1767" s="292"/>
      <c r="I1767" s="293"/>
    </row>
    <row r="1768" spans="1:9">
      <c r="A1768" s="294"/>
      <c r="B1768" s="294"/>
      <c r="C1768" s="294"/>
      <c r="D1768" s="294"/>
      <c r="E1768" s="290"/>
      <c r="F1768" s="290"/>
      <c r="G1768" s="292"/>
      <c r="H1768" s="292"/>
      <c r="I1768" s="293"/>
    </row>
    <row r="1769" spans="1:9">
      <c r="A1769" s="294"/>
      <c r="B1769" s="294"/>
      <c r="C1769" s="294"/>
      <c r="D1769" s="294"/>
      <c r="E1769" s="290"/>
      <c r="F1769" s="290"/>
      <c r="G1769" s="292"/>
      <c r="H1769" s="292"/>
      <c r="I1769" s="293"/>
    </row>
    <row r="1770" spans="1:9">
      <c r="A1770" s="294"/>
      <c r="B1770" s="294"/>
      <c r="C1770" s="294"/>
      <c r="D1770" s="294"/>
      <c r="E1770" s="290"/>
      <c r="F1770" s="290"/>
      <c r="G1770" s="292"/>
      <c r="H1770" s="292"/>
      <c r="I1770" s="293"/>
    </row>
    <row r="1771" spans="1:9">
      <c r="A1771" s="294"/>
      <c r="B1771" s="294"/>
      <c r="C1771" s="294"/>
      <c r="D1771" s="294"/>
      <c r="E1771" s="290"/>
      <c r="F1771" s="290"/>
      <c r="G1771" s="292"/>
      <c r="H1771" s="292"/>
      <c r="I1771" s="293"/>
    </row>
    <row r="1772" spans="1:9">
      <c r="A1772" s="294"/>
      <c r="B1772" s="294"/>
      <c r="C1772" s="294"/>
      <c r="D1772" s="294"/>
      <c r="E1772" s="290"/>
      <c r="F1772" s="290"/>
      <c r="G1772" s="292"/>
      <c r="H1772" s="292"/>
      <c r="I1772" s="293"/>
    </row>
    <row r="1773" spans="1:9">
      <c r="A1773" s="294"/>
      <c r="B1773" s="294"/>
      <c r="C1773" s="294"/>
      <c r="D1773" s="294"/>
      <c r="E1773" s="290"/>
      <c r="F1773" s="290"/>
      <c r="G1773" s="292"/>
      <c r="H1773" s="292"/>
      <c r="I1773" s="293"/>
    </row>
    <row r="1774" spans="1:9">
      <c r="A1774" s="294"/>
      <c r="B1774" s="294"/>
      <c r="C1774" s="294"/>
      <c r="D1774" s="294"/>
      <c r="E1774" s="290"/>
      <c r="F1774" s="290"/>
      <c r="G1774" s="292"/>
      <c r="H1774" s="292"/>
      <c r="I1774" s="293"/>
    </row>
    <row r="1775" spans="1:9">
      <c r="A1775" s="294"/>
      <c r="B1775" s="294"/>
      <c r="C1775" s="294"/>
      <c r="D1775" s="294"/>
      <c r="E1775" s="290"/>
      <c r="F1775" s="290"/>
      <c r="G1775" s="292"/>
      <c r="H1775" s="292"/>
      <c r="I1775" s="293"/>
    </row>
    <row r="1776" spans="1:9">
      <c r="A1776" s="294"/>
      <c r="B1776" s="294"/>
      <c r="C1776" s="294"/>
      <c r="D1776" s="294"/>
      <c r="E1776" s="290"/>
      <c r="F1776" s="290"/>
      <c r="G1776" s="292"/>
      <c r="H1776" s="292"/>
      <c r="I1776" s="293"/>
    </row>
    <row r="1777" spans="1:9">
      <c r="A1777" s="294"/>
      <c r="B1777" s="294"/>
      <c r="C1777" s="294"/>
      <c r="D1777" s="294"/>
      <c r="E1777" s="290"/>
      <c r="F1777" s="290"/>
      <c r="G1777" s="292"/>
      <c r="H1777" s="292"/>
      <c r="I1777" s="293"/>
    </row>
    <row r="1778" spans="1:9">
      <c r="A1778" s="294"/>
      <c r="B1778" s="294"/>
      <c r="C1778" s="294"/>
      <c r="D1778" s="294"/>
      <c r="E1778" s="290"/>
      <c r="F1778" s="290"/>
      <c r="G1778" s="292"/>
      <c r="H1778" s="292"/>
      <c r="I1778" s="293"/>
    </row>
    <row r="1779" spans="1:9">
      <c r="A1779" s="294"/>
      <c r="B1779" s="294"/>
      <c r="C1779" s="294"/>
      <c r="D1779" s="294"/>
      <c r="E1779" s="290"/>
      <c r="F1779" s="290"/>
      <c r="G1779" s="292"/>
      <c r="H1779" s="292"/>
      <c r="I1779" s="293"/>
    </row>
    <row r="1780" spans="1:9">
      <c r="A1780" s="294"/>
      <c r="B1780" s="294"/>
      <c r="C1780" s="294"/>
      <c r="D1780" s="294"/>
      <c r="E1780" s="290"/>
      <c r="F1780" s="290"/>
      <c r="G1780" s="292"/>
      <c r="H1780" s="292"/>
      <c r="I1780" s="293"/>
    </row>
    <row r="1781" spans="1:9">
      <c r="A1781" s="294"/>
      <c r="B1781" s="294"/>
      <c r="C1781" s="294"/>
      <c r="D1781" s="294"/>
      <c r="E1781" s="290"/>
      <c r="F1781" s="290"/>
      <c r="G1781" s="292"/>
      <c r="H1781" s="292"/>
      <c r="I1781" s="293"/>
    </row>
    <row r="1782" spans="1:9">
      <c r="A1782" s="294"/>
      <c r="B1782" s="294"/>
      <c r="C1782" s="294"/>
      <c r="D1782" s="294"/>
      <c r="E1782" s="290"/>
      <c r="F1782" s="290"/>
      <c r="G1782" s="292"/>
      <c r="H1782" s="292"/>
      <c r="I1782" s="293"/>
    </row>
    <row r="1783" spans="1:9">
      <c r="A1783" s="294"/>
      <c r="B1783" s="294"/>
      <c r="C1783" s="294"/>
      <c r="D1783" s="294"/>
      <c r="E1783" s="290"/>
      <c r="F1783" s="290"/>
      <c r="G1783" s="292"/>
      <c r="H1783" s="292"/>
      <c r="I1783" s="293"/>
    </row>
    <row r="1784" spans="1:9">
      <c r="A1784" s="294"/>
      <c r="B1784" s="294"/>
      <c r="C1784" s="294"/>
      <c r="D1784" s="294"/>
      <c r="E1784" s="290"/>
      <c r="F1784" s="290"/>
      <c r="G1784" s="292"/>
      <c r="H1784" s="292"/>
      <c r="I1784" s="293"/>
    </row>
    <row r="1785" spans="1:9">
      <c r="A1785" s="294"/>
      <c r="B1785" s="294"/>
      <c r="C1785" s="294"/>
      <c r="D1785" s="294"/>
      <c r="E1785" s="290"/>
      <c r="F1785" s="290"/>
      <c r="G1785" s="292"/>
      <c r="H1785" s="292"/>
      <c r="I1785" s="293"/>
    </row>
    <row r="1786" spans="1:9">
      <c r="A1786" s="294"/>
      <c r="B1786" s="294"/>
      <c r="C1786" s="294"/>
      <c r="D1786" s="294"/>
      <c r="E1786" s="290"/>
      <c r="F1786" s="290"/>
      <c r="G1786" s="292"/>
      <c r="H1786" s="292"/>
      <c r="I1786" s="293"/>
    </row>
    <row r="1787" spans="1:9">
      <c r="A1787" s="294"/>
      <c r="B1787" s="294"/>
      <c r="C1787" s="294"/>
      <c r="D1787" s="294"/>
      <c r="E1787" s="290"/>
      <c r="F1787" s="290"/>
      <c r="G1787" s="292"/>
      <c r="H1787" s="292"/>
      <c r="I1787" s="293"/>
    </row>
    <row r="1788" spans="1:9">
      <c r="A1788" s="294"/>
      <c r="B1788" s="294"/>
      <c r="C1788" s="294"/>
      <c r="D1788" s="294"/>
      <c r="E1788" s="290"/>
      <c r="F1788" s="290"/>
      <c r="G1788" s="292"/>
      <c r="H1788" s="292"/>
      <c r="I1788" s="293"/>
    </row>
    <row r="1789" spans="1:9">
      <c r="A1789" s="294"/>
      <c r="B1789" s="294"/>
      <c r="C1789" s="294"/>
      <c r="D1789" s="294"/>
      <c r="E1789" s="290"/>
      <c r="F1789" s="290"/>
      <c r="G1789" s="292"/>
      <c r="H1789" s="292"/>
      <c r="I1789" s="293"/>
    </row>
    <row r="1790" spans="1:9">
      <c r="A1790" s="294"/>
      <c r="B1790" s="294"/>
      <c r="C1790" s="294"/>
      <c r="D1790" s="294"/>
      <c r="E1790" s="290"/>
      <c r="F1790" s="290"/>
      <c r="G1790" s="292"/>
      <c r="H1790" s="292"/>
      <c r="I1790" s="293"/>
    </row>
    <row r="1791" spans="1:9">
      <c r="A1791" s="294"/>
      <c r="B1791" s="294"/>
      <c r="C1791" s="294"/>
      <c r="D1791" s="294"/>
      <c r="E1791" s="290"/>
      <c r="F1791" s="290"/>
      <c r="G1791" s="292"/>
      <c r="H1791" s="292"/>
      <c r="I1791" s="293"/>
    </row>
    <row r="1792" spans="1:9">
      <c r="A1792" s="294"/>
      <c r="B1792" s="294"/>
      <c r="C1792" s="294"/>
      <c r="D1792" s="294"/>
      <c r="E1792" s="290"/>
      <c r="F1792" s="290"/>
      <c r="G1792" s="292"/>
      <c r="H1792" s="292"/>
      <c r="I1792" s="293"/>
    </row>
    <row r="1793" spans="1:9">
      <c r="A1793" s="294"/>
      <c r="B1793" s="294"/>
      <c r="C1793" s="294"/>
      <c r="D1793" s="294"/>
      <c r="E1793" s="290"/>
      <c r="F1793" s="290"/>
      <c r="G1793" s="292"/>
      <c r="H1793" s="292"/>
      <c r="I1793" s="293"/>
    </row>
    <row r="1794" spans="1:9">
      <c r="A1794" s="294"/>
      <c r="B1794" s="294"/>
      <c r="C1794" s="294"/>
      <c r="D1794" s="294"/>
      <c r="E1794" s="290"/>
      <c r="F1794" s="290"/>
      <c r="G1794" s="292"/>
      <c r="H1794" s="292"/>
      <c r="I1794" s="293"/>
    </row>
    <row r="1795" spans="1:9">
      <c r="A1795" s="294"/>
      <c r="B1795" s="294"/>
      <c r="C1795" s="294"/>
      <c r="D1795" s="294"/>
      <c r="E1795" s="290"/>
      <c r="F1795" s="290"/>
      <c r="G1795" s="292"/>
      <c r="H1795" s="292"/>
      <c r="I1795" s="293"/>
    </row>
    <row r="1796" spans="1:9">
      <c r="A1796" s="294"/>
      <c r="B1796" s="294"/>
      <c r="C1796" s="294"/>
      <c r="D1796" s="294"/>
      <c r="E1796" s="290"/>
      <c r="F1796" s="290"/>
      <c r="G1796" s="292"/>
      <c r="H1796" s="292"/>
      <c r="I1796" s="293"/>
    </row>
    <row r="1797" spans="1:9">
      <c r="A1797" s="294"/>
      <c r="B1797" s="294"/>
      <c r="C1797" s="294"/>
      <c r="D1797" s="294"/>
      <c r="E1797" s="290"/>
      <c r="F1797" s="290"/>
      <c r="G1797" s="292"/>
      <c r="H1797" s="292"/>
      <c r="I1797" s="293"/>
    </row>
    <row r="1798" spans="1:9">
      <c r="A1798" s="294"/>
      <c r="B1798" s="294"/>
      <c r="C1798" s="294"/>
      <c r="D1798" s="294"/>
      <c r="E1798" s="290"/>
      <c r="F1798" s="290"/>
      <c r="G1798" s="292"/>
      <c r="H1798" s="292"/>
      <c r="I1798" s="293"/>
    </row>
    <row r="1799" spans="1:9">
      <c r="A1799" s="294"/>
      <c r="B1799" s="294"/>
      <c r="C1799" s="294"/>
      <c r="D1799" s="294"/>
      <c r="E1799" s="290"/>
      <c r="F1799" s="290"/>
      <c r="G1799" s="292"/>
      <c r="H1799" s="292"/>
      <c r="I1799" s="293"/>
    </row>
    <row r="1800" spans="1:9">
      <c r="A1800" s="294"/>
      <c r="B1800" s="294"/>
      <c r="C1800" s="294"/>
      <c r="D1800" s="294"/>
      <c r="E1800" s="290"/>
      <c r="F1800" s="290"/>
      <c r="G1800" s="292"/>
      <c r="H1800" s="292"/>
      <c r="I1800" s="293"/>
    </row>
    <row r="1801" spans="1:9">
      <c r="A1801" s="294"/>
      <c r="B1801" s="294"/>
      <c r="C1801" s="294"/>
      <c r="D1801" s="294"/>
      <c r="E1801" s="290"/>
      <c r="F1801" s="290"/>
      <c r="G1801" s="292"/>
      <c r="H1801" s="292"/>
      <c r="I1801" s="293"/>
    </row>
    <row r="1802" spans="1:9">
      <c r="A1802" s="294"/>
      <c r="B1802" s="294"/>
      <c r="C1802" s="294"/>
      <c r="D1802" s="294"/>
      <c r="E1802" s="290"/>
      <c r="F1802" s="290"/>
      <c r="G1802" s="292"/>
      <c r="H1802" s="292"/>
      <c r="I1802" s="293"/>
    </row>
    <row r="1803" spans="1:9">
      <c r="A1803" s="294"/>
      <c r="B1803" s="294"/>
      <c r="C1803" s="294"/>
      <c r="D1803" s="294"/>
      <c r="E1803" s="290"/>
      <c r="F1803" s="290"/>
      <c r="G1803" s="292"/>
      <c r="H1803" s="292"/>
      <c r="I1803" s="293"/>
    </row>
    <row r="1804" spans="1:9">
      <c r="A1804" s="294"/>
      <c r="B1804" s="294"/>
      <c r="C1804" s="294"/>
      <c r="D1804" s="294"/>
      <c r="E1804" s="290"/>
      <c r="F1804" s="290"/>
      <c r="G1804" s="292"/>
      <c r="H1804" s="292"/>
      <c r="I1804" s="293"/>
    </row>
    <row r="1805" spans="1:9">
      <c r="A1805" s="294"/>
      <c r="B1805" s="294"/>
      <c r="C1805" s="294"/>
      <c r="D1805" s="294"/>
      <c r="E1805" s="290"/>
      <c r="F1805" s="290"/>
      <c r="G1805" s="292"/>
      <c r="H1805" s="292"/>
      <c r="I1805" s="293"/>
    </row>
    <row r="1806" spans="1:9">
      <c r="A1806" s="294"/>
      <c r="B1806" s="294"/>
      <c r="C1806" s="294"/>
      <c r="D1806" s="294"/>
      <c r="E1806" s="290"/>
      <c r="F1806" s="290"/>
      <c r="G1806" s="292"/>
      <c r="H1806" s="292"/>
      <c r="I1806" s="293"/>
    </row>
    <row r="1807" spans="1:9">
      <c r="A1807" s="294"/>
      <c r="B1807" s="294"/>
      <c r="C1807" s="294"/>
      <c r="D1807" s="294"/>
      <c r="E1807" s="290"/>
      <c r="F1807" s="290"/>
      <c r="G1807" s="292"/>
      <c r="H1807" s="292"/>
      <c r="I1807" s="293"/>
    </row>
    <row r="1808" spans="1:9">
      <c r="A1808" s="294"/>
      <c r="B1808" s="294"/>
      <c r="C1808" s="294"/>
      <c r="D1808" s="294"/>
      <c r="E1808" s="290"/>
      <c r="F1808" s="290"/>
      <c r="G1808" s="292"/>
      <c r="H1808" s="292"/>
      <c r="I1808" s="293"/>
    </row>
    <row r="1809" spans="1:9">
      <c r="A1809" s="294"/>
      <c r="B1809" s="294"/>
      <c r="C1809" s="294"/>
      <c r="D1809" s="294"/>
      <c r="E1809" s="290"/>
      <c r="F1809" s="290"/>
      <c r="G1809" s="292"/>
      <c r="H1809" s="292"/>
      <c r="I1809" s="293"/>
    </row>
    <row r="1810" spans="1:9">
      <c r="A1810" s="294"/>
      <c r="B1810" s="294"/>
      <c r="C1810" s="294"/>
      <c r="D1810" s="294"/>
      <c r="E1810" s="290"/>
      <c r="F1810" s="290"/>
      <c r="G1810" s="292"/>
      <c r="H1810" s="292"/>
      <c r="I1810" s="293"/>
    </row>
    <row r="1811" spans="1:9">
      <c r="A1811" s="294"/>
      <c r="B1811" s="294"/>
      <c r="C1811" s="294"/>
      <c r="D1811" s="294"/>
      <c r="E1811" s="290"/>
      <c r="F1811" s="290"/>
      <c r="G1811" s="292"/>
      <c r="H1811" s="292"/>
      <c r="I1811" s="293"/>
    </row>
    <row r="1812" spans="1:9">
      <c r="A1812" s="294"/>
      <c r="B1812" s="294"/>
      <c r="C1812" s="294"/>
      <c r="D1812" s="294"/>
      <c r="E1812" s="290"/>
      <c r="F1812" s="290"/>
      <c r="G1812" s="292"/>
      <c r="H1812" s="292"/>
      <c r="I1812" s="293"/>
    </row>
    <row r="1813" spans="1:9">
      <c r="A1813" s="294"/>
      <c r="B1813" s="294"/>
      <c r="C1813" s="294"/>
      <c r="D1813" s="294"/>
      <c r="E1813" s="290"/>
      <c r="F1813" s="290"/>
      <c r="G1813" s="292"/>
      <c r="H1813" s="292"/>
      <c r="I1813" s="293"/>
    </row>
    <row r="1814" spans="1:9">
      <c r="A1814" s="294"/>
      <c r="B1814" s="294"/>
      <c r="C1814" s="294"/>
      <c r="D1814" s="294"/>
      <c r="E1814" s="290"/>
      <c r="F1814" s="290"/>
      <c r="G1814" s="292"/>
      <c r="H1814" s="292"/>
      <c r="I1814" s="293"/>
    </row>
    <row r="1815" spans="1:9">
      <c r="A1815" s="294"/>
      <c r="B1815" s="294"/>
      <c r="C1815" s="294"/>
      <c r="D1815" s="294"/>
      <c r="E1815" s="290"/>
      <c r="F1815" s="290"/>
      <c r="G1815" s="292"/>
      <c r="H1815" s="292"/>
      <c r="I1815" s="293"/>
    </row>
    <row r="1816" spans="1:9">
      <c r="A1816" s="294"/>
      <c r="B1816" s="294"/>
      <c r="C1816" s="294"/>
      <c r="D1816" s="294"/>
      <c r="E1816" s="290"/>
      <c r="F1816" s="290"/>
      <c r="G1816" s="292"/>
      <c r="H1816" s="292"/>
      <c r="I1816" s="293"/>
    </row>
    <row r="1817" spans="1:9">
      <c r="A1817" s="294"/>
      <c r="B1817" s="294"/>
      <c r="C1817" s="294"/>
      <c r="D1817" s="294"/>
      <c r="E1817" s="290"/>
      <c r="F1817" s="290"/>
      <c r="G1817" s="292"/>
      <c r="H1817" s="292"/>
      <c r="I1817" s="293"/>
    </row>
    <row r="1818" spans="1:9">
      <c r="A1818" s="294"/>
      <c r="B1818" s="294"/>
      <c r="C1818" s="294"/>
      <c r="D1818" s="294"/>
      <c r="E1818" s="290"/>
      <c r="F1818" s="290"/>
      <c r="G1818" s="292"/>
      <c r="H1818" s="292"/>
      <c r="I1818" s="293"/>
    </row>
    <row r="1819" spans="1:9">
      <c r="A1819" s="294"/>
      <c r="B1819" s="294"/>
      <c r="C1819" s="294"/>
      <c r="D1819" s="294"/>
      <c r="E1819" s="290"/>
      <c r="F1819" s="290"/>
      <c r="G1819" s="292"/>
      <c r="H1819" s="292"/>
      <c r="I1819" s="293"/>
    </row>
    <row r="1820" spans="1:9">
      <c r="A1820" s="294"/>
      <c r="B1820" s="294"/>
      <c r="C1820" s="294"/>
      <c r="D1820" s="294"/>
      <c r="E1820" s="290"/>
      <c r="F1820" s="290"/>
      <c r="G1820" s="292"/>
      <c r="H1820" s="292"/>
      <c r="I1820" s="293"/>
    </row>
    <row r="1821" spans="1:9">
      <c r="A1821" s="294"/>
      <c r="B1821" s="294"/>
      <c r="C1821" s="294"/>
      <c r="D1821" s="294"/>
      <c r="E1821" s="290"/>
      <c r="F1821" s="290"/>
      <c r="G1821" s="292"/>
      <c r="H1821" s="292"/>
      <c r="I1821" s="293"/>
    </row>
    <row r="1822" spans="1:9">
      <c r="A1822" s="294"/>
      <c r="B1822" s="294"/>
      <c r="C1822" s="294"/>
      <c r="D1822" s="294"/>
      <c r="E1822" s="290"/>
      <c r="F1822" s="290"/>
      <c r="G1822" s="292"/>
      <c r="H1822" s="292"/>
      <c r="I1822" s="293"/>
    </row>
    <row r="1823" spans="1:9">
      <c r="A1823" s="294"/>
      <c r="B1823" s="294"/>
      <c r="C1823" s="294"/>
      <c r="D1823" s="294"/>
      <c r="E1823" s="290"/>
      <c r="F1823" s="290"/>
      <c r="G1823" s="292"/>
      <c r="H1823" s="292"/>
      <c r="I1823" s="293"/>
    </row>
    <row r="1824" spans="1:9">
      <c r="A1824" s="294"/>
      <c r="B1824" s="294"/>
      <c r="C1824" s="294"/>
      <c r="D1824" s="294"/>
      <c r="E1824" s="290"/>
      <c r="F1824" s="290"/>
      <c r="G1824" s="292"/>
      <c r="H1824" s="292"/>
      <c r="I1824" s="293"/>
    </row>
    <row r="1825" spans="1:10">
      <c r="A1825" s="294"/>
      <c r="B1825" s="294"/>
      <c r="C1825" s="294"/>
      <c r="D1825" s="294"/>
      <c r="E1825" s="290"/>
      <c r="F1825" s="290"/>
      <c r="G1825" s="291"/>
      <c r="H1825" s="292"/>
      <c r="I1825" s="293"/>
      <c r="J1825" s="22" t="s">
        <v>548</v>
      </c>
    </row>
    <row r="1826" spans="1:10">
      <c r="A1826" s="294"/>
      <c r="B1826" s="294"/>
      <c r="C1826" s="294"/>
      <c r="D1826" s="294"/>
      <c r="E1826" s="290"/>
      <c r="F1826" s="290"/>
      <c r="G1826" s="292"/>
      <c r="H1826" s="292"/>
      <c r="I1826" s="293"/>
    </row>
    <row r="1827" spans="1:10">
      <c r="A1827" s="294"/>
      <c r="B1827" s="294"/>
      <c r="C1827" s="294"/>
      <c r="D1827" s="294"/>
      <c r="E1827" s="290"/>
      <c r="F1827" s="290"/>
      <c r="G1827" s="292"/>
      <c r="H1827" s="292"/>
      <c r="I1827" s="293"/>
    </row>
    <row r="1828" spans="1:10">
      <c r="A1828" s="294"/>
      <c r="B1828" s="294"/>
      <c r="C1828" s="294"/>
      <c r="D1828" s="294"/>
      <c r="E1828" s="290"/>
      <c r="F1828" s="290"/>
      <c r="G1828" s="292"/>
      <c r="H1828" s="292"/>
      <c r="I1828" s="293"/>
    </row>
    <row r="1829" spans="1:10">
      <c r="A1829" s="294"/>
      <c r="B1829" s="294"/>
      <c r="C1829" s="294"/>
      <c r="D1829" s="294"/>
      <c r="E1829" s="290"/>
      <c r="F1829" s="290"/>
      <c r="G1829" s="292"/>
      <c r="H1829" s="292"/>
      <c r="I1829" s="293"/>
    </row>
    <row r="1830" spans="1:10">
      <c r="A1830" s="294"/>
      <c r="B1830" s="294"/>
      <c r="C1830" s="294"/>
      <c r="D1830" s="294"/>
      <c r="E1830" s="290"/>
      <c r="F1830" s="290"/>
      <c r="G1830" s="292"/>
      <c r="H1830" s="292"/>
      <c r="I1830" s="293"/>
    </row>
    <row r="1831" spans="1:10">
      <c r="A1831" s="294"/>
      <c r="B1831" s="294"/>
      <c r="C1831" s="294"/>
      <c r="D1831" s="294"/>
      <c r="E1831" s="290"/>
      <c r="F1831" s="290"/>
      <c r="G1831" s="292"/>
      <c r="H1831" s="292"/>
      <c r="I1831" s="293"/>
    </row>
    <row r="1832" spans="1:10">
      <c r="A1832" s="294"/>
      <c r="B1832" s="294"/>
      <c r="C1832" s="294"/>
      <c r="D1832" s="294"/>
      <c r="E1832" s="290"/>
      <c r="F1832" s="290"/>
      <c r="G1832" s="292"/>
      <c r="H1832" s="292"/>
      <c r="I1832" s="293"/>
    </row>
    <row r="1833" spans="1:10">
      <c r="A1833" s="294"/>
      <c r="B1833" s="294"/>
      <c r="C1833" s="294"/>
      <c r="D1833" s="294"/>
      <c r="E1833" s="290"/>
      <c r="F1833" s="290"/>
      <c r="G1833" s="292"/>
      <c r="H1833" s="292"/>
      <c r="I1833" s="293"/>
    </row>
    <row r="1834" spans="1:10">
      <c r="A1834" s="294"/>
      <c r="B1834" s="294"/>
      <c r="C1834" s="294"/>
      <c r="D1834" s="294"/>
      <c r="E1834" s="290"/>
      <c r="F1834" s="290"/>
      <c r="G1834" s="292"/>
      <c r="H1834" s="292"/>
      <c r="I1834" s="293"/>
    </row>
    <row r="1835" spans="1:10">
      <c r="A1835" s="294"/>
      <c r="B1835" s="294"/>
      <c r="C1835" s="294"/>
      <c r="D1835" s="294"/>
      <c r="E1835" s="290"/>
      <c r="F1835" s="290"/>
      <c r="G1835" s="292"/>
      <c r="H1835" s="292"/>
      <c r="I1835" s="293"/>
    </row>
    <row r="1836" spans="1:10">
      <c r="A1836" s="294"/>
      <c r="B1836" s="294"/>
      <c r="C1836" s="294"/>
      <c r="D1836" s="294"/>
      <c r="E1836" s="290"/>
      <c r="F1836" s="290"/>
      <c r="G1836" s="292"/>
      <c r="H1836" s="292"/>
      <c r="I1836" s="293"/>
    </row>
    <row r="1837" spans="1:10">
      <c r="A1837" s="294"/>
      <c r="B1837" s="294"/>
      <c r="C1837" s="294"/>
      <c r="D1837" s="294"/>
      <c r="E1837" s="290"/>
      <c r="F1837" s="290"/>
      <c r="G1837" s="292"/>
      <c r="H1837" s="292"/>
      <c r="I1837" s="293"/>
    </row>
    <row r="1838" spans="1:10">
      <c r="A1838" s="294"/>
      <c r="B1838" s="294"/>
      <c r="C1838" s="294"/>
      <c r="D1838" s="294"/>
      <c r="E1838" s="290"/>
      <c r="F1838" s="290"/>
      <c r="G1838" s="292"/>
      <c r="H1838" s="292"/>
      <c r="I1838" s="293"/>
    </row>
    <row r="1839" spans="1:10">
      <c r="A1839" s="294"/>
      <c r="B1839" s="294"/>
      <c r="C1839" s="294"/>
      <c r="D1839" s="294"/>
      <c r="E1839" s="290"/>
      <c r="F1839" s="290"/>
      <c r="G1839" s="292"/>
      <c r="H1839" s="292"/>
      <c r="I1839" s="293"/>
    </row>
    <row r="1840" spans="1:10">
      <c r="A1840" s="294"/>
      <c r="B1840" s="294"/>
      <c r="C1840" s="294"/>
      <c r="D1840" s="294"/>
      <c r="E1840" s="290"/>
      <c r="F1840" s="290"/>
      <c r="G1840" s="292"/>
      <c r="H1840" s="292"/>
      <c r="I1840" s="293"/>
    </row>
    <row r="1841" spans="1:9">
      <c r="A1841" s="294"/>
      <c r="B1841" s="294"/>
      <c r="C1841" s="294"/>
      <c r="D1841" s="294"/>
      <c r="E1841" s="290"/>
      <c r="F1841" s="290"/>
      <c r="G1841" s="292"/>
      <c r="H1841" s="292"/>
      <c r="I1841" s="293"/>
    </row>
    <row r="1842" spans="1:9">
      <c r="A1842" s="294"/>
      <c r="B1842" s="294"/>
      <c r="C1842" s="294"/>
      <c r="D1842" s="294"/>
      <c r="E1842" s="290"/>
      <c r="F1842" s="290"/>
      <c r="G1842" s="292"/>
      <c r="H1842" s="292"/>
      <c r="I1842" s="293"/>
    </row>
    <row r="1843" spans="1:9">
      <c r="A1843" s="294"/>
      <c r="B1843" s="294"/>
      <c r="C1843" s="294"/>
      <c r="D1843" s="294"/>
      <c r="E1843" s="290"/>
      <c r="F1843" s="290"/>
      <c r="G1843" s="292"/>
      <c r="H1843" s="292"/>
      <c r="I1843" s="293"/>
    </row>
    <row r="1844" spans="1:9">
      <c r="A1844" s="294"/>
      <c r="B1844" s="294"/>
      <c r="C1844" s="294"/>
      <c r="D1844" s="294"/>
      <c r="E1844" s="290"/>
      <c r="F1844" s="290"/>
      <c r="G1844" s="292"/>
      <c r="H1844" s="292"/>
      <c r="I1844" s="293"/>
    </row>
    <row r="1845" spans="1:9">
      <c r="A1845" s="294"/>
      <c r="B1845" s="294"/>
      <c r="C1845" s="294"/>
      <c r="D1845" s="294"/>
      <c r="E1845" s="290"/>
      <c r="F1845" s="290"/>
      <c r="G1845" s="292"/>
      <c r="H1845" s="292"/>
      <c r="I1845" s="293"/>
    </row>
    <row r="1846" spans="1:9">
      <c r="A1846" s="294"/>
      <c r="B1846" s="294"/>
      <c r="C1846" s="294"/>
      <c r="D1846" s="294"/>
      <c r="E1846" s="290"/>
      <c r="F1846" s="290"/>
      <c r="G1846" s="292"/>
      <c r="H1846" s="292"/>
      <c r="I1846" s="293"/>
    </row>
    <row r="1847" spans="1:9">
      <c r="A1847" s="294"/>
      <c r="B1847" s="294"/>
      <c r="C1847" s="294"/>
      <c r="D1847" s="294"/>
      <c r="E1847" s="290"/>
      <c r="F1847" s="290"/>
      <c r="G1847" s="292"/>
      <c r="H1847" s="292"/>
      <c r="I1847" s="293"/>
    </row>
    <row r="1848" spans="1:9">
      <c r="A1848" s="294"/>
      <c r="B1848" s="294"/>
      <c r="C1848" s="294"/>
      <c r="D1848" s="294"/>
      <c r="E1848" s="290"/>
      <c r="F1848" s="290"/>
      <c r="G1848" s="292"/>
      <c r="H1848" s="292"/>
      <c r="I1848" s="293"/>
    </row>
    <row r="1849" spans="1:9">
      <c r="A1849" s="294"/>
      <c r="B1849" s="294"/>
      <c r="C1849" s="294"/>
      <c r="D1849" s="294"/>
      <c r="E1849" s="290"/>
      <c r="F1849" s="290"/>
      <c r="G1849" s="292"/>
      <c r="H1849" s="292"/>
      <c r="I1849" s="293"/>
    </row>
    <row r="1850" spans="1:9">
      <c r="A1850" s="294"/>
      <c r="B1850" s="294"/>
      <c r="C1850" s="294"/>
      <c r="D1850" s="294"/>
      <c r="E1850" s="290"/>
      <c r="F1850" s="290"/>
      <c r="G1850" s="292"/>
      <c r="H1850" s="292"/>
      <c r="I1850" s="293"/>
    </row>
    <row r="1851" spans="1:9">
      <c r="A1851" s="294"/>
      <c r="B1851" s="294"/>
      <c r="C1851" s="294"/>
      <c r="D1851" s="294"/>
      <c r="E1851" s="290"/>
      <c r="F1851" s="290"/>
      <c r="G1851" s="292"/>
      <c r="H1851" s="292"/>
      <c r="I1851" s="293"/>
    </row>
    <row r="1852" spans="1:9">
      <c r="A1852" s="294"/>
      <c r="B1852" s="294"/>
      <c r="C1852" s="294"/>
      <c r="D1852" s="294"/>
      <c r="E1852" s="290"/>
      <c r="F1852" s="290"/>
      <c r="G1852" s="292"/>
      <c r="H1852" s="292"/>
      <c r="I1852" s="293"/>
    </row>
    <row r="1853" spans="1:9">
      <c r="A1853" s="294"/>
      <c r="B1853" s="294"/>
      <c r="C1853" s="294"/>
      <c r="D1853" s="294"/>
      <c r="E1853" s="290"/>
      <c r="F1853" s="290"/>
      <c r="G1853" s="292"/>
      <c r="H1853" s="292"/>
      <c r="I1853" s="293"/>
    </row>
    <row r="1854" spans="1:9">
      <c r="A1854" s="294"/>
      <c r="B1854" s="294"/>
      <c r="C1854" s="294"/>
      <c r="D1854" s="294"/>
      <c r="E1854" s="290"/>
      <c r="F1854" s="290"/>
      <c r="G1854" s="292"/>
      <c r="H1854" s="292"/>
      <c r="I1854" s="293"/>
    </row>
    <row r="1855" spans="1:9">
      <c r="A1855" s="294"/>
      <c r="B1855" s="294"/>
      <c r="C1855" s="294"/>
      <c r="D1855" s="294"/>
      <c r="E1855" s="290"/>
      <c r="F1855" s="290"/>
      <c r="G1855" s="291"/>
      <c r="H1855" s="292"/>
      <c r="I1855" s="293"/>
    </row>
    <row r="1856" spans="1:9">
      <c r="A1856" s="294"/>
      <c r="B1856" s="294"/>
      <c r="C1856" s="294"/>
      <c r="D1856" s="294"/>
      <c r="E1856" s="290"/>
      <c r="F1856" s="290"/>
      <c r="G1856" s="291"/>
      <c r="H1856" s="292"/>
      <c r="I1856" s="293"/>
    </row>
    <row r="1857" spans="1:9">
      <c r="A1857" s="294"/>
      <c r="B1857" s="294"/>
      <c r="C1857" s="294"/>
      <c r="D1857" s="294"/>
      <c r="E1857" s="290"/>
      <c r="F1857" s="290"/>
      <c r="G1857" s="291"/>
      <c r="H1857" s="292"/>
      <c r="I1857" s="293"/>
    </row>
    <row r="1858" spans="1:9">
      <c r="A1858" s="294"/>
      <c r="B1858" s="294"/>
      <c r="C1858" s="294"/>
      <c r="D1858" s="294"/>
      <c r="E1858" s="290"/>
      <c r="F1858" s="290"/>
      <c r="G1858" s="291"/>
      <c r="H1858" s="292"/>
      <c r="I1858" s="293"/>
    </row>
    <row r="1859" spans="1:9">
      <c r="A1859" s="294"/>
      <c r="B1859" s="294"/>
      <c r="C1859" s="294"/>
      <c r="D1859" s="294"/>
      <c r="E1859" s="290"/>
      <c r="F1859" s="290"/>
      <c r="G1859" s="291"/>
      <c r="H1859" s="292"/>
      <c r="I1859" s="293"/>
    </row>
    <row r="1860" spans="1:9">
      <c r="A1860" s="294"/>
      <c r="B1860" s="294"/>
      <c r="C1860" s="294"/>
      <c r="D1860" s="294"/>
      <c r="E1860" s="290"/>
      <c r="F1860" s="290"/>
      <c r="G1860" s="291"/>
      <c r="H1860" s="292"/>
      <c r="I1860" s="293"/>
    </row>
    <row r="1861" spans="1:9">
      <c r="A1861" s="294"/>
      <c r="B1861" s="294"/>
      <c r="C1861" s="294"/>
      <c r="D1861" s="294"/>
      <c r="E1861" s="290"/>
      <c r="F1861" s="290"/>
      <c r="G1861" s="291"/>
      <c r="H1861" s="292"/>
      <c r="I1861" s="293"/>
    </row>
    <row r="1862" spans="1:9">
      <c r="A1862" s="294"/>
      <c r="B1862" s="294"/>
      <c r="C1862" s="294"/>
      <c r="D1862" s="294"/>
      <c r="E1862" s="290"/>
      <c r="F1862" s="290"/>
      <c r="G1862" s="291"/>
      <c r="H1862" s="292"/>
      <c r="I1862" s="293"/>
    </row>
    <row r="1863" spans="1:9">
      <c r="A1863" s="294"/>
      <c r="B1863" s="294"/>
      <c r="C1863" s="294"/>
      <c r="D1863" s="294"/>
      <c r="E1863" s="290"/>
      <c r="F1863" s="290"/>
      <c r="G1863" s="291"/>
      <c r="H1863" s="292"/>
      <c r="I1863" s="293"/>
    </row>
    <row r="1864" spans="1:9">
      <c r="A1864" s="294"/>
      <c r="B1864" s="294"/>
      <c r="C1864" s="294"/>
      <c r="D1864" s="294"/>
      <c r="E1864" s="290"/>
      <c r="F1864" s="290"/>
      <c r="G1864" s="291"/>
      <c r="H1864" s="292"/>
      <c r="I1864" s="293"/>
    </row>
    <row r="1865" spans="1:9">
      <c r="A1865" s="294"/>
      <c r="B1865" s="294"/>
      <c r="C1865" s="294"/>
      <c r="D1865" s="294"/>
      <c r="E1865" s="290"/>
      <c r="F1865" s="290"/>
      <c r="G1865" s="291"/>
      <c r="H1865" s="292"/>
      <c r="I1865" s="293"/>
    </row>
    <row r="1866" spans="1:9">
      <c r="A1866" s="294"/>
      <c r="B1866" s="294"/>
      <c r="C1866" s="294"/>
      <c r="D1866" s="294"/>
      <c r="E1866" s="290"/>
      <c r="F1866" s="290"/>
      <c r="G1866" s="291"/>
      <c r="H1866" s="292"/>
      <c r="I1866" s="293"/>
    </row>
    <row r="1867" spans="1:9">
      <c r="A1867" s="294"/>
      <c r="B1867" s="294"/>
      <c r="C1867" s="294"/>
      <c r="D1867" s="294"/>
      <c r="E1867" s="290"/>
      <c r="F1867" s="290"/>
      <c r="G1867" s="291"/>
      <c r="H1867" s="292"/>
      <c r="I1867" s="293"/>
    </row>
    <row r="1868" spans="1:9">
      <c r="A1868" s="294"/>
      <c r="B1868" s="294"/>
      <c r="C1868" s="294"/>
      <c r="D1868" s="294"/>
      <c r="E1868" s="290"/>
      <c r="F1868" s="290"/>
      <c r="G1868" s="291"/>
      <c r="H1868" s="292"/>
      <c r="I1868" s="293"/>
    </row>
    <row r="1869" spans="1:9">
      <c r="A1869" s="294"/>
      <c r="B1869" s="294"/>
      <c r="C1869" s="294"/>
      <c r="D1869" s="294"/>
      <c r="E1869" s="290"/>
      <c r="F1869" s="290"/>
      <c r="G1869" s="291"/>
      <c r="H1869" s="292"/>
      <c r="I1869" s="293"/>
    </row>
    <row r="1870" spans="1:9">
      <c r="A1870" s="294"/>
      <c r="B1870" s="294"/>
      <c r="C1870" s="294"/>
      <c r="D1870" s="294"/>
      <c r="E1870" s="290"/>
      <c r="F1870" s="290"/>
      <c r="G1870" s="291"/>
      <c r="H1870" s="292"/>
      <c r="I1870" s="293"/>
    </row>
    <row r="1871" spans="1:9">
      <c r="A1871" s="294"/>
      <c r="B1871" s="294"/>
      <c r="C1871" s="294"/>
      <c r="D1871" s="294"/>
      <c r="E1871" s="290"/>
      <c r="F1871" s="290"/>
      <c r="G1871" s="291"/>
      <c r="H1871" s="292"/>
      <c r="I1871" s="293"/>
    </row>
    <row r="1872" spans="1:9">
      <c r="A1872" s="294"/>
      <c r="B1872" s="294"/>
      <c r="C1872" s="294"/>
      <c r="D1872" s="294"/>
      <c r="E1872" s="290"/>
      <c r="F1872" s="290"/>
      <c r="G1872" s="291"/>
      <c r="H1872" s="292"/>
      <c r="I1872" s="293"/>
    </row>
    <row r="1873" spans="1:9">
      <c r="A1873" s="294"/>
      <c r="B1873" s="294"/>
      <c r="C1873" s="294"/>
      <c r="D1873" s="294"/>
      <c r="E1873" s="290"/>
      <c r="F1873" s="290"/>
      <c r="G1873" s="291"/>
      <c r="H1873" s="292"/>
      <c r="I1873" s="293"/>
    </row>
    <row r="1874" spans="1:9">
      <c r="A1874" s="294"/>
      <c r="B1874" s="294"/>
      <c r="C1874" s="294"/>
      <c r="D1874" s="294"/>
      <c r="E1874" s="290"/>
      <c r="F1874" s="290"/>
      <c r="G1874" s="291"/>
      <c r="H1874" s="292"/>
      <c r="I1874" s="293"/>
    </row>
    <row r="1875" spans="1:9">
      <c r="A1875" s="294"/>
      <c r="B1875" s="294"/>
      <c r="C1875" s="294"/>
      <c r="D1875" s="294"/>
      <c r="E1875" s="290"/>
      <c r="F1875" s="290"/>
      <c r="G1875" s="291"/>
      <c r="H1875" s="292"/>
      <c r="I1875" s="293"/>
    </row>
    <row r="1876" spans="1:9">
      <c r="A1876" s="294"/>
      <c r="B1876" s="294"/>
      <c r="C1876" s="294"/>
      <c r="D1876" s="294"/>
      <c r="E1876" s="290"/>
      <c r="F1876" s="290"/>
      <c r="G1876" s="291"/>
      <c r="H1876" s="292"/>
      <c r="I1876" s="293"/>
    </row>
    <row r="1877" spans="1:9">
      <c r="A1877" s="294"/>
      <c r="B1877" s="294"/>
      <c r="C1877" s="294"/>
      <c r="D1877" s="294"/>
      <c r="E1877" s="290"/>
      <c r="F1877" s="290"/>
      <c r="G1877" s="291"/>
      <c r="H1877" s="292"/>
      <c r="I1877" s="293"/>
    </row>
    <row r="1878" spans="1:9">
      <c r="A1878" s="294"/>
      <c r="B1878" s="294"/>
      <c r="C1878" s="294"/>
      <c r="D1878" s="294"/>
      <c r="E1878" s="290"/>
      <c r="F1878" s="290"/>
      <c r="G1878" s="292"/>
      <c r="H1878" s="292"/>
      <c r="I1878" s="293"/>
    </row>
    <row r="1879" spans="1:9">
      <c r="A1879" s="294"/>
      <c r="B1879" s="294"/>
      <c r="C1879" s="294"/>
      <c r="D1879" s="294"/>
      <c r="E1879" s="290"/>
      <c r="F1879" s="290"/>
      <c r="G1879" s="292"/>
      <c r="H1879" s="292"/>
      <c r="I1879" s="293"/>
    </row>
    <row r="1880" spans="1:9">
      <c r="A1880" s="294"/>
      <c r="B1880" s="294"/>
      <c r="C1880" s="294"/>
      <c r="D1880" s="294"/>
      <c r="E1880" s="290"/>
      <c r="F1880" s="290"/>
      <c r="G1880" s="292"/>
      <c r="H1880" s="292"/>
      <c r="I1880" s="293"/>
    </row>
    <row r="1881" spans="1:9">
      <c r="A1881" s="294"/>
      <c r="B1881" s="294"/>
      <c r="C1881" s="294"/>
      <c r="D1881" s="294"/>
      <c r="E1881" s="290"/>
      <c r="F1881" s="290"/>
      <c r="G1881" s="292"/>
      <c r="H1881" s="292"/>
      <c r="I1881" s="293"/>
    </row>
    <row r="1882" spans="1:9">
      <c r="A1882" s="294"/>
      <c r="B1882" s="294"/>
      <c r="C1882" s="294"/>
      <c r="D1882" s="294"/>
      <c r="E1882" s="290"/>
      <c r="F1882" s="290"/>
      <c r="G1882" s="292"/>
      <c r="H1882" s="292"/>
      <c r="I1882" s="293"/>
    </row>
    <row r="1883" spans="1:9">
      <c r="A1883" s="294"/>
      <c r="B1883" s="294"/>
      <c r="C1883" s="294"/>
      <c r="D1883" s="294"/>
      <c r="E1883" s="290"/>
      <c r="F1883" s="290"/>
      <c r="G1883" s="292"/>
      <c r="H1883" s="292"/>
      <c r="I1883" s="293"/>
    </row>
    <row r="1884" spans="1:9">
      <c r="A1884" s="294"/>
      <c r="B1884" s="294"/>
      <c r="C1884" s="294"/>
      <c r="D1884" s="294"/>
      <c r="E1884" s="290"/>
      <c r="F1884" s="290"/>
      <c r="G1884" s="292"/>
      <c r="H1884" s="292"/>
      <c r="I1884" s="293"/>
    </row>
    <row r="1885" spans="1:9">
      <c r="A1885" s="294"/>
      <c r="B1885" s="294"/>
      <c r="C1885" s="294"/>
      <c r="D1885" s="294"/>
      <c r="E1885" s="290"/>
      <c r="F1885" s="290"/>
      <c r="G1885" s="292"/>
      <c r="H1885" s="292"/>
      <c r="I1885" s="293"/>
    </row>
    <row r="1886" spans="1:9">
      <c r="A1886" s="294"/>
      <c r="B1886" s="294"/>
      <c r="C1886" s="294"/>
      <c r="D1886" s="294"/>
      <c r="E1886" s="290"/>
      <c r="F1886" s="290"/>
      <c r="G1886" s="292"/>
      <c r="H1886" s="292"/>
      <c r="I1886" s="293"/>
    </row>
    <row r="1887" spans="1:9">
      <c r="A1887" s="294"/>
      <c r="B1887" s="294"/>
      <c r="C1887" s="294"/>
      <c r="D1887" s="294"/>
      <c r="E1887" s="290"/>
      <c r="F1887" s="290"/>
      <c r="G1887" s="292"/>
      <c r="H1887" s="292"/>
      <c r="I1887" s="293"/>
    </row>
    <row r="1888" spans="1:9">
      <c r="A1888" s="294"/>
      <c r="B1888" s="294"/>
      <c r="C1888" s="294"/>
      <c r="D1888" s="294"/>
      <c r="E1888" s="290"/>
      <c r="F1888" s="290"/>
      <c r="G1888" s="292"/>
      <c r="H1888" s="292"/>
      <c r="I1888" s="293"/>
    </row>
    <row r="1889" spans="1:9">
      <c r="A1889" s="294"/>
      <c r="B1889" s="294"/>
      <c r="C1889" s="294"/>
      <c r="D1889" s="294"/>
      <c r="E1889" s="290"/>
      <c r="F1889" s="290"/>
      <c r="G1889" s="292"/>
      <c r="H1889" s="292"/>
      <c r="I1889" s="293"/>
    </row>
    <row r="1890" spans="1:9">
      <c r="A1890" s="294"/>
      <c r="B1890" s="294"/>
      <c r="C1890" s="294"/>
      <c r="D1890" s="294"/>
      <c r="E1890" s="290"/>
      <c r="F1890" s="290"/>
      <c r="G1890" s="292"/>
      <c r="H1890" s="292"/>
      <c r="I1890" s="293"/>
    </row>
    <row r="1891" spans="1:9">
      <c r="A1891" s="294"/>
      <c r="B1891" s="294"/>
      <c r="C1891" s="294"/>
      <c r="D1891" s="294"/>
      <c r="E1891" s="290"/>
      <c r="F1891" s="290"/>
      <c r="G1891" s="292"/>
      <c r="H1891" s="292"/>
      <c r="I1891" s="293"/>
    </row>
    <row r="1892" spans="1:9">
      <c r="A1892" s="294"/>
      <c r="B1892" s="294"/>
      <c r="C1892" s="294"/>
      <c r="D1892" s="294"/>
      <c r="E1892" s="290"/>
      <c r="F1892" s="290"/>
      <c r="G1892" s="292"/>
      <c r="H1892" s="292"/>
      <c r="I1892" s="293"/>
    </row>
    <row r="1893" spans="1:9">
      <c r="A1893" s="294"/>
      <c r="B1893" s="294"/>
      <c r="C1893" s="294"/>
      <c r="D1893" s="294"/>
      <c r="E1893" s="290"/>
      <c r="F1893" s="290"/>
      <c r="G1893" s="292"/>
      <c r="H1893" s="292"/>
      <c r="I1893" s="293"/>
    </row>
    <row r="1894" spans="1:9">
      <c r="A1894" s="294"/>
      <c r="B1894" s="294"/>
      <c r="C1894" s="294"/>
      <c r="D1894" s="294"/>
      <c r="E1894" s="290"/>
      <c r="F1894" s="290"/>
      <c r="G1894" s="292"/>
      <c r="H1894" s="292"/>
      <c r="I1894" s="293"/>
    </row>
    <row r="1895" spans="1:9">
      <c r="A1895" s="294"/>
      <c r="B1895" s="294"/>
      <c r="C1895" s="294"/>
      <c r="D1895" s="294"/>
      <c r="E1895" s="290"/>
      <c r="F1895" s="290"/>
      <c r="G1895" s="292"/>
      <c r="H1895" s="292"/>
      <c r="I1895" s="293"/>
    </row>
    <row r="1896" spans="1:9">
      <c r="A1896" s="294"/>
      <c r="B1896" s="294"/>
      <c r="C1896" s="294"/>
      <c r="D1896" s="294"/>
      <c r="E1896" s="290"/>
      <c r="F1896" s="290"/>
      <c r="G1896" s="292"/>
      <c r="H1896" s="292"/>
      <c r="I1896" s="293"/>
    </row>
    <row r="1897" spans="1:9">
      <c r="A1897" s="294"/>
      <c r="B1897" s="294"/>
      <c r="C1897" s="294"/>
      <c r="D1897" s="294"/>
      <c r="E1897" s="290"/>
      <c r="F1897" s="290"/>
      <c r="G1897" s="292"/>
      <c r="H1897" s="292"/>
      <c r="I1897" s="293"/>
    </row>
    <row r="1898" spans="1:9">
      <c r="A1898" s="294"/>
      <c r="B1898" s="294"/>
      <c r="C1898" s="294"/>
      <c r="D1898" s="294"/>
      <c r="E1898" s="290"/>
      <c r="F1898" s="290"/>
      <c r="G1898" s="292"/>
      <c r="H1898" s="292"/>
      <c r="I1898" s="293"/>
    </row>
    <row r="1899" spans="1:9">
      <c r="A1899" s="294"/>
      <c r="B1899" s="294"/>
      <c r="C1899" s="294"/>
      <c r="D1899" s="294"/>
      <c r="E1899" s="290"/>
      <c r="F1899" s="290"/>
      <c r="G1899" s="292"/>
      <c r="H1899" s="292"/>
      <c r="I1899" s="293"/>
    </row>
    <row r="1900" spans="1:9">
      <c r="A1900" s="294"/>
      <c r="B1900" s="294"/>
      <c r="C1900" s="294"/>
      <c r="D1900" s="294"/>
      <c r="E1900" s="290"/>
      <c r="F1900" s="290"/>
      <c r="G1900" s="292"/>
      <c r="H1900" s="292"/>
      <c r="I1900" s="293"/>
    </row>
    <row r="1901" spans="1:9">
      <c r="A1901" s="294"/>
      <c r="B1901" s="294"/>
      <c r="C1901" s="294"/>
      <c r="D1901" s="294"/>
      <c r="E1901" s="290"/>
      <c r="F1901" s="290"/>
      <c r="G1901" s="292"/>
      <c r="H1901" s="292"/>
      <c r="I1901" s="293"/>
    </row>
    <row r="1902" spans="1:9">
      <c r="A1902" s="294"/>
      <c r="B1902" s="294"/>
      <c r="C1902" s="294"/>
      <c r="D1902" s="294"/>
      <c r="E1902" s="290"/>
      <c r="F1902" s="290"/>
      <c r="G1902" s="292"/>
      <c r="H1902" s="292"/>
      <c r="I1902" s="293"/>
    </row>
    <row r="1903" spans="1:9">
      <c r="A1903" s="294"/>
      <c r="B1903" s="294"/>
      <c r="C1903" s="294"/>
      <c r="D1903" s="294"/>
      <c r="E1903" s="290"/>
      <c r="F1903" s="290"/>
      <c r="G1903" s="292"/>
      <c r="H1903" s="292"/>
      <c r="I1903" s="293"/>
    </row>
    <row r="1904" spans="1:9">
      <c r="A1904" s="294"/>
      <c r="B1904" s="294"/>
      <c r="C1904" s="294"/>
      <c r="D1904" s="294"/>
      <c r="E1904" s="290"/>
      <c r="F1904" s="290"/>
      <c r="G1904" s="292"/>
      <c r="H1904" s="292"/>
      <c r="I1904" s="293"/>
    </row>
    <row r="1905" spans="1:9">
      <c r="A1905" s="294"/>
      <c r="B1905" s="294"/>
      <c r="C1905" s="294"/>
      <c r="D1905" s="294"/>
      <c r="E1905" s="290"/>
      <c r="F1905" s="290"/>
      <c r="G1905" s="292"/>
      <c r="H1905" s="292"/>
      <c r="I1905" s="293"/>
    </row>
    <row r="1906" spans="1:9">
      <c r="A1906" s="294"/>
      <c r="B1906" s="294"/>
      <c r="C1906" s="294"/>
      <c r="D1906" s="294"/>
      <c r="E1906" s="290"/>
      <c r="F1906" s="290"/>
      <c r="G1906" s="292"/>
      <c r="H1906" s="292"/>
      <c r="I1906" s="293"/>
    </row>
    <row r="1907" spans="1:9">
      <c r="A1907" s="294"/>
      <c r="B1907" s="294"/>
      <c r="C1907" s="294"/>
      <c r="D1907" s="294"/>
      <c r="E1907" s="290"/>
      <c r="F1907" s="290"/>
      <c r="G1907" s="291"/>
      <c r="H1907" s="292"/>
      <c r="I1907" s="293"/>
    </row>
    <row r="1908" spans="1:9">
      <c r="A1908" s="294"/>
      <c r="B1908" s="294"/>
      <c r="C1908" s="294"/>
      <c r="D1908" s="294"/>
      <c r="E1908" s="290"/>
      <c r="F1908" s="290"/>
      <c r="G1908" s="291"/>
      <c r="H1908" s="292"/>
      <c r="I1908" s="293"/>
    </row>
    <row r="1909" spans="1:9">
      <c r="A1909" s="294"/>
      <c r="B1909" s="294"/>
      <c r="C1909" s="294"/>
      <c r="D1909" s="294"/>
      <c r="E1909" s="290"/>
      <c r="F1909" s="290"/>
      <c r="G1909" s="291"/>
      <c r="H1909" s="292"/>
      <c r="I1909" s="293"/>
    </row>
    <row r="1910" spans="1:9">
      <c r="A1910" s="294"/>
      <c r="B1910" s="294"/>
      <c r="C1910" s="294"/>
      <c r="D1910" s="294"/>
      <c r="E1910" s="290"/>
      <c r="F1910" s="290"/>
      <c r="G1910" s="291"/>
      <c r="H1910" s="292"/>
      <c r="I1910" s="293"/>
    </row>
    <row r="1911" spans="1:9">
      <c r="A1911" s="294"/>
      <c r="B1911" s="294"/>
      <c r="C1911" s="294"/>
      <c r="D1911" s="294"/>
      <c r="E1911" s="290"/>
      <c r="F1911" s="290"/>
      <c r="G1911" s="291"/>
      <c r="H1911" s="292"/>
      <c r="I1911" s="293"/>
    </row>
    <row r="1912" spans="1:9">
      <c r="A1912" s="294"/>
      <c r="B1912" s="294"/>
      <c r="C1912" s="294"/>
      <c r="D1912" s="294"/>
      <c r="E1912" s="290"/>
      <c r="F1912" s="290"/>
      <c r="G1912" s="291"/>
      <c r="H1912" s="292"/>
      <c r="I1912" s="293"/>
    </row>
    <row r="1913" spans="1:9">
      <c r="A1913" s="294"/>
      <c r="B1913" s="294"/>
      <c r="C1913" s="294"/>
      <c r="D1913" s="294"/>
      <c r="E1913" s="290"/>
      <c r="F1913" s="290"/>
      <c r="G1913" s="291"/>
      <c r="H1913" s="292"/>
      <c r="I1913" s="293"/>
    </row>
    <row r="1914" spans="1:9">
      <c r="A1914" s="294"/>
      <c r="B1914" s="294"/>
      <c r="C1914" s="294"/>
      <c r="D1914" s="294"/>
      <c r="E1914" s="290"/>
      <c r="F1914" s="290"/>
      <c r="G1914" s="291"/>
      <c r="H1914" s="292"/>
      <c r="I1914" s="293"/>
    </row>
    <row r="1915" spans="1:9">
      <c r="A1915" s="294"/>
      <c r="B1915" s="294"/>
      <c r="C1915" s="294"/>
      <c r="D1915" s="294"/>
      <c r="E1915" s="290"/>
      <c r="F1915" s="290"/>
      <c r="G1915" s="291"/>
      <c r="H1915" s="292"/>
      <c r="I1915" s="293"/>
    </row>
    <row r="1916" spans="1:9">
      <c r="A1916" s="294"/>
      <c r="B1916" s="294"/>
      <c r="C1916" s="294"/>
      <c r="D1916" s="294"/>
      <c r="E1916" s="290"/>
      <c r="F1916" s="290"/>
      <c r="G1916" s="291"/>
      <c r="H1916" s="292"/>
      <c r="I1916" s="293"/>
    </row>
    <row r="1917" spans="1:9">
      <c r="A1917" s="294"/>
      <c r="B1917" s="294"/>
      <c r="C1917" s="294"/>
      <c r="D1917" s="294"/>
      <c r="E1917" s="290"/>
      <c r="F1917" s="290"/>
      <c r="G1917" s="291"/>
      <c r="H1917" s="292"/>
      <c r="I1917" s="293"/>
    </row>
    <row r="1918" spans="1:9">
      <c r="A1918" s="294"/>
      <c r="B1918" s="294"/>
      <c r="C1918" s="294"/>
      <c r="D1918" s="294"/>
      <c r="E1918" s="290"/>
      <c r="F1918" s="290"/>
      <c r="G1918" s="291"/>
      <c r="H1918" s="292"/>
      <c r="I1918" s="293"/>
    </row>
    <row r="1919" spans="1:9">
      <c r="A1919" s="294"/>
      <c r="B1919" s="294"/>
      <c r="C1919" s="294"/>
      <c r="D1919" s="294"/>
      <c r="E1919" s="290"/>
      <c r="F1919" s="290"/>
      <c r="G1919" s="291"/>
      <c r="H1919" s="292"/>
      <c r="I1919" s="293"/>
    </row>
    <row r="1920" spans="1:9">
      <c r="A1920" s="294"/>
      <c r="B1920" s="294"/>
      <c r="C1920" s="294"/>
      <c r="D1920" s="294"/>
      <c r="E1920" s="290"/>
      <c r="F1920" s="290"/>
      <c r="G1920" s="291"/>
      <c r="H1920" s="292"/>
      <c r="I1920" s="293"/>
    </row>
    <row r="1921" spans="1:9">
      <c r="A1921" s="294"/>
      <c r="B1921" s="294"/>
      <c r="C1921" s="294"/>
      <c r="D1921" s="294"/>
      <c r="E1921" s="290"/>
      <c r="F1921" s="290"/>
      <c r="G1921" s="291"/>
      <c r="H1921" s="292"/>
      <c r="I1921" s="293"/>
    </row>
    <row r="1922" spans="1:9">
      <c r="A1922" s="294"/>
      <c r="B1922" s="294"/>
      <c r="C1922" s="294"/>
      <c r="D1922" s="294"/>
      <c r="E1922" s="290"/>
      <c r="F1922" s="290"/>
      <c r="G1922" s="291"/>
      <c r="H1922" s="292"/>
      <c r="I1922" s="293"/>
    </row>
    <row r="1923" spans="1:9">
      <c r="A1923" s="294"/>
      <c r="B1923" s="294"/>
      <c r="C1923" s="294"/>
      <c r="D1923" s="294"/>
      <c r="E1923" s="290"/>
      <c r="F1923" s="290"/>
      <c r="G1923" s="291"/>
      <c r="H1923" s="292"/>
      <c r="I1923" s="293"/>
    </row>
    <row r="1924" spans="1:9">
      <c r="A1924" s="294"/>
      <c r="B1924" s="294"/>
      <c r="C1924" s="294"/>
      <c r="D1924" s="294"/>
      <c r="E1924" s="290"/>
      <c r="F1924" s="290"/>
      <c r="G1924" s="291"/>
      <c r="H1924" s="292"/>
      <c r="I1924" s="293"/>
    </row>
    <row r="1925" spans="1:9">
      <c r="A1925" s="294"/>
      <c r="B1925" s="294"/>
      <c r="C1925" s="294"/>
      <c r="D1925" s="294"/>
      <c r="E1925" s="290"/>
      <c r="F1925" s="290"/>
      <c r="G1925" s="291"/>
      <c r="H1925" s="292"/>
      <c r="I1925" s="293"/>
    </row>
    <row r="1926" spans="1:9">
      <c r="A1926" s="294"/>
      <c r="B1926" s="294"/>
      <c r="C1926" s="294"/>
      <c r="D1926" s="294"/>
      <c r="E1926" s="290"/>
      <c r="F1926" s="290"/>
      <c r="G1926" s="291"/>
      <c r="H1926" s="292"/>
      <c r="I1926" s="293"/>
    </row>
    <row r="1927" spans="1:9">
      <c r="A1927" s="294"/>
      <c r="B1927" s="294"/>
      <c r="C1927" s="294"/>
      <c r="D1927" s="294"/>
      <c r="E1927" s="290"/>
      <c r="F1927" s="290"/>
      <c r="G1927" s="291"/>
      <c r="H1927" s="292"/>
      <c r="I1927" s="293"/>
    </row>
    <row r="1928" spans="1:9">
      <c r="A1928" s="294"/>
      <c r="B1928" s="294"/>
      <c r="C1928" s="294"/>
      <c r="D1928" s="294"/>
      <c r="E1928" s="290"/>
      <c r="F1928" s="290"/>
      <c r="G1928" s="291"/>
      <c r="H1928" s="292"/>
      <c r="I1928" s="293"/>
    </row>
    <row r="1929" spans="1:9">
      <c r="A1929" s="294"/>
      <c r="B1929" s="294"/>
      <c r="C1929" s="294"/>
      <c r="D1929" s="294"/>
      <c r="E1929" s="290"/>
      <c r="F1929" s="290"/>
      <c r="G1929" s="291"/>
      <c r="H1929" s="292"/>
      <c r="I1929" s="293"/>
    </row>
    <row r="1930" spans="1:9">
      <c r="A1930" s="294"/>
      <c r="B1930" s="294"/>
      <c r="C1930" s="294"/>
      <c r="D1930" s="294"/>
      <c r="E1930" s="290"/>
      <c r="F1930" s="290"/>
      <c r="G1930" s="292"/>
      <c r="H1930" s="292"/>
      <c r="I1930" s="293"/>
    </row>
    <row r="1931" spans="1:9">
      <c r="A1931" s="294"/>
      <c r="B1931" s="294"/>
      <c r="C1931" s="294"/>
      <c r="D1931" s="294"/>
      <c r="E1931" s="290"/>
      <c r="F1931" s="290"/>
      <c r="G1931" s="292"/>
      <c r="H1931" s="292"/>
      <c r="I1931" s="293"/>
    </row>
    <row r="1932" spans="1:9">
      <c r="A1932" s="294"/>
      <c r="B1932" s="294"/>
      <c r="C1932" s="294"/>
      <c r="D1932" s="294"/>
      <c r="E1932" s="290"/>
      <c r="F1932" s="290"/>
      <c r="G1932" s="292"/>
      <c r="H1932" s="292"/>
      <c r="I1932" s="293"/>
    </row>
    <row r="1933" spans="1:9">
      <c r="A1933" s="294"/>
      <c r="B1933" s="294"/>
      <c r="C1933" s="294"/>
      <c r="D1933" s="294"/>
      <c r="E1933" s="290"/>
      <c r="F1933" s="290"/>
      <c r="G1933" s="292"/>
      <c r="H1933" s="292"/>
      <c r="I1933" s="293"/>
    </row>
    <row r="1934" spans="1:9">
      <c r="A1934" s="294"/>
      <c r="B1934" s="294"/>
      <c r="C1934" s="294"/>
      <c r="D1934" s="294"/>
      <c r="E1934" s="290"/>
      <c r="F1934" s="290"/>
      <c r="G1934" s="292"/>
      <c r="H1934" s="292"/>
      <c r="I1934" s="293"/>
    </row>
    <row r="1935" spans="1:9">
      <c r="A1935" s="294"/>
      <c r="B1935" s="294"/>
      <c r="C1935" s="294"/>
      <c r="D1935" s="294"/>
      <c r="E1935" s="290"/>
      <c r="F1935" s="290"/>
      <c r="G1935" s="292"/>
      <c r="H1935" s="292"/>
      <c r="I1935" s="293"/>
    </row>
    <row r="1936" spans="1:9">
      <c r="A1936" s="294"/>
      <c r="B1936" s="294"/>
      <c r="C1936" s="294"/>
      <c r="D1936" s="294"/>
      <c r="E1936" s="290"/>
      <c r="F1936" s="290"/>
      <c r="G1936" s="292"/>
      <c r="H1936" s="292"/>
      <c r="I1936" s="293"/>
    </row>
    <row r="1937" spans="1:9">
      <c r="A1937" s="294"/>
      <c r="B1937" s="294"/>
      <c r="C1937" s="294"/>
      <c r="D1937" s="294"/>
      <c r="E1937" s="290"/>
      <c r="F1937" s="290"/>
      <c r="G1937" s="292"/>
      <c r="H1937" s="292"/>
      <c r="I1937" s="293"/>
    </row>
    <row r="1938" spans="1:9">
      <c r="A1938" s="294"/>
      <c r="B1938" s="294"/>
      <c r="C1938" s="294"/>
      <c r="D1938" s="294"/>
      <c r="E1938" s="290"/>
      <c r="F1938" s="290"/>
      <c r="G1938" s="292"/>
      <c r="H1938" s="292"/>
      <c r="I1938" s="293"/>
    </row>
    <row r="1939" spans="1:9">
      <c r="A1939" s="294"/>
      <c r="B1939" s="294"/>
      <c r="C1939" s="294"/>
      <c r="D1939" s="294"/>
      <c r="E1939" s="290"/>
      <c r="F1939" s="290"/>
      <c r="G1939" s="292"/>
      <c r="H1939" s="292"/>
      <c r="I1939" s="293"/>
    </row>
    <row r="1940" spans="1:9">
      <c r="A1940" s="294"/>
      <c r="B1940" s="294"/>
      <c r="C1940" s="294"/>
      <c r="D1940" s="294"/>
      <c r="E1940" s="290"/>
      <c r="F1940" s="290"/>
      <c r="G1940" s="292"/>
      <c r="H1940" s="292"/>
      <c r="I1940" s="293"/>
    </row>
    <row r="1941" spans="1:9">
      <c r="A1941" s="294"/>
      <c r="B1941" s="294"/>
      <c r="C1941" s="294"/>
      <c r="D1941" s="294"/>
      <c r="E1941" s="290"/>
      <c r="F1941" s="290"/>
      <c r="G1941" s="292"/>
      <c r="H1941" s="292"/>
      <c r="I1941" s="293"/>
    </row>
    <row r="1942" spans="1:9">
      <c r="A1942" s="294"/>
      <c r="B1942" s="294"/>
      <c r="C1942" s="294"/>
      <c r="D1942" s="294"/>
      <c r="E1942" s="290"/>
      <c r="F1942" s="290"/>
      <c r="G1942" s="292"/>
      <c r="H1942" s="292"/>
      <c r="I1942" s="293"/>
    </row>
    <row r="1943" spans="1:9">
      <c r="A1943" s="294"/>
      <c r="B1943" s="294"/>
      <c r="C1943" s="294"/>
      <c r="D1943" s="294"/>
      <c r="E1943" s="290"/>
      <c r="F1943" s="290"/>
      <c r="G1943" s="292"/>
      <c r="H1943" s="292"/>
      <c r="I1943" s="293"/>
    </row>
    <row r="1944" spans="1:9">
      <c r="A1944" s="294"/>
      <c r="B1944" s="294"/>
      <c r="C1944" s="294"/>
      <c r="D1944" s="294"/>
      <c r="E1944" s="290"/>
      <c r="F1944" s="290"/>
      <c r="G1944" s="292"/>
      <c r="H1944" s="292"/>
      <c r="I1944" s="293"/>
    </row>
    <row r="1945" spans="1:9">
      <c r="A1945" s="294"/>
      <c r="B1945" s="294"/>
      <c r="C1945" s="294"/>
      <c r="D1945" s="294"/>
      <c r="E1945" s="290"/>
      <c r="F1945" s="290"/>
      <c r="G1945" s="292"/>
      <c r="H1945" s="292"/>
      <c r="I1945" s="293"/>
    </row>
    <row r="1946" spans="1:9">
      <c r="A1946" s="294"/>
      <c r="B1946" s="294"/>
      <c r="C1946" s="294"/>
      <c r="D1946" s="294"/>
      <c r="E1946" s="290"/>
      <c r="F1946" s="290"/>
      <c r="G1946" s="292"/>
      <c r="H1946" s="292"/>
      <c r="I1946" s="293"/>
    </row>
    <row r="1947" spans="1:9">
      <c r="A1947" s="294"/>
      <c r="B1947" s="294"/>
      <c r="C1947" s="294"/>
      <c r="D1947" s="294"/>
      <c r="E1947" s="290"/>
      <c r="F1947" s="290"/>
      <c r="G1947" s="292"/>
      <c r="H1947" s="292"/>
      <c r="I1947" s="293"/>
    </row>
    <row r="1948" spans="1:9">
      <c r="A1948" s="294"/>
      <c r="B1948" s="294"/>
      <c r="C1948" s="294"/>
      <c r="D1948" s="294"/>
      <c r="E1948" s="290"/>
      <c r="F1948" s="290"/>
      <c r="G1948" s="292"/>
      <c r="H1948" s="292"/>
      <c r="I1948" s="293"/>
    </row>
    <row r="1949" spans="1:9">
      <c r="A1949" s="294"/>
      <c r="B1949" s="294"/>
      <c r="C1949" s="294"/>
      <c r="D1949" s="294"/>
      <c r="E1949" s="290"/>
      <c r="F1949" s="290"/>
      <c r="G1949" s="292"/>
      <c r="H1949" s="292"/>
      <c r="I1949" s="293"/>
    </row>
    <row r="1950" spans="1:9">
      <c r="A1950" s="294"/>
      <c r="B1950" s="294"/>
      <c r="C1950" s="294"/>
      <c r="D1950" s="294"/>
      <c r="E1950" s="290"/>
      <c r="F1950" s="290"/>
      <c r="G1950" s="292"/>
      <c r="H1950" s="292"/>
      <c r="I1950" s="293"/>
    </row>
    <row r="1951" spans="1:9">
      <c r="A1951" s="294"/>
      <c r="B1951" s="294"/>
      <c r="C1951" s="294"/>
      <c r="D1951" s="294"/>
      <c r="E1951" s="290"/>
      <c r="F1951" s="290"/>
      <c r="G1951" s="292"/>
      <c r="H1951" s="292"/>
      <c r="I1951" s="293"/>
    </row>
    <row r="1952" spans="1:9">
      <c r="A1952" s="294"/>
      <c r="B1952" s="294"/>
      <c r="C1952" s="294"/>
      <c r="D1952" s="294"/>
      <c r="E1952" s="290"/>
      <c r="F1952" s="290"/>
      <c r="G1952" s="292"/>
      <c r="H1952" s="292"/>
      <c r="I1952" s="293"/>
    </row>
    <row r="1953" spans="1:9">
      <c r="A1953" s="294"/>
      <c r="B1953" s="294"/>
      <c r="C1953" s="294"/>
      <c r="D1953" s="294"/>
      <c r="E1953" s="290"/>
      <c r="F1953" s="290"/>
      <c r="G1953" s="292"/>
      <c r="H1953" s="292"/>
      <c r="I1953" s="293"/>
    </row>
    <row r="1954" spans="1:9">
      <c r="A1954" s="294"/>
      <c r="B1954" s="294"/>
      <c r="C1954" s="294"/>
      <c r="D1954" s="294"/>
      <c r="E1954" s="290"/>
      <c r="F1954" s="290"/>
      <c r="G1954" s="292"/>
      <c r="H1954" s="292"/>
      <c r="I1954" s="293"/>
    </row>
    <row r="1955" spans="1:9">
      <c r="A1955" s="294"/>
      <c r="B1955" s="294"/>
      <c r="C1955" s="294"/>
      <c r="D1955" s="294"/>
      <c r="E1955" s="290"/>
      <c r="F1955" s="290"/>
      <c r="G1955" s="292"/>
      <c r="H1955" s="292"/>
      <c r="I1955" s="293"/>
    </row>
    <row r="1956" spans="1:9">
      <c r="A1956" s="294"/>
      <c r="B1956" s="294"/>
      <c r="C1956" s="294"/>
      <c r="D1956" s="294"/>
      <c r="E1956" s="290"/>
      <c r="F1956" s="290"/>
      <c r="G1956" s="292"/>
      <c r="H1956" s="292"/>
      <c r="I1956" s="293"/>
    </row>
    <row r="1957" spans="1:9">
      <c r="A1957" s="294"/>
      <c r="B1957" s="294"/>
      <c r="C1957" s="294"/>
      <c r="D1957" s="294"/>
      <c r="E1957" s="290"/>
      <c r="F1957" s="290"/>
      <c r="G1957" s="292"/>
      <c r="H1957" s="292"/>
      <c r="I1957" s="293"/>
    </row>
    <row r="1958" spans="1:9">
      <c r="A1958" s="294"/>
      <c r="B1958" s="294"/>
      <c r="C1958" s="294"/>
      <c r="D1958" s="294"/>
      <c r="E1958" s="290"/>
      <c r="F1958" s="290"/>
      <c r="G1958" s="292"/>
      <c r="H1958" s="292"/>
      <c r="I1958" s="293"/>
    </row>
    <row r="1959" spans="1:9">
      <c r="A1959" s="294"/>
      <c r="B1959" s="294"/>
      <c r="C1959" s="294"/>
      <c r="D1959" s="294"/>
      <c r="E1959" s="290"/>
      <c r="F1959" s="290"/>
      <c r="G1959" s="292"/>
      <c r="H1959" s="292"/>
      <c r="I1959" s="293"/>
    </row>
    <row r="1960" spans="1:9">
      <c r="A1960" s="294"/>
      <c r="B1960" s="294"/>
      <c r="C1960" s="294"/>
      <c r="D1960" s="294"/>
      <c r="E1960" s="290"/>
      <c r="F1960" s="290"/>
      <c r="G1960" s="292"/>
      <c r="H1960" s="292"/>
      <c r="I1960" s="293"/>
    </row>
    <row r="1961" spans="1:9">
      <c r="A1961" s="294"/>
      <c r="B1961" s="294"/>
      <c r="C1961" s="294"/>
      <c r="D1961" s="294"/>
      <c r="E1961" s="290"/>
      <c r="F1961" s="290"/>
      <c r="G1961" s="292"/>
      <c r="H1961" s="292"/>
      <c r="I1961" s="293"/>
    </row>
    <row r="1962" spans="1:9">
      <c r="A1962" s="294"/>
      <c r="B1962" s="294"/>
      <c r="C1962" s="294"/>
      <c r="D1962" s="294"/>
      <c r="E1962" s="290"/>
      <c r="F1962" s="290"/>
      <c r="G1962" s="292"/>
      <c r="H1962" s="292"/>
      <c r="I1962" s="293"/>
    </row>
    <row r="1963" spans="1:9">
      <c r="A1963" s="294"/>
      <c r="B1963" s="294"/>
      <c r="C1963" s="294"/>
      <c r="D1963" s="294"/>
      <c r="E1963" s="290"/>
      <c r="F1963" s="290"/>
      <c r="G1963" s="292"/>
      <c r="H1963" s="292"/>
      <c r="I1963" s="293"/>
    </row>
    <row r="1964" spans="1:9">
      <c r="A1964" s="294"/>
      <c r="B1964" s="294"/>
      <c r="C1964" s="294"/>
      <c r="D1964" s="294"/>
      <c r="E1964" s="290"/>
      <c r="F1964" s="290"/>
      <c r="G1964" s="292"/>
      <c r="H1964" s="292"/>
      <c r="I1964" s="293"/>
    </row>
    <row r="1965" spans="1:9">
      <c r="A1965" s="294"/>
      <c r="B1965" s="294"/>
      <c r="C1965" s="294"/>
      <c r="D1965" s="294"/>
      <c r="E1965" s="290"/>
      <c r="F1965" s="290"/>
      <c r="G1965" s="292"/>
      <c r="H1965" s="292"/>
      <c r="I1965" s="293"/>
    </row>
    <row r="1966" spans="1:9">
      <c r="A1966" s="294"/>
      <c r="B1966" s="294"/>
      <c r="C1966" s="294"/>
      <c r="D1966" s="294"/>
      <c r="E1966" s="290"/>
      <c r="F1966" s="290"/>
      <c r="G1966" s="292"/>
      <c r="H1966" s="292"/>
      <c r="I1966" s="293"/>
    </row>
    <row r="1967" spans="1:9">
      <c r="A1967" s="294"/>
      <c r="B1967" s="294"/>
      <c r="C1967" s="294"/>
      <c r="D1967" s="294"/>
      <c r="E1967" s="290"/>
      <c r="F1967" s="290"/>
      <c r="G1967" s="292"/>
      <c r="H1967" s="292"/>
      <c r="I1967" s="293"/>
    </row>
    <row r="1968" spans="1:9">
      <c r="A1968" s="294"/>
      <c r="B1968" s="294"/>
      <c r="C1968" s="294"/>
      <c r="D1968" s="294"/>
      <c r="E1968" s="290"/>
      <c r="F1968" s="290"/>
      <c r="G1968" s="292"/>
      <c r="H1968" s="292"/>
      <c r="I1968" s="293"/>
    </row>
    <row r="1969" spans="1:9">
      <c r="A1969" s="294"/>
      <c r="B1969" s="294"/>
      <c r="C1969" s="294"/>
      <c r="D1969" s="294"/>
      <c r="E1969" s="290"/>
      <c r="F1969" s="290"/>
      <c r="G1969" s="292"/>
      <c r="H1969" s="292"/>
      <c r="I1969" s="293"/>
    </row>
    <row r="1970" spans="1:9">
      <c r="A1970" s="294"/>
      <c r="B1970" s="294"/>
      <c r="C1970" s="294"/>
      <c r="D1970" s="294"/>
      <c r="E1970" s="290"/>
      <c r="F1970" s="290"/>
      <c r="G1970" s="292"/>
      <c r="H1970" s="292"/>
      <c r="I1970" s="293"/>
    </row>
    <row r="1971" spans="1:9">
      <c r="A1971" s="294"/>
      <c r="B1971" s="294"/>
      <c r="C1971" s="294"/>
      <c r="D1971" s="294"/>
      <c r="E1971" s="290"/>
      <c r="F1971" s="290"/>
      <c r="G1971" s="292"/>
      <c r="H1971" s="292"/>
      <c r="I1971" s="293"/>
    </row>
    <row r="1972" spans="1:9">
      <c r="A1972" s="294"/>
      <c r="B1972" s="294"/>
      <c r="C1972" s="294"/>
      <c r="D1972" s="294"/>
      <c r="E1972" s="290"/>
      <c r="F1972" s="290"/>
      <c r="G1972" s="292"/>
      <c r="H1972" s="292"/>
      <c r="I1972" s="293"/>
    </row>
    <row r="1973" spans="1:9">
      <c r="A1973" s="294"/>
      <c r="B1973" s="294"/>
      <c r="C1973" s="294"/>
      <c r="D1973" s="294"/>
      <c r="E1973" s="290"/>
      <c r="F1973" s="290"/>
      <c r="G1973" s="292"/>
      <c r="H1973" s="292"/>
      <c r="I1973" s="293"/>
    </row>
    <row r="1974" spans="1:9">
      <c r="A1974" s="294"/>
      <c r="B1974" s="294"/>
      <c r="C1974" s="294"/>
      <c r="D1974" s="294"/>
      <c r="E1974" s="290"/>
      <c r="F1974" s="290"/>
      <c r="G1974" s="292"/>
      <c r="H1974" s="292"/>
      <c r="I1974" s="293"/>
    </row>
    <row r="1975" spans="1:9">
      <c r="A1975" s="294"/>
      <c r="B1975" s="294"/>
      <c r="C1975" s="294"/>
      <c r="D1975" s="294"/>
      <c r="E1975" s="290"/>
      <c r="F1975" s="290"/>
      <c r="G1975" s="292"/>
      <c r="H1975" s="292"/>
      <c r="I1975" s="293"/>
    </row>
    <row r="1976" spans="1:9">
      <c r="A1976" s="294"/>
      <c r="B1976" s="294"/>
      <c r="C1976" s="294"/>
      <c r="D1976" s="294"/>
      <c r="E1976" s="290"/>
      <c r="F1976" s="290"/>
      <c r="G1976" s="292"/>
      <c r="H1976" s="292"/>
      <c r="I1976" s="293"/>
    </row>
    <row r="1977" spans="1:9">
      <c r="A1977" s="294"/>
      <c r="B1977" s="294"/>
      <c r="C1977" s="294"/>
      <c r="D1977" s="294"/>
      <c r="E1977" s="290"/>
      <c r="F1977" s="290"/>
      <c r="G1977" s="292"/>
      <c r="H1977" s="292"/>
      <c r="I1977" s="293"/>
    </row>
    <row r="1978" spans="1:9">
      <c r="A1978" s="294"/>
      <c r="B1978" s="294"/>
      <c r="C1978" s="294"/>
      <c r="D1978" s="294"/>
      <c r="E1978" s="290"/>
      <c r="F1978" s="290"/>
      <c r="G1978" s="292"/>
      <c r="H1978" s="292"/>
      <c r="I1978" s="293"/>
    </row>
    <row r="1979" spans="1:9">
      <c r="A1979" s="294"/>
      <c r="B1979" s="294"/>
      <c r="C1979" s="294"/>
      <c r="D1979" s="294"/>
      <c r="E1979" s="290"/>
      <c r="F1979" s="290"/>
      <c r="G1979" s="292"/>
      <c r="H1979" s="292"/>
      <c r="I1979" s="293"/>
    </row>
    <row r="1980" spans="1:9">
      <c r="A1980" s="294"/>
      <c r="B1980" s="294"/>
      <c r="C1980" s="294"/>
      <c r="D1980" s="294"/>
      <c r="E1980" s="290"/>
      <c r="F1980" s="290"/>
      <c r="G1980" s="292"/>
      <c r="H1980" s="292"/>
      <c r="I1980" s="293"/>
    </row>
    <row r="1981" spans="1:9">
      <c r="A1981" s="294"/>
      <c r="B1981" s="294"/>
      <c r="C1981" s="294"/>
      <c r="D1981" s="294"/>
      <c r="E1981" s="290"/>
      <c r="F1981" s="290"/>
      <c r="G1981" s="292"/>
      <c r="H1981" s="292"/>
      <c r="I1981" s="293"/>
    </row>
    <row r="1982" spans="1:9">
      <c r="A1982" s="294"/>
      <c r="B1982" s="294"/>
      <c r="C1982" s="294"/>
      <c r="D1982" s="294"/>
      <c r="E1982" s="290"/>
      <c r="F1982" s="290"/>
      <c r="G1982" s="292"/>
      <c r="H1982" s="292"/>
      <c r="I1982" s="293"/>
    </row>
    <row r="1983" spans="1:9">
      <c r="A1983" s="294"/>
      <c r="B1983" s="294"/>
      <c r="C1983" s="294"/>
      <c r="D1983" s="294"/>
      <c r="E1983" s="290"/>
      <c r="F1983" s="290"/>
      <c r="G1983" s="292"/>
      <c r="H1983" s="292"/>
      <c r="I1983" s="293"/>
    </row>
    <row r="1984" spans="1:9">
      <c r="A1984" s="294"/>
      <c r="B1984" s="294"/>
      <c r="C1984" s="294"/>
      <c r="D1984" s="294"/>
      <c r="E1984" s="290"/>
      <c r="F1984" s="290"/>
      <c r="G1984" s="292"/>
      <c r="H1984" s="292"/>
      <c r="I1984" s="293"/>
    </row>
    <row r="1985" spans="1:9">
      <c r="A1985" s="294"/>
      <c r="B1985" s="294"/>
      <c r="C1985" s="294"/>
      <c r="D1985" s="294"/>
      <c r="E1985" s="290"/>
      <c r="F1985" s="290"/>
      <c r="G1985" s="292"/>
      <c r="H1985" s="292"/>
      <c r="I1985" s="293"/>
    </row>
    <row r="1986" spans="1:9">
      <c r="A1986" s="294"/>
      <c r="B1986" s="294"/>
      <c r="C1986" s="294"/>
      <c r="D1986" s="294"/>
      <c r="E1986" s="290"/>
      <c r="F1986" s="290"/>
      <c r="G1986" s="292"/>
      <c r="H1986" s="292"/>
      <c r="I1986" s="293"/>
    </row>
    <row r="1987" spans="1:9">
      <c r="A1987" s="294"/>
      <c r="B1987" s="294"/>
      <c r="C1987" s="294"/>
      <c r="D1987" s="294"/>
      <c r="E1987" s="290"/>
      <c r="F1987" s="290"/>
      <c r="G1987" s="292"/>
      <c r="H1987" s="292"/>
      <c r="I1987" s="293"/>
    </row>
    <row r="1988" spans="1:9">
      <c r="A1988" s="294"/>
      <c r="B1988" s="294"/>
      <c r="C1988" s="294"/>
      <c r="D1988" s="294"/>
      <c r="E1988" s="290"/>
      <c r="F1988" s="290"/>
      <c r="G1988" s="292"/>
      <c r="H1988" s="292"/>
      <c r="I1988" s="293"/>
    </row>
    <row r="1989" spans="1:9">
      <c r="A1989" s="294"/>
      <c r="B1989" s="294"/>
      <c r="C1989" s="294"/>
      <c r="D1989" s="294"/>
      <c r="E1989" s="290"/>
      <c r="F1989" s="290"/>
      <c r="G1989" s="292"/>
      <c r="H1989" s="292"/>
      <c r="I1989" s="293"/>
    </row>
    <row r="1990" spans="1:9">
      <c r="A1990" s="294"/>
      <c r="B1990" s="294"/>
      <c r="C1990" s="294"/>
      <c r="D1990" s="294"/>
      <c r="E1990" s="290"/>
      <c r="F1990" s="290"/>
      <c r="G1990" s="292"/>
      <c r="H1990" s="292"/>
      <c r="I1990" s="293"/>
    </row>
    <row r="1991" spans="1:9">
      <c r="A1991" s="294"/>
      <c r="B1991" s="294"/>
      <c r="C1991" s="294"/>
      <c r="D1991" s="294"/>
      <c r="E1991" s="290"/>
      <c r="F1991" s="290"/>
      <c r="G1991" s="292"/>
      <c r="H1991" s="292"/>
      <c r="I1991" s="293"/>
    </row>
    <row r="1992" spans="1:9">
      <c r="A1992" s="294"/>
      <c r="B1992" s="294"/>
      <c r="C1992" s="294"/>
      <c r="D1992" s="294"/>
      <c r="E1992" s="290"/>
      <c r="F1992" s="290"/>
      <c r="G1992" s="292"/>
      <c r="H1992" s="292"/>
      <c r="I1992" s="293"/>
    </row>
    <row r="1993" spans="1:9">
      <c r="A1993" s="294"/>
      <c r="B1993" s="294"/>
      <c r="C1993" s="294"/>
      <c r="D1993" s="294"/>
      <c r="E1993" s="290"/>
      <c r="F1993" s="290"/>
      <c r="G1993" s="292"/>
      <c r="H1993" s="292"/>
      <c r="I1993" s="293"/>
    </row>
    <row r="1994" spans="1:9">
      <c r="A1994" s="294"/>
      <c r="B1994" s="294"/>
      <c r="C1994" s="294"/>
      <c r="D1994" s="294"/>
      <c r="E1994" s="290"/>
      <c r="F1994" s="290"/>
      <c r="G1994" s="292"/>
      <c r="H1994" s="292"/>
      <c r="I1994" s="293"/>
    </row>
    <row r="1995" spans="1:9">
      <c r="A1995" s="294"/>
      <c r="B1995" s="294"/>
      <c r="C1995" s="294"/>
      <c r="D1995" s="294"/>
      <c r="E1995" s="290"/>
      <c r="F1995" s="290"/>
      <c r="G1995" s="292"/>
      <c r="H1995" s="292"/>
      <c r="I1995" s="293"/>
    </row>
    <row r="1996" spans="1:9">
      <c r="A1996" s="294"/>
      <c r="B1996" s="294"/>
      <c r="C1996" s="294"/>
      <c r="D1996" s="294"/>
      <c r="E1996" s="290"/>
      <c r="F1996" s="290"/>
      <c r="G1996" s="292"/>
      <c r="H1996" s="292"/>
      <c r="I1996" s="293"/>
    </row>
    <row r="1997" spans="1:9">
      <c r="A1997" s="294"/>
      <c r="B1997" s="294"/>
      <c r="C1997" s="294"/>
      <c r="D1997" s="294"/>
      <c r="E1997" s="290"/>
      <c r="F1997" s="290"/>
      <c r="G1997" s="292"/>
      <c r="H1997" s="292"/>
      <c r="I1997" s="293"/>
    </row>
    <row r="1998" spans="1:9">
      <c r="A1998" s="294"/>
      <c r="B1998" s="294"/>
      <c r="C1998" s="294"/>
      <c r="D1998" s="294"/>
      <c r="E1998" s="290"/>
      <c r="F1998" s="290"/>
      <c r="G1998" s="292"/>
      <c r="H1998" s="292"/>
      <c r="I1998" s="293"/>
    </row>
    <row r="1999" spans="1:9">
      <c r="A1999" s="294"/>
      <c r="B1999" s="294"/>
      <c r="C1999" s="294"/>
      <c r="D1999" s="294"/>
      <c r="E1999" s="290"/>
      <c r="F1999" s="290"/>
      <c r="G1999" s="292"/>
      <c r="H1999" s="292"/>
      <c r="I1999" s="293"/>
    </row>
    <row r="2000" spans="1:9">
      <c r="A2000" s="294"/>
      <c r="B2000" s="294"/>
      <c r="C2000" s="294"/>
      <c r="D2000" s="294"/>
      <c r="E2000" s="290"/>
      <c r="F2000" s="290"/>
      <c r="G2000" s="292"/>
      <c r="H2000" s="292"/>
      <c r="I2000" s="293"/>
    </row>
    <row r="2001" spans="1:9">
      <c r="A2001" s="294"/>
      <c r="B2001" s="294"/>
      <c r="C2001" s="294"/>
      <c r="D2001" s="294"/>
      <c r="E2001" s="290"/>
      <c r="F2001" s="290"/>
      <c r="G2001" s="292"/>
      <c r="H2001" s="292"/>
      <c r="I2001" s="293"/>
    </row>
    <row r="2002" spans="1:9">
      <c r="A2002" s="294"/>
      <c r="B2002" s="294"/>
      <c r="C2002" s="294"/>
      <c r="D2002" s="294"/>
      <c r="E2002" s="290"/>
      <c r="F2002" s="290"/>
      <c r="G2002" s="292"/>
      <c r="H2002" s="292"/>
      <c r="I2002" s="293"/>
    </row>
    <row r="2003" spans="1:9">
      <c r="A2003" s="294"/>
      <c r="B2003" s="294"/>
      <c r="C2003" s="294"/>
      <c r="D2003" s="294"/>
      <c r="E2003" s="290"/>
      <c r="F2003" s="290"/>
      <c r="G2003" s="292"/>
      <c r="H2003" s="292"/>
      <c r="I2003" s="293"/>
    </row>
    <row r="2004" spans="1:9">
      <c r="A2004" s="294"/>
      <c r="B2004" s="294"/>
      <c r="C2004" s="294"/>
      <c r="D2004" s="294"/>
      <c r="E2004" s="290"/>
      <c r="F2004" s="290"/>
      <c r="G2004" s="292"/>
      <c r="H2004" s="292"/>
      <c r="I2004" s="293"/>
    </row>
    <row r="2005" spans="1:9">
      <c r="A2005" s="294"/>
      <c r="B2005" s="294"/>
      <c r="C2005" s="294"/>
      <c r="D2005" s="294"/>
      <c r="E2005" s="290"/>
      <c r="F2005" s="290"/>
      <c r="G2005" s="292"/>
      <c r="H2005" s="292"/>
      <c r="I2005" s="293"/>
    </row>
    <row r="2006" spans="1:9">
      <c r="A2006" s="294"/>
      <c r="B2006" s="294"/>
      <c r="C2006" s="294"/>
      <c r="D2006" s="294"/>
      <c r="E2006" s="290"/>
      <c r="F2006" s="290"/>
      <c r="G2006" s="292"/>
      <c r="H2006" s="292"/>
      <c r="I2006" s="293"/>
    </row>
    <row r="2007" spans="1:9">
      <c r="A2007" s="294"/>
      <c r="B2007" s="294"/>
      <c r="C2007" s="294"/>
      <c r="D2007" s="294"/>
      <c r="E2007" s="290"/>
      <c r="F2007" s="290"/>
      <c r="G2007" s="292"/>
      <c r="H2007" s="292"/>
      <c r="I2007" s="293"/>
    </row>
    <row r="2008" spans="1:9">
      <c r="A2008" s="294"/>
      <c r="B2008" s="294"/>
      <c r="C2008" s="294"/>
      <c r="D2008" s="294"/>
      <c r="E2008" s="290"/>
      <c r="F2008" s="290"/>
      <c r="G2008" s="292"/>
      <c r="H2008" s="292"/>
      <c r="I2008" s="293"/>
    </row>
    <row r="2009" spans="1:9">
      <c r="A2009" s="294"/>
      <c r="B2009" s="294"/>
      <c r="C2009" s="294"/>
      <c r="D2009" s="294"/>
      <c r="E2009" s="290"/>
      <c r="F2009" s="290"/>
      <c r="G2009" s="292"/>
      <c r="H2009" s="292"/>
      <c r="I2009" s="293"/>
    </row>
    <row r="2010" spans="1:9">
      <c r="A2010" s="294"/>
      <c r="B2010" s="294"/>
      <c r="C2010" s="294"/>
      <c r="D2010" s="294"/>
      <c r="E2010" s="290"/>
      <c r="F2010" s="290"/>
      <c r="G2010" s="292"/>
      <c r="H2010" s="292"/>
      <c r="I2010" s="293"/>
    </row>
    <row r="2011" spans="1:9">
      <c r="A2011" s="294"/>
      <c r="B2011" s="294"/>
      <c r="C2011" s="294"/>
      <c r="D2011" s="294"/>
      <c r="E2011" s="290"/>
      <c r="F2011" s="290"/>
      <c r="G2011" s="292"/>
      <c r="H2011" s="292"/>
      <c r="I2011" s="293"/>
    </row>
    <row r="2012" spans="1:9">
      <c r="A2012" s="294"/>
      <c r="B2012" s="294"/>
      <c r="C2012" s="294"/>
      <c r="D2012" s="294"/>
      <c r="E2012" s="290"/>
      <c r="F2012" s="290"/>
      <c r="G2012" s="292"/>
      <c r="H2012" s="292"/>
      <c r="I2012" s="293"/>
    </row>
    <row r="2013" spans="1:9">
      <c r="A2013" s="294"/>
      <c r="B2013" s="294"/>
      <c r="C2013" s="294"/>
      <c r="D2013" s="294"/>
      <c r="E2013" s="290"/>
      <c r="F2013" s="290"/>
      <c r="G2013" s="292"/>
      <c r="H2013" s="292"/>
      <c r="I2013" s="293"/>
    </row>
    <row r="2014" spans="1:9">
      <c r="A2014" s="294"/>
      <c r="B2014" s="294"/>
      <c r="C2014" s="294"/>
      <c r="D2014" s="294"/>
      <c r="E2014" s="290"/>
      <c r="F2014" s="290"/>
      <c r="G2014" s="292"/>
      <c r="H2014" s="292"/>
      <c r="I2014" s="293"/>
    </row>
    <row r="2015" spans="1:9">
      <c r="A2015" s="294"/>
      <c r="B2015" s="294"/>
      <c r="C2015" s="294"/>
      <c r="D2015" s="294"/>
      <c r="E2015" s="290"/>
      <c r="F2015" s="290"/>
      <c r="G2015" s="292"/>
      <c r="H2015" s="292"/>
      <c r="I2015" s="293"/>
    </row>
    <row r="2016" spans="1:9">
      <c r="A2016" s="294"/>
      <c r="B2016" s="294"/>
      <c r="C2016" s="294"/>
      <c r="D2016" s="294"/>
      <c r="E2016" s="290"/>
      <c r="F2016" s="290"/>
      <c r="G2016" s="292"/>
      <c r="H2016" s="292"/>
      <c r="I2016" s="293"/>
    </row>
    <row r="2017" spans="1:9">
      <c r="A2017" s="294"/>
      <c r="B2017" s="294"/>
      <c r="C2017" s="294"/>
      <c r="D2017" s="294"/>
      <c r="E2017" s="290"/>
      <c r="F2017" s="290"/>
      <c r="G2017" s="292"/>
      <c r="H2017" s="292"/>
      <c r="I2017" s="293"/>
    </row>
    <row r="2018" spans="1:9">
      <c r="A2018" s="294"/>
      <c r="B2018" s="294"/>
      <c r="C2018" s="294"/>
      <c r="D2018" s="294"/>
      <c r="E2018" s="290"/>
      <c r="F2018" s="290"/>
      <c r="G2018" s="292"/>
      <c r="H2018" s="292"/>
      <c r="I2018" s="293"/>
    </row>
    <row r="2019" spans="1:9">
      <c r="A2019" s="294"/>
      <c r="B2019" s="294"/>
      <c r="C2019" s="294"/>
      <c r="D2019" s="294"/>
      <c r="E2019" s="290"/>
      <c r="F2019" s="290"/>
      <c r="G2019" s="292"/>
      <c r="H2019" s="292"/>
      <c r="I2019" s="293"/>
    </row>
    <row r="2020" spans="1:9">
      <c r="A2020" s="294"/>
      <c r="B2020" s="294"/>
      <c r="C2020" s="294"/>
      <c r="D2020" s="294"/>
      <c r="E2020" s="290"/>
      <c r="F2020" s="290"/>
      <c r="G2020" s="292"/>
      <c r="H2020" s="292"/>
      <c r="I2020" s="293"/>
    </row>
    <row r="2021" spans="1:9">
      <c r="A2021" s="294"/>
      <c r="B2021" s="294"/>
      <c r="C2021" s="294"/>
      <c r="D2021" s="294"/>
      <c r="E2021" s="290"/>
      <c r="F2021" s="290"/>
      <c r="G2021" s="292"/>
      <c r="H2021" s="292"/>
      <c r="I2021" s="293"/>
    </row>
    <row r="2022" spans="1:9">
      <c r="A2022" s="294"/>
      <c r="B2022" s="294"/>
      <c r="C2022" s="294"/>
      <c r="D2022" s="294"/>
      <c r="E2022" s="290"/>
      <c r="F2022" s="290"/>
      <c r="G2022" s="292"/>
      <c r="H2022" s="292"/>
      <c r="I2022" s="293"/>
    </row>
    <row r="2023" spans="1:9">
      <c r="A2023" s="294"/>
      <c r="B2023" s="294"/>
      <c r="C2023" s="294"/>
      <c r="D2023" s="294"/>
      <c r="E2023" s="290"/>
      <c r="F2023" s="290"/>
      <c r="G2023" s="292"/>
      <c r="H2023" s="292"/>
      <c r="I2023" s="293"/>
    </row>
    <row r="2024" spans="1:9">
      <c r="A2024" s="294"/>
      <c r="B2024" s="294"/>
      <c r="C2024" s="294"/>
      <c r="D2024" s="294"/>
      <c r="E2024" s="290"/>
      <c r="F2024" s="290"/>
      <c r="G2024" s="292"/>
      <c r="H2024" s="292"/>
      <c r="I2024" s="293"/>
    </row>
    <row r="2025" spans="1:9">
      <c r="A2025" s="294"/>
      <c r="B2025" s="294"/>
      <c r="C2025" s="294"/>
      <c r="D2025" s="294"/>
      <c r="E2025" s="290"/>
      <c r="F2025" s="290"/>
      <c r="G2025" s="292"/>
      <c r="H2025" s="292"/>
      <c r="I2025" s="293"/>
    </row>
    <row r="2026" spans="1:9">
      <c r="A2026" s="294"/>
      <c r="B2026" s="294"/>
      <c r="C2026" s="294"/>
      <c r="D2026" s="294"/>
      <c r="E2026" s="290"/>
      <c r="F2026" s="290"/>
      <c r="G2026" s="292"/>
      <c r="H2026" s="292"/>
      <c r="I2026" s="293"/>
    </row>
    <row r="2027" spans="1:9">
      <c r="A2027" s="294"/>
      <c r="B2027" s="294"/>
      <c r="C2027" s="294"/>
      <c r="D2027" s="294"/>
      <c r="E2027" s="290"/>
      <c r="F2027" s="290"/>
      <c r="G2027" s="292"/>
      <c r="H2027" s="292"/>
      <c r="I2027" s="293"/>
    </row>
    <row r="2028" spans="1:9">
      <c r="A2028" s="294"/>
      <c r="B2028" s="294"/>
      <c r="C2028" s="294"/>
      <c r="D2028" s="294"/>
      <c r="E2028" s="290"/>
      <c r="F2028" s="290"/>
      <c r="G2028" s="292"/>
      <c r="H2028" s="292"/>
      <c r="I2028" s="293"/>
    </row>
    <row r="2029" spans="1:9">
      <c r="A2029" s="294"/>
      <c r="B2029" s="294"/>
      <c r="C2029" s="294"/>
      <c r="D2029" s="294"/>
      <c r="E2029" s="290"/>
      <c r="F2029" s="290"/>
      <c r="G2029" s="292"/>
      <c r="H2029" s="292"/>
      <c r="I2029" s="293"/>
    </row>
    <row r="2030" spans="1:9">
      <c r="A2030" s="294"/>
      <c r="B2030" s="294"/>
      <c r="C2030" s="294"/>
      <c r="D2030" s="294"/>
      <c r="E2030" s="290"/>
      <c r="F2030" s="290"/>
      <c r="G2030" s="292"/>
      <c r="H2030" s="292"/>
      <c r="I2030" s="293"/>
    </row>
    <row r="2031" spans="1:9">
      <c r="A2031" s="294"/>
      <c r="B2031" s="294"/>
      <c r="C2031" s="294"/>
      <c r="D2031" s="294"/>
      <c r="E2031" s="290"/>
      <c r="F2031" s="290"/>
      <c r="G2031" s="292"/>
      <c r="H2031" s="292"/>
      <c r="I2031" s="293"/>
    </row>
    <row r="2032" spans="1:9">
      <c r="A2032" s="294"/>
      <c r="B2032" s="294"/>
      <c r="C2032" s="294"/>
      <c r="D2032" s="294"/>
      <c r="E2032" s="290"/>
      <c r="F2032" s="290"/>
      <c r="G2032" s="292"/>
      <c r="H2032" s="292"/>
      <c r="I2032" s="293"/>
    </row>
    <row r="2033" spans="1:9">
      <c r="A2033" s="294"/>
      <c r="B2033" s="294"/>
      <c r="C2033" s="294"/>
      <c r="D2033" s="294"/>
      <c r="E2033" s="290"/>
      <c r="F2033" s="290"/>
      <c r="G2033" s="292"/>
      <c r="H2033" s="292"/>
      <c r="I2033" s="293"/>
    </row>
    <row r="2034" spans="1:9">
      <c r="A2034" s="294"/>
      <c r="B2034" s="294"/>
      <c r="C2034" s="294"/>
      <c r="D2034" s="294"/>
      <c r="E2034" s="290"/>
      <c r="F2034" s="290"/>
      <c r="G2034" s="292"/>
      <c r="H2034" s="292"/>
      <c r="I2034" s="293"/>
    </row>
    <row r="2035" spans="1:9">
      <c r="A2035" s="294"/>
      <c r="B2035" s="294"/>
      <c r="C2035" s="294"/>
      <c r="D2035" s="294"/>
      <c r="E2035" s="290"/>
      <c r="F2035" s="290"/>
      <c r="G2035" s="292"/>
      <c r="H2035" s="292"/>
      <c r="I2035" s="293"/>
    </row>
    <row r="2036" spans="1:9">
      <c r="A2036" s="294"/>
      <c r="B2036" s="294"/>
      <c r="C2036" s="294"/>
      <c r="D2036" s="294"/>
      <c r="E2036" s="290"/>
      <c r="F2036" s="290"/>
      <c r="G2036" s="292"/>
      <c r="H2036" s="292"/>
      <c r="I2036" s="293"/>
    </row>
    <row r="2037" spans="1:9">
      <c r="A2037" s="294"/>
      <c r="B2037" s="294"/>
      <c r="C2037" s="294"/>
      <c r="D2037" s="294"/>
      <c r="E2037" s="290"/>
      <c r="F2037" s="290"/>
      <c r="G2037" s="292"/>
      <c r="H2037" s="292"/>
      <c r="I2037" s="293"/>
    </row>
    <row r="2038" spans="1:9">
      <c r="A2038" s="294"/>
      <c r="B2038" s="294"/>
      <c r="C2038" s="294"/>
      <c r="D2038" s="294"/>
      <c r="E2038" s="290"/>
      <c r="F2038" s="290"/>
      <c r="G2038" s="292"/>
      <c r="H2038" s="292"/>
      <c r="I2038" s="293"/>
    </row>
    <row r="2039" spans="1:9">
      <c r="A2039" s="294"/>
      <c r="B2039" s="294"/>
      <c r="C2039" s="294"/>
      <c r="D2039" s="294"/>
      <c r="E2039" s="290"/>
      <c r="F2039" s="290"/>
      <c r="G2039" s="292"/>
      <c r="H2039" s="292"/>
      <c r="I2039" s="293"/>
    </row>
    <row r="2040" spans="1:9">
      <c r="A2040" s="294"/>
      <c r="B2040" s="294"/>
      <c r="C2040" s="294"/>
      <c r="D2040" s="294"/>
      <c r="E2040" s="290"/>
      <c r="F2040" s="290"/>
      <c r="G2040" s="292"/>
      <c r="H2040" s="292"/>
      <c r="I2040" s="293"/>
    </row>
    <row r="2041" spans="1:9">
      <c r="A2041" s="294"/>
      <c r="B2041" s="294"/>
      <c r="C2041" s="294"/>
      <c r="D2041" s="294"/>
      <c r="E2041" s="290"/>
      <c r="F2041" s="290"/>
      <c r="G2041" s="292"/>
      <c r="H2041" s="292"/>
      <c r="I2041" s="293"/>
    </row>
    <row r="2042" spans="1:9">
      <c r="A2042" s="294"/>
      <c r="B2042" s="294"/>
      <c r="C2042" s="294"/>
      <c r="D2042" s="294"/>
      <c r="E2042" s="290"/>
      <c r="F2042" s="290"/>
      <c r="G2042" s="292"/>
      <c r="H2042" s="292"/>
      <c r="I2042" s="293"/>
    </row>
    <row r="2043" spans="1:9">
      <c r="A2043" s="294"/>
      <c r="B2043" s="294"/>
      <c r="C2043" s="294"/>
      <c r="D2043" s="294"/>
      <c r="E2043" s="290"/>
      <c r="F2043" s="290"/>
      <c r="G2043" s="292"/>
      <c r="H2043" s="292"/>
      <c r="I2043" s="293"/>
    </row>
    <row r="2044" spans="1:9">
      <c r="A2044" s="294"/>
      <c r="B2044" s="294"/>
      <c r="C2044" s="294"/>
      <c r="D2044" s="294"/>
      <c r="E2044" s="290"/>
      <c r="F2044" s="290"/>
      <c r="G2044" s="292"/>
      <c r="H2044" s="292"/>
      <c r="I2044" s="293"/>
    </row>
    <row r="2045" spans="1:9">
      <c r="A2045" s="294"/>
      <c r="B2045" s="294"/>
      <c r="C2045" s="294"/>
      <c r="D2045" s="294"/>
      <c r="E2045" s="290"/>
      <c r="F2045" s="290"/>
      <c r="G2045" s="292"/>
      <c r="H2045" s="292"/>
      <c r="I2045" s="293"/>
    </row>
    <row r="2046" spans="1:9">
      <c r="A2046" s="294"/>
      <c r="B2046" s="294"/>
      <c r="C2046" s="294"/>
      <c r="D2046" s="294"/>
      <c r="E2046" s="290"/>
      <c r="F2046" s="290"/>
      <c r="G2046" s="292"/>
      <c r="H2046" s="292"/>
      <c r="I2046" s="293"/>
    </row>
    <row r="2047" spans="1:9">
      <c r="A2047" s="294"/>
      <c r="B2047" s="294"/>
      <c r="C2047" s="294"/>
      <c r="D2047" s="294"/>
      <c r="E2047" s="290"/>
      <c r="F2047" s="290"/>
      <c r="G2047" s="292"/>
      <c r="H2047" s="292"/>
      <c r="I2047" s="293"/>
    </row>
    <row r="2048" spans="1:9">
      <c r="A2048" s="294"/>
      <c r="B2048" s="294"/>
      <c r="C2048" s="294"/>
      <c r="D2048" s="294"/>
      <c r="E2048" s="290"/>
      <c r="F2048" s="290"/>
      <c r="G2048" s="292"/>
      <c r="H2048" s="292"/>
      <c r="I2048" s="293"/>
    </row>
    <row r="2049" spans="1:9">
      <c r="A2049" s="294"/>
      <c r="B2049" s="294"/>
      <c r="C2049" s="294"/>
      <c r="D2049" s="294"/>
      <c r="E2049" s="290"/>
      <c r="F2049" s="290"/>
      <c r="G2049" s="292"/>
      <c r="H2049" s="292"/>
      <c r="I2049" s="293"/>
    </row>
    <row r="2050" spans="1:9">
      <c r="A2050" s="294"/>
      <c r="B2050" s="294"/>
      <c r="C2050" s="294"/>
      <c r="D2050" s="294"/>
      <c r="E2050" s="290"/>
      <c r="F2050" s="290"/>
      <c r="G2050" s="292"/>
      <c r="H2050" s="292"/>
      <c r="I2050" s="293"/>
    </row>
    <row r="2051" spans="1:9">
      <c r="A2051" s="294"/>
      <c r="B2051" s="294"/>
      <c r="C2051" s="294"/>
      <c r="D2051" s="294"/>
      <c r="E2051" s="290"/>
      <c r="F2051" s="290"/>
      <c r="G2051" s="292"/>
      <c r="H2051" s="292"/>
      <c r="I2051" s="293"/>
    </row>
    <row r="2052" spans="1:9">
      <c r="A2052" s="294"/>
      <c r="B2052" s="294"/>
      <c r="C2052" s="294"/>
      <c r="D2052" s="294"/>
      <c r="E2052" s="290"/>
      <c r="F2052" s="290"/>
      <c r="G2052" s="292"/>
      <c r="H2052" s="292"/>
      <c r="I2052" s="293"/>
    </row>
    <row r="2053" spans="1:9">
      <c r="A2053" s="294"/>
      <c r="B2053" s="294"/>
      <c r="C2053" s="294"/>
      <c r="D2053" s="294"/>
      <c r="E2053" s="290"/>
      <c r="F2053" s="290"/>
      <c r="G2053" s="292"/>
      <c r="H2053" s="292"/>
      <c r="I2053" s="293"/>
    </row>
    <row r="2054" spans="1:9">
      <c r="A2054" s="294"/>
      <c r="B2054" s="294"/>
      <c r="C2054" s="294"/>
      <c r="D2054" s="294"/>
      <c r="E2054" s="290"/>
      <c r="F2054" s="290"/>
      <c r="G2054" s="292"/>
      <c r="H2054" s="292"/>
      <c r="I2054" s="293"/>
    </row>
    <row r="2055" spans="1:9">
      <c r="A2055" s="294"/>
      <c r="B2055" s="294"/>
      <c r="C2055" s="294"/>
      <c r="D2055" s="294"/>
      <c r="E2055" s="290"/>
      <c r="F2055" s="290"/>
      <c r="G2055" s="292"/>
      <c r="H2055" s="292"/>
      <c r="I2055" s="293"/>
    </row>
    <row r="2056" spans="1:9">
      <c r="A2056" s="294"/>
      <c r="B2056" s="294"/>
      <c r="C2056" s="294"/>
      <c r="D2056" s="294"/>
      <c r="E2056" s="290"/>
      <c r="F2056" s="290"/>
      <c r="G2056" s="292"/>
      <c r="H2056" s="292"/>
      <c r="I2056" s="293"/>
    </row>
    <row r="2057" spans="1:9">
      <c r="A2057" s="294"/>
      <c r="B2057" s="294"/>
      <c r="C2057" s="294"/>
      <c r="D2057" s="294"/>
      <c r="E2057" s="290"/>
      <c r="F2057" s="290"/>
      <c r="G2057" s="292"/>
      <c r="H2057" s="292"/>
      <c r="I2057" s="293"/>
    </row>
    <row r="2058" spans="1:9">
      <c r="A2058" s="294"/>
      <c r="B2058" s="294"/>
      <c r="C2058" s="294"/>
      <c r="D2058" s="294"/>
      <c r="E2058" s="290"/>
      <c r="F2058" s="290"/>
      <c r="G2058" s="292"/>
      <c r="H2058" s="292"/>
      <c r="I2058" s="293"/>
    </row>
    <row r="2059" spans="1:9">
      <c r="A2059" s="294"/>
      <c r="B2059" s="294"/>
      <c r="C2059" s="294"/>
      <c r="D2059" s="294"/>
      <c r="E2059" s="290"/>
      <c r="F2059" s="290"/>
      <c r="G2059" s="292"/>
      <c r="H2059" s="292"/>
      <c r="I2059" s="293"/>
    </row>
    <row r="2060" spans="1:9">
      <c r="A2060" s="294"/>
      <c r="B2060" s="294"/>
      <c r="C2060" s="294"/>
      <c r="D2060" s="294"/>
      <c r="E2060" s="290"/>
      <c r="F2060" s="290"/>
      <c r="G2060" s="292"/>
      <c r="H2060" s="292"/>
      <c r="I2060" s="293"/>
    </row>
    <row r="2061" spans="1:9">
      <c r="A2061" s="294"/>
      <c r="B2061" s="294"/>
      <c r="C2061" s="294"/>
      <c r="D2061" s="294"/>
      <c r="E2061" s="290"/>
      <c r="F2061" s="290"/>
      <c r="G2061" s="292"/>
      <c r="H2061" s="292"/>
      <c r="I2061" s="293"/>
    </row>
    <row r="2062" spans="1:9">
      <c r="A2062" s="294"/>
      <c r="B2062" s="294"/>
      <c r="C2062" s="294"/>
      <c r="D2062" s="294"/>
      <c r="E2062" s="290"/>
      <c r="F2062" s="290"/>
      <c r="G2062" s="292"/>
      <c r="H2062" s="292"/>
      <c r="I2062" s="293"/>
    </row>
    <row r="2063" spans="1:9">
      <c r="A2063" s="294"/>
      <c r="B2063" s="294"/>
      <c r="C2063" s="294"/>
      <c r="D2063" s="294"/>
      <c r="E2063" s="290"/>
      <c r="F2063" s="290"/>
      <c r="G2063" s="292"/>
      <c r="H2063" s="292"/>
      <c r="I2063" s="293"/>
    </row>
    <row r="2064" spans="1:9">
      <c r="A2064" s="294"/>
      <c r="B2064" s="294"/>
      <c r="C2064" s="294"/>
      <c r="D2064" s="294"/>
      <c r="E2064" s="290"/>
      <c r="F2064" s="290"/>
      <c r="G2064" s="292"/>
      <c r="H2064" s="292"/>
      <c r="I2064" s="293"/>
    </row>
    <row r="2065" spans="1:9">
      <c r="A2065" s="294"/>
      <c r="B2065" s="294"/>
      <c r="C2065" s="294"/>
      <c r="D2065" s="294"/>
      <c r="E2065" s="290"/>
      <c r="F2065" s="290"/>
      <c r="G2065" s="292"/>
      <c r="H2065" s="292"/>
      <c r="I2065" s="293"/>
    </row>
    <row r="2066" spans="1:9">
      <c r="A2066" s="294"/>
      <c r="B2066" s="294"/>
      <c r="C2066" s="294"/>
      <c r="D2066" s="294"/>
      <c r="E2066" s="290"/>
      <c r="F2066" s="290"/>
      <c r="G2066" s="292"/>
      <c r="H2066" s="292"/>
      <c r="I2066" s="293"/>
    </row>
    <row r="2067" spans="1:9">
      <c r="A2067" s="294"/>
      <c r="B2067" s="294"/>
      <c r="C2067" s="294"/>
      <c r="D2067" s="294"/>
      <c r="E2067" s="290"/>
      <c r="F2067" s="290"/>
      <c r="G2067" s="292"/>
      <c r="H2067" s="292"/>
      <c r="I2067" s="293"/>
    </row>
    <row r="2068" spans="1:9">
      <c r="A2068" s="294"/>
      <c r="B2068" s="294"/>
      <c r="C2068" s="294"/>
      <c r="D2068" s="294"/>
      <c r="E2068" s="290"/>
      <c r="F2068" s="290"/>
      <c r="G2068" s="292"/>
      <c r="H2068" s="292"/>
      <c r="I2068" s="293"/>
    </row>
    <row r="2069" spans="1:9">
      <c r="A2069" s="294"/>
      <c r="B2069" s="294"/>
      <c r="C2069" s="294"/>
      <c r="D2069" s="294"/>
      <c r="E2069" s="290"/>
      <c r="F2069" s="290"/>
      <c r="G2069" s="292"/>
      <c r="H2069" s="292"/>
      <c r="I2069" s="293"/>
    </row>
    <row r="2070" spans="1:9">
      <c r="A2070" s="294"/>
      <c r="B2070" s="294"/>
      <c r="C2070" s="294"/>
      <c r="D2070" s="294"/>
      <c r="E2070" s="290"/>
      <c r="F2070" s="290"/>
      <c r="G2070" s="292"/>
      <c r="H2070" s="292"/>
      <c r="I2070" s="293"/>
    </row>
    <row r="2071" spans="1:9">
      <c r="A2071" s="294"/>
      <c r="B2071" s="294"/>
      <c r="C2071" s="294"/>
      <c r="D2071" s="294"/>
      <c r="E2071" s="290"/>
      <c r="F2071" s="290"/>
      <c r="G2071" s="292"/>
      <c r="H2071" s="292"/>
      <c r="I2071" s="293"/>
    </row>
    <row r="2072" spans="1:9">
      <c r="A2072" s="294"/>
      <c r="B2072" s="294"/>
      <c r="C2072" s="294"/>
      <c r="D2072" s="294"/>
      <c r="E2072" s="290"/>
      <c r="F2072" s="290"/>
      <c r="G2072" s="292"/>
      <c r="H2072" s="292"/>
      <c r="I2072" s="293"/>
    </row>
    <row r="2073" spans="1:9">
      <c r="A2073" s="294"/>
      <c r="B2073" s="294"/>
      <c r="C2073" s="294"/>
      <c r="D2073" s="294"/>
      <c r="E2073" s="290"/>
      <c r="F2073" s="290"/>
      <c r="G2073" s="292"/>
      <c r="H2073" s="292"/>
      <c r="I2073" s="293"/>
    </row>
    <row r="2074" spans="1:9">
      <c r="A2074" s="294"/>
      <c r="B2074" s="294"/>
      <c r="C2074" s="294"/>
      <c r="D2074" s="294"/>
      <c r="E2074" s="290"/>
      <c r="F2074" s="290"/>
      <c r="G2074" s="292"/>
      <c r="H2074" s="292"/>
      <c r="I2074" s="293"/>
    </row>
    <row r="2075" spans="1:9">
      <c r="A2075" s="294"/>
      <c r="B2075" s="294"/>
      <c r="C2075" s="294"/>
      <c r="D2075" s="294"/>
      <c r="E2075" s="290"/>
      <c r="F2075" s="290"/>
      <c r="G2075" s="292"/>
      <c r="H2075" s="292"/>
      <c r="I2075" s="293"/>
    </row>
    <row r="2076" spans="1:9">
      <c r="A2076" s="294"/>
      <c r="B2076" s="294"/>
      <c r="C2076" s="294"/>
      <c r="D2076" s="294"/>
      <c r="E2076" s="290"/>
      <c r="F2076" s="290"/>
      <c r="G2076" s="292"/>
      <c r="H2076" s="292"/>
      <c r="I2076" s="293"/>
    </row>
    <row r="2077" spans="1:9">
      <c r="A2077" s="294"/>
      <c r="B2077" s="294"/>
      <c r="C2077" s="294"/>
      <c r="D2077" s="294"/>
      <c r="E2077" s="290"/>
      <c r="F2077" s="290"/>
      <c r="G2077" s="292"/>
      <c r="H2077" s="292"/>
      <c r="I2077" s="293"/>
    </row>
    <row r="2078" spans="1:9">
      <c r="A2078" s="294"/>
      <c r="B2078" s="294"/>
      <c r="C2078" s="294"/>
      <c r="D2078" s="294"/>
      <c r="E2078" s="290"/>
      <c r="F2078" s="290"/>
      <c r="G2078" s="292"/>
      <c r="H2078" s="292"/>
      <c r="I2078" s="293"/>
    </row>
    <row r="2079" spans="1:9">
      <c r="A2079" s="294"/>
      <c r="B2079" s="294"/>
      <c r="C2079" s="294"/>
      <c r="D2079" s="294"/>
      <c r="E2079" s="290"/>
      <c r="F2079" s="290"/>
      <c r="G2079" s="292"/>
      <c r="H2079" s="292"/>
      <c r="I2079" s="293"/>
    </row>
    <row r="2080" spans="1:9">
      <c r="A2080" s="294"/>
      <c r="B2080" s="294"/>
      <c r="C2080" s="294"/>
      <c r="D2080" s="294"/>
      <c r="E2080" s="290"/>
      <c r="F2080" s="290"/>
      <c r="G2080" s="292"/>
      <c r="H2080" s="292"/>
      <c r="I2080" s="293"/>
    </row>
    <row r="2081" spans="1:9">
      <c r="A2081" s="294"/>
      <c r="B2081" s="294"/>
      <c r="C2081" s="294"/>
      <c r="D2081" s="294"/>
      <c r="E2081" s="290"/>
      <c r="F2081" s="290"/>
      <c r="G2081" s="292"/>
      <c r="H2081" s="292"/>
      <c r="I2081" s="293"/>
    </row>
    <row r="2082" spans="1:9">
      <c r="A2082" s="294"/>
      <c r="B2082" s="294"/>
      <c r="C2082" s="294"/>
      <c r="D2082" s="294"/>
      <c r="E2082" s="290"/>
      <c r="F2082" s="290"/>
      <c r="G2082" s="292"/>
      <c r="H2082" s="292"/>
      <c r="I2082" s="293"/>
    </row>
    <row r="2083" spans="1:9">
      <c r="A2083" s="294"/>
      <c r="B2083" s="294"/>
      <c r="C2083" s="294"/>
      <c r="D2083" s="294"/>
      <c r="E2083" s="290"/>
      <c r="F2083" s="290"/>
      <c r="G2083" s="292"/>
      <c r="H2083" s="292"/>
      <c r="I2083" s="293"/>
    </row>
    <row r="2084" spans="1:9">
      <c r="A2084" s="294"/>
      <c r="B2084" s="294"/>
      <c r="C2084" s="294"/>
      <c r="D2084" s="294"/>
      <c r="E2084" s="290"/>
      <c r="F2084" s="290"/>
      <c r="G2084" s="292"/>
      <c r="H2084" s="292"/>
      <c r="I2084" s="293"/>
    </row>
    <row r="2085" spans="1:9">
      <c r="A2085" s="294"/>
      <c r="B2085" s="294"/>
      <c r="C2085" s="294"/>
      <c r="D2085" s="294"/>
      <c r="E2085" s="290"/>
      <c r="F2085" s="290"/>
      <c r="G2085" s="292"/>
      <c r="H2085" s="292"/>
      <c r="I2085" s="293"/>
    </row>
    <row r="2086" spans="1:9">
      <c r="A2086" s="294"/>
      <c r="B2086" s="294"/>
      <c r="C2086" s="294"/>
      <c r="D2086" s="294"/>
      <c r="E2086" s="290"/>
      <c r="F2086" s="290"/>
      <c r="G2086" s="292"/>
      <c r="H2086" s="292"/>
      <c r="I2086" s="293"/>
    </row>
    <row r="2087" spans="1:9">
      <c r="A2087" s="294"/>
      <c r="B2087" s="294"/>
      <c r="C2087" s="294"/>
      <c r="D2087" s="294"/>
      <c r="E2087" s="290"/>
      <c r="F2087" s="290"/>
      <c r="G2087" s="292"/>
      <c r="H2087" s="292"/>
      <c r="I2087" s="293"/>
    </row>
    <row r="2088" spans="1:9">
      <c r="A2088" s="294"/>
      <c r="B2088" s="294"/>
      <c r="C2088" s="294"/>
      <c r="D2088" s="294"/>
      <c r="E2088" s="290"/>
      <c r="F2088" s="290"/>
      <c r="G2088" s="292"/>
      <c r="H2088" s="292"/>
      <c r="I2088" s="293"/>
    </row>
    <row r="2089" spans="1:9">
      <c r="A2089" s="294"/>
      <c r="B2089" s="294"/>
      <c r="C2089" s="294"/>
      <c r="D2089" s="294"/>
      <c r="E2089" s="290"/>
      <c r="F2089" s="290"/>
      <c r="G2089" s="292"/>
      <c r="H2089" s="292"/>
      <c r="I2089" s="293"/>
    </row>
    <row r="2090" spans="1:9">
      <c r="A2090" s="294"/>
      <c r="B2090" s="294"/>
      <c r="C2090" s="294"/>
      <c r="D2090" s="294"/>
      <c r="E2090" s="290"/>
      <c r="F2090" s="290"/>
      <c r="G2090" s="292"/>
      <c r="H2090" s="292"/>
      <c r="I2090" s="293"/>
    </row>
    <row r="2091" spans="1:9">
      <c r="A2091" s="294"/>
      <c r="B2091" s="294"/>
      <c r="C2091" s="294"/>
      <c r="D2091" s="294"/>
      <c r="E2091" s="290"/>
      <c r="F2091" s="290"/>
      <c r="G2091" s="292"/>
      <c r="H2091" s="292"/>
      <c r="I2091" s="293"/>
    </row>
    <row r="2092" spans="1:9">
      <c r="A2092" s="294"/>
      <c r="B2092" s="294"/>
      <c r="C2092" s="294"/>
      <c r="D2092" s="294"/>
      <c r="E2092" s="290"/>
      <c r="F2092" s="290"/>
      <c r="G2092" s="292"/>
      <c r="H2092" s="292"/>
      <c r="I2092" s="293"/>
    </row>
    <row r="2093" spans="1:9">
      <c r="A2093" s="294"/>
      <c r="B2093" s="294"/>
      <c r="C2093" s="294"/>
      <c r="D2093" s="294"/>
      <c r="E2093" s="290"/>
      <c r="F2093" s="290"/>
      <c r="G2093" s="292"/>
      <c r="H2093" s="292"/>
      <c r="I2093" s="293"/>
    </row>
    <row r="2094" spans="1:9">
      <c r="A2094" s="294"/>
      <c r="B2094" s="294"/>
      <c r="C2094" s="294"/>
      <c r="D2094" s="294"/>
      <c r="E2094" s="290"/>
      <c r="F2094" s="290"/>
      <c r="G2094" s="292"/>
      <c r="H2094" s="292"/>
      <c r="I2094" s="293"/>
    </row>
    <row r="2095" spans="1:9">
      <c r="A2095" s="294"/>
      <c r="B2095" s="294"/>
      <c r="C2095" s="294"/>
      <c r="D2095" s="294"/>
      <c r="E2095" s="290"/>
      <c r="F2095" s="290"/>
      <c r="G2095" s="292"/>
      <c r="H2095" s="292"/>
      <c r="I2095" s="293"/>
    </row>
    <row r="2096" spans="1:9">
      <c r="A2096" s="294"/>
      <c r="B2096" s="294"/>
      <c r="C2096" s="294"/>
      <c r="D2096" s="294"/>
      <c r="E2096" s="290"/>
      <c r="F2096" s="290"/>
      <c r="G2096" s="292"/>
      <c r="H2096" s="292"/>
      <c r="I2096" s="293"/>
    </row>
    <row r="2097" spans="1:9">
      <c r="A2097" s="294"/>
      <c r="B2097" s="294"/>
      <c r="C2097" s="294"/>
      <c r="D2097" s="294"/>
      <c r="E2097" s="290"/>
      <c r="F2097" s="290"/>
      <c r="G2097" s="292"/>
      <c r="H2097" s="292"/>
      <c r="I2097" s="293"/>
    </row>
    <row r="2098" spans="1:9">
      <c r="A2098" s="294"/>
      <c r="B2098" s="294"/>
      <c r="C2098" s="294"/>
      <c r="D2098" s="294"/>
      <c r="E2098" s="290"/>
      <c r="F2098" s="290"/>
      <c r="G2098" s="292"/>
      <c r="H2098" s="292"/>
      <c r="I2098" s="293"/>
    </row>
    <row r="2099" spans="1:9">
      <c r="A2099" s="294"/>
      <c r="B2099" s="294"/>
      <c r="C2099" s="294"/>
      <c r="D2099" s="294"/>
      <c r="E2099" s="290"/>
      <c r="F2099" s="290"/>
      <c r="G2099" s="292"/>
      <c r="H2099" s="292"/>
      <c r="I2099" s="293"/>
    </row>
    <row r="2100" spans="1:9">
      <c r="A2100" s="294"/>
      <c r="B2100" s="294"/>
      <c r="C2100" s="294"/>
      <c r="D2100" s="294"/>
      <c r="E2100" s="290"/>
      <c r="F2100" s="290"/>
      <c r="G2100" s="292"/>
      <c r="H2100" s="292"/>
      <c r="I2100" s="293"/>
    </row>
    <row r="2101" spans="1:9">
      <c r="A2101" s="294"/>
      <c r="B2101" s="294"/>
      <c r="C2101" s="294"/>
      <c r="D2101" s="294"/>
      <c r="E2101" s="290"/>
      <c r="F2101" s="290"/>
      <c r="G2101" s="292"/>
      <c r="H2101" s="292"/>
      <c r="I2101" s="293"/>
    </row>
    <row r="2102" spans="1:9">
      <c r="A2102" s="294"/>
      <c r="B2102" s="294"/>
      <c r="C2102" s="294"/>
      <c r="D2102" s="294"/>
      <c r="E2102" s="290"/>
      <c r="F2102" s="290"/>
      <c r="G2102" s="292"/>
      <c r="H2102" s="292"/>
      <c r="I2102" s="293"/>
    </row>
    <row r="2103" spans="1:9">
      <c r="A2103" s="294"/>
      <c r="B2103" s="294"/>
      <c r="C2103" s="294"/>
      <c r="D2103" s="294"/>
      <c r="E2103" s="290"/>
      <c r="F2103" s="290"/>
      <c r="G2103" s="292"/>
      <c r="H2103" s="292"/>
      <c r="I2103" s="293"/>
    </row>
    <row r="2104" spans="1:9">
      <c r="A2104" s="294"/>
      <c r="B2104" s="294"/>
      <c r="C2104" s="294"/>
      <c r="D2104" s="294"/>
      <c r="E2104" s="290"/>
      <c r="F2104" s="290"/>
      <c r="G2104" s="292"/>
      <c r="H2104" s="292"/>
      <c r="I2104" s="293"/>
    </row>
    <row r="2105" spans="1:9">
      <c r="A2105" s="294"/>
      <c r="B2105" s="294"/>
      <c r="C2105" s="294"/>
      <c r="D2105" s="294"/>
      <c r="E2105" s="290"/>
      <c r="F2105" s="290"/>
      <c r="G2105" s="292"/>
      <c r="H2105" s="292"/>
      <c r="I2105" s="293"/>
    </row>
    <row r="2106" spans="1:9">
      <c r="A2106" s="294"/>
      <c r="B2106" s="294"/>
      <c r="C2106" s="294"/>
      <c r="D2106" s="294"/>
      <c r="E2106" s="290"/>
      <c r="F2106" s="290"/>
      <c r="G2106" s="292"/>
      <c r="H2106" s="292"/>
      <c r="I2106" s="293"/>
    </row>
    <row r="2107" spans="1:9">
      <c r="A2107" s="294"/>
      <c r="B2107" s="294"/>
      <c r="C2107" s="294"/>
      <c r="D2107" s="294"/>
      <c r="E2107" s="290"/>
      <c r="F2107" s="290"/>
      <c r="G2107" s="292"/>
      <c r="H2107" s="292"/>
      <c r="I2107" s="293"/>
    </row>
    <row r="2108" spans="1:9">
      <c r="A2108" s="294"/>
      <c r="B2108" s="294"/>
      <c r="C2108" s="294"/>
      <c r="D2108" s="294"/>
      <c r="E2108" s="290"/>
      <c r="F2108" s="290"/>
      <c r="G2108" s="292"/>
      <c r="H2108" s="292"/>
      <c r="I2108" s="293"/>
    </row>
    <row r="2109" spans="1:9">
      <c r="A2109" s="294"/>
      <c r="B2109" s="294"/>
      <c r="C2109" s="294"/>
      <c r="D2109" s="294"/>
      <c r="E2109" s="290"/>
      <c r="F2109" s="290"/>
      <c r="G2109" s="292"/>
      <c r="H2109" s="292"/>
      <c r="I2109" s="293"/>
    </row>
    <row r="2110" spans="1:9">
      <c r="A2110" s="294"/>
      <c r="B2110" s="294"/>
      <c r="C2110" s="294"/>
      <c r="D2110" s="294"/>
      <c r="E2110" s="290"/>
      <c r="F2110" s="290"/>
      <c r="G2110" s="292"/>
      <c r="H2110" s="292"/>
      <c r="I2110" s="293"/>
    </row>
    <row r="2111" spans="1:9">
      <c r="A2111" s="294"/>
      <c r="B2111" s="294"/>
      <c r="C2111" s="294"/>
      <c r="D2111" s="294"/>
      <c r="E2111" s="290"/>
      <c r="F2111" s="290"/>
      <c r="G2111" s="292"/>
      <c r="H2111" s="292"/>
      <c r="I2111" s="293"/>
    </row>
    <row r="2112" spans="1:9">
      <c r="A2112" s="294"/>
      <c r="B2112" s="294"/>
      <c r="C2112" s="294"/>
      <c r="D2112" s="294"/>
      <c r="E2112" s="290"/>
      <c r="F2112" s="290"/>
      <c r="G2112" s="292"/>
      <c r="H2112" s="292"/>
      <c r="I2112" s="293"/>
    </row>
    <row r="2113" spans="1:10">
      <c r="A2113" s="294"/>
      <c r="B2113" s="294"/>
      <c r="C2113" s="294"/>
      <c r="D2113" s="294"/>
      <c r="E2113" s="290"/>
      <c r="F2113" s="290"/>
      <c r="G2113" s="292"/>
      <c r="H2113" s="292"/>
      <c r="I2113" s="293"/>
    </row>
    <row r="2114" spans="1:10">
      <c r="A2114" s="294"/>
      <c r="B2114" s="294"/>
      <c r="C2114" s="294"/>
      <c r="D2114" s="294"/>
      <c r="E2114" s="290"/>
      <c r="F2114" s="290"/>
      <c r="G2114" s="292"/>
      <c r="H2114" s="292"/>
      <c r="I2114" s="293"/>
    </row>
    <row r="2115" spans="1:10">
      <c r="A2115" s="294"/>
      <c r="B2115" s="294"/>
      <c r="C2115" s="294"/>
      <c r="D2115" s="294"/>
      <c r="E2115" s="290"/>
      <c r="F2115" s="290"/>
      <c r="G2115" s="292"/>
      <c r="H2115" s="292"/>
      <c r="I2115" s="293"/>
    </row>
    <row r="2116" spans="1:10">
      <c r="A2116" s="294"/>
      <c r="B2116" s="294"/>
      <c r="C2116" s="294"/>
      <c r="D2116" s="294"/>
      <c r="E2116" s="290"/>
      <c r="F2116" s="290"/>
      <c r="G2116" s="292"/>
      <c r="H2116" s="292"/>
      <c r="I2116" s="293"/>
    </row>
    <row r="2117" spans="1:10">
      <c r="A2117" s="294"/>
      <c r="B2117" s="294"/>
      <c r="C2117" s="294"/>
      <c r="D2117" s="294"/>
      <c r="E2117" s="290"/>
      <c r="F2117" s="290"/>
      <c r="G2117" s="292"/>
      <c r="H2117" s="292"/>
      <c r="I2117" s="293"/>
    </row>
    <row r="2118" spans="1:10">
      <c r="A2118" s="294"/>
      <c r="B2118" s="294"/>
      <c r="C2118" s="294"/>
      <c r="D2118" s="294"/>
      <c r="E2118" s="290"/>
      <c r="F2118" s="290"/>
      <c r="G2118" s="292"/>
      <c r="H2118" s="292"/>
      <c r="I2118" s="293"/>
    </row>
    <row r="2119" spans="1:10">
      <c r="A2119" s="294"/>
      <c r="B2119" s="294"/>
      <c r="C2119" s="294"/>
      <c r="D2119" s="294"/>
      <c r="E2119" s="290"/>
      <c r="F2119" s="290"/>
      <c r="G2119" s="292"/>
      <c r="H2119" s="292"/>
      <c r="I2119" s="293"/>
    </row>
    <row r="2120" spans="1:10">
      <c r="A2120" s="294"/>
      <c r="B2120" s="294"/>
      <c r="C2120" s="294"/>
      <c r="D2120" s="294"/>
      <c r="E2120" s="290"/>
      <c r="F2120" s="290"/>
      <c r="G2120" s="292"/>
      <c r="H2120" s="292"/>
      <c r="I2120" s="293"/>
    </row>
    <row r="2121" spans="1:10">
      <c r="A2121" s="294"/>
      <c r="B2121" s="294"/>
      <c r="C2121" s="294"/>
      <c r="D2121" s="294"/>
      <c r="E2121" s="290"/>
      <c r="F2121" s="290"/>
      <c r="G2121" s="292"/>
      <c r="H2121" s="292"/>
      <c r="I2121" s="293"/>
    </row>
    <row r="2122" spans="1:10">
      <c r="A2122" s="294"/>
      <c r="B2122" s="294"/>
      <c r="C2122" s="294"/>
      <c r="D2122" s="294"/>
      <c r="E2122" s="290"/>
      <c r="F2122" s="290"/>
      <c r="G2122" s="292"/>
      <c r="H2122" s="292"/>
      <c r="I2122" s="293"/>
    </row>
    <row r="2123" spans="1:10">
      <c r="A2123" s="294"/>
      <c r="B2123" s="294"/>
      <c r="C2123" s="294"/>
      <c r="D2123" s="294"/>
      <c r="E2123" s="290"/>
      <c r="F2123" s="290"/>
      <c r="G2123" s="292"/>
      <c r="H2123" s="292"/>
      <c r="I2123" s="293"/>
    </row>
    <row r="2124" spans="1:10">
      <c r="A2124" s="294"/>
      <c r="B2124" s="294"/>
      <c r="C2124" s="294"/>
      <c r="D2124" s="294"/>
      <c r="E2124" s="290"/>
      <c r="F2124" s="290"/>
      <c r="G2124" s="292"/>
      <c r="H2124" s="292"/>
      <c r="I2124" s="293"/>
    </row>
    <row r="2125" spans="1:10">
      <c r="A2125" s="295"/>
      <c r="B2125" s="295"/>
      <c r="C2125" s="295"/>
      <c r="D2125" s="295"/>
      <c r="E2125" s="290"/>
      <c r="F2125" s="290"/>
      <c r="G2125" s="291"/>
      <c r="H2125" s="292"/>
      <c r="I2125" s="293"/>
      <c r="J2125" s="22" t="s">
        <v>549</v>
      </c>
    </row>
    <row r="2126" spans="1:10">
      <c r="A2126" s="295"/>
      <c r="B2126" s="295"/>
      <c r="C2126" s="295"/>
      <c r="D2126" s="295"/>
      <c r="E2126" s="290"/>
      <c r="F2126" s="290"/>
      <c r="G2126" s="292"/>
      <c r="H2126" s="292"/>
      <c r="I2126" s="293"/>
    </row>
    <row r="2127" spans="1:10">
      <c r="A2127" s="295"/>
      <c r="B2127" s="295"/>
      <c r="C2127" s="295"/>
      <c r="D2127" s="295"/>
      <c r="E2127" s="290"/>
      <c r="F2127" s="290"/>
      <c r="G2127" s="292"/>
      <c r="H2127" s="292"/>
      <c r="I2127" s="293"/>
    </row>
    <row r="2128" spans="1:10">
      <c r="A2128" s="295"/>
      <c r="B2128" s="295"/>
      <c r="C2128" s="295"/>
      <c r="D2128" s="295"/>
      <c r="E2128" s="290"/>
      <c r="F2128" s="290"/>
      <c r="G2128" s="292"/>
      <c r="H2128" s="292"/>
      <c r="I2128" s="293"/>
    </row>
    <row r="2129" spans="1:9">
      <c r="A2129" s="295"/>
      <c r="B2129" s="295"/>
      <c r="C2129" s="295"/>
      <c r="D2129" s="295"/>
      <c r="E2129" s="290"/>
      <c r="F2129" s="290"/>
      <c r="G2129" s="292"/>
      <c r="H2129" s="292"/>
      <c r="I2129" s="293"/>
    </row>
    <row r="2130" spans="1:9">
      <c r="A2130" s="295"/>
      <c r="B2130" s="295"/>
      <c r="C2130" s="295"/>
      <c r="D2130" s="295"/>
      <c r="E2130" s="290"/>
      <c r="F2130" s="290"/>
      <c r="G2130" s="292"/>
      <c r="H2130" s="292"/>
      <c r="I2130" s="293"/>
    </row>
    <row r="2131" spans="1:9">
      <c r="A2131" s="295"/>
      <c r="B2131" s="295"/>
      <c r="C2131" s="295"/>
      <c r="D2131" s="295"/>
      <c r="E2131" s="290"/>
      <c r="F2131" s="290"/>
      <c r="G2131" s="292"/>
      <c r="H2131" s="292"/>
      <c r="I2131" s="293"/>
    </row>
    <row r="2132" spans="1:9">
      <c r="A2132" s="295"/>
      <c r="B2132" s="295"/>
      <c r="C2132" s="295"/>
      <c r="D2132" s="295"/>
      <c r="E2132" s="290"/>
      <c r="F2132" s="290"/>
      <c r="G2132" s="292"/>
      <c r="H2132" s="292"/>
      <c r="I2132" s="293"/>
    </row>
    <row r="2133" spans="1:9">
      <c r="A2133" s="295"/>
      <c r="B2133" s="295"/>
      <c r="C2133" s="295"/>
      <c r="D2133" s="295"/>
      <c r="E2133" s="290"/>
      <c r="F2133" s="290"/>
      <c r="G2133" s="292"/>
      <c r="H2133" s="292"/>
      <c r="I2133" s="293"/>
    </row>
    <row r="2134" spans="1:9">
      <c r="A2134" s="295"/>
      <c r="B2134" s="295"/>
      <c r="C2134" s="295"/>
      <c r="D2134" s="295"/>
      <c r="E2134" s="290"/>
      <c r="F2134" s="290"/>
      <c r="G2134" s="292"/>
      <c r="H2134" s="292"/>
      <c r="I2134" s="293"/>
    </row>
    <row r="2135" spans="1:9">
      <c r="A2135" s="295"/>
      <c r="B2135" s="295"/>
      <c r="C2135" s="295"/>
      <c r="D2135" s="295"/>
      <c r="E2135" s="290"/>
      <c r="F2135" s="290"/>
      <c r="G2135" s="292"/>
      <c r="H2135" s="292"/>
      <c r="I2135" s="293"/>
    </row>
    <row r="2136" spans="1:9">
      <c r="A2136" s="295"/>
      <c r="B2136" s="295"/>
      <c r="C2136" s="295"/>
      <c r="D2136" s="295"/>
      <c r="E2136" s="290"/>
      <c r="F2136" s="290"/>
      <c r="G2136" s="292"/>
      <c r="H2136" s="292"/>
      <c r="I2136" s="293"/>
    </row>
    <row r="2137" spans="1:9">
      <c r="A2137" s="295"/>
      <c r="B2137" s="295"/>
      <c r="C2137" s="295"/>
      <c r="D2137" s="295"/>
      <c r="E2137" s="290"/>
      <c r="F2137" s="290"/>
      <c r="G2137" s="292"/>
      <c r="H2137" s="292"/>
      <c r="I2137" s="293"/>
    </row>
    <row r="2138" spans="1:9">
      <c r="A2138" s="295"/>
      <c r="B2138" s="295"/>
      <c r="C2138" s="295"/>
      <c r="D2138" s="295"/>
      <c r="E2138" s="290"/>
      <c r="F2138" s="290"/>
      <c r="G2138" s="292"/>
      <c r="H2138" s="292"/>
      <c r="I2138" s="293"/>
    </row>
    <row r="2139" spans="1:9">
      <c r="A2139" s="295"/>
      <c r="B2139" s="295"/>
      <c r="C2139" s="295"/>
      <c r="D2139" s="295"/>
      <c r="E2139" s="290"/>
      <c r="F2139" s="290"/>
      <c r="G2139" s="292"/>
      <c r="H2139" s="292"/>
      <c r="I2139" s="293"/>
    </row>
    <row r="2140" spans="1:9">
      <c r="A2140" s="295"/>
      <c r="B2140" s="295"/>
      <c r="C2140" s="295"/>
      <c r="D2140" s="295"/>
      <c r="E2140" s="290"/>
      <c r="F2140" s="290"/>
      <c r="G2140" s="292"/>
      <c r="H2140" s="292"/>
      <c r="I2140" s="293"/>
    </row>
    <row r="2141" spans="1:9">
      <c r="A2141" s="295"/>
      <c r="B2141" s="295"/>
      <c r="C2141" s="295"/>
      <c r="D2141" s="295"/>
      <c r="E2141" s="290"/>
      <c r="F2141" s="290"/>
      <c r="G2141" s="292"/>
      <c r="H2141" s="292"/>
      <c r="I2141" s="293"/>
    </row>
    <row r="2142" spans="1:9">
      <c r="A2142" s="295"/>
      <c r="B2142" s="295"/>
      <c r="C2142" s="295"/>
      <c r="D2142" s="295"/>
      <c r="E2142" s="290"/>
      <c r="F2142" s="290"/>
      <c r="G2142" s="292"/>
      <c r="H2142" s="292"/>
      <c r="I2142" s="293"/>
    </row>
    <row r="2143" spans="1:9">
      <c r="A2143" s="295"/>
      <c r="B2143" s="295"/>
      <c r="C2143" s="295"/>
      <c r="D2143" s="295"/>
      <c r="E2143" s="290"/>
      <c r="F2143" s="290"/>
      <c r="G2143" s="292"/>
      <c r="H2143" s="292"/>
      <c r="I2143" s="293"/>
    </row>
    <row r="2144" spans="1:9">
      <c r="A2144" s="295"/>
      <c r="B2144" s="295"/>
      <c r="C2144" s="295"/>
      <c r="D2144" s="295"/>
      <c r="E2144" s="290"/>
      <c r="F2144" s="290"/>
      <c r="G2144" s="292"/>
      <c r="H2144" s="292"/>
      <c r="I2144" s="293"/>
    </row>
    <row r="2145" spans="1:9">
      <c r="A2145" s="295"/>
      <c r="B2145" s="295"/>
      <c r="C2145" s="295"/>
      <c r="D2145" s="295"/>
      <c r="E2145" s="290"/>
      <c r="F2145" s="290"/>
      <c r="G2145" s="292"/>
      <c r="H2145" s="292"/>
      <c r="I2145" s="293"/>
    </row>
    <row r="2146" spans="1:9">
      <c r="A2146" s="295"/>
      <c r="B2146" s="295"/>
      <c r="C2146" s="295"/>
      <c r="D2146" s="295"/>
      <c r="E2146" s="290"/>
      <c r="F2146" s="290"/>
      <c r="G2146" s="292"/>
      <c r="H2146" s="292"/>
      <c r="I2146" s="293"/>
    </row>
    <row r="2147" spans="1:9">
      <c r="A2147" s="295"/>
      <c r="B2147" s="295"/>
      <c r="C2147" s="295"/>
      <c r="D2147" s="295"/>
      <c r="E2147" s="290"/>
      <c r="F2147" s="290"/>
      <c r="G2147" s="292"/>
      <c r="H2147" s="292"/>
      <c r="I2147" s="293"/>
    </row>
    <row r="2148" spans="1:9">
      <c r="A2148" s="295"/>
      <c r="B2148" s="295"/>
      <c r="C2148" s="295"/>
      <c r="D2148" s="295"/>
      <c r="E2148" s="290"/>
      <c r="F2148" s="290"/>
      <c r="G2148" s="292"/>
      <c r="H2148" s="292"/>
      <c r="I2148" s="293"/>
    </row>
    <row r="2149" spans="1:9">
      <c r="A2149" s="295"/>
      <c r="B2149" s="295"/>
      <c r="C2149" s="295"/>
      <c r="D2149" s="295"/>
      <c r="E2149" s="290"/>
      <c r="F2149" s="290"/>
      <c r="G2149" s="292"/>
      <c r="H2149" s="292"/>
      <c r="I2149" s="293"/>
    </row>
    <row r="2150" spans="1:9">
      <c r="A2150" s="295"/>
      <c r="B2150" s="295"/>
      <c r="C2150" s="295"/>
      <c r="D2150" s="295"/>
      <c r="E2150" s="290"/>
      <c r="F2150" s="290"/>
      <c r="G2150" s="292"/>
      <c r="H2150" s="292"/>
      <c r="I2150" s="293"/>
    </row>
    <row r="2151" spans="1:9">
      <c r="A2151" s="295"/>
      <c r="B2151" s="295"/>
      <c r="C2151" s="295"/>
      <c r="D2151" s="295"/>
      <c r="E2151" s="290"/>
      <c r="F2151" s="290"/>
      <c r="G2151" s="292"/>
      <c r="H2151" s="292"/>
      <c r="I2151" s="293"/>
    </row>
    <row r="2152" spans="1:9">
      <c r="A2152" s="295"/>
      <c r="B2152" s="295"/>
      <c r="C2152" s="295"/>
      <c r="D2152" s="295"/>
      <c r="E2152" s="290"/>
      <c r="F2152" s="290"/>
      <c r="G2152" s="292"/>
      <c r="H2152" s="292"/>
      <c r="I2152" s="293"/>
    </row>
    <row r="2153" spans="1:9">
      <c r="A2153" s="295"/>
      <c r="B2153" s="295"/>
      <c r="C2153" s="295"/>
      <c r="D2153" s="295"/>
      <c r="E2153" s="290"/>
      <c r="F2153" s="290"/>
      <c r="G2153" s="292"/>
      <c r="H2153" s="292"/>
      <c r="I2153" s="293"/>
    </row>
    <row r="2154" spans="1:9">
      <c r="A2154" s="295"/>
      <c r="B2154" s="295"/>
      <c r="C2154" s="295"/>
      <c r="D2154" s="295"/>
      <c r="E2154" s="290"/>
      <c r="F2154" s="290"/>
      <c r="G2154" s="292"/>
      <c r="H2154" s="292"/>
      <c r="I2154" s="293"/>
    </row>
    <row r="2155" spans="1:9">
      <c r="A2155" s="295"/>
      <c r="B2155" s="295"/>
      <c r="C2155" s="295"/>
      <c r="D2155" s="295"/>
      <c r="E2155" s="290"/>
      <c r="F2155" s="290"/>
      <c r="G2155" s="291"/>
      <c r="H2155" s="292"/>
      <c r="I2155" s="293"/>
    </row>
    <row r="2156" spans="1:9">
      <c r="A2156" s="295"/>
      <c r="B2156" s="295"/>
      <c r="C2156" s="295"/>
      <c r="D2156" s="295"/>
      <c r="E2156" s="290"/>
      <c r="F2156" s="290"/>
      <c r="G2156" s="291"/>
      <c r="H2156" s="292"/>
      <c r="I2156" s="293"/>
    </row>
    <row r="2157" spans="1:9">
      <c r="A2157" s="295"/>
      <c r="B2157" s="295"/>
      <c r="C2157" s="295"/>
      <c r="D2157" s="295"/>
      <c r="E2157" s="290"/>
      <c r="F2157" s="290"/>
      <c r="G2157" s="291"/>
      <c r="H2157" s="292"/>
      <c r="I2157" s="293"/>
    </row>
    <row r="2158" spans="1:9">
      <c r="A2158" s="295"/>
      <c r="B2158" s="295"/>
      <c r="C2158" s="295"/>
      <c r="D2158" s="295"/>
      <c r="E2158" s="290"/>
      <c r="F2158" s="290"/>
      <c r="G2158" s="291"/>
      <c r="H2158" s="292"/>
      <c r="I2158" s="293"/>
    </row>
    <row r="2159" spans="1:9">
      <c r="A2159" s="295"/>
      <c r="B2159" s="295"/>
      <c r="C2159" s="295"/>
      <c r="D2159" s="295"/>
      <c r="E2159" s="290"/>
      <c r="F2159" s="290"/>
      <c r="G2159" s="291"/>
      <c r="H2159" s="292"/>
      <c r="I2159" s="293"/>
    </row>
    <row r="2160" spans="1:9">
      <c r="A2160" s="295"/>
      <c r="B2160" s="295"/>
      <c r="C2160" s="295"/>
      <c r="D2160" s="295"/>
      <c r="E2160" s="290"/>
      <c r="F2160" s="290"/>
      <c r="G2160" s="291"/>
      <c r="H2160" s="292"/>
      <c r="I2160" s="293"/>
    </row>
    <row r="2161" spans="1:9">
      <c r="A2161" s="295"/>
      <c r="B2161" s="295"/>
      <c r="C2161" s="295"/>
      <c r="D2161" s="295"/>
      <c r="E2161" s="290"/>
      <c r="F2161" s="290"/>
      <c r="G2161" s="291"/>
      <c r="H2161" s="292"/>
      <c r="I2161" s="293"/>
    </row>
    <row r="2162" spans="1:9">
      <c r="A2162" s="295"/>
      <c r="B2162" s="295"/>
      <c r="C2162" s="295"/>
      <c r="D2162" s="295"/>
      <c r="E2162" s="290"/>
      <c r="F2162" s="290"/>
      <c r="G2162" s="291"/>
      <c r="H2162" s="292"/>
      <c r="I2162" s="293"/>
    </row>
    <row r="2163" spans="1:9">
      <c r="A2163" s="295"/>
      <c r="B2163" s="295"/>
      <c r="C2163" s="295"/>
      <c r="D2163" s="295"/>
      <c r="E2163" s="290"/>
      <c r="F2163" s="290"/>
      <c r="G2163" s="291"/>
      <c r="H2163" s="292"/>
      <c r="I2163" s="293"/>
    </row>
    <row r="2164" spans="1:9">
      <c r="A2164" s="295"/>
      <c r="B2164" s="295"/>
      <c r="C2164" s="295"/>
      <c r="D2164" s="295"/>
      <c r="E2164" s="290"/>
      <c r="F2164" s="290"/>
      <c r="G2164" s="291"/>
      <c r="H2164" s="292"/>
      <c r="I2164" s="293"/>
    </row>
    <row r="2165" spans="1:9">
      <c r="A2165" s="295"/>
      <c r="B2165" s="295"/>
      <c r="C2165" s="295"/>
      <c r="D2165" s="295"/>
      <c r="E2165" s="290"/>
      <c r="F2165" s="290"/>
      <c r="G2165" s="291"/>
      <c r="H2165" s="292"/>
      <c r="I2165" s="293"/>
    </row>
    <row r="2166" spans="1:9">
      <c r="A2166" s="295"/>
      <c r="B2166" s="295"/>
      <c r="C2166" s="295"/>
      <c r="D2166" s="295"/>
      <c r="E2166" s="290"/>
      <c r="F2166" s="290"/>
      <c r="G2166" s="291"/>
      <c r="H2166" s="292"/>
      <c r="I2166" s="293"/>
    </row>
    <row r="2167" spans="1:9">
      <c r="A2167" s="295"/>
      <c r="B2167" s="295"/>
      <c r="C2167" s="295"/>
      <c r="D2167" s="295"/>
      <c r="E2167" s="290"/>
      <c r="F2167" s="290"/>
      <c r="G2167" s="291"/>
      <c r="H2167" s="292"/>
      <c r="I2167" s="293"/>
    </row>
    <row r="2168" spans="1:9">
      <c r="A2168" s="295"/>
      <c r="B2168" s="295"/>
      <c r="C2168" s="295"/>
      <c r="D2168" s="295"/>
      <c r="E2168" s="290"/>
      <c r="F2168" s="290"/>
      <c r="G2168" s="291"/>
      <c r="H2168" s="292"/>
      <c r="I2168" s="293"/>
    </row>
    <row r="2169" spans="1:9">
      <c r="A2169" s="295"/>
      <c r="B2169" s="295"/>
      <c r="C2169" s="295"/>
      <c r="D2169" s="295"/>
      <c r="E2169" s="290"/>
      <c r="F2169" s="290"/>
      <c r="G2169" s="291"/>
      <c r="H2169" s="292"/>
      <c r="I2169" s="293"/>
    </row>
    <row r="2170" spans="1:9">
      <c r="A2170" s="295"/>
      <c r="B2170" s="295"/>
      <c r="C2170" s="295"/>
      <c r="D2170" s="295"/>
      <c r="E2170" s="290"/>
      <c r="F2170" s="290"/>
      <c r="G2170" s="291"/>
      <c r="H2170" s="292"/>
      <c r="I2170" s="293"/>
    </row>
    <row r="2171" spans="1:9">
      <c r="A2171" s="295"/>
      <c r="B2171" s="295"/>
      <c r="C2171" s="295"/>
      <c r="D2171" s="295"/>
      <c r="E2171" s="290"/>
      <c r="F2171" s="290"/>
      <c r="G2171" s="291"/>
      <c r="H2171" s="292"/>
      <c r="I2171" s="293"/>
    </row>
    <row r="2172" spans="1:9">
      <c r="A2172" s="295"/>
      <c r="B2172" s="295"/>
      <c r="C2172" s="295"/>
      <c r="D2172" s="295"/>
      <c r="E2172" s="290"/>
      <c r="F2172" s="290"/>
      <c r="G2172" s="291"/>
      <c r="H2172" s="292"/>
      <c r="I2172" s="293"/>
    </row>
    <row r="2173" spans="1:9">
      <c r="A2173" s="295"/>
      <c r="B2173" s="295"/>
      <c r="C2173" s="295"/>
      <c r="D2173" s="295"/>
      <c r="E2173" s="290"/>
      <c r="F2173" s="290"/>
      <c r="G2173" s="291"/>
      <c r="H2173" s="292"/>
      <c r="I2173" s="293"/>
    </row>
    <row r="2174" spans="1:9">
      <c r="A2174" s="295"/>
      <c r="B2174" s="295"/>
      <c r="C2174" s="295"/>
      <c r="D2174" s="295"/>
      <c r="E2174" s="290"/>
      <c r="F2174" s="290"/>
      <c r="G2174" s="291"/>
      <c r="H2174" s="292"/>
      <c r="I2174" s="293"/>
    </row>
    <row r="2175" spans="1:9">
      <c r="A2175" s="295"/>
      <c r="B2175" s="295"/>
      <c r="C2175" s="295"/>
      <c r="D2175" s="295"/>
      <c r="E2175" s="290"/>
      <c r="F2175" s="290"/>
      <c r="G2175" s="291"/>
      <c r="H2175" s="292"/>
      <c r="I2175" s="293"/>
    </row>
    <row r="2176" spans="1:9">
      <c r="A2176" s="295"/>
      <c r="B2176" s="295"/>
      <c r="C2176" s="295"/>
      <c r="D2176" s="295"/>
      <c r="E2176" s="290"/>
      <c r="F2176" s="290"/>
      <c r="G2176" s="291"/>
      <c r="H2176" s="292"/>
      <c r="I2176" s="293"/>
    </row>
    <row r="2177" spans="1:9">
      <c r="A2177" s="295"/>
      <c r="B2177" s="295"/>
      <c r="C2177" s="295"/>
      <c r="D2177" s="295"/>
      <c r="E2177" s="290"/>
      <c r="F2177" s="290"/>
      <c r="G2177" s="291"/>
      <c r="H2177" s="292"/>
      <c r="I2177" s="293"/>
    </row>
    <row r="2178" spans="1:9">
      <c r="A2178" s="295"/>
      <c r="B2178" s="295"/>
      <c r="C2178" s="295"/>
      <c r="D2178" s="295"/>
      <c r="E2178" s="290"/>
      <c r="F2178" s="290"/>
      <c r="G2178" s="292"/>
      <c r="H2178" s="292"/>
      <c r="I2178" s="293"/>
    </row>
    <row r="2179" spans="1:9">
      <c r="A2179" s="295"/>
      <c r="B2179" s="295"/>
      <c r="C2179" s="295"/>
      <c r="D2179" s="295"/>
      <c r="E2179" s="290"/>
      <c r="F2179" s="290"/>
      <c r="G2179" s="292"/>
      <c r="H2179" s="292"/>
      <c r="I2179" s="293"/>
    </row>
    <row r="2180" spans="1:9">
      <c r="A2180" s="295"/>
      <c r="B2180" s="295"/>
      <c r="C2180" s="295"/>
      <c r="D2180" s="295"/>
      <c r="E2180" s="290"/>
      <c r="F2180" s="290"/>
      <c r="G2180" s="292"/>
      <c r="H2180" s="292"/>
      <c r="I2180" s="293"/>
    </row>
    <row r="2181" spans="1:9">
      <c r="A2181" s="295"/>
      <c r="B2181" s="295"/>
      <c r="C2181" s="295"/>
      <c r="D2181" s="295"/>
      <c r="E2181" s="290"/>
      <c r="F2181" s="290"/>
      <c r="G2181" s="292"/>
      <c r="H2181" s="292"/>
      <c r="I2181" s="293"/>
    </row>
    <row r="2182" spans="1:9">
      <c r="A2182" s="295"/>
      <c r="B2182" s="295"/>
      <c r="C2182" s="295"/>
      <c r="D2182" s="295"/>
      <c r="E2182" s="290"/>
      <c r="F2182" s="290"/>
      <c r="G2182" s="292"/>
      <c r="H2182" s="292"/>
      <c r="I2182" s="293"/>
    </row>
    <row r="2183" spans="1:9">
      <c r="A2183" s="295"/>
      <c r="B2183" s="295"/>
      <c r="C2183" s="295"/>
      <c r="D2183" s="295"/>
      <c r="E2183" s="290"/>
      <c r="F2183" s="290"/>
      <c r="G2183" s="292"/>
      <c r="H2183" s="292"/>
      <c r="I2183" s="293"/>
    </row>
    <row r="2184" spans="1:9">
      <c r="A2184" s="295"/>
      <c r="B2184" s="295"/>
      <c r="C2184" s="295"/>
      <c r="D2184" s="295"/>
      <c r="E2184" s="290"/>
      <c r="F2184" s="290"/>
      <c r="G2184" s="292"/>
      <c r="H2184" s="292"/>
      <c r="I2184" s="293"/>
    </row>
    <row r="2185" spans="1:9">
      <c r="A2185" s="295"/>
      <c r="B2185" s="295"/>
      <c r="C2185" s="295"/>
      <c r="D2185" s="295"/>
      <c r="E2185" s="290"/>
      <c r="F2185" s="290"/>
      <c r="G2185" s="292"/>
      <c r="H2185" s="292"/>
      <c r="I2185" s="293"/>
    </row>
    <row r="2186" spans="1:9">
      <c r="A2186" s="295"/>
      <c r="B2186" s="295"/>
      <c r="C2186" s="295"/>
      <c r="D2186" s="295"/>
      <c r="E2186" s="290"/>
      <c r="F2186" s="290"/>
      <c r="G2186" s="292"/>
      <c r="H2186" s="292"/>
      <c r="I2186" s="293"/>
    </row>
    <row r="2187" spans="1:9">
      <c r="A2187" s="295"/>
      <c r="B2187" s="295"/>
      <c r="C2187" s="295"/>
      <c r="D2187" s="295"/>
      <c r="E2187" s="290"/>
      <c r="F2187" s="290"/>
      <c r="G2187" s="292"/>
      <c r="H2187" s="292"/>
      <c r="I2187" s="293"/>
    </row>
    <row r="2188" spans="1:9">
      <c r="A2188" s="295"/>
      <c r="B2188" s="295"/>
      <c r="C2188" s="295"/>
      <c r="D2188" s="295"/>
      <c r="E2188" s="290"/>
      <c r="F2188" s="290"/>
      <c r="G2188" s="292"/>
      <c r="H2188" s="292"/>
      <c r="I2188" s="293"/>
    </row>
    <row r="2189" spans="1:9">
      <c r="A2189" s="295"/>
      <c r="B2189" s="295"/>
      <c r="C2189" s="295"/>
      <c r="D2189" s="295"/>
      <c r="E2189" s="290"/>
      <c r="F2189" s="290"/>
      <c r="G2189" s="292"/>
      <c r="H2189" s="292"/>
      <c r="I2189" s="293"/>
    </row>
    <row r="2190" spans="1:9">
      <c r="A2190" s="295"/>
      <c r="B2190" s="295"/>
      <c r="C2190" s="295"/>
      <c r="D2190" s="295"/>
      <c r="E2190" s="290"/>
      <c r="F2190" s="290"/>
      <c r="G2190" s="292"/>
      <c r="H2190" s="292"/>
      <c r="I2190" s="293"/>
    </row>
    <row r="2191" spans="1:9">
      <c r="A2191" s="295"/>
      <c r="B2191" s="295"/>
      <c r="C2191" s="295"/>
      <c r="D2191" s="295"/>
      <c r="E2191" s="290"/>
      <c r="F2191" s="290"/>
      <c r="G2191" s="292"/>
      <c r="H2191" s="292"/>
      <c r="I2191" s="293"/>
    </row>
    <row r="2192" spans="1:9">
      <c r="A2192" s="295"/>
      <c r="B2192" s="295"/>
      <c r="C2192" s="295"/>
      <c r="D2192" s="295"/>
      <c r="E2192" s="290"/>
      <c r="F2192" s="290"/>
      <c r="G2192" s="292"/>
      <c r="H2192" s="292"/>
      <c r="I2192" s="293"/>
    </row>
    <row r="2193" spans="1:9">
      <c r="A2193" s="295"/>
      <c r="B2193" s="295"/>
      <c r="C2193" s="295"/>
      <c r="D2193" s="295"/>
      <c r="E2193" s="290"/>
      <c r="F2193" s="290"/>
      <c r="G2193" s="292"/>
      <c r="H2193" s="292"/>
      <c r="I2193" s="293"/>
    </row>
    <row r="2194" spans="1:9">
      <c r="A2194" s="295"/>
      <c r="B2194" s="295"/>
      <c r="C2194" s="295"/>
      <c r="D2194" s="295"/>
      <c r="E2194" s="290"/>
      <c r="F2194" s="290"/>
      <c r="G2194" s="292"/>
      <c r="H2194" s="292"/>
      <c r="I2194" s="293"/>
    </row>
    <row r="2195" spans="1:9">
      <c r="A2195" s="295"/>
      <c r="B2195" s="295"/>
      <c r="C2195" s="295"/>
      <c r="D2195" s="295"/>
      <c r="E2195" s="290"/>
      <c r="F2195" s="290"/>
      <c r="G2195" s="292"/>
      <c r="H2195" s="292"/>
      <c r="I2195" s="293"/>
    </row>
    <row r="2196" spans="1:9">
      <c r="A2196" s="295"/>
      <c r="B2196" s="295"/>
      <c r="C2196" s="295"/>
      <c r="D2196" s="295"/>
      <c r="E2196" s="290"/>
      <c r="F2196" s="290"/>
      <c r="G2196" s="292"/>
      <c r="H2196" s="292"/>
      <c r="I2196" s="293"/>
    </row>
    <row r="2197" spans="1:9">
      <c r="A2197" s="295"/>
      <c r="B2197" s="295"/>
      <c r="C2197" s="295"/>
      <c r="D2197" s="295"/>
      <c r="E2197" s="290"/>
      <c r="F2197" s="290"/>
      <c r="G2197" s="292"/>
      <c r="H2197" s="292"/>
      <c r="I2197" s="293"/>
    </row>
    <row r="2198" spans="1:9">
      <c r="A2198" s="295"/>
      <c r="B2198" s="295"/>
      <c r="C2198" s="295"/>
      <c r="D2198" s="295"/>
      <c r="E2198" s="290"/>
      <c r="F2198" s="290"/>
      <c r="G2198" s="292"/>
      <c r="H2198" s="292"/>
      <c r="I2198" s="293"/>
    </row>
    <row r="2199" spans="1:9">
      <c r="A2199" s="295"/>
      <c r="B2199" s="295"/>
      <c r="C2199" s="295"/>
      <c r="D2199" s="295"/>
      <c r="E2199" s="290"/>
      <c r="F2199" s="290"/>
      <c r="G2199" s="292"/>
      <c r="H2199" s="292"/>
      <c r="I2199" s="293"/>
    </row>
    <row r="2200" spans="1:9">
      <c r="A2200" s="295"/>
      <c r="B2200" s="295"/>
      <c r="C2200" s="295"/>
      <c r="D2200" s="295"/>
      <c r="E2200" s="290"/>
      <c r="F2200" s="290"/>
      <c r="G2200" s="292"/>
      <c r="H2200" s="292"/>
      <c r="I2200" s="293"/>
    </row>
    <row r="2201" spans="1:9">
      <c r="A2201" s="295"/>
      <c r="B2201" s="295"/>
      <c r="C2201" s="295"/>
      <c r="D2201" s="295"/>
      <c r="E2201" s="290"/>
      <c r="F2201" s="290"/>
      <c r="G2201" s="292"/>
      <c r="H2201" s="292"/>
      <c r="I2201" s="293"/>
    </row>
    <row r="2202" spans="1:9">
      <c r="A2202" s="295"/>
      <c r="B2202" s="295"/>
      <c r="C2202" s="295"/>
      <c r="D2202" s="295"/>
      <c r="E2202" s="290"/>
      <c r="F2202" s="290"/>
      <c r="G2202" s="292"/>
      <c r="H2202" s="292"/>
      <c r="I2202" s="293"/>
    </row>
    <row r="2203" spans="1:9">
      <c r="A2203" s="295"/>
      <c r="B2203" s="295"/>
      <c r="C2203" s="295"/>
      <c r="D2203" s="295"/>
      <c r="E2203" s="290"/>
      <c r="F2203" s="290"/>
      <c r="G2203" s="292"/>
      <c r="H2203" s="292"/>
      <c r="I2203" s="293"/>
    </row>
    <row r="2204" spans="1:9">
      <c r="A2204" s="295"/>
      <c r="B2204" s="295"/>
      <c r="C2204" s="295"/>
      <c r="D2204" s="295"/>
      <c r="E2204" s="290"/>
      <c r="F2204" s="290"/>
      <c r="G2204" s="292"/>
      <c r="H2204" s="292"/>
      <c r="I2204" s="293"/>
    </row>
    <row r="2205" spans="1:9">
      <c r="A2205" s="295"/>
      <c r="B2205" s="295"/>
      <c r="C2205" s="295"/>
      <c r="D2205" s="295"/>
      <c r="E2205" s="290"/>
      <c r="F2205" s="290"/>
      <c r="G2205" s="292"/>
      <c r="H2205" s="292"/>
      <c r="I2205" s="293"/>
    </row>
    <row r="2206" spans="1:9">
      <c r="A2206" s="295"/>
      <c r="B2206" s="295"/>
      <c r="C2206" s="295"/>
      <c r="D2206" s="295"/>
      <c r="E2206" s="290"/>
      <c r="F2206" s="290"/>
      <c r="G2206" s="292"/>
      <c r="H2206" s="292"/>
      <c r="I2206" s="293"/>
    </row>
    <row r="2207" spans="1:9">
      <c r="A2207" s="295"/>
      <c r="B2207" s="295"/>
      <c r="C2207" s="295"/>
      <c r="D2207" s="295"/>
      <c r="E2207" s="290"/>
      <c r="F2207" s="290"/>
      <c r="G2207" s="291"/>
      <c r="H2207" s="292"/>
      <c r="I2207" s="293"/>
    </row>
    <row r="2208" spans="1:9">
      <c r="A2208" s="295"/>
      <c r="B2208" s="295"/>
      <c r="C2208" s="295"/>
      <c r="D2208" s="295"/>
      <c r="E2208" s="290"/>
      <c r="F2208" s="290"/>
      <c r="G2208" s="291"/>
      <c r="H2208" s="292"/>
      <c r="I2208" s="293"/>
    </row>
    <row r="2209" spans="1:9">
      <c r="A2209" s="295"/>
      <c r="B2209" s="295"/>
      <c r="C2209" s="295"/>
      <c r="D2209" s="295"/>
      <c r="E2209" s="290"/>
      <c r="F2209" s="290"/>
      <c r="G2209" s="291"/>
      <c r="H2209" s="292"/>
      <c r="I2209" s="293"/>
    </row>
    <row r="2210" spans="1:9">
      <c r="A2210" s="295"/>
      <c r="B2210" s="295"/>
      <c r="C2210" s="295"/>
      <c r="D2210" s="295"/>
      <c r="E2210" s="290"/>
      <c r="F2210" s="290"/>
      <c r="G2210" s="291"/>
      <c r="H2210" s="292"/>
      <c r="I2210" s="293"/>
    </row>
    <row r="2211" spans="1:9">
      <c r="A2211" s="295"/>
      <c r="B2211" s="295"/>
      <c r="C2211" s="295"/>
      <c r="D2211" s="295"/>
      <c r="E2211" s="290"/>
      <c r="F2211" s="290"/>
      <c r="G2211" s="291"/>
      <c r="H2211" s="292"/>
      <c r="I2211" s="293"/>
    </row>
    <row r="2212" spans="1:9">
      <c r="A2212" s="295"/>
      <c r="B2212" s="295"/>
      <c r="C2212" s="295"/>
      <c r="D2212" s="295"/>
      <c r="E2212" s="290"/>
      <c r="F2212" s="290"/>
      <c r="G2212" s="291"/>
      <c r="H2212" s="292"/>
      <c r="I2212" s="293"/>
    </row>
    <row r="2213" spans="1:9">
      <c r="A2213" s="295"/>
      <c r="B2213" s="295"/>
      <c r="C2213" s="295"/>
      <c r="D2213" s="295"/>
      <c r="E2213" s="290"/>
      <c r="F2213" s="290"/>
      <c r="G2213" s="291"/>
      <c r="H2213" s="292"/>
      <c r="I2213" s="293"/>
    </row>
    <row r="2214" spans="1:9">
      <c r="A2214" s="295"/>
      <c r="B2214" s="295"/>
      <c r="C2214" s="295"/>
      <c r="D2214" s="295"/>
      <c r="E2214" s="290"/>
      <c r="F2214" s="290"/>
      <c r="G2214" s="291"/>
      <c r="H2214" s="292"/>
      <c r="I2214" s="293"/>
    </row>
    <row r="2215" spans="1:9">
      <c r="A2215" s="295"/>
      <c r="B2215" s="295"/>
      <c r="C2215" s="295"/>
      <c r="D2215" s="295"/>
      <c r="E2215" s="290"/>
      <c r="F2215" s="290"/>
      <c r="G2215" s="291"/>
      <c r="H2215" s="292"/>
      <c r="I2215" s="293"/>
    </row>
    <row r="2216" spans="1:9">
      <c r="A2216" s="295"/>
      <c r="B2216" s="295"/>
      <c r="C2216" s="295"/>
      <c r="D2216" s="295"/>
      <c r="E2216" s="290"/>
      <c r="F2216" s="290"/>
      <c r="G2216" s="291"/>
      <c r="H2216" s="292"/>
      <c r="I2216" s="293"/>
    </row>
    <row r="2217" spans="1:9">
      <c r="A2217" s="295"/>
      <c r="B2217" s="295"/>
      <c r="C2217" s="295"/>
      <c r="D2217" s="295"/>
      <c r="E2217" s="290"/>
      <c r="F2217" s="290"/>
      <c r="G2217" s="291"/>
      <c r="H2217" s="292"/>
      <c r="I2217" s="293"/>
    </row>
    <row r="2218" spans="1:9">
      <c r="A2218" s="295"/>
      <c r="B2218" s="295"/>
      <c r="C2218" s="295"/>
      <c r="D2218" s="295"/>
      <c r="E2218" s="290"/>
      <c r="F2218" s="290"/>
      <c r="G2218" s="291"/>
      <c r="H2218" s="292"/>
      <c r="I2218" s="293"/>
    </row>
    <row r="2219" spans="1:9">
      <c r="A2219" s="295"/>
      <c r="B2219" s="295"/>
      <c r="C2219" s="295"/>
      <c r="D2219" s="295"/>
      <c r="E2219" s="290"/>
      <c r="F2219" s="290"/>
      <c r="G2219" s="291"/>
      <c r="H2219" s="292"/>
      <c r="I2219" s="293"/>
    </row>
    <row r="2220" spans="1:9">
      <c r="A2220" s="295"/>
      <c r="B2220" s="295"/>
      <c r="C2220" s="295"/>
      <c r="D2220" s="295"/>
      <c r="E2220" s="290"/>
      <c r="F2220" s="290"/>
      <c r="G2220" s="291"/>
      <c r="H2220" s="292"/>
      <c r="I2220" s="293"/>
    </row>
    <row r="2221" spans="1:9">
      <c r="A2221" s="295"/>
      <c r="B2221" s="295"/>
      <c r="C2221" s="295"/>
      <c r="D2221" s="295"/>
      <c r="E2221" s="290"/>
      <c r="F2221" s="290"/>
      <c r="G2221" s="291"/>
      <c r="H2221" s="292"/>
      <c r="I2221" s="293"/>
    </row>
    <row r="2222" spans="1:9">
      <c r="A2222" s="295"/>
      <c r="B2222" s="295"/>
      <c r="C2222" s="295"/>
      <c r="D2222" s="295"/>
      <c r="E2222" s="290"/>
      <c r="F2222" s="290"/>
      <c r="G2222" s="291"/>
      <c r="H2222" s="292"/>
      <c r="I2222" s="293"/>
    </row>
    <row r="2223" spans="1:9">
      <c r="A2223" s="295"/>
      <c r="B2223" s="295"/>
      <c r="C2223" s="295"/>
      <c r="D2223" s="295"/>
      <c r="E2223" s="290"/>
      <c r="F2223" s="290"/>
      <c r="G2223" s="291"/>
      <c r="H2223" s="292"/>
      <c r="I2223" s="293"/>
    </row>
    <row r="2224" spans="1:9">
      <c r="A2224" s="295"/>
      <c r="B2224" s="295"/>
      <c r="C2224" s="295"/>
      <c r="D2224" s="295"/>
      <c r="E2224" s="290"/>
      <c r="F2224" s="290"/>
      <c r="G2224" s="291"/>
      <c r="H2224" s="292"/>
      <c r="I2224" s="293"/>
    </row>
    <row r="2225" spans="1:9">
      <c r="A2225" s="295"/>
      <c r="B2225" s="295"/>
      <c r="C2225" s="295"/>
      <c r="D2225" s="295"/>
      <c r="E2225" s="290"/>
      <c r="F2225" s="290"/>
      <c r="G2225" s="291"/>
      <c r="H2225" s="292"/>
      <c r="I2225" s="293"/>
    </row>
    <row r="2226" spans="1:9">
      <c r="A2226" s="295"/>
      <c r="B2226" s="295"/>
      <c r="C2226" s="295"/>
      <c r="D2226" s="295"/>
      <c r="E2226" s="290"/>
      <c r="F2226" s="290"/>
      <c r="G2226" s="291"/>
      <c r="H2226" s="292"/>
      <c r="I2226" s="293"/>
    </row>
    <row r="2227" spans="1:9">
      <c r="A2227" s="295"/>
      <c r="B2227" s="295"/>
      <c r="C2227" s="295"/>
      <c r="D2227" s="295"/>
      <c r="E2227" s="290"/>
      <c r="F2227" s="290"/>
      <c r="G2227" s="291"/>
      <c r="H2227" s="292"/>
      <c r="I2227" s="293"/>
    </row>
    <row r="2228" spans="1:9">
      <c r="A2228" s="295"/>
      <c r="B2228" s="295"/>
      <c r="C2228" s="295"/>
      <c r="D2228" s="295"/>
      <c r="E2228" s="290"/>
      <c r="F2228" s="290"/>
      <c r="G2228" s="291"/>
      <c r="H2228" s="292"/>
      <c r="I2228" s="293"/>
    </row>
    <row r="2229" spans="1:9">
      <c r="A2229" s="295"/>
      <c r="B2229" s="295"/>
      <c r="C2229" s="295"/>
      <c r="D2229" s="295"/>
      <c r="E2229" s="290"/>
      <c r="F2229" s="290"/>
      <c r="G2229" s="291"/>
      <c r="H2229" s="292"/>
      <c r="I2229" s="293"/>
    </row>
    <row r="2230" spans="1:9">
      <c r="A2230" s="295"/>
      <c r="B2230" s="295"/>
      <c r="C2230" s="295"/>
      <c r="D2230" s="295"/>
      <c r="E2230" s="290"/>
      <c r="F2230" s="290"/>
      <c r="G2230" s="292"/>
      <c r="H2230" s="292"/>
      <c r="I2230" s="293"/>
    </row>
    <row r="2231" spans="1:9">
      <c r="A2231" s="295"/>
      <c r="B2231" s="295"/>
      <c r="C2231" s="295"/>
      <c r="D2231" s="295"/>
      <c r="E2231" s="290"/>
      <c r="F2231" s="290"/>
      <c r="G2231" s="292"/>
      <c r="H2231" s="292"/>
      <c r="I2231" s="293"/>
    </row>
    <row r="2232" spans="1:9">
      <c r="A2232" s="295"/>
      <c r="B2232" s="295"/>
      <c r="C2232" s="295"/>
      <c r="D2232" s="295"/>
      <c r="E2232" s="290"/>
      <c r="F2232" s="290"/>
      <c r="G2232" s="292"/>
      <c r="H2232" s="292"/>
      <c r="I2232" s="293"/>
    </row>
    <row r="2233" spans="1:9">
      <c r="A2233" s="295"/>
      <c r="B2233" s="295"/>
      <c r="C2233" s="295"/>
      <c r="D2233" s="295"/>
      <c r="E2233" s="290"/>
      <c r="F2233" s="290"/>
      <c r="G2233" s="292"/>
      <c r="H2233" s="292"/>
      <c r="I2233" s="293"/>
    </row>
    <row r="2234" spans="1:9">
      <c r="A2234" s="295"/>
      <c r="B2234" s="295"/>
      <c r="C2234" s="295"/>
      <c r="D2234" s="295"/>
      <c r="E2234" s="290"/>
      <c r="F2234" s="290"/>
      <c r="G2234" s="292"/>
      <c r="H2234" s="292"/>
      <c r="I2234" s="293"/>
    </row>
    <row r="2235" spans="1:9">
      <c r="A2235" s="295"/>
      <c r="B2235" s="295"/>
      <c r="C2235" s="295"/>
      <c r="D2235" s="295"/>
      <c r="E2235" s="290"/>
      <c r="F2235" s="290"/>
      <c r="G2235" s="292"/>
      <c r="H2235" s="292"/>
      <c r="I2235" s="293"/>
    </row>
    <row r="2236" spans="1:9">
      <c r="A2236" s="295"/>
      <c r="B2236" s="295"/>
      <c r="C2236" s="295"/>
      <c r="D2236" s="295"/>
      <c r="E2236" s="290"/>
      <c r="F2236" s="290"/>
      <c r="G2236" s="292"/>
      <c r="H2236" s="292"/>
      <c r="I2236" s="293"/>
    </row>
    <row r="2237" spans="1:9">
      <c r="A2237" s="295"/>
      <c r="B2237" s="295"/>
      <c r="C2237" s="295"/>
      <c r="D2237" s="295"/>
      <c r="E2237" s="290"/>
      <c r="F2237" s="290"/>
      <c r="G2237" s="292"/>
      <c r="H2237" s="292"/>
      <c r="I2237" s="293"/>
    </row>
    <row r="2238" spans="1:9">
      <c r="A2238" s="295"/>
      <c r="B2238" s="295"/>
      <c r="C2238" s="295"/>
      <c r="D2238" s="295"/>
      <c r="E2238" s="290"/>
      <c r="F2238" s="290"/>
      <c r="G2238" s="292"/>
      <c r="H2238" s="292"/>
      <c r="I2238" s="293"/>
    </row>
    <row r="2239" spans="1:9">
      <c r="A2239" s="295"/>
      <c r="B2239" s="295"/>
      <c r="C2239" s="295"/>
      <c r="D2239" s="295"/>
      <c r="E2239" s="290"/>
      <c r="F2239" s="290"/>
      <c r="G2239" s="292"/>
      <c r="H2239" s="292"/>
      <c r="I2239" s="293"/>
    </row>
    <row r="2240" spans="1:9">
      <c r="A2240" s="295"/>
      <c r="B2240" s="295"/>
      <c r="C2240" s="295"/>
      <c r="D2240" s="295"/>
      <c r="E2240" s="290"/>
      <c r="F2240" s="290"/>
      <c r="G2240" s="292"/>
      <c r="H2240" s="292"/>
      <c r="I2240" s="293"/>
    </row>
    <row r="2241" spans="1:9">
      <c r="A2241" s="295"/>
      <c r="B2241" s="295"/>
      <c r="C2241" s="295"/>
      <c r="D2241" s="295"/>
      <c r="E2241" s="290"/>
      <c r="F2241" s="290"/>
      <c r="G2241" s="292"/>
      <c r="H2241" s="292"/>
      <c r="I2241" s="293"/>
    </row>
    <row r="2242" spans="1:9">
      <c r="A2242" s="295"/>
      <c r="B2242" s="295"/>
      <c r="C2242" s="295"/>
      <c r="D2242" s="295"/>
      <c r="E2242" s="290"/>
      <c r="F2242" s="290"/>
      <c r="G2242" s="292"/>
      <c r="H2242" s="292"/>
      <c r="I2242" s="293"/>
    </row>
    <row r="2243" spans="1:9">
      <c r="A2243" s="295"/>
      <c r="B2243" s="295"/>
      <c r="C2243" s="295"/>
      <c r="D2243" s="295"/>
      <c r="E2243" s="290"/>
      <c r="F2243" s="290"/>
      <c r="G2243" s="292"/>
      <c r="H2243" s="292"/>
      <c r="I2243" s="293"/>
    </row>
    <row r="2244" spans="1:9">
      <c r="A2244" s="295"/>
      <c r="B2244" s="295"/>
      <c r="C2244" s="295"/>
      <c r="D2244" s="295"/>
      <c r="E2244" s="290"/>
      <c r="F2244" s="290"/>
      <c r="G2244" s="292"/>
      <c r="H2244" s="292"/>
      <c r="I2244" s="293"/>
    </row>
    <row r="2245" spans="1:9">
      <c r="A2245" s="295"/>
      <c r="B2245" s="295"/>
      <c r="C2245" s="295"/>
      <c r="D2245" s="295"/>
      <c r="E2245" s="290"/>
      <c r="F2245" s="290"/>
      <c r="G2245" s="292"/>
      <c r="H2245" s="292"/>
      <c r="I2245" s="293"/>
    </row>
    <row r="2246" spans="1:9">
      <c r="A2246" s="295"/>
      <c r="B2246" s="295"/>
      <c r="C2246" s="295"/>
      <c r="D2246" s="295"/>
      <c r="E2246" s="290"/>
      <c r="F2246" s="290"/>
      <c r="G2246" s="292"/>
      <c r="H2246" s="292"/>
      <c r="I2246" s="293"/>
    </row>
    <row r="2247" spans="1:9">
      <c r="A2247" s="295"/>
      <c r="B2247" s="295"/>
      <c r="C2247" s="295"/>
      <c r="D2247" s="295"/>
      <c r="E2247" s="290"/>
      <c r="F2247" s="290"/>
      <c r="G2247" s="292"/>
      <c r="H2247" s="292"/>
      <c r="I2247" s="293"/>
    </row>
    <row r="2248" spans="1:9">
      <c r="A2248" s="295"/>
      <c r="B2248" s="295"/>
      <c r="C2248" s="295"/>
      <c r="D2248" s="295"/>
      <c r="E2248" s="290"/>
      <c r="F2248" s="290"/>
      <c r="G2248" s="292"/>
      <c r="H2248" s="292"/>
      <c r="I2248" s="293"/>
    </row>
    <row r="2249" spans="1:9">
      <c r="A2249" s="295"/>
      <c r="B2249" s="295"/>
      <c r="C2249" s="295"/>
      <c r="D2249" s="295"/>
      <c r="E2249" s="290"/>
      <c r="F2249" s="290"/>
      <c r="G2249" s="292"/>
      <c r="H2249" s="292"/>
      <c r="I2249" s="293"/>
    </row>
    <row r="2250" spans="1:9">
      <c r="A2250" s="295"/>
      <c r="B2250" s="295"/>
      <c r="C2250" s="295"/>
      <c r="D2250" s="295"/>
      <c r="E2250" s="290"/>
      <c r="F2250" s="290"/>
      <c r="G2250" s="292"/>
      <c r="H2250" s="292"/>
      <c r="I2250" s="293"/>
    </row>
    <row r="2251" spans="1:9">
      <c r="A2251" s="295"/>
      <c r="B2251" s="295"/>
      <c r="C2251" s="295"/>
      <c r="D2251" s="295"/>
      <c r="E2251" s="290"/>
      <c r="F2251" s="290"/>
      <c r="G2251" s="292"/>
      <c r="H2251" s="292"/>
      <c r="I2251" s="293"/>
    </row>
    <row r="2252" spans="1:9">
      <c r="A2252" s="295"/>
      <c r="B2252" s="295"/>
      <c r="C2252" s="295"/>
      <c r="D2252" s="295"/>
      <c r="E2252" s="290"/>
      <c r="F2252" s="290"/>
      <c r="G2252" s="292"/>
      <c r="H2252" s="292"/>
      <c r="I2252" s="293"/>
    </row>
    <row r="2253" spans="1:9">
      <c r="A2253" s="295"/>
      <c r="B2253" s="295"/>
      <c r="C2253" s="295"/>
      <c r="D2253" s="295"/>
      <c r="E2253" s="290"/>
      <c r="F2253" s="290"/>
      <c r="G2253" s="292"/>
      <c r="H2253" s="292"/>
      <c r="I2253" s="293"/>
    </row>
    <row r="2254" spans="1:9">
      <c r="A2254" s="295"/>
      <c r="B2254" s="295"/>
      <c r="C2254" s="295"/>
      <c r="D2254" s="295"/>
      <c r="E2254" s="290"/>
      <c r="F2254" s="290"/>
      <c r="G2254" s="292"/>
      <c r="H2254" s="292"/>
      <c r="I2254" s="293"/>
    </row>
    <row r="2255" spans="1:9">
      <c r="A2255" s="295"/>
      <c r="B2255" s="295"/>
      <c r="C2255" s="295"/>
      <c r="D2255" s="295"/>
      <c r="E2255" s="290"/>
      <c r="F2255" s="290"/>
      <c r="G2255" s="292"/>
      <c r="H2255" s="292"/>
      <c r="I2255" s="293"/>
    </row>
    <row r="2256" spans="1:9">
      <c r="A2256" s="295"/>
      <c r="B2256" s="295"/>
      <c r="C2256" s="295"/>
      <c r="D2256" s="295"/>
      <c r="E2256" s="290"/>
      <c r="F2256" s="290"/>
      <c r="G2256" s="292"/>
      <c r="H2256" s="292"/>
      <c r="I2256" s="293"/>
    </row>
    <row r="2257" spans="1:9">
      <c r="A2257" s="295"/>
      <c r="B2257" s="295"/>
      <c r="C2257" s="295"/>
      <c r="D2257" s="295"/>
      <c r="E2257" s="290"/>
      <c r="F2257" s="290"/>
      <c r="G2257" s="292"/>
      <c r="H2257" s="292"/>
      <c r="I2257" s="293"/>
    </row>
    <row r="2258" spans="1:9">
      <c r="A2258" s="295"/>
      <c r="B2258" s="295"/>
      <c r="C2258" s="295"/>
      <c r="D2258" s="295"/>
      <c r="E2258" s="290"/>
      <c r="F2258" s="290"/>
      <c r="G2258" s="292"/>
      <c r="H2258" s="292"/>
      <c r="I2258" s="293"/>
    </row>
    <row r="2259" spans="1:9">
      <c r="A2259" s="295"/>
      <c r="B2259" s="295"/>
      <c r="C2259" s="295"/>
      <c r="D2259" s="295"/>
      <c r="E2259" s="290"/>
      <c r="F2259" s="290"/>
      <c r="G2259" s="292"/>
      <c r="H2259" s="292"/>
      <c r="I2259" s="293"/>
    </row>
    <row r="2260" spans="1:9">
      <c r="A2260" s="295"/>
      <c r="B2260" s="295"/>
      <c r="C2260" s="295"/>
      <c r="D2260" s="295"/>
      <c r="E2260" s="290"/>
      <c r="F2260" s="290"/>
      <c r="G2260" s="292"/>
      <c r="H2260" s="292"/>
      <c r="I2260" s="293"/>
    </row>
    <row r="2261" spans="1:9">
      <c r="A2261" s="295"/>
      <c r="B2261" s="295"/>
      <c r="C2261" s="295"/>
      <c r="D2261" s="295"/>
      <c r="E2261" s="290"/>
      <c r="F2261" s="290"/>
      <c r="G2261" s="292"/>
      <c r="H2261" s="292"/>
      <c r="I2261" s="293"/>
    </row>
    <row r="2262" spans="1:9">
      <c r="A2262" s="295"/>
      <c r="B2262" s="295"/>
      <c r="C2262" s="295"/>
      <c r="D2262" s="295"/>
      <c r="E2262" s="290"/>
      <c r="F2262" s="290"/>
      <c r="G2262" s="292"/>
      <c r="H2262" s="292"/>
      <c r="I2262" s="293"/>
    </row>
    <row r="2263" spans="1:9">
      <c r="A2263" s="295"/>
      <c r="B2263" s="295"/>
      <c r="C2263" s="295"/>
      <c r="D2263" s="295"/>
      <c r="E2263" s="290"/>
      <c r="F2263" s="290"/>
      <c r="G2263" s="292"/>
      <c r="H2263" s="292"/>
      <c r="I2263" s="293"/>
    </row>
    <row r="2264" spans="1:9">
      <c r="A2264" s="295"/>
      <c r="B2264" s="295"/>
      <c r="C2264" s="295"/>
      <c r="D2264" s="295"/>
      <c r="E2264" s="290"/>
      <c r="F2264" s="290"/>
      <c r="G2264" s="292"/>
      <c r="H2264" s="292"/>
      <c r="I2264" s="293"/>
    </row>
    <row r="2265" spans="1:9">
      <c r="A2265" s="295"/>
      <c r="B2265" s="295"/>
      <c r="C2265" s="295"/>
      <c r="D2265" s="295"/>
      <c r="E2265" s="290"/>
      <c r="F2265" s="290"/>
      <c r="G2265" s="292"/>
      <c r="H2265" s="292"/>
      <c r="I2265" s="293"/>
    </row>
    <row r="2266" spans="1:9">
      <c r="A2266" s="295"/>
      <c r="B2266" s="295"/>
      <c r="C2266" s="295"/>
      <c r="D2266" s="295"/>
      <c r="E2266" s="290"/>
      <c r="F2266" s="290"/>
      <c r="G2266" s="292"/>
      <c r="H2266" s="292"/>
      <c r="I2266" s="293"/>
    </row>
    <row r="2267" spans="1:9">
      <c r="A2267" s="295"/>
      <c r="B2267" s="295"/>
      <c r="C2267" s="295"/>
      <c r="D2267" s="295"/>
      <c r="E2267" s="290"/>
      <c r="F2267" s="290"/>
      <c r="G2267" s="292"/>
      <c r="H2267" s="292"/>
      <c r="I2267" s="293"/>
    </row>
    <row r="2268" spans="1:9">
      <c r="A2268" s="295"/>
      <c r="B2268" s="295"/>
      <c r="C2268" s="295"/>
      <c r="D2268" s="295"/>
      <c r="E2268" s="290"/>
      <c r="F2268" s="290"/>
      <c r="G2268" s="292"/>
      <c r="H2268" s="292"/>
      <c r="I2268" s="293"/>
    </row>
    <row r="2269" spans="1:9">
      <c r="A2269" s="295"/>
      <c r="B2269" s="295"/>
      <c r="C2269" s="295"/>
      <c r="D2269" s="295"/>
      <c r="E2269" s="290"/>
      <c r="F2269" s="290"/>
      <c r="G2269" s="292"/>
      <c r="H2269" s="292"/>
      <c r="I2269" s="293"/>
    </row>
    <row r="2270" spans="1:9">
      <c r="A2270" s="295"/>
      <c r="B2270" s="295"/>
      <c r="C2270" s="295"/>
      <c r="D2270" s="295"/>
      <c r="E2270" s="290"/>
      <c r="F2270" s="290"/>
      <c r="G2270" s="292"/>
      <c r="H2270" s="292"/>
      <c r="I2270" s="293"/>
    </row>
    <row r="2271" spans="1:9">
      <c r="A2271" s="295"/>
      <c r="B2271" s="295"/>
      <c r="C2271" s="295"/>
      <c r="D2271" s="295"/>
      <c r="E2271" s="290"/>
      <c r="F2271" s="290"/>
      <c r="G2271" s="292"/>
      <c r="H2271" s="292"/>
      <c r="I2271" s="293"/>
    </row>
    <row r="2272" spans="1:9">
      <c r="A2272" s="295"/>
      <c r="B2272" s="295"/>
      <c r="C2272" s="295"/>
      <c r="D2272" s="295"/>
      <c r="E2272" s="290"/>
      <c r="F2272" s="290"/>
      <c r="G2272" s="292"/>
      <c r="H2272" s="292"/>
      <c r="I2272" s="293"/>
    </row>
    <row r="2273" spans="1:9">
      <c r="A2273" s="295"/>
      <c r="B2273" s="295"/>
      <c r="C2273" s="295"/>
      <c r="D2273" s="295"/>
      <c r="E2273" s="290"/>
      <c r="F2273" s="290"/>
      <c r="G2273" s="292"/>
      <c r="H2273" s="292"/>
      <c r="I2273" s="293"/>
    </row>
    <row r="2274" spans="1:9">
      <c r="A2274" s="295"/>
      <c r="B2274" s="295"/>
      <c r="C2274" s="295"/>
      <c r="D2274" s="295"/>
      <c r="E2274" s="290"/>
      <c r="F2274" s="290"/>
      <c r="G2274" s="292"/>
      <c r="H2274" s="292"/>
      <c r="I2274" s="293"/>
    </row>
    <row r="2275" spans="1:9">
      <c r="A2275" s="295"/>
      <c r="B2275" s="295"/>
      <c r="C2275" s="295"/>
      <c r="D2275" s="295"/>
      <c r="E2275" s="290"/>
      <c r="F2275" s="290"/>
      <c r="G2275" s="292"/>
      <c r="H2275" s="292"/>
      <c r="I2275" s="293"/>
    </row>
    <row r="2276" spans="1:9">
      <c r="A2276" s="295"/>
      <c r="B2276" s="295"/>
      <c r="C2276" s="295"/>
      <c r="D2276" s="295"/>
      <c r="E2276" s="290"/>
      <c r="F2276" s="290"/>
      <c r="G2276" s="292"/>
      <c r="H2276" s="292"/>
      <c r="I2276" s="293"/>
    </row>
    <row r="2277" spans="1:9">
      <c r="A2277" s="295"/>
      <c r="B2277" s="295"/>
      <c r="C2277" s="295"/>
      <c r="D2277" s="295"/>
      <c r="E2277" s="290"/>
      <c r="F2277" s="290"/>
      <c r="G2277" s="292"/>
      <c r="H2277" s="292"/>
      <c r="I2277" s="293"/>
    </row>
    <row r="2278" spans="1:9">
      <c r="A2278" s="295"/>
      <c r="B2278" s="295"/>
      <c r="C2278" s="295"/>
      <c r="D2278" s="295"/>
      <c r="E2278" s="290"/>
      <c r="F2278" s="290"/>
      <c r="G2278" s="292"/>
      <c r="H2278" s="292"/>
      <c r="I2278" s="293"/>
    </row>
    <row r="2279" spans="1:9">
      <c r="A2279" s="295"/>
      <c r="B2279" s="295"/>
      <c r="C2279" s="295"/>
      <c r="D2279" s="295"/>
      <c r="E2279" s="290"/>
      <c r="F2279" s="290"/>
      <c r="G2279" s="292"/>
      <c r="H2279" s="292"/>
      <c r="I2279" s="293"/>
    </row>
    <row r="2280" spans="1:9">
      <c r="A2280" s="295"/>
      <c r="B2280" s="295"/>
      <c r="C2280" s="295"/>
      <c r="D2280" s="295"/>
      <c r="E2280" s="290"/>
      <c r="F2280" s="290"/>
      <c r="G2280" s="292"/>
      <c r="H2280" s="292"/>
      <c r="I2280" s="293"/>
    </row>
    <row r="2281" spans="1:9">
      <c r="A2281" s="295"/>
      <c r="B2281" s="295"/>
      <c r="C2281" s="295"/>
      <c r="D2281" s="295"/>
      <c r="E2281" s="290"/>
      <c r="F2281" s="290"/>
      <c r="G2281" s="292"/>
      <c r="H2281" s="292"/>
      <c r="I2281" s="293"/>
    </row>
    <row r="2282" spans="1:9">
      <c r="A2282" s="295"/>
      <c r="B2282" s="295"/>
      <c r="C2282" s="295"/>
      <c r="D2282" s="295"/>
      <c r="E2282" s="290"/>
      <c r="F2282" s="290"/>
      <c r="G2282" s="292"/>
      <c r="H2282" s="292"/>
      <c r="I2282" s="293"/>
    </row>
    <row r="2283" spans="1:9">
      <c r="A2283" s="295"/>
      <c r="B2283" s="295"/>
      <c r="C2283" s="295"/>
      <c r="D2283" s="295"/>
      <c r="E2283" s="290"/>
      <c r="F2283" s="290"/>
      <c r="G2283" s="292"/>
      <c r="H2283" s="292"/>
      <c r="I2283" s="293"/>
    </row>
    <row r="2284" spans="1:9">
      <c r="A2284" s="295"/>
      <c r="B2284" s="295"/>
      <c r="C2284" s="295"/>
      <c r="D2284" s="295"/>
      <c r="E2284" s="290"/>
      <c r="F2284" s="290"/>
      <c r="G2284" s="292"/>
      <c r="H2284" s="292"/>
      <c r="I2284" s="293"/>
    </row>
    <row r="2285" spans="1:9">
      <c r="A2285" s="295"/>
      <c r="B2285" s="295"/>
      <c r="C2285" s="295"/>
      <c r="D2285" s="295"/>
      <c r="E2285" s="290"/>
      <c r="F2285" s="290"/>
      <c r="G2285" s="292"/>
      <c r="H2285" s="292"/>
      <c r="I2285" s="293"/>
    </row>
    <row r="2286" spans="1:9">
      <c r="A2286" s="295"/>
      <c r="B2286" s="295"/>
      <c r="C2286" s="295"/>
      <c r="D2286" s="295"/>
      <c r="E2286" s="290"/>
      <c r="F2286" s="290"/>
      <c r="G2286" s="292"/>
      <c r="H2286" s="292"/>
      <c r="I2286" s="293"/>
    </row>
    <row r="2287" spans="1:9">
      <c r="A2287" s="295"/>
      <c r="B2287" s="295"/>
      <c r="C2287" s="295"/>
      <c r="D2287" s="295"/>
      <c r="E2287" s="290"/>
      <c r="F2287" s="290"/>
      <c r="G2287" s="292"/>
      <c r="H2287" s="292"/>
      <c r="I2287" s="293"/>
    </row>
    <row r="2288" spans="1:9">
      <c r="A2288" s="295"/>
      <c r="B2288" s="295"/>
      <c r="C2288" s="295"/>
      <c r="D2288" s="295"/>
      <c r="E2288" s="290"/>
      <c r="F2288" s="290"/>
      <c r="G2288" s="292"/>
      <c r="H2288" s="292"/>
      <c r="I2288" s="293"/>
    </row>
    <row r="2289" spans="1:9">
      <c r="A2289" s="295"/>
      <c r="B2289" s="295"/>
      <c r="C2289" s="295"/>
      <c r="D2289" s="295"/>
      <c r="E2289" s="290"/>
      <c r="F2289" s="290"/>
      <c r="G2289" s="292"/>
      <c r="H2289" s="292"/>
      <c r="I2289" s="293"/>
    </row>
    <row r="2290" spans="1:9">
      <c r="A2290" s="295"/>
      <c r="B2290" s="295"/>
      <c r="C2290" s="295"/>
      <c r="D2290" s="295"/>
      <c r="E2290" s="290"/>
      <c r="F2290" s="290"/>
      <c r="G2290" s="292"/>
      <c r="H2290" s="292"/>
      <c r="I2290" s="293"/>
    </row>
    <row r="2291" spans="1:9">
      <c r="A2291" s="295"/>
      <c r="B2291" s="295"/>
      <c r="C2291" s="295"/>
      <c r="D2291" s="295"/>
      <c r="E2291" s="290"/>
      <c r="F2291" s="290"/>
      <c r="G2291" s="292"/>
      <c r="H2291" s="292"/>
      <c r="I2291" s="293"/>
    </row>
    <row r="2292" spans="1:9">
      <c r="A2292" s="295"/>
      <c r="B2292" s="295"/>
      <c r="C2292" s="295"/>
      <c r="D2292" s="295"/>
      <c r="E2292" s="290"/>
      <c r="F2292" s="290"/>
      <c r="G2292" s="292"/>
      <c r="H2292" s="292"/>
      <c r="I2292" s="293"/>
    </row>
    <row r="2293" spans="1:9">
      <c r="A2293" s="295"/>
      <c r="B2293" s="295"/>
      <c r="C2293" s="295"/>
      <c r="D2293" s="295"/>
      <c r="E2293" s="290"/>
      <c r="F2293" s="290"/>
      <c r="G2293" s="292"/>
      <c r="H2293" s="292"/>
      <c r="I2293" s="293"/>
    </row>
    <row r="2294" spans="1:9">
      <c r="A2294" s="295"/>
      <c r="B2294" s="295"/>
      <c r="C2294" s="295"/>
      <c r="D2294" s="295"/>
      <c r="E2294" s="290"/>
      <c r="F2294" s="290"/>
      <c r="G2294" s="292"/>
      <c r="H2294" s="292"/>
      <c r="I2294" s="293"/>
    </row>
    <row r="2295" spans="1:9">
      <c r="A2295" s="295"/>
      <c r="B2295" s="295"/>
      <c r="C2295" s="295"/>
      <c r="D2295" s="295"/>
      <c r="E2295" s="290"/>
      <c r="F2295" s="290"/>
      <c r="G2295" s="292"/>
      <c r="H2295" s="292"/>
      <c r="I2295" s="293"/>
    </row>
    <row r="2296" spans="1:9">
      <c r="A2296" s="295"/>
      <c r="B2296" s="295"/>
      <c r="C2296" s="295"/>
      <c r="D2296" s="295"/>
      <c r="E2296" s="290"/>
      <c r="F2296" s="290"/>
      <c r="G2296" s="292"/>
      <c r="H2296" s="292"/>
      <c r="I2296" s="293"/>
    </row>
    <row r="2297" spans="1:9">
      <c r="A2297" s="295"/>
      <c r="B2297" s="295"/>
      <c r="C2297" s="295"/>
      <c r="D2297" s="295"/>
      <c r="E2297" s="290"/>
      <c r="F2297" s="290"/>
      <c r="G2297" s="292"/>
      <c r="H2297" s="292"/>
      <c r="I2297" s="293"/>
    </row>
    <row r="2298" spans="1:9">
      <c r="A2298" s="295"/>
      <c r="B2298" s="295"/>
      <c r="C2298" s="295"/>
      <c r="D2298" s="295"/>
      <c r="E2298" s="290"/>
      <c r="F2298" s="290"/>
      <c r="G2298" s="292"/>
      <c r="H2298" s="292"/>
      <c r="I2298" s="293"/>
    </row>
    <row r="2299" spans="1:9">
      <c r="A2299" s="295"/>
      <c r="B2299" s="295"/>
      <c r="C2299" s="295"/>
      <c r="D2299" s="295"/>
      <c r="E2299" s="290"/>
      <c r="F2299" s="290"/>
      <c r="G2299" s="292"/>
      <c r="H2299" s="292"/>
      <c r="I2299" s="293"/>
    </row>
    <row r="2300" spans="1:9">
      <c r="A2300" s="295"/>
      <c r="B2300" s="295"/>
      <c r="C2300" s="295"/>
      <c r="D2300" s="295"/>
      <c r="E2300" s="290"/>
      <c r="F2300" s="290"/>
      <c r="G2300" s="292"/>
      <c r="H2300" s="292"/>
      <c r="I2300" s="293"/>
    </row>
    <row r="2301" spans="1:9">
      <c r="A2301" s="295"/>
      <c r="B2301" s="295"/>
      <c r="C2301" s="295"/>
      <c r="D2301" s="295"/>
      <c r="E2301" s="290"/>
      <c r="F2301" s="290"/>
      <c r="G2301" s="292"/>
      <c r="H2301" s="292"/>
      <c r="I2301" s="293"/>
    </row>
    <row r="2302" spans="1:9">
      <c r="A2302" s="295"/>
      <c r="B2302" s="295"/>
      <c r="C2302" s="295"/>
      <c r="D2302" s="295"/>
      <c r="E2302" s="290"/>
      <c r="F2302" s="290"/>
      <c r="G2302" s="292"/>
      <c r="H2302" s="292"/>
      <c r="I2302" s="293"/>
    </row>
    <row r="2303" spans="1:9">
      <c r="A2303" s="295"/>
      <c r="B2303" s="295"/>
      <c r="C2303" s="295"/>
      <c r="D2303" s="295"/>
      <c r="E2303" s="290"/>
      <c r="F2303" s="290"/>
      <c r="G2303" s="292"/>
      <c r="H2303" s="292"/>
      <c r="I2303" s="293"/>
    </row>
    <row r="2304" spans="1:9">
      <c r="A2304" s="295"/>
      <c r="B2304" s="295"/>
      <c r="C2304" s="295"/>
      <c r="D2304" s="295"/>
      <c r="E2304" s="290"/>
      <c r="F2304" s="290"/>
      <c r="G2304" s="292"/>
      <c r="H2304" s="292"/>
      <c r="I2304" s="293"/>
    </row>
    <row r="2305" spans="1:9">
      <c r="A2305" s="295"/>
      <c r="B2305" s="295"/>
      <c r="C2305" s="295"/>
      <c r="D2305" s="295"/>
      <c r="E2305" s="290"/>
      <c r="F2305" s="290"/>
      <c r="G2305" s="292"/>
      <c r="H2305" s="292"/>
      <c r="I2305" s="293"/>
    </row>
    <row r="2306" spans="1:9">
      <c r="A2306" s="295"/>
      <c r="B2306" s="295"/>
      <c r="C2306" s="295"/>
      <c r="D2306" s="295"/>
      <c r="E2306" s="290"/>
      <c r="F2306" s="290"/>
      <c r="G2306" s="292"/>
      <c r="H2306" s="292"/>
      <c r="I2306" s="293"/>
    </row>
    <row r="2307" spans="1:9">
      <c r="A2307" s="295"/>
      <c r="B2307" s="295"/>
      <c r="C2307" s="295"/>
      <c r="D2307" s="295"/>
      <c r="E2307" s="290"/>
      <c r="F2307" s="290"/>
      <c r="G2307" s="292"/>
      <c r="H2307" s="292"/>
      <c r="I2307" s="293"/>
    </row>
    <row r="2308" spans="1:9">
      <c r="A2308" s="295"/>
      <c r="B2308" s="295"/>
      <c r="C2308" s="295"/>
      <c r="D2308" s="295"/>
      <c r="E2308" s="290"/>
      <c r="F2308" s="290"/>
      <c r="G2308" s="292"/>
      <c r="H2308" s="292"/>
      <c r="I2308" s="293"/>
    </row>
    <row r="2309" spans="1:9">
      <c r="A2309" s="295"/>
      <c r="B2309" s="295"/>
      <c r="C2309" s="295"/>
      <c r="D2309" s="295"/>
      <c r="E2309" s="290"/>
      <c r="F2309" s="290"/>
      <c r="G2309" s="292"/>
      <c r="H2309" s="292"/>
      <c r="I2309" s="293"/>
    </row>
    <row r="2310" spans="1:9">
      <c r="A2310" s="295"/>
      <c r="B2310" s="295"/>
      <c r="C2310" s="295"/>
      <c r="D2310" s="295"/>
      <c r="E2310" s="290"/>
      <c r="F2310" s="290"/>
      <c r="G2310" s="292"/>
      <c r="H2310" s="292"/>
      <c r="I2310" s="293"/>
    </row>
    <row r="2311" spans="1:9">
      <c r="A2311" s="295"/>
      <c r="B2311" s="295"/>
      <c r="C2311" s="295"/>
      <c r="D2311" s="295"/>
      <c r="E2311" s="290"/>
      <c r="F2311" s="290"/>
      <c r="G2311" s="292"/>
      <c r="H2311" s="292"/>
      <c r="I2311" s="293"/>
    </row>
    <row r="2312" spans="1:9">
      <c r="A2312" s="295"/>
      <c r="B2312" s="295"/>
      <c r="C2312" s="295"/>
      <c r="D2312" s="295"/>
      <c r="E2312" s="290"/>
      <c r="F2312" s="290"/>
      <c r="G2312" s="292"/>
      <c r="H2312" s="292"/>
      <c r="I2312" s="293"/>
    </row>
    <row r="2313" spans="1:9">
      <c r="A2313" s="295"/>
      <c r="B2313" s="295"/>
      <c r="C2313" s="295"/>
      <c r="D2313" s="295"/>
      <c r="E2313" s="290"/>
      <c r="F2313" s="290"/>
      <c r="G2313" s="292"/>
      <c r="H2313" s="292"/>
      <c r="I2313" s="293"/>
    </row>
    <row r="2314" spans="1:9">
      <c r="A2314" s="295"/>
      <c r="B2314" s="295"/>
      <c r="C2314" s="295"/>
      <c r="D2314" s="295"/>
      <c r="E2314" s="290"/>
      <c r="F2314" s="290"/>
      <c r="G2314" s="292"/>
      <c r="H2314" s="292"/>
      <c r="I2314" s="293"/>
    </row>
    <row r="2315" spans="1:9">
      <c r="A2315" s="295"/>
      <c r="B2315" s="295"/>
      <c r="C2315" s="295"/>
      <c r="D2315" s="295"/>
      <c r="E2315" s="290"/>
      <c r="F2315" s="290"/>
      <c r="G2315" s="292"/>
      <c r="H2315" s="292"/>
      <c r="I2315" s="293"/>
    </row>
    <row r="2316" spans="1:9">
      <c r="A2316" s="295"/>
      <c r="B2316" s="295"/>
      <c r="C2316" s="295"/>
      <c r="D2316" s="295"/>
      <c r="E2316" s="290"/>
      <c r="F2316" s="290"/>
      <c r="G2316" s="292"/>
      <c r="H2316" s="292"/>
      <c r="I2316" s="293"/>
    </row>
    <row r="2317" spans="1:9">
      <c r="A2317" s="295"/>
      <c r="B2317" s="295"/>
      <c r="C2317" s="295"/>
      <c r="D2317" s="295"/>
      <c r="E2317" s="290"/>
      <c r="F2317" s="290"/>
      <c r="G2317" s="292"/>
      <c r="H2317" s="292"/>
      <c r="I2317" s="293"/>
    </row>
    <row r="2318" spans="1:9">
      <c r="A2318" s="295"/>
      <c r="B2318" s="295"/>
      <c r="C2318" s="295"/>
      <c r="D2318" s="295"/>
      <c r="E2318" s="290"/>
      <c r="F2318" s="290"/>
      <c r="G2318" s="292"/>
      <c r="H2318" s="292"/>
      <c r="I2318" s="293"/>
    </row>
    <row r="2319" spans="1:9">
      <c r="A2319" s="295"/>
      <c r="B2319" s="295"/>
      <c r="C2319" s="295"/>
      <c r="D2319" s="295"/>
      <c r="E2319" s="290"/>
      <c r="F2319" s="290"/>
      <c r="G2319" s="292"/>
      <c r="H2319" s="292"/>
      <c r="I2319" s="293"/>
    </row>
    <row r="2320" spans="1:9">
      <c r="A2320" s="295"/>
      <c r="B2320" s="295"/>
      <c r="C2320" s="295"/>
      <c r="D2320" s="295"/>
      <c r="E2320" s="290"/>
      <c r="F2320" s="290"/>
      <c r="G2320" s="292"/>
      <c r="H2320" s="292"/>
      <c r="I2320" s="293"/>
    </row>
    <row r="2321" spans="1:9">
      <c r="A2321" s="295"/>
      <c r="B2321" s="295"/>
      <c r="C2321" s="295"/>
      <c r="D2321" s="295"/>
      <c r="E2321" s="290"/>
      <c r="F2321" s="290"/>
      <c r="G2321" s="292"/>
      <c r="H2321" s="292"/>
      <c r="I2321" s="293"/>
    </row>
    <row r="2322" spans="1:9">
      <c r="A2322" s="295"/>
      <c r="B2322" s="295"/>
      <c r="C2322" s="295"/>
      <c r="D2322" s="295"/>
      <c r="E2322" s="290"/>
      <c r="F2322" s="290"/>
      <c r="G2322" s="292"/>
      <c r="H2322" s="292"/>
      <c r="I2322" s="293"/>
    </row>
    <row r="2323" spans="1:9">
      <c r="A2323" s="295"/>
      <c r="B2323" s="295"/>
      <c r="C2323" s="295"/>
      <c r="D2323" s="295"/>
      <c r="E2323" s="290"/>
      <c r="F2323" s="290"/>
      <c r="G2323" s="292"/>
      <c r="H2323" s="292"/>
      <c r="I2323" s="293"/>
    </row>
    <row r="2324" spans="1:9">
      <c r="A2324" s="295"/>
      <c r="B2324" s="295"/>
      <c r="C2324" s="295"/>
      <c r="D2324" s="295"/>
      <c r="E2324" s="290"/>
      <c r="F2324" s="290"/>
      <c r="G2324" s="292"/>
      <c r="H2324" s="292"/>
      <c r="I2324" s="293"/>
    </row>
    <row r="2325" spans="1:9">
      <c r="A2325" s="295"/>
      <c r="B2325" s="295"/>
      <c r="C2325" s="295"/>
      <c r="D2325" s="295"/>
      <c r="E2325" s="290"/>
      <c r="F2325" s="290"/>
      <c r="G2325" s="292"/>
      <c r="H2325" s="292"/>
      <c r="I2325" s="293"/>
    </row>
    <row r="2326" spans="1:9">
      <c r="A2326" s="295"/>
      <c r="B2326" s="295"/>
      <c r="C2326" s="295"/>
      <c r="D2326" s="295"/>
      <c r="E2326" s="290"/>
      <c r="F2326" s="290"/>
      <c r="G2326" s="292"/>
      <c r="H2326" s="292"/>
      <c r="I2326" s="293"/>
    </row>
    <row r="2327" spans="1:9">
      <c r="A2327" s="295"/>
      <c r="B2327" s="295"/>
      <c r="C2327" s="295"/>
      <c r="D2327" s="295"/>
      <c r="E2327" s="290"/>
      <c r="F2327" s="290"/>
      <c r="G2327" s="292"/>
      <c r="H2327" s="292"/>
      <c r="I2327" s="293"/>
    </row>
    <row r="2328" spans="1:9">
      <c r="A2328" s="295"/>
      <c r="B2328" s="295"/>
      <c r="C2328" s="295"/>
      <c r="D2328" s="295"/>
      <c r="E2328" s="290"/>
      <c r="F2328" s="290"/>
      <c r="G2328" s="292"/>
      <c r="H2328" s="292"/>
      <c r="I2328" s="293"/>
    </row>
    <row r="2329" spans="1:9">
      <c r="A2329" s="295"/>
      <c r="B2329" s="295"/>
      <c r="C2329" s="295"/>
      <c r="D2329" s="295"/>
      <c r="E2329" s="290"/>
      <c r="F2329" s="290"/>
      <c r="G2329" s="292"/>
      <c r="H2329" s="292"/>
      <c r="I2329" s="293"/>
    </row>
    <row r="2330" spans="1:9">
      <c r="A2330" s="295"/>
      <c r="B2330" s="295"/>
      <c r="C2330" s="295"/>
      <c r="D2330" s="295"/>
      <c r="E2330" s="290"/>
      <c r="F2330" s="290"/>
      <c r="G2330" s="292"/>
      <c r="H2330" s="292"/>
      <c r="I2330" s="293"/>
    </row>
    <row r="2331" spans="1:9">
      <c r="A2331" s="295"/>
      <c r="B2331" s="295"/>
      <c r="C2331" s="295"/>
      <c r="D2331" s="295"/>
      <c r="E2331" s="290"/>
      <c r="F2331" s="290"/>
      <c r="G2331" s="292"/>
      <c r="H2331" s="292"/>
      <c r="I2331" s="293"/>
    </row>
    <row r="2332" spans="1:9">
      <c r="A2332" s="295"/>
      <c r="B2332" s="295"/>
      <c r="C2332" s="295"/>
      <c r="D2332" s="295"/>
      <c r="E2332" s="290"/>
      <c r="F2332" s="290"/>
      <c r="G2332" s="292"/>
      <c r="H2332" s="292"/>
      <c r="I2332" s="293"/>
    </row>
    <row r="2333" spans="1:9">
      <c r="A2333" s="295"/>
      <c r="B2333" s="295"/>
      <c r="C2333" s="295"/>
      <c r="D2333" s="295"/>
      <c r="E2333" s="290"/>
      <c r="F2333" s="290"/>
      <c r="G2333" s="292"/>
      <c r="H2333" s="292"/>
      <c r="I2333" s="293"/>
    </row>
    <row r="2334" spans="1:9">
      <c r="A2334" s="295"/>
      <c r="B2334" s="295"/>
      <c r="C2334" s="295"/>
      <c r="D2334" s="295"/>
      <c r="E2334" s="290"/>
      <c r="F2334" s="290"/>
      <c r="G2334" s="292"/>
      <c r="H2334" s="292"/>
      <c r="I2334" s="293"/>
    </row>
    <row r="2335" spans="1:9">
      <c r="A2335" s="295"/>
      <c r="B2335" s="295"/>
      <c r="C2335" s="295"/>
      <c r="D2335" s="295"/>
      <c r="E2335" s="290"/>
      <c r="F2335" s="290"/>
      <c r="G2335" s="292"/>
      <c r="H2335" s="292"/>
      <c r="I2335" s="293"/>
    </row>
    <row r="2336" spans="1:9">
      <c r="A2336" s="295"/>
      <c r="B2336" s="295"/>
      <c r="C2336" s="295"/>
      <c r="D2336" s="295"/>
      <c r="E2336" s="290"/>
      <c r="F2336" s="290"/>
      <c r="G2336" s="292"/>
      <c r="H2336" s="292"/>
      <c r="I2336" s="293"/>
    </row>
    <row r="2337" spans="1:9">
      <c r="A2337" s="295"/>
      <c r="B2337" s="295"/>
      <c r="C2337" s="295"/>
      <c r="D2337" s="295"/>
      <c r="E2337" s="290"/>
      <c r="F2337" s="290"/>
      <c r="G2337" s="292"/>
      <c r="H2337" s="292"/>
      <c r="I2337" s="293"/>
    </row>
    <row r="2338" spans="1:9">
      <c r="A2338" s="295"/>
      <c r="B2338" s="295"/>
      <c r="C2338" s="295"/>
      <c r="D2338" s="295"/>
      <c r="E2338" s="290"/>
      <c r="F2338" s="290"/>
      <c r="G2338" s="292"/>
      <c r="H2338" s="292"/>
      <c r="I2338" s="293"/>
    </row>
    <row r="2339" spans="1:9">
      <c r="A2339" s="295"/>
      <c r="B2339" s="295"/>
      <c r="C2339" s="295"/>
      <c r="D2339" s="295"/>
      <c r="E2339" s="290"/>
      <c r="F2339" s="290"/>
      <c r="G2339" s="292"/>
      <c r="H2339" s="292"/>
      <c r="I2339" s="293"/>
    </row>
    <row r="2340" spans="1:9">
      <c r="A2340" s="295"/>
      <c r="B2340" s="295"/>
      <c r="C2340" s="295"/>
      <c r="D2340" s="295"/>
      <c r="E2340" s="290"/>
      <c r="F2340" s="290"/>
      <c r="G2340" s="292"/>
      <c r="H2340" s="292"/>
      <c r="I2340" s="293"/>
    </row>
    <row r="2341" spans="1:9">
      <c r="A2341" s="295"/>
      <c r="B2341" s="295"/>
      <c r="C2341" s="295"/>
      <c r="D2341" s="295"/>
      <c r="E2341" s="290"/>
      <c r="F2341" s="290"/>
      <c r="G2341" s="292"/>
      <c r="H2341" s="292"/>
      <c r="I2341" s="293"/>
    </row>
    <row r="2342" spans="1:9">
      <c r="A2342" s="295"/>
      <c r="B2342" s="295"/>
      <c r="C2342" s="295"/>
      <c r="D2342" s="295"/>
      <c r="E2342" s="290"/>
      <c r="F2342" s="290"/>
      <c r="G2342" s="292"/>
      <c r="H2342" s="292"/>
      <c r="I2342" s="293"/>
    </row>
    <row r="2343" spans="1:9">
      <c r="A2343" s="295"/>
      <c r="B2343" s="295"/>
      <c r="C2343" s="295"/>
      <c r="D2343" s="295"/>
      <c r="E2343" s="290"/>
      <c r="F2343" s="290"/>
      <c r="G2343" s="292"/>
      <c r="H2343" s="292"/>
      <c r="I2343" s="293"/>
    </row>
    <row r="2344" spans="1:9">
      <c r="A2344" s="295"/>
      <c r="B2344" s="295"/>
      <c r="C2344" s="295"/>
      <c r="D2344" s="295"/>
      <c r="E2344" s="290"/>
      <c r="F2344" s="290"/>
      <c r="G2344" s="292"/>
      <c r="H2344" s="292"/>
      <c r="I2344" s="293"/>
    </row>
    <row r="2345" spans="1:9">
      <c r="A2345" s="295"/>
      <c r="B2345" s="295"/>
      <c r="C2345" s="295"/>
      <c r="D2345" s="295"/>
      <c r="E2345" s="290"/>
      <c r="F2345" s="290"/>
      <c r="G2345" s="292"/>
      <c r="H2345" s="292"/>
      <c r="I2345" s="293"/>
    </row>
    <row r="2346" spans="1:9">
      <c r="A2346" s="295"/>
      <c r="B2346" s="295"/>
      <c r="C2346" s="295"/>
      <c r="D2346" s="295"/>
      <c r="E2346" s="290"/>
      <c r="F2346" s="290"/>
      <c r="G2346" s="292"/>
      <c r="H2346" s="292"/>
      <c r="I2346" s="293"/>
    </row>
    <row r="2347" spans="1:9">
      <c r="A2347" s="295"/>
      <c r="B2347" s="295"/>
      <c r="C2347" s="295"/>
      <c r="D2347" s="295"/>
      <c r="E2347" s="290"/>
      <c r="F2347" s="290"/>
      <c r="G2347" s="292"/>
      <c r="H2347" s="292"/>
      <c r="I2347" s="293"/>
    </row>
    <row r="2348" spans="1:9">
      <c r="A2348" s="295"/>
      <c r="B2348" s="295"/>
      <c r="C2348" s="295"/>
      <c r="D2348" s="295"/>
      <c r="E2348" s="290"/>
      <c r="F2348" s="290"/>
      <c r="G2348" s="292"/>
      <c r="H2348" s="292"/>
      <c r="I2348" s="293"/>
    </row>
    <row r="2349" spans="1:9">
      <c r="A2349" s="295"/>
      <c r="B2349" s="295"/>
      <c r="C2349" s="295"/>
      <c r="D2349" s="295"/>
      <c r="E2349" s="290"/>
      <c r="F2349" s="290"/>
      <c r="G2349" s="292"/>
      <c r="H2349" s="292"/>
      <c r="I2349" s="293"/>
    </row>
    <row r="2350" spans="1:9">
      <c r="A2350" s="295"/>
      <c r="B2350" s="295"/>
      <c r="C2350" s="295"/>
      <c r="D2350" s="295"/>
      <c r="E2350" s="290"/>
      <c r="F2350" s="290"/>
      <c r="G2350" s="292"/>
      <c r="H2350" s="292"/>
      <c r="I2350" s="293"/>
    </row>
    <row r="2351" spans="1:9">
      <c r="A2351" s="295"/>
      <c r="B2351" s="295"/>
      <c r="C2351" s="295"/>
      <c r="D2351" s="295"/>
      <c r="E2351" s="290"/>
      <c r="F2351" s="290"/>
      <c r="G2351" s="292"/>
      <c r="H2351" s="292"/>
      <c r="I2351" s="293"/>
    </row>
    <row r="2352" spans="1:9">
      <c r="A2352" s="295"/>
      <c r="B2352" s="295"/>
      <c r="C2352" s="295"/>
      <c r="D2352" s="295"/>
      <c r="E2352" s="290"/>
      <c r="F2352" s="290"/>
      <c r="G2352" s="292"/>
      <c r="H2352" s="292"/>
      <c r="I2352" s="293"/>
    </row>
    <row r="2353" spans="1:9">
      <c r="A2353" s="295"/>
      <c r="B2353" s="295"/>
      <c r="C2353" s="295"/>
      <c r="D2353" s="295"/>
      <c r="E2353" s="290"/>
      <c r="F2353" s="290"/>
      <c r="G2353" s="292"/>
      <c r="H2353" s="292"/>
      <c r="I2353" s="293"/>
    </row>
    <row r="2354" spans="1:9">
      <c r="A2354" s="295"/>
      <c r="B2354" s="295"/>
      <c r="C2354" s="295"/>
      <c r="D2354" s="295"/>
      <c r="E2354" s="290"/>
      <c r="F2354" s="290"/>
      <c r="G2354" s="292"/>
      <c r="H2354" s="292"/>
      <c r="I2354" s="293"/>
    </row>
    <row r="2355" spans="1:9">
      <c r="A2355" s="295"/>
      <c r="B2355" s="295"/>
      <c r="C2355" s="295"/>
      <c r="D2355" s="295"/>
      <c r="E2355" s="290"/>
      <c r="F2355" s="290"/>
      <c r="G2355" s="292"/>
      <c r="H2355" s="292"/>
      <c r="I2355" s="293"/>
    </row>
    <row r="2356" spans="1:9">
      <c r="A2356" s="295"/>
      <c r="B2356" s="295"/>
      <c r="C2356" s="295"/>
      <c r="D2356" s="295"/>
      <c r="E2356" s="290"/>
      <c r="F2356" s="290"/>
      <c r="G2356" s="292"/>
      <c r="H2356" s="292"/>
      <c r="I2356" s="293"/>
    </row>
    <row r="2357" spans="1:9">
      <c r="A2357" s="295"/>
      <c r="B2357" s="295"/>
      <c r="C2357" s="295"/>
      <c r="D2357" s="295"/>
      <c r="E2357" s="290"/>
      <c r="F2357" s="290"/>
      <c r="G2357" s="292"/>
      <c r="H2357" s="292"/>
      <c r="I2357" s="293"/>
    </row>
    <row r="2358" spans="1:9">
      <c r="A2358" s="295"/>
      <c r="B2358" s="295"/>
      <c r="C2358" s="295"/>
      <c r="D2358" s="295"/>
      <c r="E2358" s="290"/>
      <c r="F2358" s="290"/>
      <c r="G2358" s="292"/>
      <c r="H2358" s="292"/>
      <c r="I2358" s="293"/>
    </row>
    <row r="2359" spans="1:9">
      <c r="A2359" s="295"/>
      <c r="B2359" s="295"/>
      <c r="C2359" s="295"/>
      <c r="D2359" s="295"/>
      <c r="E2359" s="290"/>
      <c r="F2359" s="290"/>
      <c r="G2359" s="292"/>
      <c r="H2359" s="292"/>
      <c r="I2359" s="293"/>
    </row>
    <row r="2360" spans="1:9">
      <c r="A2360" s="295"/>
      <c r="B2360" s="295"/>
      <c r="C2360" s="295"/>
      <c r="D2360" s="295"/>
      <c r="E2360" s="290"/>
      <c r="F2360" s="290"/>
      <c r="G2360" s="292"/>
      <c r="H2360" s="292"/>
      <c r="I2360" s="293"/>
    </row>
    <row r="2361" spans="1:9">
      <c r="A2361" s="295"/>
      <c r="B2361" s="295"/>
      <c r="C2361" s="295"/>
      <c r="D2361" s="295"/>
      <c r="E2361" s="290"/>
      <c r="F2361" s="290"/>
      <c r="G2361" s="292"/>
      <c r="H2361" s="292"/>
      <c r="I2361" s="293"/>
    </row>
    <row r="2362" spans="1:9">
      <c r="A2362" s="295"/>
      <c r="B2362" s="295"/>
      <c r="C2362" s="295"/>
      <c r="D2362" s="295"/>
      <c r="E2362" s="290"/>
      <c r="F2362" s="290"/>
      <c r="G2362" s="292"/>
      <c r="H2362" s="292"/>
      <c r="I2362" s="293"/>
    </row>
    <row r="2363" spans="1:9">
      <c r="A2363" s="295"/>
      <c r="B2363" s="295"/>
      <c r="C2363" s="295"/>
      <c r="D2363" s="295"/>
      <c r="E2363" s="290"/>
      <c r="F2363" s="290"/>
      <c r="G2363" s="292"/>
      <c r="H2363" s="292"/>
      <c r="I2363" s="293"/>
    </row>
    <row r="2364" spans="1:9">
      <c r="A2364" s="295"/>
      <c r="B2364" s="295"/>
      <c r="C2364" s="295"/>
      <c r="D2364" s="295"/>
      <c r="E2364" s="290"/>
      <c r="F2364" s="290"/>
      <c r="G2364" s="292"/>
      <c r="H2364" s="292"/>
      <c r="I2364" s="293"/>
    </row>
    <row r="2365" spans="1:9">
      <c r="A2365" s="295"/>
      <c r="B2365" s="295"/>
      <c r="C2365" s="295"/>
      <c r="D2365" s="295"/>
      <c r="E2365" s="290"/>
      <c r="F2365" s="290"/>
      <c r="G2365" s="292"/>
      <c r="H2365" s="292"/>
      <c r="I2365" s="293"/>
    </row>
    <row r="2366" spans="1:9">
      <c r="A2366" s="295"/>
      <c r="B2366" s="295"/>
      <c r="C2366" s="295"/>
      <c r="D2366" s="295"/>
      <c r="E2366" s="290"/>
      <c r="F2366" s="290"/>
      <c r="G2366" s="292"/>
      <c r="H2366" s="292"/>
      <c r="I2366" s="293"/>
    </row>
    <row r="2367" spans="1:9">
      <c r="A2367" s="295"/>
      <c r="B2367" s="295"/>
      <c r="C2367" s="295"/>
      <c r="D2367" s="295"/>
      <c r="E2367" s="290"/>
      <c r="F2367" s="290"/>
      <c r="G2367" s="292"/>
      <c r="H2367" s="292"/>
      <c r="I2367" s="293"/>
    </row>
    <row r="2368" spans="1:9">
      <c r="A2368" s="295"/>
      <c r="B2368" s="295"/>
      <c r="C2368" s="295"/>
      <c r="D2368" s="295"/>
      <c r="E2368" s="290"/>
      <c r="F2368" s="290"/>
      <c r="G2368" s="292"/>
      <c r="H2368" s="292"/>
      <c r="I2368" s="293"/>
    </row>
    <row r="2369" spans="1:9">
      <c r="A2369" s="295"/>
      <c r="B2369" s="295"/>
      <c r="C2369" s="295"/>
      <c r="D2369" s="295"/>
      <c r="E2369" s="290"/>
      <c r="F2369" s="290"/>
      <c r="G2369" s="292"/>
      <c r="H2369" s="292"/>
      <c r="I2369" s="293"/>
    </row>
    <row r="2370" spans="1:9">
      <c r="A2370" s="295"/>
      <c r="B2370" s="295"/>
      <c r="C2370" s="295"/>
      <c r="D2370" s="295"/>
      <c r="E2370" s="290"/>
      <c r="F2370" s="290"/>
      <c r="G2370" s="292"/>
      <c r="H2370" s="292"/>
      <c r="I2370" s="293"/>
    </row>
    <row r="2371" spans="1:9">
      <c r="A2371" s="295"/>
      <c r="B2371" s="295"/>
      <c r="C2371" s="295"/>
      <c r="D2371" s="295"/>
      <c r="E2371" s="290"/>
      <c r="F2371" s="290"/>
      <c r="G2371" s="292"/>
      <c r="H2371" s="292"/>
      <c r="I2371" s="293"/>
    </row>
    <row r="2372" spans="1:9">
      <c r="A2372" s="295"/>
      <c r="B2372" s="295"/>
      <c r="C2372" s="295"/>
      <c r="D2372" s="295"/>
      <c r="E2372" s="290"/>
      <c r="F2372" s="290"/>
      <c r="G2372" s="292"/>
      <c r="H2372" s="292"/>
      <c r="I2372" s="293"/>
    </row>
    <row r="2373" spans="1:9">
      <c r="A2373" s="295"/>
      <c r="B2373" s="295"/>
      <c r="C2373" s="295"/>
      <c r="D2373" s="295"/>
      <c r="E2373" s="290"/>
      <c r="F2373" s="290"/>
      <c r="G2373" s="292"/>
      <c r="H2373" s="292"/>
      <c r="I2373" s="293"/>
    </row>
    <row r="2374" spans="1:9">
      <c r="A2374" s="295"/>
      <c r="B2374" s="295"/>
      <c r="C2374" s="295"/>
      <c r="D2374" s="295"/>
      <c r="E2374" s="290"/>
      <c r="F2374" s="290"/>
      <c r="G2374" s="292"/>
      <c r="H2374" s="292"/>
      <c r="I2374" s="293"/>
    </row>
    <row r="2375" spans="1:9">
      <c r="A2375" s="295"/>
      <c r="B2375" s="295"/>
      <c r="C2375" s="295"/>
      <c r="D2375" s="295"/>
      <c r="E2375" s="290"/>
      <c r="F2375" s="290"/>
      <c r="G2375" s="292"/>
      <c r="H2375" s="292"/>
      <c r="I2375" s="293"/>
    </row>
    <row r="2376" spans="1:9">
      <c r="A2376" s="295"/>
      <c r="B2376" s="295"/>
      <c r="C2376" s="295"/>
      <c r="D2376" s="295"/>
      <c r="E2376" s="290"/>
      <c r="F2376" s="290"/>
      <c r="G2376" s="292"/>
      <c r="H2376" s="292"/>
      <c r="I2376" s="293"/>
    </row>
    <row r="2377" spans="1:9">
      <c r="A2377" s="295"/>
      <c r="B2377" s="295"/>
      <c r="C2377" s="295"/>
      <c r="D2377" s="295"/>
      <c r="E2377" s="290"/>
      <c r="F2377" s="290"/>
      <c r="G2377" s="292"/>
      <c r="H2377" s="292"/>
      <c r="I2377" s="293"/>
    </row>
    <row r="2378" spans="1:9">
      <c r="A2378" s="295"/>
      <c r="B2378" s="295"/>
      <c r="C2378" s="295"/>
      <c r="D2378" s="295"/>
      <c r="E2378" s="290"/>
      <c r="F2378" s="290"/>
      <c r="G2378" s="292"/>
      <c r="H2378" s="292"/>
      <c r="I2378" s="293"/>
    </row>
    <row r="2379" spans="1:9">
      <c r="A2379" s="295"/>
      <c r="B2379" s="295"/>
      <c r="C2379" s="295"/>
      <c r="D2379" s="295"/>
      <c r="E2379" s="290"/>
      <c r="F2379" s="290"/>
      <c r="G2379" s="292"/>
      <c r="H2379" s="292"/>
      <c r="I2379" s="293"/>
    </row>
    <row r="2380" spans="1:9">
      <c r="A2380" s="295"/>
      <c r="B2380" s="295"/>
      <c r="C2380" s="295"/>
      <c r="D2380" s="295"/>
      <c r="E2380" s="290"/>
      <c r="F2380" s="290"/>
      <c r="G2380" s="292"/>
      <c r="H2380" s="292"/>
      <c r="I2380" s="293"/>
    </row>
    <row r="2381" spans="1:9">
      <c r="A2381" s="295"/>
      <c r="B2381" s="295"/>
      <c r="C2381" s="295"/>
      <c r="D2381" s="295"/>
      <c r="E2381" s="290"/>
      <c r="F2381" s="290"/>
      <c r="G2381" s="292"/>
      <c r="H2381" s="292"/>
      <c r="I2381" s="293"/>
    </row>
    <row r="2382" spans="1:9">
      <c r="A2382" s="295"/>
      <c r="B2382" s="295"/>
      <c r="C2382" s="295"/>
      <c r="D2382" s="295"/>
      <c r="E2382" s="290"/>
      <c r="F2382" s="290"/>
      <c r="G2382" s="292"/>
      <c r="H2382" s="292"/>
      <c r="I2382" s="293"/>
    </row>
    <row r="2383" spans="1:9">
      <c r="A2383" s="295"/>
      <c r="B2383" s="295"/>
      <c r="C2383" s="295"/>
      <c r="D2383" s="295"/>
      <c r="E2383" s="290"/>
      <c r="F2383" s="290"/>
      <c r="G2383" s="292"/>
      <c r="H2383" s="292"/>
      <c r="I2383" s="293"/>
    </row>
    <row r="2384" spans="1:9">
      <c r="A2384" s="295"/>
      <c r="B2384" s="295"/>
      <c r="C2384" s="295"/>
      <c r="D2384" s="295"/>
      <c r="E2384" s="290"/>
      <c r="F2384" s="290"/>
      <c r="G2384" s="292"/>
      <c r="H2384" s="292"/>
      <c r="I2384" s="293"/>
    </row>
    <row r="2385" spans="1:9">
      <c r="A2385" s="295"/>
      <c r="B2385" s="295"/>
      <c r="C2385" s="295"/>
      <c r="D2385" s="295"/>
      <c r="E2385" s="290"/>
      <c r="F2385" s="290"/>
      <c r="G2385" s="292"/>
      <c r="H2385" s="292"/>
      <c r="I2385" s="293"/>
    </row>
    <row r="2386" spans="1:9">
      <c r="A2386" s="295"/>
      <c r="B2386" s="295"/>
      <c r="C2386" s="295"/>
      <c r="D2386" s="295"/>
      <c r="E2386" s="290"/>
      <c r="F2386" s="290"/>
      <c r="G2386" s="292"/>
      <c r="H2386" s="292"/>
      <c r="I2386" s="293"/>
    </row>
    <row r="2387" spans="1:9">
      <c r="A2387" s="295"/>
      <c r="B2387" s="295"/>
      <c r="C2387" s="295"/>
      <c r="D2387" s="295"/>
      <c r="E2387" s="290"/>
      <c r="F2387" s="290"/>
      <c r="G2387" s="292"/>
      <c r="H2387" s="292"/>
      <c r="I2387" s="293"/>
    </row>
    <row r="2388" spans="1:9">
      <c r="A2388" s="295"/>
      <c r="B2388" s="295"/>
      <c r="C2388" s="295"/>
      <c r="D2388" s="295"/>
      <c r="E2388" s="290"/>
      <c r="F2388" s="290"/>
      <c r="G2388" s="292"/>
      <c r="H2388" s="292"/>
      <c r="I2388" s="293"/>
    </row>
    <row r="2389" spans="1:9">
      <c r="A2389" s="295"/>
      <c r="B2389" s="295"/>
      <c r="C2389" s="295"/>
      <c r="D2389" s="295"/>
      <c r="E2389" s="290"/>
      <c r="F2389" s="290"/>
      <c r="G2389" s="292"/>
      <c r="H2389" s="292"/>
      <c r="I2389" s="293"/>
    </row>
    <row r="2390" spans="1:9">
      <c r="A2390" s="295"/>
      <c r="B2390" s="295"/>
      <c r="C2390" s="295"/>
      <c r="D2390" s="295"/>
      <c r="E2390" s="290"/>
      <c r="F2390" s="290"/>
      <c r="G2390" s="292"/>
      <c r="H2390" s="292"/>
      <c r="I2390" s="293"/>
    </row>
    <row r="2391" spans="1:9">
      <c r="A2391" s="295"/>
      <c r="B2391" s="295"/>
      <c r="C2391" s="295"/>
      <c r="D2391" s="295"/>
      <c r="E2391" s="290"/>
      <c r="F2391" s="290"/>
      <c r="G2391" s="292"/>
      <c r="H2391" s="292"/>
      <c r="I2391" s="293"/>
    </row>
    <row r="2392" spans="1:9">
      <c r="A2392" s="295"/>
      <c r="B2392" s="295"/>
      <c r="C2392" s="295"/>
      <c r="D2392" s="295"/>
      <c r="E2392" s="290"/>
      <c r="F2392" s="290"/>
      <c r="G2392" s="292"/>
      <c r="H2392" s="292"/>
      <c r="I2392" s="293"/>
    </row>
    <row r="2393" spans="1:9">
      <c r="A2393" s="295"/>
      <c r="B2393" s="295"/>
      <c r="C2393" s="295"/>
      <c r="D2393" s="295"/>
      <c r="E2393" s="290"/>
      <c r="F2393" s="290"/>
      <c r="G2393" s="292"/>
      <c r="H2393" s="292"/>
      <c r="I2393" s="293"/>
    </row>
    <row r="2394" spans="1:9">
      <c r="A2394" s="295"/>
      <c r="B2394" s="295"/>
      <c r="C2394" s="295"/>
      <c r="D2394" s="295"/>
      <c r="E2394" s="290"/>
      <c r="F2394" s="290"/>
      <c r="G2394" s="292"/>
      <c r="H2394" s="292"/>
      <c r="I2394" s="293"/>
    </row>
    <row r="2395" spans="1:9">
      <c r="A2395" s="295"/>
      <c r="B2395" s="295"/>
      <c r="C2395" s="295"/>
      <c r="D2395" s="295"/>
      <c r="E2395" s="290"/>
      <c r="F2395" s="290"/>
      <c r="G2395" s="292"/>
      <c r="H2395" s="292"/>
      <c r="I2395" s="293"/>
    </row>
    <row r="2396" spans="1:9">
      <c r="A2396" s="295"/>
      <c r="B2396" s="295"/>
      <c r="C2396" s="295"/>
      <c r="D2396" s="295"/>
      <c r="E2396" s="290"/>
      <c r="F2396" s="290"/>
      <c r="G2396" s="292"/>
      <c r="H2396" s="292"/>
      <c r="I2396" s="293"/>
    </row>
    <row r="2397" spans="1:9">
      <c r="A2397" s="295"/>
      <c r="B2397" s="295"/>
      <c r="C2397" s="295"/>
      <c r="D2397" s="295"/>
      <c r="E2397" s="290"/>
      <c r="F2397" s="290"/>
      <c r="G2397" s="292"/>
      <c r="H2397" s="292"/>
      <c r="I2397" s="293"/>
    </row>
    <row r="2398" spans="1:9">
      <c r="A2398" s="295"/>
      <c r="B2398" s="295"/>
      <c r="C2398" s="295"/>
      <c r="D2398" s="295"/>
      <c r="E2398" s="290"/>
      <c r="F2398" s="290"/>
      <c r="G2398" s="292"/>
      <c r="H2398" s="292"/>
      <c r="I2398" s="293"/>
    </row>
    <row r="2399" spans="1:9">
      <c r="A2399" s="295"/>
      <c r="B2399" s="295"/>
      <c r="C2399" s="295"/>
      <c r="D2399" s="295"/>
      <c r="E2399" s="290"/>
      <c r="F2399" s="290"/>
      <c r="G2399" s="292"/>
      <c r="H2399" s="292"/>
      <c r="I2399" s="293"/>
    </row>
    <row r="2400" spans="1:9">
      <c r="A2400" s="295"/>
      <c r="B2400" s="295"/>
      <c r="C2400" s="295"/>
      <c r="D2400" s="295"/>
      <c r="E2400" s="290"/>
      <c r="F2400" s="290"/>
      <c r="G2400" s="292"/>
      <c r="H2400" s="292"/>
      <c r="I2400" s="293"/>
    </row>
    <row r="2401" spans="1:9">
      <c r="A2401" s="295"/>
      <c r="B2401" s="295"/>
      <c r="C2401" s="295"/>
      <c r="D2401" s="295"/>
      <c r="E2401" s="290"/>
      <c r="F2401" s="290"/>
      <c r="G2401" s="292"/>
      <c r="H2401" s="292"/>
      <c r="I2401" s="293"/>
    </row>
    <row r="2402" spans="1:9">
      <c r="A2402" s="295"/>
      <c r="B2402" s="295"/>
      <c r="C2402" s="295"/>
      <c r="D2402" s="295"/>
      <c r="E2402" s="290"/>
      <c r="F2402" s="290"/>
      <c r="G2402" s="292"/>
      <c r="H2402" s="292"/>
      <c r="I2402" s="293"/>
    </row>
    <row r="2403" spans="1:9">
      <c r="A2403" s="295"/>
      <c r="B2403" s="295"/>
      <c r="C2403" s="295"/>
      <c r="D2403" s="295"/>
      <c r="E2403" s="290"/>
      <c r="F2403" s="290"/>
      <c r="G2403" s="292"/>
      <c r="H2403" s="292"/>
      <c r="I2403" s="293"/>
    </row>
    <row r="2404" spans="1:9">
      <c r="A2404" s="295"/>
      <c r="B2404" s="295"/>
      <c r="C2404" s="295"/>
      <c r="D2404" s="295"/>
      <c r="E2404" s="290"/>
      <c r="F2404" s="290"/>
      <c r="G2404" s="292"/>
      <c r="H2404" s="292"/>
      <c r="I2404" s="293"/>
    </row>
    <row r="2405" spans="1:9">
      <c r="A2405" s="295"/>
      <c r="B2405" s="295"/>
      <c r="C2405" s="295"/>
      <c r="D2405" s="295"/>
      <c r="E2405" s="290"/>
      <c r="F2405" s="290"/>
      <c r="G2405" s="292"/>
      <c r="H2405" s="292"/>
      <c r="I2405" s="293"/>
    </row>
    <row r="2406" spans="1:9">
      <c r="A2406" s="295"/>
      <c r="B2406" s="295"/>
      <c r="C2406" s="295"/>
      <c r="D2406" s="295"/>
      <c r="E2406" s="290"/>
      <c r="F2406" s="290"/>
      <c r="G2406" s="292"/>
      <c r="H2406" s="292"/>
      <c r="I2406" s="293"/>
    </row>
    <row r="2407" spans="1:9">
      <c r="A2407" s="295"/>
      <c r="B2407" s="295"/>
      <c r="C2407" s="295"/>
      <c r="D2407" s="295"/>
      <c r="E2407" s="290"/>
      <c r="F2407" s="290"/>
      <c r="G2407" s="292"/>
      <c r="H2407" s="292"/>
      <c r="I2407" s="293"/>
    </row>
    <row r="2408" spans="1:9">
      <c r="A2408" s="295"/>
      <c r="B2408" s="295"/>
      <c r="C2408" s="295"/>
      <c r="D2408" s="295"/>
      <c r="E2408" s="290"/>
      <c r="F2408" s="290"/>
      <c r="G2408" s="292"/>
      <c r="H2408" s="292"/>
      <c r="I2408" s="293"/>
    </row>
    <row r="2409" spans="1:9">
      <c r="A2409" s="295"/>
      <c r="B2409" s="295"/>
      <c r="C2409" s="295"/>
      <c r="D2409" s="295"/>
      <c r="E2409" s="290"/>
      <c r="F2409" s="290"/>
      <c r="G2409" s="292"/>
      <c r="H2409" s="292"/>
      <c r="I2409" s="293"/>
    </row>
    <row r="2410" spans="1:9">
      <c r="A2410" s="295"/>
      <c r="B2410" s="295"/>
      <c r="C2410" s="295"/>
      <c r="D2410" s="295"/>
      <c r="E2410" s="290"/>
      <c r="F2410" s="290"/>
      <c r="G2410" s="292"/>
      <c r="H2410" s="292"/>
      <c r="I2410" s="293"/>
    </row>
    <row r="2411" spans="1:9">
      <c r="A2411" s="295"/>
      <c r="B2411" s="295"/>
      <c r="C2411" s="295"/>
      <c r="D2411" s="295"/>
      <c r="E2411" s="290"/>
      <c r="F2411" s="290"/>
      <c r="G2411" s="292"/>
      <c r="H2411" s="292"/>
      <c r="I2411" s="293"/>
    </row>
    <row r="2412" spans="1:9">
      <c r="A2412" s="295"/>
      <c r="B2412" s="295"/>
      <c r="C2412" s="295"/>
      <c r="D2412" s="295"/>
      <c r="E2412" s="290"/>
      <c r="F2412" s="290"/>
      <c r="G2412" s="292"/>
      <c r="H2412" s="292"/>
      <c r="I2412" s="293"/>
    </row>
    <row r="2413" spans="1:9">
      <c r="A2413" s="295"/>
      <c r="B2413" s="295"/>
      <c r="C2413" s="295"/>
      <c r="D2413" s="295"/>
      <c r="E2413" s="290"/>
      <c r="F2413" s="290"/>
      <c r="G2413" s="292"/>
      <c r="H2413" s="292"/>
      <c r="I2413" s="293"/>
    </row>
    <row r="2414" spans="1:9">
      <c r="A2414" s="295"/>
      <c r="B2414" s="295"/>
      <c r="C2414" s="295"/>
      <c r="D2414" s="295"/>
      <c r="E2414" s="290"/>
      <c r="F2414" s="290"/>
      <c r="G2414" s="292"/>
      <c r="H2414" s="292"/>
      <c r="I2414" s="293"/>
    </row>
    <row r="2415" spans="1:9">
      <c r="A2415" s="295"/>
      <c r="B2415" s="295"/>
      <c r="C2415" s="295"/>
      <c r="D2415" s="295"/>
      <c r="E2415" s="290"/>
      <c r="F2415" s="290"/>
      <c r="G2415" s="292"/>
      <c r="H2415" s="292"/>
      <c r="I2415" s="293"/>
    </row>
    <row r="2416" spans="1:9">
      <c r="A2416" s="295"/>
      <c r="B2416" s="295"/>
      <c r="C2416" s="295"/>
      <c r="D2416" s="295"/>
      <c r="E2416" s="290"/>
      <c r="F2416" s="290"/>
      <c r="G2416" s="292"/>
      <c r="H2416" s="292"/>
      <c r="I2416" s="293"/>
    </row>
    <row r="2417" spans="1:9">
      <c r="A2417" s="295"/>
      <c r="B2417" s="295"/>
      <c r="C2417" s="295"/>
      <c r="D2417" s="295"/>
      <c r="E2417" s="290"/>
      <c r="F2417" s="290"/>
      <c r="G2417" s="292"/>
      <c r="H2417" s="292"/>
      <c r="I2417" s="293"/>
    </row>
    <row r="2418" spans="1:9">
      <c r="A2418" s="295"/>
      <c r="B2418" s="295"/>
      <c r="C2418" s="295"/>
      <c r="D2418" s="295"/>
      <c r="E2418" s="290"/>
      <c r="F2418" s="290"/>
      <c r="G2418" s="292"/>
      <c r="H2418" s="292"/>
      <c r="I2418" s="293"/>
    </row>
    <row r="2419" spans="1:9">
      <c r="A2419" s="295"/>
      <c r="B2419" s="295"/>
      <c r="C2419" s="295"/>
      <c r="D2419" s="295"/>
      <c r="E2419" s="290"/>
      <c r="F2419" s="290"/>
      <c r="G2419" s="292"/>
      <c r="H2419" s="292"/>
      <c r="I2419" s="293"/>
    </row>
    <row r="2420" spans="1:9">
      <c r="A2420" s="295"/>
      <c r="B2420" s="295"/>
      <c r="C2420" s="295"/>
      <c r="D2420" s="295"/>
      <c r="E2420" s="290"/>
      <c r="F2420" s="290"/>
      <c r="G2420" s="292"/>
      <c r="H2420" s="292"/>
      <c r="I2420" s="293"/>
    </row>
    <row r="2421" spans="1:9">
      <c r="A2421" s="295"/>
      <c r="B2421" s="295"/>
      <c r="C2421" s="295"/>
      <c r="D2421" s="295"/>
      <c r="E2421" s="290"/>
      <c r="F2421" s="290"/>
      <c r="G2421" s="292"/>
      <c r="H2421" s="292"/>
      <c r="I2421" s="293"/>
    </row>
    <row r="2422" spans="1:9">
      <c r="A2422" s="295"/>
      <c r="B2422" s="295"/>
      <c r="C2422" s="295"/>
      <c r="D2422" s="295"/>
      <c r="E2422" s="290"/>
      <c r="F2422" s="290"/>
      <c r="G2422" s="292"/>
      <c r="H2422" s="292"/>
      <c r="I2422" s="293"/>
    </row>
    <row r="2423" spans="1:9">
      <c r="A2423" s="295"/>
      <c r="B2423" s="295"/>
      <c r="C2423" s="295"/>
      <c r="D2423" s="295"/>
      <c r="E2423" s="290"/>
      <c r="F2423" s="290"/>
      <c r="G2423" s="292"/>
      <c r="H2423" s="292"/>
      <c r="I2423" s="293"/>
    </row>
    <row r="2424" spans="1:9">
      <c r="A2424" s="295"/>
      <c r="B2424" s="295"/>
      <c r="C2424" s="295"/>
      <c r="D2424" s="295"/>
      <c r="E2424" s="290"/>
      <c r="F2424" s="290"/>
      <c r="G2424" s="292"/>
      <c r="H2424" s="292"/>
      <c r="I2424" s="293"/>
    </row>
  </sheetData>
  <sortState ref="L3:U80">
    <sortCondition descending="1" ref="R3"/>
  </sortState>
  <mergeCells count="16">
    <mergeCell ref="M1:N1"/>
    <mergeCell ref="O1:O2"/>
    <mergeCell ref="T1:U1"/>
    <mergeCell ref="P1:P2"/>
    <mergeCell ref="Q1:Q2"/>
    <mergeCell ref="R1:R2"/>
    <mergeCell ref="S1:S2"/>
    <mergeCell ref="A24:I24"/>
    <mergeCell ref="A1:A2"/>
    <mergeCell ref="L1:L2"/>
    <mergeCell ref="H1:H2"/>
    <mergeCell ref="B1:C1"/>
    <mergeCell ref="E1:E2"/>
    <mergeCell ref="F1:F2"/>
    <mergeCell ref="G1:G2"/>
    <mergeCell ref="D1:D2"/>
  </mergeCells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330" r:id="rId4" name="btnCreateFNcurve">
          <controlPr defaultSize="0" autoLine="0" r:id="rId5">
            <anchor moveWithCells="1" sizeWithCells="1">
              <from>
                <xdr:col>9</xdr:col>
                <xdr:colOff>19050</xdr:colOff>
                <xdr:row>5</xdr:row>
                <xdr:rowOff>0</xdr:rowOff>
              </from>
              <to>
                <xdr:col>10</xdr:col>
                <xdr:colOff>1152525</xdr:colOff>
                <xdr:row>8</xdr:row>
                <xdr:rowOff>0</xdr:rowOff>
              </to>
            </anchor>
          </controlPr>
        </control>
      </mc:Choice>
      <mc:Fallback>
        <control shapeId="45330" r:id="rId4" name="btnCreateFNcurve"/>
      </mc:Fallback>
    </mc:AlternateContent>
    <mc:AlternateContent xmlns:mc="http://schemas.openxmlformats.org/markup-compatibility/2006">
      <mc:Choice Requires="x14">
        <control shapeId="45331" r:id="rId6" name="btnReSenario">
          <controlPr defaultSize="0" autoLine="0" r:id="rId7">
            <anchor moveWithCells="1" sizeWithCells="1">
              <from>
                <xdr:col>9</xdr:col>
                <xdr:colOff>19050</xdr:colOff>
                <xdr:row>2</xdr:row>
                <xdr:rowOff>19050</xdr:rowOff>
              </from>
              <to>
                <xdr:col>10</xdr:col>
                <xdr:colOff>1152525</xdr:colOff>
                <xdr:row>5</xdr:row>
                <xdr:rowOff>0</xdr:rowOff>
              </to>
            </anchor>
          </controlPr>
        </control>
      </mc:Choice>
      <mc:Fallback>
        <control shapeId="45331" r:id="rId6" name="btnReSenario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4:U1463"/>
  <sheetViews>
    <sheetView workbookViewId="0">
      <selection activeCell="K10" sqref="K10"/>
    </sheetView>
  </sheetViews>
  <sheetFormatPr defaultRowHeight="12" customHeight="1"/>
  <cols>
    <col min="1" max="2" width="5.77734375" style="225" customWidth="1"/>
    <col min="3" max="18" width="5.77734375" customWidth="1"/>
    <col min="19" max="19" width="10" bestFit="1" customWidth="1"/>
    <col min="21" max="21" width="47.33203125" bestFit="1" customWidth="1"/>
  </cols>
  <sheetData>
    <row r="4" spans="1:21" ht="12" customHeight="1"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T4" s="9">
        <f>SUM(T5:T815)</f>
        <v>3.4786062919865317E-3</v>
      </c>
      <c r="U4" s="9"/>
    </row>
    <row r="5" spans="1:21" ht="12" customHeight="1">
      <c r="A5" s="221" t="s">
        <v>91</v>
      </c>
      <c r="B5" s="221" t="s">
        <v>79</v>
      </c>
      <c r="C5" s="68" t="s">
        <v>92</v>
      </c>
      <c r="D5" s="68" t="s">
        <v>93</v>
      </c>
      <c r="E5" s="229" t="s">
        <v>435</v>
      </c>
      <c r="F5" s="68" t="s">
        <v>67</v>
      </c>
      <c r="G5" s="68" t="s">
        <v>80</v>
      </c>
      <c r="H5" s="68" t="s">
        <v>68</v>
      </c>
      <c r="I5" s="68" t="s">
        <v>69</v>
      </c>
      <c r="J5" s="68" t="s">
        <v>70</v>
      </c>
      <c r="K5" s="68" t="s">
        <v>71</v>
      </c>
      <c r="L5" s="68" t="s">
        <v>72</v>
      </c>
      <c r="M5" s="68" t="s">
        <v>73</v>
      </c>
      <c r="N5" s="68" t="s">
        <v>74</v>
      </c>
      <c r="O5" s="68" t="s">
        <v>75</v>
      </c>
      <c r="P5" s="68" t="s">
        <v>76</v>
      </c>
      <c r="Q5" s="68" t="s">
        <v>77</v>
      </c>
      <c r="R5" s="68" t="s">
        <v>78</v>
      </c>
      <c r="S5" t="s">
        <v>471</v>
      </c>
      <c r="T5" t="s">
        <v>236</v>
      </c>
      <c r="U5" s="68" t="s">
        <v>66</v>
      </c>
    </row>
    <row r="6" spans="1:21" ht="12" customHeight="1">
      <c r="A6" s="327">
        <v>1</v>
      </c>
      <c r="B6" s="159" t="s">
        <v>312</v>
      </c>
      <c r="C6" s="68" t="s">
        <v>96</v>
      </c>
      <c r="D6" s="68" t="s">
        <v>308</v>
      </c>
      <c r="E6" s="321">
        <v>1</v>
      </c>
      <c r="F6" s="322">
        <v>180</v>
      </c>
      <c r="G6" s="322">
        <v>28</v>
      </c>
      <c r="H6" s="322">
        <v>0</v>
      </c>
      <c r="I6" s="322">
        <v>0</v>
      </c>
      <c r="J6" s="322">
        <v>0</v>
      </c>
      <c r="K6" s="322">
        <v>0</v>
      </c>
      <c r="L6" s="322">
        <v>0</v>
      </c>
      <c r="M6" s="322">
        <v>0</v>
      </c>
      <c r="N6" s="322">
        <v>0</v>
      </c>
      <c r="O6" s="322">
        <v>0</v>
      </c>
      <c r="P6" s="322">
        <v>0</v>
      </c>
      <c r="Q6" s="322">
        <v>0</v>
      </c>
      <c r="R6" s="322">
        <v>0</v>
      </c>
      <c r="S6" s="9">
        <v>2.225365578577196E-5</v>
      </c>
      <c r="T6" s="9">
        <f t="shared" ref="T6:T69" si="0">S6*R6</f>
        <v>0</v>
      </c>
      <c r="U6" s="321" t="s">
        <v>717</v>
      </c>
    </row>
    <row r="7" spans="1:21" ht="12" customHeight="1">
      <c r="A7" s="327">
        <v>1</v>
      </c>
      <c r="B7" s="159" t="s">
        <v>312</v>
      </c>
      <c r="C7" s="68" t="s">
        <v>96</v>
      </c>
      <c r="D7" s="68" t="s">
        <v>308</v>
      </c>
      <c r="E7" s="321">
        <v>2</v>
      </c>
      <c r="F7" s="322">
        <v>172</v>
      </c>
      <c r="G7" s="322">
        <v>28</v>
      </c>
      <c r="H7" s="322">
        <v>0</v>
      </c>
      <c r="I7" s="322">
        <v>0</v>
      </c>
      <c r="J7" s="322">
        <v>0</v>
      </c>
      <c r="K7" s="322">
        <v>0</v>
      </c>
      <c r="L7" s="322">
        <v>0</v>
      </c>
      <c r="M7" s="322">
        <v>0</v>
      </c>
      <c r="N7" s="322">
        <v>0</v>
      </c>
      <c r="O7" s="322">
        <v>0</v>
      </c>
      <c r="P7" s="322">
        <v>0</v>
      </c>
      <c r="Q7" s="322">
        <v>0</v>
      </c>
      <c r="R7" s="322">
        <v>0</v>
      </c>
      <c r="S7" s="9">
        <v>2.225365578577196E-5</v>
      </c>
      <c r="T7" s="9">
        <f t="shared" si="0"/>
        <v>0</v>
      </c>
      <c r="U7" s="321" t="s">
        <v>718</v>
      </c>
    </row>
    <row r="8" spans="1:21" ht="12" customHeight="1">
      <c r="A8" s="327">
        <v>1</v>
      </c>
      <c r="B8" s="159" t="s">
        <v>312</v>
      </c>
      <c r="C8" s="68" t="s">
        <v>96</v>
      </c>
      <c r="D8" s="68" t="s">
        <v>308</v>
      </c>
      <c r="E8" s="321">
        <v>3</v>
      </c>
      <c r="F8" s="322">
        <v>170</v>
      </c>
      <c r="G8" s="322">
        <v>28</v>
      </c>
      <c r="H8" s="322">
        <v>0</v>
      </c>
      <c r="I8" s="322">
        <v>0</v>
      </c>
      <c r="J8" s="322">
        <v>0</v>
      </c>
      <c r="K8" s="322">
        <v>0</v>
      </c>
      <c r="L8" s="322">
        <v>0</v>
      </c>
      <c r="M8" s="322">
        <v>0</v>
      </c>
      <c r="N8" s="322">
        <v>0</v>
      </c>
      <c r="O8" s="322">
        <v>0</v>
      </c>
      <c r="P8" s="322">
        <v>0</v>
      </c>
      <c r="Q8" s="322">
        <v>0</v>
      </c>
      <c r="R8" s="322">
        <v>0</v>
      </c>
      <c r="S8" s="9">
        <v>2.225365578577196E-5</v>
      </c>
      <c r="T8" s="9">
        <f t="shared" si="0"/>
        <v>0</v>
      </c>
      <c r="U8" s="321" t="s">
        <v>719</v>
      </c>
    </row>
    <row r="9" spans="1:21" ht="12" customHeight="1">
      <c r="A9" s="327">
        <v>1</v>
      </c>
      <c r="B9" s="159" t="s">
        <v>312</v>
      </c>
      <c r="C9" s="68" t="s">
        <v>96</v>
      </c>
      <c r="D9" s="68" t="s">
        <v>308</v>
      </c>
      <c r="E9" s="321">
        <v>4</v>
      </c>
      <c r="F9" s="322">
        <v>188</v>
      </c>
      <c r="G9" s="322">
        <v>28</v>
      </c>
      <c r="H9" s="322">
        <v>0</v>
      </c>
      <c r="I9" s="322">
        <v>0</v>
      </c>
      <c r="J9" s="322">
        <v>0</v>
      </c>
      <c r="K9" s="322">
        <v>0</v>
      </c>
      <c r="L9" s="322">
        <v>0</v>
      </c>
      <c r="M9" s="322">
        <v>0</v>
      </c>
      <c r="N9" s="322">
        <v>0</v>
      </c>
      <c r="O9" s="322">
        <v>0</v>
      </c>
      <c r="P9" s="322">
        <v>0</v>
      </c>
      <c r="Q9" s="322">
        <v>0</v>
      </c>
      <c r="R9" s="322">
        <v>0</v>
      </c>
      <c r="S9" s="9">
        <v>2.225365578577196E-5</v>
      </c>
      <c r="T9" s="9">
        <f t="shared" si="0"/>
        <v>0</v>
      </c>
      <c r="U9" s="321" t="s">
        <v>720</v>
      </c>
    </row>
    <row r="10" spans="1:21" ht="12" customHeight="1">
      <c r="A10" s="327">
        <v>1</v>
      </c>
      <c r="B10" s="159" t="s">
        <v>312</v>
      </c>
      <c r="C10" s="68" t="s">
        <v>96</v>
      </c>
      <c r="D10" s="68" t="s">
        <v>308</v>
      </c>
      <c r="E10" s="321">
        <v>5</v>
      </c>
      <c r="F10" s="322">
        <v>176</v>
      </c>
      <c r="G10" s="322">
        <v>28</v>
      </c>
      <c r="H10" s="322">
        <v>0</v>
      </c>
      <c r="I10" s="322">
        <v>0</v>
      </c>
      <c r="J10" s="322">
        <v>0</v>
      </c>
      <c r="K10" s="322">
        <v>0</v>
      </c>
      <c r="L10" s="322">
        <v>0</v>
      </c>
      <c r="M10" s="322">
        <v>0</v>
      </c>
      <c r="N10" s="322">
        <v>0</v>
      </c>
      <c r="O10" s="322">
        <v>0</v>
      </c>
      <c r="P10" s="322">
        <v>0</v>
      </c>
      <c r="Q10" s="322">
        <v>0</v>
      </c>
      <c r="R10" s="322">
        <v>0</v>
      </c>
      <c r="S10" s="9">
        <v>2.225365578577196E-5</v>
      </c>
      <c r="T10" s="9">
        <f t="shared" si="0"/>
        <v>0</v>
      </c>
      <c r="U10" s="321" t="s">
        <v>721</v>
      </c>
    </row>
    <row r="11" spans="1:21" ht="12" customHeight="1">
      <c r="A11" s="327">
        <v>1</v>
      </c>
      <c r="B11" s="159" t="s">
        <v>312</v>
      </c>
      <c r="C11" s="68" t="s">
        <v>96</v>
      </c>
      <c r="D11" s="68" t="s">
        <v>310</v>
      </c>
      <c r="E11" s="321">
        <v>1</v>
      </c>
      <c r="F11" s="322">
        <v>152</v>
      </c>
      <c r="G11" s="322">
        <v>28</v>
      </c>
      <c r="H11" s="322">
        <v>0</v>
      </c>
      <c r="I11" s="322">
        <v>0</v>
      </c>
      <c r="J11" s="322">
        <v>0</v>
      </c>
      <c r="K11" s="322">
        <v>0</v>
      </c>
      <c r="L11" s="322">
        <v>0</v>
      </c>
      <c r="M11" s="322">
        <v>0</v>
      </c>
      <c r="N11" s="322">
        <v>0</v>
      </c>
      <c r="O11" s="322">
        <v>0</v>
      </c>
      <c r="P11" s="322">
        <v>0</v>
      </c>
      <c r="Q11" s="322">
        <v>0</v>
      </c>
      <c r="R11" s="322">
        <v>0</v>
      </c>
      <c r="S11" s="9">
        <v>2.2253455502669612E-5</v>
      </c>
      <c r="T11" s="9">
        <f t="shared" si="0"/>
        <v>0</v>
      </c>
      <c r="U11" s="321" t="s">
        <v>747</v>
      </c>
    </row>
    <row r="12" spans="1:21" ht="12" customHeight="1">
      <c r="A12" s="327">
        <v>1</v>
      </c>
      <c r="B12" s="159" t="s">
        <v>312</v>
      </c>
      <c r="C12" s="68" t="s">
        <v>96</v>
      </c>
      <c r="D12" s="68" t="s">
        <v>310</v>
      </c>
      <c r="E12" s="321">
        <v>2</v>
      </c>
      <c r="F12" s="322">
        <v>176</v>
      </c>
      <c r="G12" s="322">
        <v>28</v>
      </c>
      <c r="H12" s="322">
        <v>0</v>
      </c>
      <c r="I12" s="322">
        <v>0</v>
      </c>
      <c r="J12" s="322">
        <v>0</v>
      </c>
      <c r="K12" s="322">
        <v>0</v>
      </c>
      <c r="L12" s="322">
        <v>0</v>
      </c>
      <c r="M12" s="322">
        <v>0</v>
      </c>
      <c r="N12" s="322">
        <v>0</v>
      </c>
      <c r="O12" s="322">
        <v>0</v>
      </c>
      <c r="P12" s="322">
        <v>0</v>
      </c>
      <c r="Q12" s="322">
        <v>0</v>
      </c>
      <c r="R12" s="322">
        <v>0</v>
      </c>
      <c r="S12" s="9">
        <v>2.2253455502669612E-5</v>
      </c>
      <c r="T12" s="9">
        <f t="shared" si="0"/>
        <v>0</v>
      </c>
      <c r="U12" s="321" t="s">
        <v>748</v>
      </c>
    </row>
    <row r="13" spans="1:21" ht="12" customHeight="1">
      <c r="A13" s="327">
        <v>1</v>
      </c>
      <c r="B13" s="159" t="s">
        <v>312</v>
      </c>
      <c r="C13" s="68" t="s">
        <v>96</v>
      </c>
      <c r="D13" s="68" t="s">
        <v>310</v>
      </c>
      <c r="E13" s="321">
        <v>3</v>
      </c>
      <c r="F13" s="322">
        <v>162</v>
      </c>
      <c r="G13" s="322">
        <v>28</v>
      </c>
      <c r="H13" s="322">
        <v>0</v>
      </c>
      <c r="I13" s="322">
        <v>0</v>
      </c>
      <c r="J13" s="322">
        <v>0</v>
      </c>
      <c r="K13" s="322">
        <v>0</v>
      </c>
      <c r="L13" s="322">
        <v>0</v>
      </c>
      <c r="M13" s="322">
        <v>0</v>
      </c>
      <c r="N13" s="322">
        <v>0</v>
      </c>
      <c r="O13" s="322">
        <v>0</v>
      </c>
      <c r="P13" s="322">
        <v>0</v>
      </c>
      <c r="Q13" s="322">
        <v>0</v>
      </c>
      <c r="R13" s="322">
        <v>0</v>
      </c>
      <c r="S13" s="9">
        <v>2.2253455502669612E-5</v>
      </c>
      <c r="T13" s="9">
        <f t="shared" si="0"/>
        <v>0</v>
      </c>
      <c r="U13" s="321" t="s">
        <v>749</v>
      </c>
    </row>
    <row r="14" spans="1:21" ht="12" customHeight="1">
      <c r="A14" s="327">
        <v>1</v>
      </c>
      <c r="B14" s="159" t="s">
        <v>312</v>
      </c>
      <c r="C14" s="68" t="s">
        <v>96</v>
      </c>
      <c r="D14" s="68" t="s">
        <v>310</v>
      </c>
      <c r="E14" s="321">
        <v>4</v>
      </c>
      <c r="F14" s="322">
        <v>186</v>
      </c>
      <c r="G14" s="322">
        <v>28</v>
      </c>
      <c r="H14" s="322">
        <v>0</v>
      </c>
      <c r="I14" s="322">
        <v>0</v>
      </c>
      <c r="J14" s="322">
        <v>0</v>
      </c>
      <c r="K14" s="322">
        <v>0</v>
      </c>
      <c r="L14" s="322">
        <v>0</v>
      </c>
      <c r="M14" s="322">
        <v>0</v>
      </c>
      <c r="N14" s="322">
        <v>0</v>
      </c>
      <c r="O14" s="322">
        <v>0</v>
      </c>
      <c r="P14" s="322">
        <v>0</v>
      </c>
      <c r="Q14" s="322">
        <v>0</v>
      </c>
      <c r="R14" s="322">
        <v>0</v>
      </c>
      <c r="S14" s="9">
        <v>2.2253455502669612E-5</v>
      </c>
      <c r="T14" s="9">
        <f t="shared" si="0"/>
        <v>0</v>
      </c>
      <c r="U14" s="321" t="s">
        <v>750</v>
      </c>
    </row>
    <row r="15" spans="1:21" ht="12" customHeight="1">
      <c r="A15" s="327">
        <v>1</v>
      </c>
      <c r="B15" s="159" t="s">
        <v>312</v>
      </c>
      <c r="C15" s="68" t="s">
        <v>96</v>
      </c>
      <c r="D15" s="68" t="s">
        <v>310</v>
      </c>
      <c r="E15" s="321">
        <v>5</v>
      </c>
      <c r="F15" s="322">
        <v>196</v>
      </c>
      <c r="G15" s="322">
        <v>28</v>
      </c>
      <c r="H15" s="322">
        <v>0</v>
      </c>
      <c r="I15" s="322">
        <v>0</v>
      </c>
      <c r="J15" s="322">
        <v>0</v>
      </c>
      <c r="K15" s="322">
        <v>0</v>
      </c>
      <c r="L15" s="322">
        <v>0</v>
      </c>
      <c r="M15" s="322">
        <v>0</v>
      </c>
      <c r="N15" s="322">
        <v>0</v>
      </c>
      <c r="O15" s="322">
        <v>0</v>
      </c>
      <c r="P15" s="322">
        <v>0</v>
      </c>
      <c r="Q15" s="322">
        <v>0</v>
      </c>
      <c r="R15" s="322">
        <v>0</v>
      </c>
      <c r="S15" s="9">
        <v>2.2253455502669612E-5</v>
      </c>
      <c r="T15" s="9">
        <f t="shared" si="0"/>
        <v>0</v>
      </c>
      <c r="U15" s="321" t="s">
        <v>751</v>
      </c>
    </row>
    <row r="16" spans="1:21" ht="12" customHeight="1">
      <c r="A16" s="327">
        <v>1</v>
      </c>
      <c r="B16" s="159" t="s">
        <v>312</v>
      </c>
      <c r="C16" s="68" t="s">
        <v>96</v>
      </c>
      <c r="D16" s="68" t="s">
        <v>309</v>
      </c>
      <c r="E16" s="321">
        <v>1</v>
      </c>
      <c r="F16" s="322">
        <v>200</v>
      </c>
      <c r="G16" s="322">
        <v>28</v>
      </c>
      <c r="H16" s="322">
        <v>0</v>
      </c>
      <c r="I16" s="322">
        <v>0</v>
      </c>
      <c r="J16" s="322">
        <v>0</v>
      </c>
      <c r="K16" s="322">
        <v>0</v>
      </c>
      <c r="L16" s="322">
        <v>0</v>
      </c>
      <c r="M16" s="322">
        <v>0</v>
      </c>
      <c r="N16" s="322">
        <v>0</v>
      </c>
      <c r="O16" s="322">
        <v>0</v>
      </c>
      <c r="P16" s="322">
        <v>0</v>
      </c>
      <c r="Q16" s="322">
        <v>0</v>
      </c>
      <c r="R16" s="322">
        <v>0</v>
      </c>
      <c r="S16" s="9">
        <v>2.225365578577196E-5</v>
      </c>
      <c r="T16" s="9">
        <f t="shared" si="0"/>
        <v>0</v>
      </c>
      <c r="U16" s="321" t="s">
        <v>777</v>
      </c>
    </row>
    <row r="17" spans="1:21" ht="12" customHeight="1">
      <c r="A17" s="327">
        <v>1</v>
      </c>
      <c r="B17" s="159" t="s">
        <v>312</v>
      </c>
      <c r="C17" s="68" t="s">
        <v>96</v>
      </c>
      <c r="D17" s="68" t="s">
        <v>309</v>
      </c>
      <c r="E17" s="321">
        <v>2</v>
      </c>
      <c r="F17" s="322">
        <v>184</v>
      </c>
      <c r="G17" s="322">
        <v>28</v>
      </c>
      <c r="H17" s="322">
        <v>0</v>
      </c>
      <c r="I17" s="322">
        <v>0</v>
      </c>
      <c r="J17" s="322">
        <v>0</v>
      </c>
      <c r="K17" s="322">
        <v>0</v>
      </c>
      <c r="L17" s="322">
        <v>0</v>
      </c>
      <c r="M17" s="322">
        <v>0</v>
      </c>
      <c r="N17" s="322">
        <v>0</v>
      </c>
      <c r="O17" s="322">
        <v>0</v>
      </c>
      <c r="P17" s="322">
        <v>0</v>
      </c>
      <c r="Q17" s="322">
        <v>0</v>
      </c>
      <c r="R17" s="322">
        <v>0</v>
      </c>
      <c r="S17" s="9">
        <v>2.225365578577196E-5</v>
      </c>
      <c r="T17" s="9">
        <f t="shared" si="0"/>
        <v>0</v>
      </c>
      <c r="U17" s="321" t="s">
        <v>778</v>
      </c>
    </row>
    <row r="18" spans="1:21" ht="12" customHeight="1">
      <c r="A18" s="327">
        <v>1</v>
      </c>
      <c r="B18" s="159" t="s">
        <v>312</v>
      </c>
      <c r="C18" s="68" t="s">
        <v>96</v>
      </c>
      <c r="D18" s="68" t="s">
        <v>309</v>
      </c>
      <c r="E18" s="321">
        <v>3</v>
      </c>
      <c r="F18" s="322">
        <v>186</v>
      </c>
      <c r="G18" s="322">
        <v>28</v>
      </c>
      <c r="H18" s="322">
        <v>0</v>
      </c>
      <c r="I18" s="322">
        <v>0</v>
      </c>
      <c r="J18" s="322">
        <v>0</v>
      </c>
      <c r="K18" s="322">
        <v>0</v>
      </c>
      <c r="L18" s="322">
        <v>0</v>
      </c>
      <c r="M18" s="322">
        <v>0</v>
      </c>
      <c r="N18" s="322">
        <v>0</v>
      </c>
      <c r="O18" s="322">
        <v>0</v>
      </c>
      <c r="P18" s="322">
        <v>0</v>
      </c>
      <c r="Q18" s="322">
        <v>0</v>
      </c>
      <c r="R18" s="322">
        <v>0</v>
      </c>
      <c r="S18" s="9">
        <v>2.225365578577196E-5</v>
      </c>
      <c r="T18" s="9">
        <f t="shared" si="0"/>
        <v>0</v>
      </c>
      <c r="U18" s="321" t="s">
        <v>779</v>
      </c>
    </row>
    <row r="19" spans="1:21" ht="12" customHeight="1">
      <c r="A19" s="327">
        <v>1</v>
      </c>
      <c r="B19" s="159" t="s">
        <v>312</v>
      </c>
      <c r="C19" s="68" t="s">
        <v>96</v>
      </c>
      <c r="D19" s="68" t="s">
        <v>309</v>
      </c>
      <c r="E19" s="321">
        <v>4</v>
      </c>
      <c r="F19" s="322">
        <v>168</v>
      </c>
      <c r="G19" s="322">
        <v>28</v>
      </c>
      <c r="H19" s="322">
        <v>0</v>
      </c>
      <c r="I19" s="322">
        <v>0</v>
      </c>
      <c r="J19" s="322">
        <v>0</v>
      </c>
      <c r="K19" s="322">
        <v>0</v>
      </c>
      <c r="L19" s="322">
        <v>0</v>
      </c>
      <c r="M19" s="322">
        <v>0</v>
      </c>
      <c r="N19" s="322">
        <v>0</v>
      </c>
      <c r="O19" s="322">
        <v>0</v>
      </c>
      <c r="P19" s="322">
        <v>0</v>
      </c>
      <c r="Q19" s="322">
        <v>0</v>
      </c>
      <c r="R19" s="322">
        <v>0</v>
      </c>
      <c r="S19" s="9">
        <v>2.225365578577196E-5</v>
      </c>
      <c r="T19" s="9">
        <f t="shared" si="0"/>
        <v>0</v>
      </c>
      <c r="U19" s="321" t="s">
        <v>780</v>
      </c>
    </row>
    <row r="20" spans="1:21" ht="12" customHeight="1">
      <c r="A20" s="327">
        <v>1</v>
      </c>
      <c r="B20" s="159" t="s">
        <v>312</v>
      </c>
      <c r="C20" s="68" t="s">
        <v>96</v>
      </c>
      <c r="D20" s="68" t="s">
        <v>309</v>
      </c>
      <c r="E20" s="321">
        <v>5</v>
      </c>
      <c r="F20" s="322">
        <v>212</v>
      </c>
      <c r="G20" s="322">
        <v>28</v>
      </c>
      <c r="H20" s="322">
        <v>0</v>
      </c>
      <c r="I20" s="322">
        <v>0</v>
      </c>
      <c r="J20" s="322">
        <v>0</v>
      </c>
      <c r="K20" s="322">
        <v>0</v>
      </c>
      <c r="L20" s="322">
        <v>0</v>
      </c>
      <c r="M20" s="322">
        <v>0</v>
      </c>
      <c r="N20" s="322">
        <v>0</v>
      </c>
      <c r="O20" s="322">
        <v>0</v>
      </c>
      <c r="P20" s="322">
        <v>0</v>
      </c>
      <c r="Q20" s="322">
        <v>0</v>
      </c>
      <c r="R20" s="322">
        <v>0</v>
      </c>
      <c r="S20" s="9">
        <v>2.225365578577196E-5</v>
      </c>
      <c r="T20" s="9">
        <f t="shared" si="0"/>
        <v>0</v>
      </c>
      <c r="U20" s="321" t="s">
        <v>781</v>
      </c>
    </row>
    <row r="21" spans="1:21" ht="12" customHeight="1">
      <c r="A21" s="327">
        <v>1</v>
      </c>
      <c r="B21" s="159" t="s">
        <v>312</v>
      </c>
      <c r="C21" s="68" t="s">
        <v>96</v>
      </c>
      <c r="D21" s="68" t="s">
        <v>307</v>
      </c>
      <c r="E21" s="321">
        <v>1</v>
      </c>
      <c r="F21" s="322">
        <v>164</v>
      </c>
      <c r="G21" s="322">
        <v>28</v>
      </c>
      <c r="H21" s="322">
        <v>0</v>
      </c>
      <c r="I21" s="322">
        <v>0</v>
      </c>
      <c r="J21" s="322">
        <v>0</v>
      </c>
      <c r="K21" s="322">
        <v>0</v>
      </c>
      <c r="L21" s="322">
        <v>0</v>
      </c>
      <c r="M21" s="322">
        <v>0</v>
      </c>
      <c r="N21" s="322">
        <v>0</v>
      </c>
      <c r="O21" s="322">
        <v>0</v>
      </c>
      <c r="P21" s="322">
        <v>0</v>
      </c>
      <c r="Q21" s="322">
        <v>0</v>
      </c>
      <c r="R21" s="322">
        <v>0</v>
      </c>
      <c r="S21" s="9">
        <v>6.0084930706515009E-4</v>
      </c>
      <c r="T21" s="9">
        <f t="shared" si="0"/>
        <v>0</v>
      </c>
      <c r="U21" s="321" t="s">
        <v>807</v>
      </c>
    </row>
    <row r="22" spans="1:21" ht="12" customHeight="1">
      <c r="A22" s="327">
        <v>1</v>
      </c>
      <c r="B22" s="159" t="s">
        <v>312</v>
      </c>
      <c r="C22" s="68" t="s">
        <v>96</v>
      </c>
      <c r="D22" s="68" t="s">
        <v>307</v>
      </c>
      <c r="E22" s="321">
        <v>2</v>
      </c>
      <c r="F22" s="322">
        <v>168</v>
      </c>
      <c r="G22" s="322">
        <v>28</v>
      </c>
      <c r="H22" s="322">
        <v>0</v>
      </c>
      <c r="I22" s="322">
        <v>0</v>
      </c>
      <c r="J22" s="322">
        <v>0</v>
      </c>
      <c r="K22" s="322">
        <v>0</v>
      </c>
      <c r="L22" s="322">
        <v>0</v>
      </c>
      <c r="M22" s="322">
        <v>0</v>
      </c>
      <c r="N22" s="322">
        <v>0</v>
      </c>
      <c r="O22" s="322">
        <v>0</v>
      </c>
      <c r="P22" s="322">
        <v>0</v>
      </c>
      <c r="Q22" s="322">
        <v>0</v>
      </c>
      <c r="R22" s="322">
        <v>0</v>
      </c>
      <c r="S22" s="9">
        <v>6.0084930706515009E-4</v>
      </c>
      <c r="T22" s="9">
        <f t="shared" si="0"/>
        <v>0</v>
      </c>
      <c r="U22" s="321" t="s">
        <v>808</v>
      </c>
    </row>
    <row r="23" spans="1:21" ht="12" customHeight="1">
      <c r="A23" s="327">
        <v>1</v>
      </c>
      <c r="B23" s="159" t="s">
        <v>312</v>
      </c>
      <c r="C23" s="68" t="s">
        <v>96</v>
      </c>
      <c r="D23" s="68" t="s">
        <v>307</v>
      </c>
      <c r="E23" s="321">
        <v>3</v>
      </c>
      <c r="F23" s="322">
        <v>178</v>
      </c>
      <c r="G23" s="322">
        <v>28</v>
      </c>
      <c r="H23" s="322">
        <v>0</v>
      </c>
      <c r="I23" s="322">
        <v>0</v>
      </c>
      <c r="J23" s="322">
        <v>0</v>
      </c>
      <c r="K23" s="322">
        <v>0</v>
      </c>
      <c r="L23" s="322">
        <v>0</v>
      </c>
      <c r="M23" s="322">
        <v>0</v>
      </c>
      <c r="N23" s="322">
        <v>0</v>
      </c>
      <c r="O23" s="322">
        <v>0</v>
      </c>
      <c r="P23" s="322">
        <v>0</v>
      </c>
      <c r="Q23" s="322">
        <v>0</v>
      </c>
      <c r="R23" s="322">
        <v>0</v>
      </c>
      <c r="S23" s="9">
        <v>6.0084930706515009E-4</v>
      </c>
      <c r="T23" s="9">
        <f t="shared" si="0"/>
        <v>0</v>
      </c>
      <c r="U23" s="321" t="s">
        <v>809</v>
      </c>
    </row>
    <row r="24" spans="1:21" ht="12" customHeight="1">
      <c r="A24" s="327">
        <v>1</v>
      </c>
      <c r="B24" s="159" t="s">
        <v>312</v>
      </c>
      <c r="C24" s="68" t="s">
        <v>96</v>
      </c>
      <c r="D24" s="68" t="s">
        <v>307</v>
      </c>
      <c r="E24" s="321">
        <v>4</v>
      </c>
      <c r="F24" s="322">
        <v>168</v>
      </c>
      <c r="G24" s="322">
        <v>28</v>
      </c>
      <c r="H24" s="322">
        <v>0</v>
      </c>
      <c r="I24" s="322">
        <v>0</v>
      </c>
      <c r="J24" s="322">
        <v>0</v>
      </c>
      <c r="K24" s="322">
        <v>0</v>
      </c>
      <c r="L24" s="322">
        <v>0</v>
      </c>
      <c r="M24" s="322">
        <v>0</v>
      </c>
      <c r="N24" s="322">
        <v>0</v>
      </c>
      <c r="O24" s="322">
        <v>0</v>
      </c>
      <c r="P24" s="322">
        <v>0</v>
      </c>
      <c r="Q24" s="322">
        <v>0</v>
      </c>
      <c r="R24" s="322">
        <v>0</v>
      </c>
      <c r="S24" s="9">
        <v>6.0084930706515009E-4</v>
      </c>
      <c r="T24" s="9">
        <f t="shared" si="0"/>
        <v>0</v>
      </c>
      <c r="U24" s="321" t="s">
        <v>810</v>
      </c>
    </row>
    <row r="25" spans="1:21" ht="12" customHeight="1">
      <c r="A25" s="327">
        <v>1</v>
      </c>
      <c r="B25" s="159" t="s">
        <v>312</v>
      </c>
      <c r="C25" s="68" t="s">
        <v>96</v>
      </c>
      <c r="D25" s="68" t="s">
        <v>307</v>
      </c>
      <c r="E25" s="321">
        <v>5</v>
      </c>
      <c r="F25" s="322">
        <v>174</v>
      </c>
      <c r="G25" s="322">
        <v>28</v>
      </c>
      <c r="H25" s="322">
        <v>0</v>
      </c>
      <c r="I25" s="322">
        <v>0</v>
      </c>
      <c r="J25" s="322">
        <v>0</v>
      </c>
      <c r="K25" s="322">
        <v>0</v>
      </c>
      <c r="L25" s="322">
        <v>0</v>
      </c>
      <c r="M25" s="322">
        <v>0</v>
      </c>
      <c r="N25" s="322">
        <v>0</v>
      </c>
      <c r="O25" s="322">
        <v>0</v>
      </c>
      <c r="P25" s="322">
        <v>0</v>
      </c>
      <c r="Q25" s="322">
        <v>0</v>
      </c>
      <c r="R25" s="322">
        <v>0</v>
      </c>
      <c r="S25" s="9">
        <v>6.0084930706515009E-4</v>
      </c>
      <c r="T25" s="9">
        <f t="shared" si="0"/>
        <v>0</v>
      </c>
      <c r="U25" s="321" t="s">
        <v>811</v>
      </c>
    </row>
    <row r="26" spans="1:21" ht="12" customHeight="1">
      <c r="A26" s="327">
        <v>1</v>
      </c>
      <c r="B26" s="159" t="s">
        <v>312</v>
      </c>
      <c r="C26" s="68" t="s">
        <v>95</v>
      </c>
      <c r="D26" s="68" t="s">
        <v>308</v>
      </c>
      <c r="E26" s="321">
        <v>1</v>
      </c>
      <c r="F26" s="322">
        <v>952</v>
      </c>
      <c r="G26" s="322">
        <v>500</v>
      </c>
      <c r="H26" s="322">
        <v>0</v>
      </c>
      <c r="I26" s="322">
        <v>0</v>
      </c>
      <c r="J26" s="322">
        <v>0</v>
      </c>
      <c r="K26" s="322">
        <v>0</v>
      </c>
      <c r="L26" s="322">
        <v>0</v>
      </c>
      <c r="M26" s="322">
        <v>0</v>
      </c>
      <c r="N26" s="322">
        <v>0</v>
      </c>
      <c r="O26" s="322">
        <v>0</v>
      </c>
      <c r="P26" s="322">
        <v>0</v>
      </c>
      <c r="Q26" s="322">
        <v>0</v>
      </c>
      <c r="R26" s="322">
        <v>0</v>
      </c>
      <c r="S26" s="9">
        <v>2.247844018764845E-7</v>
      </c>
      <c r="T26" s="9">
        <f t="shared" si="0"/>
        <v>0</v>
      </c>
      <c r="U26" s="321" t="s">
        <v>567</v>
      </c>
    </row>
    <row r="27" spans="1:21" ht="12" customHeight="1">
      <c r="A27" s="327">
        <v>1</v>
      </c>
      <c r="B27" s="159" t="s">
        <v>312</v>
      </c>
      <c r="C27" s="68" t="s">
        <v>95</v>
      </c>
      <c r="D27" s="68" t="s">
        <v>308</v>
      </c>
      <c r="E27" s="321">
        <v>2</v>
      </c>
      <c r="F27" s="322">
        <v>1028</v>
      </c>
      <c r="G27" s="322">
        <v>519</v>
      </c>
      <c r="H27" s="322">
        <v>0</v>
      </c>
      <c r="I27" s="322">
        <v>0</v>
      </c>
      <c r="J27" s="322">
        <v>0</v>
      </c>
      <c r="K27" s="322">
        <v>0</v>
      </c>
      <c r="L27" s="322">
        <v>0</v>
      </c>
      <c r="M27" s="322">
        <v>0</v>
      </c>
      <c r="N27" s="322">
        <v>0</v>
      </c>
      <c r="O27" s="322">
        <v>0</v>
      </c>
      <c r="P27" s="322">
        <v>0</v>
      </c>
      <c r="Q27" s="322">
        <v>0</v>
      </c>
      <c r="R27" s="322">
        <v>0</v>
      </c>
      <c r="S27" s="9">
        <v>2.247844018764845E-7</v>
      </c>
      <c r="T27" s="9">
        <f t="shared" si="0"/>
        <v>0</v>
      </c>
      <c r="U27" s="321" t="s">
        <v>568</v>
      </c>
    </row>
    <row r="28" spans="1:21" ht="12" customHeight="1">
      <c r="A28" s="327">
        <v>1</v>
      </c>
      <c r="B28" s="159" t="s">
        <v>312</v>
      </c>
      <c r="C28" s="68" t="s">
        <v>95</v>
      </c>
      <c r="D28" s="68" t="s">
        <v>308</v>
      </c>
      <c r="E28" s="321">
        <v>3</v>
      </c>
      <c r="F28" s="322">
        <v>962</v>
      </c>
      <c r="G28" s="322">
        <v>524</v>
      </c>
      <c r="H28" s="322">
        <v>0</v>
      </c>
      <c r="I28" s="322">
        <v>0</v>
      </c>
      <c r="J28" s="322">
        <v>0</v>
      </c>
      <c r="K28" s="322">
        <v>0</v>
      </c>
      <c r="L28" s="322">
        <v>0</v>
      </c>
      <c r="M28" s="322">
        <v>0</v>
      </c>
      <c r="N28" s="322">
        <v>0</v>
      </c>
      <c r="O28" s="322">
        <v>0</v>
      </c>
      <c r="P28" s="322">
        <v>0</v>
      </c>
      <c r="Q28" s="322">
        <v>0</v>
      </c>
      <c r="R28" s="322">
        <v>0</v>
      </c>
      <c r="S28" s="9">
        <v>2.247844018764845E-7</v>
      </c>
      <c r="T28" s="9">
        <f t="shared" si="0"/>
        <v>0</v>
      </c>
      <c r="U28" s="321" t="s">
        <v>569</v>
      </c>
    </row>
    <row r="29" spans="1:21" ht="12" customHeight="1">
      <c r="A29" s="327">
        <v>1</v>
      </c>
      <c r="B29" s="159" t="s">
        <v>312</v>
      </c>
      <c r="C29" s="68" t="s">
        <v>95</v>
      </c>
      <c r="D29" s="68" t="s">
        <v>308</v>
      </c>
      <c r="E29" s="321">
        <v>4</v>
      </c>
      <c r="F29" s="322">
        <v>978</v>
      </c>
      <c r="G29" s="322">
        <v>524</v>
      </c>
      <c r="H29" s="322">
        <v>0</v>
      </c>
      <c r="I29" s="322">
        <v>0</v>
      </c>
      <c r="J29" s="322">
        <v>0</v>
      </c>
      <c r="K29" s="322">
        <v>0</v>
      </c>
      <c r="L29" s="322">
        <v>0</v>
      </c>
      <c r="M29" s="322">
        <v>0</v>
      </c>
      <c r="N29" s="322">
        <v>0</v>
      </c>
      <c r="O29" s="322">
        <v>0</v>
      </c>
      <c r="P29" s="322">
        <v>0</v>
      </c>
      <c r="Q29" s="322">
        <v>0</v>
      </c>
      <c r="R29" s="322">
        <v>0</v>
      </c>
      <c r="S29" s="9">
        <v>2.247844018764845E-7</v>
      </c>
      <c r="T29" s="9">
        <f t="shared" si="0"/>
        <v>0</v>
      </c>
      <c r="U29" s="321" t="s">
        <v>570</v>
      </c>
    </row>
    <row r="30" spans="1:21" ht="12" customHeight="1">
      <c r="A30" s="327">
        <v>1</v>
      </c>
      <c r="B30" s="159" t="s">
        <v>312</v>
      </c>
      <c r="C30" s="68" t="s">
        <v>95</v>
      </c>
      <c r="D30" s="68" t="s">
        <v>308</v>
      </c>
      <c r="E30" s="321">
        <v>5</v>
      </c>
      <c r="F30" s="322">
        <v>940</v>
      </c>
      <c r="G30" s="322">
        <v>524</v>
      </c>
      <c r="H30" s="322">
        <v>0</v>
      </c>
      <c r="I30" s="322">
        <v>0</v>
      </c>
      <c r="J30" s="322">
        <v>0</v>
      </c>
      <c r="K30" s="322">
        <v>0</v>
      </c>
      <c r="L30" s="322">
        <v>0</v>
      </c>
      <c r="M30" s="322">
        <v>0</v>
      </c>
      <c r="N30" s="322">
        <v>0</v>
      </c>
      <c r="O30" s="322">
        <v>0</v>
      </c>
      <c r="P30" s="322">
        <v>0</v>
      </c>
      <c r="Q30" s="322">
        <v>0</v>
      </c>
      <c r="R30" s="322">
        <v>0</v>
      </c>
      <c r="S30" s="9">
        <v>2.247844018764845E-7</v>
      </c>
      <c r="T30" s="9">
        <f t="shared" si="0"/>
        <v>0</v>
      </c>
      <c r="U30" s="321" t="s">
        <v>571</v>
      </c>
    </row>
    <row r="31" spans="1:21" ht="12" customHeight="1">
      <c r="A31" s="327">
        <v>1</v>
      </c>
      <c r="B31" s="159" t="s">
        <v>312</v>
      </c>
      <c r="C31" s="68" t="s">
        <v>95</v>
      </c>
      <c r="D31" s="68" t="s">
        <v>310</v>
      </c>
      <c r="E31" s="321">
        <v>1</v>
      </c>
      <c r="F31" s="322">
        <v>918</v>
      </c>
      <c r="G31" s="322">
        <v>525</v>
      </c>
      <c r="H31" s="322">
        <v>0</v>
      </c>
      <c r="I31" s="322">
        <v>0</v>
      </c>
      <c r="J31" s="322">
        <v>0</v>
      </c>
      <c r="K31" s="322">
        <v>0</v>
      </c>
      <c r="L31" s="322">
        <v>0</v>
      </c>
      <c r="M31" s="322">
        <v>0</v>
      </c>
      <c r="N31" s="322">
        <v>0</v>
      </c>
      <c r="O31" s="322">
        <v>0</v>
      </c>
      <c r="P31" s="322">
        <v>0</v>
      </c>
      <c r="Q31" s="322">
        <v>0</v>
      </c>
      <c r="R31" s="322">
        <v>0</v>
      </c>
      <c r="S31" s="9">
        <v>2.2478237881484456E-7</v>
      </c>
      <c r="T31" s="9">
        <f t="shared" si="0"/>
        <v>0</v>
      </c>
      <c r="U31" s="321" t="s">
        <v>597</v>
      </c>
    </row>
    <row r="32" spans="1:21" ht="12" customHeight="1">
      <c r="A32" s="327">
        <v>1</v>
      </c>
      <c r="B32" s="159" t="s">
        <v>312</v>
      </c>
      <c r="C32" s="68" t="s">
        <v>95</v>
      </c>
      <c r="D32" s="68" t="s">
        <v>310</v>
      </c>
      <c r="E32" s="321">
        <v>2</v>
      </c>
      <c r="F32" s="322">
        <v>892</v>
      </c>
      <c r="G32" s="322">
        <v>524</v>
      </c>
      <c r="H32" s="322">
        <v>0</v>
      </c>
      <c r="I32" s="322">
        <v>0</v>
      </c>
      <c r="J32" s="322">
        <v>0</v>
      </c>
      <c r="K32" s="322">
        <v>0</v>
      </c>
      <c r="L32" s="322">
        <v>0</v>
      </c>
      <c r="M32" s="322">
        <v>0</v>
      </c>
      <c r="N32" s="322">
        <v>0</v>
      </c>
      <c r="O32" s="322">
        <v>0</v>
      </c>
      <c r="P32" s="322">
        <v>0</v>
      </c>
      <c r="Q32" s="322">
        <v>0</v>
      </c>
      <c r="R32" s="322">
        <v>0</v>
      </c>
      <c r="S32" s="9">
        <v>2.2478237881484456E-7</v>
      </c>
      <c r="T32" s="9">
        <f t="shared" si="0"/>
        <v>0</v>
      </c>
      <c r="U32" s="321" t="s">
        <v>598</v>
      </c>
    </row>
    <row r="33" spans="1:21" ht="12" customHeight="1">
      <c r="A33" s="327">
        <v>1</v>
      </c>
      <c r="B33" s="159" t="s">
        <v>312</v>
      </c>
      <c r="C33" s="68" t="s">
        <v>95</v>
      </c>
      <c r="D33" s="68" t="s">
        <v>310</v>
      </c>
      <c r="E33" s="321">
        <v>3</v>
      </c>
      <c r="F33" s="322">
        <v>900</v>
      </c>
      <c r="G33" s="322">
        <v>520</v>
      </c>
      <c r="H33" s="322">
        <v>0</v>
      </c>
      <c r="I33" s="322">
        <v>0</v>
      </c>
      <c r="J33" s="322">
        <v>0</v>
      </c>
      <c r="K33" s="322">
        <v>0</v>
      </c>
      <c r="L33" s="322">
        <v>0</v>
      </c>
      <c r="M33" s="322">
        <v>0</v>
      </c>
      <c r="N33" s="322">
        <v>0</v>
      </c>
      <c r="O33" s="322">
        <v>0</v>
      </c>
      <c r="P33" s="322">
        <v>0</v>
      </c>
      <c r="Q33" s="322">
        <v>0</v>
      </c>
      <c r="R33" s="322">
        <v>0</v>
      </c>
      <c r="S33" s="9">
        <v>2.2478237881484456E-7</v>
      </c>
      <c r="T33" s="9">
        <f t="shared" si="0"/>
        <v>0</v>
      </c>
      <c r="U33" s="321" t="s">
        <v>599</v>
      </c>
    </row>
    <row r="34" spans="1:21" ht="12" customHeight="1">
      <c r="A34" s="327">
        <v>1</v>
      </c>
      <c r="B34" s="159" t="s">
        <v>312</v>
      </c>
      <c r="C34" s="68" t="s">
        <v>95</v>
      </c>
      <c r="D34" s="68" t="s">
        <v>310</v>
      </c>
      <c r="E34" s="321">
        <v>4</v>
      </c>
      <c r="F34" s="322">
        <v>924</v>
      </c>
      <c r="G34" s="322">
        <v>525</v>
      </c>
      <c r="H34" s="322">
        <v>0</v>
      </c>
      <c r="I34" s="322">
        <v>0</v>
      </c>
      <c r="J34" s="322">
        <v>0</v>
      </c>
      <c r="K34" s="322">
        <v>0</v>
      </c>
      <c r="L34" s="322">
        <v>0</v>
      </c>
      <c r="M34" s="322">
        <v>0</v>
      </c>
      <c r="N34" s="322">
        <v>0</v>
      </c>
      <c r="O34" s="322">
        <v>0</v>
      </c>
      <c r="P34" s="322">
        <v>0</v>
      </c>
      <c r="Q34" s="322">
        <v>0</v>
      </c>
      <c r="R34" s="322">
        <v>0</v>
      </c>
      <c r="S34" s="9">
        <v>2.2478237881484456E-7</v>
      </c>
      <c r="T34" s="9">
        <f t="shared" si="0"/>
        <v>0</v>
      </c>
      <c r="U34" s="321" t="s">
        <v>600</v>
      </c>
    </row>
    <row r="35" spans="1:21" ht="12" customHeight="1">
      <c r="A35" s="327">
        <v>1</v>
      </c>
      <c r="B35" s="159" t="s">
        <v>312</v>
      </c>
      <c r="C35" s="68" t="s">
        <v>95</v>
      </c>
      <c r="D35" s="68" t="s">
        <v>310</v>
      </c>
      <c r="E35" s="321">
        <v>5</v>
      </c>
      <c r="F35" s="322">
        <v>938</v>
      </c>
      <c r="G35" s="322">
        <v>524</v>
      </c>
      <c r="H35" s="322">
        <v>0</v>
      </c>
      <c r="I35" s="322">
        <v>0</v>
      </c>
      <c r="J35" s="322">
        <v>0</v>
      </c>
      <c r="K35" s="322">
        <v>0</v>
      </c>
      <c r="L35" s="322">
        <v>0</v>
      </c>
      <c r="M35" s="322">
        <v>0</v>
      </c>
      <c r="N35" s="322">
        <v>0</v>
      </c>
      <c r="O35" s="322">
        <v>0</v>
      </c>
      <c r="P35" s="322">
        <v>0</v>
      </c>
      <c r="Q35" s="322">
        <v>0</v>
      </c>
      <c r="R35" s="322">
        <v>0</v>
      </c>
      <c r="S35" s="9">
        <v>2.2478237881484456E-7</v>
      </c>
      <c r="T35" s="9">
        <f t="shared" si="0"/>
        <v>0</v>
      </c>
      <c r="U35" s="321" t="s">
        <v>601</v>
      </c>
    </row>
    <row r="36" spans="1:21" ht="12" customHeight="1">
      <c r="A36" s="327">
        <v>1</v>
      </c>
      <c r="B36" s="159" t="s">
        <v>312</v>
      </c>
      <c r="C36" s="68" t="s">
        <v>95</v>
      </c>
      <c r="D36" s="68" t="s">
        <v>309</v>
      </c>
      <c r="E36" s="321">
        <v>1</v>
      </c>
      <c r="F36" s="322">
        <v>1498</v>
      </c>
      <c r="G36" s="322">
        <v>524</v>
      </c>
      <c r="H36" s="322">
        <v>162</v>
      </c>
      <c r="I36" s="322">
        <v>89</v>
      </c>
      <c r="J36" s="322">
        <v>15</v>
      </c>
      <c r="K36" s="322">
        <v>0</v>
      </c>
      <c r="L36" s="322">
        <v>0</v>
      </c>
      <c r="M36" s="322">
        <v>0</v>
      </c>
      <c r="N36" s="322">
        <v>0</v>
      </c>
      <c r="O36" s="322">
        <v>0</v>
      </c>
      <c r="P36" s="322">
        <v>0</v>
      </c>
      <c r="Q36" s="322">
        <v>0</v>
      </c>
      <c r="R36" s="322">
        <v>23.1</v>
      </c>
      <c r="S36" s="9">
        <v>2.247844018764845E-7</v>
      </c>
      <c r="T36" s="9">
        <f t="shared" si="0"/>
        <v>5.1925196833467924E-6</v>
      </c>
      <c r="U36" s="321" t="s">
        <v>627</v>
      </c>
    </row>
    <row r="37" spans="1:21" ht="12" customHeight="1">
      <c r="A37" s="327">
        <v>1</v>
      </c>
      <c r="B37" s="159" t="s">
        <v>312</v>
      </c>
      <c r="C37" s="68" t="s">
        <v>95</v>
      </c>
      <c r="D37" s="68" t="s">
        <v>309</v>
      </c>
      <c r="E37" s="321">
        <v>2</v>
      </c>
      <c r="F37" s="322">
        <v>1498</v>
      </c>
      <c r="G37" s="322">
        <v>524</v>
      </c>
      <c r="H37" s="322">
        <v>111</v>
      </c>
      <c r="I37" s="322">
        <v>65</v>
      </c>
      <c r="J37" s="322">
        <v>13</v>
      </c>
      <c r="K37" s="322">
        <v>0</v>
      </c>
      <c r="L37" s="322">
        <v>0</v>
      </c>
      <c r="M37" s="322">
        <v>0</v>
      </c>
      <c r="N37" s="322">
        <v>0</v>
      </c>
      <c r="O37" s="322">
        <v>0</v>
      </c>
      <c r="P37" s="322">
        <v>0</v>
      </c>
      <c r="Q37" s="322">
        <v>0</v>
      </c>
      <c r="R37" s="322">
        <v>18.7</v>
      </c>
      <c r="S37" s="9">
        <v>2.247844018764845E-7</v>
      </c>
      <c r="T37" s="9">
        <f t="shared" si="0"/>
        <v>4.2034683150902598E-6</v>
      </c>
      <c r="U37" s="321" t="s">
        <v>628</v>
      </c>
    </row>
    <row r="38" spans="1:21" ht="12" customHeight="1">
      <c r="A38" s="327">
        <v>1</v>
      </c>
      <c r="B38" s="159" t="s">
        <v>312</v>
      </c>
      <c r="C38" s="68" t="s">
        <v>95</v>
      </c>
      <c r="D38" s="68" t="s">
        <v>309</v>
      </c>
      <c r="E38" s="321">
        <v>3</v>
      </c>
      <c r="F38" s="322">
        <v>1526</v>
      </c>
      <c r="G38" s="322">
        <v>524</v>
      </c>
      <c r="H38" s="322">
        <v>121</v>
      </c>
      <c r="I38" s="322">
        <v>77</v>
      </c>
      <c r="J38" s="322">
        <v>7</v>
      </c>
      <c r="K38" s="322">
        <v>0</v>
      </c>
      <c r="L38" s="322">
        <v>0</v>
      </c>
      <c r="M38" s="322">
        <v>0</v>
      </c>
      <c r="N38" s="322">
        <v>0</v>
      </c>
      <c r="O38" s="322">
        <v>0</v>
      </c>
      <c r="P38" s="322">
        <v>0</v>
      </c>
      <c r="Q38" s="322">
        <v>0</v>
      </c>
      <c r="R38" s="322">
        <v>14.4</v>
      </c>
      <c r="S38" s="9">
        <v>2.247844018764845E-7</v>
      </c>
      <c r="T38" s="9">
        <f t="shared" si="0"/>
        <v>3.2368953870213768E-6</v>
      </c>
      <c r="U38" s="321" t="s">
        <v>629</v>
      </c>
    </row>
    <row r="39" spans="1:21" ht="12" customHeight="1">
      <c r="A39" s="327">
        <v>1</v>
      </c>
      <c r="B39" s="159" t="s">
        <v>312</v>
      </c>
      <c r="C39" s="68" t="s">
        <v>95</v>
      </c>
      <c r="D39" s="68" t="s">
        <v>309</v>
      </c>
      <c r="E39" s="321">
        <v>4</v>
      </c>
      <c r="F39" s="322">
        <v>1434</v>
      </c>
      <c r="G39" s="322">
        <v>524</v>
      </c>
      <c r="H39" s="322">
        <v>156</v>
      </c>
      <c r="I39" s="322">
        <v>98</v>
      </c>
      <c r="J39" s="322">
        <v>0</v>
      </c>
      <c r="K39" s="322">
        <v>0</v>
      </c>
      <c r="L39" s="322">
        <v>0</v>
      </c>
      <c r="M39" s="322">
        <v>0</v>
      </c>
      <c r="N39" s="322">
        <v>0</v>
      </c>
      <c r="O39" s="322">
        <v>0</v>
      </c>
      <c r="P39" s="322">
        <v>0</v>
      </c>
      <c r="Q39" s="322">
        <v>0</v>
      </c>
      <c r="R39" s="322">
        <v>10.4</v>
      </c>
      <c r="S39" s="9">
        <v>2.247844018764845E-7</v>
      </c>
      <c r="T39" s="9">
        <f t="shared" si="0"/>
        <v>2.3377577795154387E-6</v>
      </c>
      <c r="U39" s="321" t="s">
        <v>630</v>
      </c>
    </row>
    <row r="40" spans="1:21" ht="12" customHeight="1">
      <c r="A40" s="327">
        <v>1</v>
      </c>
      <c r="B40" s="159" t="s">
        <v>312</v>
      </c>
      <c r="C40" s="68" t="s">
        <v>95</v>
      </c>
      <c r="D40" s="68" t="s">
        <v>309</v>
      </c>
      <c r="E40" s="321">
        <v>5</v>
      </c>
      <c r="F40" s="322">
        <v>1490</v>
      </c>
      <c r="G40" s="322">
        <v>524</v>
      </c>
      <c r="H40" s="322">
        <v>109</v>
      </c>
      <c r="I40" s="322">
        <v>50</v>
      </c>
      <c r="J40" s="322">
        <v>5</v>
      </c>
      <c r="K40" s="322">
        <v>0</v>
      </c>
      <c r="L40" s="322">
        <v>0</v>
      </c>
      <c r="M40" s="322">
        <v>0</v>
      </c>
      <c r="N40" s="322">
        <v>0</v>
      </c>
      <c r="O40" s="322">
        <v>0</v>
      </c>
      <c r="P40" s="322">
        <v>0</v>
      </c>
      <c r="Q40" s="322">
        <v>0</v>
      </c>
      <c r="R40" s="322">
        <v>10.1</v>
      </c>
      <c r="S40" s="9">
        <v>2.247844018764845E-7</v>
      </c>
      <c r="T40" s="9">
        <f t="shared" si="0"/>
        <v>2.2703224589524932E-6</v>
      </c>
      <c r="U40" s="321" t="s">
        <v>631</v>
      </c>
    </row>
    <row r="41" spans="1:21" ht="12" customHeight="1">
      <c r="A41" s="327">
        <v>1</v>
      </c>
      <c r="B41" s="159" t="s">
        <v>312</v>
      </c>
      <c r="C41" s="68" t="s">
        <v>95</v>
      </c>
      <c r="D41" s="68" t="s">
        <v>311</v>
      </c>
      <c r="E41" s="321">
        <v>1</v>
      </c>
      <c r="F41" s="322">
        <v>1378</v>
      </c>
      <c r="G41" s="322">
        <v>524</v>
      </c>
      <c r="H41" s="322">
        <v>16</v>
      </c>
      <c r="I41" s="322">
        <v>4</v>
      </c>
      <c r="J41" s="322">
        <v>0</v>
      </c>
      <c r="K41" s="322">
        <v>0</v>
      </c>
      <c r="L41" s="322">
        <v>0</v>
      </c>
      <c r="M41" s="322">
        <v>0</v>
      </c>
      <c r="N41" s="322">
        <v>0</v>
      </c>
      <c r="O41" s="322">
        <v>0</v>
      </c>
      <c r="P41" s="322">
        <v>0</v>
      </c>
      <c r="Q41" s="322">
        <v>0</v>
      </c>
      <c r="R41" s="322">
        <v>0.5</v>
      </c>
      <c r="S41" s="9">
        <v>6.0691849198500013E-6</v>
      </c>
      <c r="T41" s="9">
        <f t="shared" si="0"/>
        <v>3.0345924599250006E-6</v>
      </c>
      <c r="U41" s="321" t="s">
        <v>657</v>
      </c>
    </row>
    <row r="42" spans="1:21" ht="12" customHeight="1">
      <c r="A42" s="327">
        <v>1</v>
      </c>
      <c r="B42" s="159" t="s">
        <v>312</v>
      </c>
      <c r="C42" s="68" t="s">
        <v>95</v>
      </c>
      <c r="D42" s="68" t="s">
        <v>311</v>
      </c>
      <c r="E42" s="321">
        <v>2</v>
      </c>
      <c r="F42" s="322">
        <v>1500</v>
      </c>
      <c r="G42" s="322">
        <v>524</v>
      </c>
      <c r="H42" s="322">
        <v>18</v>
      </c>
      <c r="I42" s="322">
        <v>10</v>
      </c>
      <c r="J42" s="322">
        <v>2</v>
      </c>
      <c r="K42" s="322">
        <v>0</v>
      </c>
      <c r="L42" s="322">
        <v>0</v>
      </c>
      <c r="M42" s="322">
        <v>0</v>
      </c>
      <c r="N42" s="322">
        <v>0</v>
      </c>
      <c r="O42" s="322">
        <v>0</v>
      </c>
      <c r="P42" s="322">
        <v>0</v>
      </c>
      <c r="Q42" s="322">
        <v>0</v>
      </c>
      <c r="R42" s="322">
        <v>2.9</v>
      </c>
      <c r="S42" s="9">
        <v>6.0691849198500013E-6</v>
      </c>
      <c r="T42" s="9">
        <f t="shared" si="0"/>
        <v>1.7600636267565003E-5</v>
      </c>
      <c r="U42" s="321" t="s">
        <v>658</v>
      </c>
    </row>
    <row r="43" spans="1:21" ht="12" customHeight="1">
      <c r="A43" s="327">
        <v>1</v>
      </c>
      <c r="B43" s="159" t="s">
        <v>312</v>
      </c>
      <c r="C43" s="68" t="s">
        <v>95</v>
      </c>
      <c r="D43" s="68" t="s">
        <v>311</v>
      </c>
      <c r="E43" s="321">
        <v>3</v>
      </c>
      <c r="F43" s="322">
        <v>1420</v>
      </c>
      <c r="G43" s="322">
        <v>497</v>
      </c>
      <c r="H43" s="322">
        <v>26</v>
      </c>
      <c r="I43" s="322">
        <v>12</v>
      </c>
      <c r="J43" s="322">
        <v>0</v>
      </c>
      <c r="K43" s="322">
        <v>0</v>
      </c>
      <c r="L43" s="322">
        <v>0</v>
      </c>
      <c r="M43" s="322">
        <v>0</v>
      </c>
      <c r="N43" s="322">
        <v>0</v>
      </c>
      <c r="O43" s="322">
        <v>0</v>
      </c>
      <c r="P43" s="322">
        <v>0</v>
      </c>
      <c r="Q43" s="322">
        <v>0</v>
      </c>
      <c r="R43" s="322">
        <v>1.3</v>
      </c>
      <c r="S43" s="9">
        <v>6.0691849198500013E-6</v>
      </c>
      <c r="T43" s="9">
        <f t="shared" si="0"/>
        <v>7.8899403958050012E-6</v>
      </c>
      <c r="U43" s="321" t="s">
        <v>659</v>
      </c>
    </row>
    <row r="44" spans="1:21" ht="12" customHeight="1">
      <c r="A44" s="327">
        <v>1</v>
      </c>
      <c r="B44" s="159" t="s">
        <v>312</v>
      </c>
      <c r="C44" s="68" t="s">
        <v>95</v>
      </c>
      <c r="D44" s="68" t="s">
        <v>311</v>
      </c>
      <c r="E44" s="321">
        <v>4</v>
      </c>
      <c r="F44" s="322">
        <v>1422</v>
      </c>
      <c r="G44" s="322">
        <v>524</v>
      </c>
      <c r="H44" s="322">
        <v>16</v>
      </c>
      <c r="I44" s="322">
        <v>9</v>
      </c>
      <c r="J44" s="322">
        <v>0</v>
      </c>
      <c r="K44" s="322">
        <v>0</v>
      </c>
      <c r="L44" s="322">
        <v>0</v>
      </c>
      <c r="M44" s="322">
        <v>0</v>
      </c>
      <c r="N44" s="322">
        <v>0</v>
      </c>
      <c r="O44" s="322">
        <v>0</v>
      </c>
      <c r="P44" s="322">
        <v>0</v>
      </c>
      <c r="Q44" s="322">
        <v>0</v>
      </c>
      <c r="R44" s="322">
        <v>1</v>
      </c>
      <c r="S44" s="9">
        <v>6.0691849198500013E-6</v>
      </c>
      <c r="T44" s="9">
        <f t="shared" si="0"/>
        <v>6.0691849198500013E-6</v>
      </c>
      <c r="U44" s="321" t="s">
        <v>660</v>
      </c>
    </row>
    <row r="45" spans="1:21" ht="12" customHeight="1">
      <c r="A45" s="327">
        <v>1</v>
      </c>
      <c r="B45" s="159" t="s">
        <v>312</v>
      </c>
      <c r="C45" s="68" t="s">
        <v>95</v>
      </c>
      <c r="D45" s="68" t="s">
        <v>311</v>
      </c>
      <c r="E45" s="321">
        <v>5</v>
      </c>
      <c r="F45" s="322">
        <v>1432</v>
      </c>
      <c r="G45" s="322">
        <v>500</v>
      </c>
      <c r="H45" s="322">
        <v>13</v>
      </c>
      <c r="I45" s="322">
        <v>6</v>
      </c>
      <c r="J45" s="322">
        <v>0</v>
      </c>
      <c r="K45" s="322">
        <v>0</v>
      </c>
      <c r="L45" s="322">
        <v>0</v>
      </c>
      <c r="M45" s="322">
        <v>0</v>
      </c>
      <c r="N45" s="322">
        <v>0</v>
      </c>
      <c r="O45" s="322">
        <v>0</v>
      </c>
      <c r="P45" s="322">
        <v>0</v>
      </c>
      <c r="Q45" s="322">
        <v>0</v>
      </c>
      <c r="R45" s="322">
        <v>0.7</v>
      </c>
      <c r="S45" s="9">
        <v>6.0691849198500013E-6</v>
      </c>
      <c r="T45" s="9">
        <f t="shared" si="0"/>
        <v>4.2484294438950005E-6</v>
      </c>
      <c r="U45" s="321" t="s">
        <v>661</v>
      </c>
    </row>
    <row r="46" spans="1:21" ht="12" customHeight="1">
      <c r="A46" s="327">
        <v>1</v>
      </c>
      <c r="B46" s="159" t="s">
        <v>312</v>
      </c>
      <c r="C46" s="68" t="s">
        <v>95</v>
      </c>
      <c r="D46" s="68" t="s">
        <v>307</v>
      </c>
      <c r="E46" s="321">
        <v>1</v>
      </c>
      <c r="F46" s="322">
        <v>1512</v>
      </c>
      <c r="G46" s="322">
        <v>524</v>
      </c>
      <c r="H46" s="322">
        <v>135</v>
      </c>
      <c r="I46" s="322">
        <v>65</v>
      </c>
      <c r="J46" s="322">
        <v>21</v>
      </c>
      <c r="K46" s="322">
        <v>2</v>
      </c>
      <c r="L46" s="322">
        <v>0</v>
      </c>
      <c r="M46" s="322">
        <v>0</v>
      </c>
      <c r="N46" s="322">
        <v>0</v>
      </c>
      <c r="O46" s="322">
        <v>0</v>
      </c>
      <c r="P46" s="322">
        <v>0</v>
      </c>
      <c r="Q46" s="322">
        <v>0</v>
      </c>
      <c r="R46" s="322">
        <v>26.1</v>
      </c>
      <c r="S46" s="9">
        <v>0</v>
      </c>
      <c r="T46" s="9">
        <f t="shared" si="0"/>
        <v>0</v>
      </c>
      <c r="U46" s="321" t="s">
        <v>687</v>
      </c>
    </row>
    <row r="47" spans="1:21" ht="12" customHeight="1">
      <c r="A47" s="327">
        <v>1</v>
      </c>
      <c r="B47" s="159" t="s">
        <v>312</v>
      </c>
      <c r="C47" s="68" t="s">
        <v>95</v>
      </c>
      <c r="D47" s="68" t="s">
        <v>307</v>
      </c>
      <c r="E47" s="321">
        <v>2</v>
      </c>
      <c r="F47" s="322">
        <v>1478</v>
      </c>
      <c r="G47" s="322">
        <v>519</v>
      </c>
      <c r="H47" s="322">
        <v>120</v>
      </c>
      <c r="I47" s="322">
        <v>43</v>
      </c>
      <c r="J47" s="322">
        <v>14</v>
      </c>
      <c r="K47" s="322">
        <v>2</v>
      </c>
      <c r="L47" s="322">
        <v>0</v>
      </c>
      <c r="M47" s="322">
        <v>0</v>
      </c>
      <c r="N47" s="322">
        <v>0</v>
      </c>
      <c r="O47" s="322">
        <v>0</v>
      </c>
      <c r="P47" s="322">
        <v>0</v>
      </c>
      <c r="Q47" s="322">
        <v>0</v>
      </c>
      <c r="R47" s="322">
        <v>17.7</v>
      </c>
      <c r="S47" s="9">
        <v>0</v>
      </c>
      <c r="T47" s="9">
        <f t="shared" si="0"/>
        <v>0</v>
      </c>
      <c r="U47" s="321" t="s">
        <v>688</v>
      </c>
    </row>
    <row r="48" spans="1:21" ht="12" customHeight="1">
      <c r="A48" s="327">
        <v>1</v>
      </c>
      <c r="B48" s="159" t="s">
        <v>312</v>
      </c>
      <c r="C48" s="68" t="s">
        <v>95</v>
      </c>
      <c r="D48" s="68" t="s">
        <v>307</v>
      </c>
      <c r="E48" s="321">
        <v>3</v>
      </c>
      <c r="F48" s="322">
        <v>1432</v>
      </c>
      <c r="G48" s="322">
        <v>524</v>
      </c>
      <c r="H48" s="322">
        <v>121</v>
      </c>
      <c r="I48" s="322">
        <v>54</v>
      </c>
      <c r="J48" s="322">
        <v>12</v>
      </c>
      <c r="K48" s="322">
        <v>0</v>
      </c>
      <c r="L48" s="322">
        <v>0</v>
      </c>
      <c r="M48" s="322">
        <v>0</v>
      </c>
      <c r="N48" s="322">
        <v>0</v>
      </c>
      <c r="O48" s="322">
        <v>0</v>
      </c>
      <c r="P48" s="322">
        <v>0</v>
      </c>
      <c r="Q48" s="322">
        <v>0</v>
      </c>
      <c r="R48" s="322">
        <v>16.899999999999999</v>
      </c>
      <c r="S48" s="9">
        <v>0</v>
      </c>
      <c r="T48" s="9">
        <f t="shared" si="0"/>
        <v>0</v>
      </c>
      <c r="U48" s="321" t="s">
        <v>689</v>
      </c>
    </row>
    <row r="49" spans="1:21" ht="12" customHeight="1">
      <c r="A49" s="327">
        <v>1</v>
      </c>
      <c r="B49" s="159" t="s">
        <v>312</v>
      </c>
      <c r="C49" s="68" t="s">
        <v>95</v>
      </c>
      <c r="D49" s="68" t="s">
        <v>307</v>
      </c>
      <c r="E49" s="321">
        <v>4</v>
      </c>
      <c r="F49" s="322">
        <v>1652</v>
      </c>
      <c r="G49" s="322">
        <v>524</v>
      </c>
      <c r="H49" s="322">
        <v>132</v>
      </c>
      <c r="I49" s="322">
        <v>66</v>
      </c>
      <c r="J49" s="322">
        <v>46</v>
      </c>
      <c r="K49" s="322">
        <v>25</v>
      </c>
      <c r="L49" s="322">
        <v>3</v>
      </c>
      <c r="M49" s="322">
        <v>0</v>
      </c>
      <c r="N49" s="322">
        <v>0</v>
      </c>
      <c r="O49" s="322">
        <v>0</v>
      </c>
      <c r="P49" s="322">
        <v>0</v>
      </c>
      <c r="Q49" s="322">
        <v>0</v>
      </c>
      <c r="R49" s="322">
        <v>48.7</v>
      </c>
      <c r="S49" s="9">
        <v>0</v>
      </c>
      <c r="T49" s="9">
        <f t="shared" si="0"/>
        <v>0</v>
      </c>
      <c r="U49" s="321" t="s">
        <v>690</v>
      </c>
    </row>
    <row r="50" spans="1:21" ht="12" customHeight="1">
      <c r="A50" s="327">
        <v>1</v>
      </c>
      <c r="B50" s="159" t="s">
        <v>312</v>
      </c>
      <c r="C50" s="68" t="s">
        <v>95</v>
      </c>
      <c r="D50" s="68" t="s">
        <v>307</v>
      </c>
      <c r="E50" s="321">
        <v>5</v>
      </c>
      <c r="F50" s="322">
        <v>1560</v>
      </c>
      <c r="G50" s="322">
        <v>500</v>
      </c>
      <c r="H50" s="322">
        <v>123</v>
      </c>
      <c r="I50" s="322">
        <v>61</v>
      </c>
      <c r="J50" s="322">
        <v>39</v>
      </c>
      <c r="K50" s="322">
        <v>12</v>
      </c>
      <c r="L50" s="322">
        <v>0</v>
      </c>
      <c r="M50" s="322">
        <v>0</v>
      </c>
      <c r="N50" s="322">
        <v>0</v>
      </c>
      <c r="O50" s="322">
        <v>0</v>
      </c>
      <c r="P50" s="322">
        <v>0</v>
      </c>
      <c r="Q50" s="322">
        <v>0</v>
      </c>
      <c r="R50" s="322">
        <v>41.8</v>
      </c>
      <c r="S50" s="9">
        <v>0</v>
      </c>
      <c r="T50" s="9">
        <f t="shared" si="0"/>
        <v>0</v>
      </c>
      <c r="U50" s="321" t="s">
        <v>691</v>
      </c>
    </row>
    <row r="51" spans="1:21" ht="12" customHeight="1">
      <c r="A51" s="327">
        <v>1</v>
      </c>
      <c r="B51" s="159" t="s">
        <v>314</v>
      </c>
      <c r="C51" s="68" t="s">
        <v>96</v>
      </c>
      <c r="D51" s="68" t="s">
        <v>308</v>
      </c>
      <c r="E51" s="321">
        <v>1</v>
      </c>
      <c r="F51" s="322">
        <v>180</v>
      </c>
      <c r="G51" s="322">
        <v>28</v>
      </c>
      <c r="H51" s="322">
        <v>0</v>
      </c>
      <c r="I51" s="322">
        <v>0</v>
      </c>
      <c r="J51" s="322">
        <v>0</v>
      </c>
      <c r="K51" s="322">
        <v>0</v>
      </c>
      <c r="L51" s="322">
        <v>0</v>
      </c>
      <c r="M51" s="322">
        <v>0</v>
      </c>
      <c r="N51" s="322">
        <v>0</v>
      </c>
      <c r="O51" s="322">
        <v>0</v>
      </c>
      <c r="P51" s="322">
        <v>0</v>
      </c>
      <c r="Q51" s="322">
        <v>0</v>
      </c>
      <c r="R51" s="322">
        <v>0</v>
      </c>
      <c r="S51" s="9">
        <v>4.413146514749072E-6</v>
      </c>
      <c r="T51" s="9">
        <f t="shared" si="0"/>
        <v>0</v>
      </c>
      <c r="U51" s="321" t="s">
        <v>987</v>
      </c>
    </row>
    <row r="52" spans="1:21" ht="12" customHeight="1">
      <c r="A52" s="327">
        <v>1</v>
      </c>
      <c r="B52" s="159" t="s">
        <v>314</v>
      </c>
      <c r="C52" s="68" t="s">
        <v>96</v>
      </c>
      <c r="D52" s="68" t="s">
        <v>308</v>
      </c>
      <c r="E52" s="321">
        <v>2</v>
      </c>
      <c r="F52" s="322">
        <v>172</v>
      </c>
      <c r="G52" s="322">
        <v>28</v>
      </c>
      <c r="H52" s="322">
        <v>0</v>
      </c>
      <c r="I52" s="322">
        <v>0</v>
      </c>
      <c r="J52" s="322">
        <v>0</v>
      </c>
      <c r="K52" s="322">
        <v>0</v>
      </c>
      <c r="L52" s="322">
        <v>0</v>
      </c>
      <c r="M52" s="322">
        <v>0</v>
      </c>
      <c r="N52" s="322">
        <v>0</v>
      </c>
      <c r="O52" s="322">
        <v>0</v>
      </c>
      <c r="P52" s="322">
        <v>0</v>
      </c>
      <c r="Q52" s="322">
        <v>0</v>
      </c>
      <c r="R52" s="322">
        <v>0</v>
      </c>
      <c r="S52" s="9">
        <v>4.413146514749072E-6</v>
      </c>
      <c r="T52" s="9">
        <f t="shared" si="0"/>
        <v>0</v>
      </c>
      <c r="U52" s="321" t="s">
        <v>988</v>
      </c>
    </row>
    <row r="53" spans="1:21" ht="12" customHeight="1">
      <c r="A53" s="327">
        <v>1</v>
      </c>
      <c r="B53" s="159" t="s">
        <v>314</v>
      </c>
      <c r="C53" s="68" t="s">
        <v>96</v>
      </c>
      <c r="D53" s="68" t="s">
        <v>308</v>
      </c>
      <c r="E53" s="321">
        <v>3</v>
      </c>
      <c r="F53" s="322">
        <v>170</v>
      </c>
      <c r="G53" s="322">
        <v>28</v>
      </c>
      <c r="H53" s="322">
        <v>0</v>
      </c>
      <c r="I53" s="322">
        <v>0</v>
      </c>
      <c r="J53" s="322">
        <v>0</v>
      </c>
      <c r="K53" s="322">
        <v>0</v>
      </c>
      <c r="L53" s="322">
        <v>0</v>
      </c>
      <c r="M53" s="322">
        <v>0</v>
      </c>
      <c r="N53" s="322">
        <v>0</v>
      </c>
      <c r="O53" s="322">
        <v>0</v>
      </c>
      <c r="P53" s="322">
        <v>0</v>
      </c>
      <c r="Q53" s="322">
        <v>0</v>
      </c>
      <c r="R53" s="322">
        <v>0</v>
      </c>
      <c r="S53" s="9">
        <v>4.413146514749072E-6</v>
      </c>
      <c r="T53" s="9">
        <f t="shared" si="0"/>
        <v>0</v>
      </c>
      <c r="U53" s="321" t="s">
        <v>989</v>
      </c>
    </row>
    <row r="54" spans="1:21" ht="12" customHeight="1">
      <c r="A54" s="327">
        <v>1</v>
      </c>
      <c r="B54" s="159" t="s">
        <v>314</v>
      </c>
      <c r="C54" s="68" t="s">
        <v>96</v>
      </c>
      <c r="D54" s="68" t="s">
        <v>308</v>
      </c>
      <c r="E54" s="321">
        <v>4</v>
      </c>
      <c r="F54" s="322">
        <v>188</v>
      </c>
      <c r="G54" s="322">
        <v>28</v>
      </c>
      <c r="H54" s="322">
        <v>0</v>
      </c>
      <c r="I54" s="322">
        <v>0</v>
      </c>
      <c r="J54" s="322">
        <v>0</v>
      </c>
      <c r="K54" s="322">
        <v>0</v>
      </c>
      <c r="L54" s="322">
        <v>0</v>
      </c>
      <c r="M54" s="322">
        <v>0</v>
      </c>
      <c r="N54" s="322">
        <v>0</v>
      </c>
      <c r="O54" s="322">
        <v>0</v>
      </c>
      <c r="P54" s="322">
        <v>0</v>
      </c>
      <c r="Q54" s="322">
        <v>0</v>
      </c>
      <c r="R54" s="322">
        <v>0</v>
      </c>
      <c r="S54" s="9">
        <v>4.413146514749072E-6</v>
      </c>
      <c r="T54" s="9">
        <f t="shared" si="0"/>
        <v>0</v>
      </c>
      <c r="U54" s="321" t="s">
        <v>990</v>
      </c>
    </row>
    <row r="55" spans="1:21" ht="12" customHeight="1">
      <c r="A55" s="327">
        <v>1</v>
      </c>
      <c r="B55" s="159" t="s">
        <v>314</v>
      </c>
      <c r="C55" s="68" t="s">
        <v>96</v>
      </c>
      <c r="D55" s="68" t="s">
        <v>308</v>
      </c>
      <c r="E55" s="321">
        <v>5</v>
      </c>
      <c r="F55" s="322">
        <v>176</v>
      </c>
      <c r="G55" s="322">
        <v>28</v>
      </c>
      <c r="H55" s="322">
        <v>0</v>
      </c>
      <c r="I55" s="322">
        <v>0</v>
      </c>
      <c r="J55" s="322">
        <v>0</v>
      </c>
      <c r="K55" s="322">
        <v>0</v>
      </c>
      <c r="L55" s="322">
        <v>0</v>
      </c>
      <c r="M55" s="322">
        <v>0</v>
      </c>
      <c r="N55" s="322">
        <v>0</v>
      </c>
      <c r="O55" s="322">
        <v>0</v>
      </c>
      <c r="P55" s="322">
        <v>0</v>
      </c>
      <c r="Q55" s="322">
        <v>0</v>
      </c>
      <c r="R55" s="322">
        <v>0</v>
      </c>
      <c r="S55" s="9">
        <v>4.413146514749072E-6</v>
      </c>
      <c r="T55" s="9">
        <f t="shared" si="0"/>
        <v>0</v>
      </c>
      <c r="U55" s="321" t="s">
        <v>991</v>
      </c>
    </row>
    <row r="56" spans="1:21" ht="12" customHeight="1">
      <c r="A56" s="327">
        <v>1</v>
      </c>
      <c r="B56" s="159" t="s">
        <v>314</v>
      </c>
      <c r="C56" s="68" t="s">
        <v>96</v>
      </c>
      <c r="D56" s="68" t="s">
        <v>310</v>
      </c>
      <c r="E56" s="321">
        <v>1</v>
      </c>
      <c r="F56" s="322">
        <v>152</v>
      </c>
      <c r="G56" s="322">
        <v>28</v>
      </c>
      <c r="H56" s="322">
        <v>0</v>
      </c>
      <c r="I56" s="322">
        <v>0</v>
      </c>
      <c r="J56" s="322">
        <v>0</v>
      </c>
      <c r="K56" s="322">
        <v>0</v>
      </c>
      <c r="L56" s="322">
        <v>0</v>
      </c>
      <c r="M56" s="322">
        <v>0</v>
      </c>
      <c r="N56" s="322">
        <v>0</v>
      </c>
      <c r="O56" s="322">
        <v>0</v>
      </c>
      <c r="P56" s="322">
        <v>0</v>
      </c>
      <c r="Q56" s="322">
        <v>0</v>
      </c>
      <c r="R56" s="322">
        <v>0</v>
      </c>
      <c r="S56" s="9">
        <v>4.4131067963907217E-6</v>
      </c>
      <c r="T56" s="9">
        <f t="shared" si="0"/>
        <v>0</v>
      </c>
      <c r="U56" s="321" t="s">
        <v>1017</v>
      </c>
    </row>
    <row r="57" spans="1:21" ht="12" customHeight="1">
      <c r="A57" s="327">
        <v>1</v>
      </c>
      <c r="B57" s="159" t="s">
        <v>314</v>
      </c>
      <c r="C57" s="68" t="s">
        <v>96</v>
      </c>
      <c r="D57" s="68" t="s">
        <v>310</v>
      </c>
      <c r="E57" s="321">
        <v>2</v>
      </c>
      <c r="F57" s="322">
        <v>176</v>
      </c>
      <c r="G57" s="322">
        <v>28</v>
      </c>
      <c r="H57" s="322">
        <v>0</v>
      </c>
      <c r="I57" s="322">
        <v>0</v>
      </c>
      <c r="J57" s="322">
        <v>0</v>
      </c>
      <c r="K57" s="322">
        <v>0</v>
      </c>
      <c r="L57" s="322">
        <v>0</v>
      </c>
      <c r="M57" s="322">
        <v>0</v>
      </c>
      <c r="N57" s="322">
        <v>0</v>
      </c>
      <c r="O57" s="322">
        <v>0</v>
      </c>
      <c r="P57" s="322">
        <v>0</v>
      </c>
      <c r="Q57" s="322">
        <v>0</v>
      </c>
      <c r="R57" s="322">
        <v>0</v>
      </c>
      <c r="S57" s="9">
        <v>4.4131067963907217E-6</v>
      </c>
      <c r="T57" s="9">
        <f t="shared" si="0"/>
        <v>0</v>
      </c>
      <c r="U57" s="321" t="s">
        <v>1018</v>
      </c>
    </row>
    <row r="58" spans="1:21" ht="12" customHeight="1">
      <c r="A58" s="327">
        <v>1</v>
      </c>
      <c r="B58" s="159" t="s">
        <v>314</v>
      </c>
      <c r="C58" s="68" t="s">
        <v>96</v>
      </c>
      <c r="D58" s="68" t="s">
        <v>310</v>
      </c>
      <c r="E58" s="321">
        <v>3</v>
      </c>
      <c r="F58" s="322">
        <v>162</v>
      </c>
      <c r="G58" s="322">
        <v>28</v>
      </c>
      <c r="H58" s="322">
        <v>0</v>
      </c>
      <c r="I58" s="322">
        <v>0</v>
      </c>
      <c r="J58" s="322">
        <v>0</v>
      </c>
      <c r="K58" s="322">
        <v>0</v>
      </c>
      <c r="L58" s="322">
        <v>0</v>
      </c>
      <c r="M58" s="322">
        <v>0</v>
      </c>
      <c r="N58" s="322">
        <v>0</v>
      </c>
      <c r="O58" s="322">
        <v>0</v>
      </c>
      <c r="P58" s="322">
        <v>0</v>
      </c>
      <c r="Q58" s="322">
        <v>0</v>
      </c>
      <c r="R58" s="322">
        <v>0</v>
      </c>
      <c r="S58" s="9">
        <v>4.4131067963907217E-6</v>
      </c>
      <c r="T58" s="9">
        <f t="shared" si="0"/>
        <v>0</v>
      </c>
      <c r="U58" s="321" t="s">
        <v>1019</v>
      </c>
    </row>
    <row r="59" spans="1:21" ht="12" customHeight="1">
      <c r="A59" s="327">
        <v>1</v>
      </c>
      <c r="B59" s="159" t="s">
        <v>314</v>
      </c>
      <c r="C59" s="68" t="s">
        <v>96</v>
      </c>
      <c r="D59" s="68" t="s">
        <v>310</v>
      </c>
      <c r="E59" s="321">
        <v>4</v>
      </c>
      <c r="F59" s="322">
        <v>186</v>
      </c>
      <c r="G59" s="322">
        <v>28</v>
      </c>
      <c r="H59" s="322">
        <v>0</v>
      </c>
      <c r="I59" s="322">
        <v>0</v>
      </c>
      <c r="J59" s="322">
        <v>0</v>
      </c>
      <c r="K59" s="322">
        <v>0</v>
      </c>
      <c r="L59" s="322">
        <v>0</v>
      </c>
      <c r="M59" s="322">
        <v>0</v>
      </c>
      <c r="N59" s="322">
        <v>0</v>
      </c>
      <c r="O59" s="322">
        <v>0</v>
      </c>
      <c r="P59" s="322">
        <v>0</v>
      </c>
      <c r="Q59" s="322">
        <v>0</v>
      </c>
      <c r="R59" s="322">
        <v>0</v>
      </c>
      <c r="S59" s="9">
        <v>4.4131067963907217E-6</v>
      </c>
      <c r="T59" s="9">
        <f t="shared" si="0"/>
        <v>0</v>
      </c>
      <c r="U59" s="321" t="s">
        <v>1020</v>
      </c>
    </row>
    <row r="60" spans="1:21" ht="12" customHeight="1">
      <c r="A60" s="327">
        <v>1</v>
      </c>
      <c r="B60" s="159" t="s">
        <v>314</v>
      </c>
      <c r="C60" s="68" t="s">
        <v>96</v>
      </c>
      <c r="D60" s="68" t="s">
        <v>310</v>
      </c>
      <c r="E60" s="321">
        <v>5</v>
      </c>
      <c r="F60" s="322">
        <v>196</v>
      </c>
      <c r="G60" s="322">
        <v>28</v>
      </c>
      <c r="H60" s="322">
        <v>0</v>
      </c>
      <c r="I60" s="322">
        <v>0</v>
      </c>
      <c r="J60" s="322">
        <v>0</v>
      </c>
      <c r="K60" s="322">
        <v>0</v>
      </c>
      <c r="L60" s="322">
        <v>0</v>
      </c>
      <c r="M60" s="322">
        <v>0</v>
      </c>
      <c r="N60" s="322">
        <v>0</v>
      </c>
      <c r="O60" s="322">
        <v>0</v>
      </c>
      <c r="P60" s="322">
        <v>0</v>
      </c>
      <c r="Q60" s="322">
        <v>0</v>
      </c>
      <c r="R60" s="322">
        <v>0</v>
      </c>
      <c r="S60" s="9">
        <v>4.4131067963907217E-6</v>
      </c>
      <c r="T60" s="9">
        <f t="shared" si="0"/>
        <v>0</v>
      </c>
      <c r="U60" s="321" t="s">
        <v>1021</v>
      </c>
    </row>
    <row r="61" spans="1:21" ht="12" customHeight="1">
      <c r="A61" s="327">
        <v>1</v>
      </c>
      <c r="B61" s="159" t="s">
        <v>314</v>
      </c>
      <c r="C61" s="68" t="s">
        <v>96</v>
      </c>
      <c r="D61" s="68" t="s">
        <v>309</v>
      </c>
      <c r="E61" s="321">
        <v>1</v>
      </c>
      <c r="F61" s="322">
        <v>200</v>
      </c>
      <c r="G61" s="322">
        <v>28</v>
      </c>
      <c r="H61" s="322">
        <v>0</v>
      </c>
      <c r="I61" s="322">
        <v>0</v>
      </c>
      <c r="J61" s="322">
        <v>0</v>
      </c>
      <c r="K61" s="322">
        <v>0</v>
      </c>
      <c r="L61" s="322">
        <v>0</v>
      </c>
      <c r="M61" s="322">
        <v>0</v>
      </c>
      <c r="N61" s="322">
        <v>0</v>
      </c>
      <c r="O61" s="322">
        <v>0</v>
      </c>
      <c r="P61" s="322">
        <v>0</v>
      </c>
      <c r="Q61" s="322">
        <v>0</v>
      </c>
      <c r="R61" s="322">
        <v>0</v>
      </c>
      <c r="S61" s="9">
        <v>4.413146514749072E-6</v>
      </c>
      <c r="T61" s="9">
        <f t="shared" si="0"/>
        <v>0</v>
      </c>
      <c r="U61" s="321" t="s">
        <v>1047</v>
      </c>
    </row>
    <row r="62" spans="1:21" ht="12" customHeight="1">
      <c r="A62" s="327">
        <v>1</v>
      </c>
      <c r="B62" s="159" t="s">
        <v>314</v>
      </c>
      <c r="C62" s="68" t="s">
        <v>96</v>
      </c>
      <c r="D62" s="68" t="s">
        <v>309</v>
      </c>
      <c r="E62" s="321">
        <v>2</v>
      </c>
      <c r="F62" s="322">
        <v>184</v>
      </c>
      <c r="G62" s="322">
        <v>28</v>
      </c>
      <c r="H62" s="322">
        <v>0</v>
      </c>
      <c r="I62" s="322">
        <v>0</v>
      </c>
      <c r="J62" s="322">
        <v>0</v>
      </c>
      <c r="K62" s="322">
        <v>0</v>
      </c>
      <c r="L62" s="322">
        <v>0</v>
      </c>
      <c r="M62" s="322">
        <v>0</v>
      </c>
      <c r="N62" s="322">
        <v>0</v>
      </c>
      <c r="O62" s="322">
        <v>0</v>
      </c>
      <c r="P62" s="322">
        <v>0</v>
      </c>
      <c r="Q62" s="322">
        <v>0</v>
      </c>
      <c r="R62" s="322">
        <v>0</v>
      </c>
      <c r="S62" s="9">
        <v>4.413146514749072E-6</v>
      </c>
      <c r="T62" s="9">
        <f t="shared" si="0"/>
        <v>0</v>
      </c>
      <c r="U62" s="321" t="s">
        <v>1048</v>
      </c>
    </row>
    <row r="63" spans="1:21" ht="12" customHeight="1">
      <c r="A63" s="327">
        <v>1</v>
      </c>
      <c r="B63" s="159" t="s">
        <v>314</v>
      </c>
      <c r="C63" s="68" t="s">
        <v>96</v>
      </c>
      <c r="D63" s="68" t="s">
        <v>309</v>
      </c>
      <c r="E63" s="321">
        <v>3</v>
      </c>
      <c r="F63" s="322">
        <v>184</v>
      </c>
      <c r="G63" s="322">
        <v>28</v>
      </c>
      <c r="H63" s="322">
        <v>0</v>
      </c>
      <c r="I63" s="322">
        <v>0</v>
      </c>
      <c r="J63" s="322">
        <v>0</v>
      </c>
      <c r="K63" s="322">
        <v>0</v>
      </c>
      <c r="L63" s="322">
        <v>0</v>
      </c>
      <c r="M63" s="322">
        <v>0</v>
      </c>
      <c r="N63" s="322">
        <v>0</v>
      </c>
      <c r="O63" s="322">
        <v>0</v>
      </c>
      <c r="P63" s="322">
        <v>0</v>
      </c>
      <c r="Q63" s="322">
        <v>0</v>
      </c>
      <c r="R63" s="322">
        <v>0</v>
      </c>
      <c r="S63" s="9">
        <v>4.413146514749072E-6</v>
      </c>
      <c r="T63" s="9">
        <f t="shared" si="0"/>
        <v>0</v>
      </c>
      <c r="U63" s="321" t="s">
        <v>1049</v>
      </c>
    </row>
    <row r="64" spans="1:21" ht="12" customHeight="1">
      <c r="A64" s="327">
        <v>1</v>
      </c>
      <c r="B64" s="159" t="s">
        <v>314</v>
      </c>
      <c r="C64" s="68" t="s">
        <v>96</v>
      </c>
      <c r="D64" s="68" t="s">
        <v>309</v>
      </c>
      <c r="E64" s="321">
        <v>4</v>
      </c>
      <c r="F64" s="322">
        <v>168</v>
      </c>
      <c r="G64" s="322">
        <v>28</v>
      </c>
      <c r="H64" s="322">
        <v>0</v>
      </c>
      <c r="I64" s="322">
        <v>0</v>
      </c>
      <c r="J64" s="322">
        <v>0</v>
      </c>
      <c r="K64" s="322">
        <v>0</v>
      </c>
      <c r="L64" s="322">
        <v>0</v>
      </c>
      <c r="M64" s="322">
        <v>0</v>
      </c>
      <c r="N64" s="322">
        <v>0</v>
      </c>
      <c r="O64" s="322">
        <v>0</v>
      </c>
      <c r="P64" s="322">
        <v>0</v>
      </c>
      <c r="Q64" s="322">
        <v>0</v>
      </c>
      <c r="R64" s="322">
        <v>0</v>
      </c>
      <c r="S64" s="9">
        <v>4.413146514749072E-6</v>
      </c>
      <c r="T64" s="9">
        <f t="shared" si="0"/>
        <v>0</v>
      </c>
      <c r="U64" s="321" t="s">
        <v>1050</v>
      </c>
    </row>
    <row r="65" spans="1:21" ht="12" customHeight="1">
      <c r="A65" s="327">
        <v>1</v>
      </c>
      <c r="B65" s="159" t="s">
        <v>314</v>
      </c>
      <c r="C65" s="68" t="s">
        <v>96</v>
      </c>
      <c r="D65" s="68" t="s">
        <v>309</v>
      </c>
      <c r="E65" s="321">
        <v>5</v>
      </c>
      <c r="F65" s="322">
        <v>212</v>
      </c>
      <c r="G65" s="322">
        <v>28</v>
      </c>
      <c r="H65" s="322">
        <v>0</v>
      </c>
      <c r="I65" s="322">
        <v>0</v>
      </c>
      <c r="J65" s="322">
        <v>0</v>
      </c>
      <c r="K65" s="322">
        <v>0</v>
      </c>
      <c r="L65" s="322">
        <v>0</v>
      </c>
      <c r="M65" s="322">
        <v>0</v>
      </c>
      <c r="N65" s="322">
        <v>0</v>
      </c>
      <c r="O65" s="322">
        <v>0</v>
      </c>
      <c r="P65" s="322">
        <v>0</v>
      </c>
      <c r="Q65" s="322">
        <v>0</v>
      </c>
      <c r="R65" s="322">
        <v>0</v>
      </c>
      <c r="S65" s="9">
        <v>4.413146514749072E-6</v>
      </c>
      <c r="T65" s="9">
        <f t="shared" si="0"/>
        <v>0</v>
      </c>
      <c r="U65" s="321" t="s">
        <v>1051</v>
      </c>
    </row>
    <row r="66" spans="1:21" ht="12" customHeight="1">
      <c r="A66" s="327">
        <v>1</v>
      </c>
      <c r="B66" s="159" t="s">
        <v>314</v>
      </c>
      <c r="C66" s="68" t="s">
        <v>96</v>
      </c>
      <c r="D66" s="68" t="s">
        <v>307</v>
      </c>
      <c r="E66" s="321">
        <v>1</v>
      </c>
      <c r="F66" s="322">
        <v>158</v>
      </c>
      <c r="G66" s="322">
        <v>28</v>
      </c>
      <c r="H66" s="322">
        <v>0</v>
      </c>
      <c r="I66" s="322">
        <v>0</v>
      </c>
      <c r="J66" s="322">
        <v>0</v>
      </c>
      <c r="K66" s="322">
        <v>0</v>
      </c>
      <c r="L66" s="322">
        <v>0</v>
      </c>
      <c r="M66" s="322">
        <v>0</v>
      </c>
      <c r="N66" s="322">
        <v>0</v>
      </c>
      <c r="O66" s="322">
        <v>0</v>
      </c>
      <c r="P66" s="322">
        <v>0</v>
      </c>
      <c r="Q66" s="322">
        <v>0</v>
      </c>
      <c r="R66" s="322">
        <v>0</v>
      </c>
      <c r="S66" s="9">
        <v>1.1915507505329999E-4</v>
      </c>
      <c r="T66" s="9">
        <f t="shared" si="0"/>
        <v>0</v>
      </c>
      <c r="U66" s="321" t="s">
        <v>1077</v>
      </c>
    </row>
    <row r="67" spans="1:21" ht="12" customHeight="1">
      <c r="A67" s="327">
        <v>1</v>
      </c>
      <c r="B67" s="159" t="s">
        <v>314</v>
      </c>
      <c r="C67" s="68" t="s">
        <v>96</v>
      </c>
      <c r="D67" s="68" t="s">
        <v>307</v>
      </c>
      <c r="E67" s="321">
        <v>2</v>
      </c>
      <c r="F67" s="322">
        <v>168</v>
      </c>
      <c r="G67" s="322">
        <v>28</v>
      </c>
      <c r="H67" s="322">
        <v>0</v>
      </c>
      <c r="I67" s="322">
        <v>0</v>
      </c>
      <c r="J67" s="322">
        <v>0</v>
      </c>
      <c r="K67" s="322">
        <v>0</v>
      </c>
      <c r="L67" s="322">
        <v>0</v>
      </c>
      <c r="M67" s="322">
        <v>0</v>
      </c>
      <c r="N67" s="322">
        <v>0</v>
      </c>
      <c r="O67" s="322">
        <v>0</v>
      </c>
      <c r="P67" s="322">
        <v>0</v>
      </c>
      <c r="Q67" s="322">
        <v>0</v>
      </c>
      <c r="R67" s="322">
        <v>0</v>
      </c>
      <c r="S67" s="9">
        <v>1.1915507505329999E-4</v>
      </c>
      <c r="T67" s="9">
        <f t="shared" si="0"/>
        <v>0</v>
      </c>
      <c r="U67" s="321" t="s">
        <v>1078</v>
      </c>
    </row>
    <row r="68" spans="1:21" ht="12" customHeight="1">
      <c r="A68" s="327">
        <v>1</v>
      </c>
      <c r="B68" s="159" t="s">
        <v>314</v>
      </c>
      <c r="C68" s="68" t="s">
        <v>96</v>
      </c>
      <c r="D68" s="68" t="s">
        <v>307</v>
      </c>
      <c r="E68" s="321">
        <v>3</v>
      </c>
      <c r="F68" s="322">
        <v>178</v>
      </c>
      <c r="G68" s="322">
        <v>28</v>
      </c>
      <c r="H68" s="322">
        <v>0</v>
      </c>
      <c r="I68" s="322">
        <v>0</v>
      </c>
      <c r="J68" s="322">
        <v>0</v>
      </c>
      <c r="K68" s="322">
        <v>0</v>
      </c>
      <c r="L68" s="322">
        <v>0</v>
      </c>
      <c r="M68" s="322">
        <v>0</v>
      </c>
      <c r="N68" s="322">
        <v>0</v>
      </c>
      <c r="O68" s="322">
        <v>0</v>
      </c>
      <c r="P68" s="322">
        <v>0</v>
      </c>
      <c r="Q68" s="322">
        <v>0</v>
      </c>
      <c r="R68" s="322">
        <v>0</v>
      </c>
      <c r="S68" s="9">
        <v>1.1915507505329999E-4</v>
      </c>
      <c r="T68" s="9">
        <f t="shared" si="0"/>
        <v>0</v>
      </c>
      <c r="U68" s="321" t="s">
        <v>1079</v>
      </c>
    </row>
    <row r="69" spans="1:21" ht="12" customHeight="1">
      <c r="A69" s="327">
        <v>1</v>
      </c>
      <c r="B69" s="159" t="s">
        <v>314</v>
      </c>
      <c r="C69" s="68" t="s">
        <v>96</v>
      </c>
      <c r="D69" s="68" t="s">
        <v>307</v>
      </c>
      <c r="E69" s="321">
        <v>4</v>
      </c>
      <c r="F69" s="322">
        <v>168</v>
      </c>
      <c r="G69" s="322">
        <v>28</v>
      </c>
      <c r="H69" s="322">
        <v>0</v>
      </c>
      <c r="I69" s="322">
        <v>0</v>
      </c>
      <c r="J69" s="322">
        <v>0</v>
      </c>
      <c r="K69" s="322">
        <v>0</v>
      </c>
      <c r="L69" s="322">
        <v>0</v>
      </c>
      <c r="M69" s="322">
        <v>0</v>
      </c>
      <c r="N69" s="322">
        <v>0</v>
      </c>
      <c r="O69" s="322">
        <v>0</v>
      </c>
      <c r="P69" s="322">
        <v>0</v>
      </c>
      <c r="Q69" s="322">
        <v>0</v>
      </c>
      <c r="R69" s="322">
        <v>0</v>
      </c>
      <c r="S69" s="9">
        <v>1.1915507505329999E-4</v>
      </c>
      <c r="T69" s="9">
        <f t="shared" si="0"/>
        <v>0</v>
      </c>
      <c r="U69" s="321" t="s">
        <v>1080</v>
      </c>
    </row>
    <row r="70" spans="1:21" ht="12" customHeight="1">
      <c r="A70" s="327">
        <v>1</v>
      </c>
      <c r="B70" s="159" t="s">
        <v>314</v>
      </c>
      <c r="C70" s="68" t="s">
        <v>96</v>
      </c>
      <c r="D70" s="68" t="s">
        <v>307</v>
      </c>
      <c r="E70" s="321">
        <v>5</v>
      </c>
      <c r="F70" s="322">
        <v>174</v>
      </c>
      <c r="G70" s="322">
        <v>28</v>
      </c>
      <c r="H70" s="322">
        <v>0</v>
      </c>
      <c r="I70" s="322">
        <v>0</v>
      </c>
      <c r="J70" s="322">
        <v>0</v>
      </c>
      <c r="K70" s="322">
        <v>0</v>
      </c>
      <c r="L70" s="322">
        <v>0</v>
      </c>
      <c r="M70" s="322">
        <v>0</v>
      </c>
      <c r="N70" s="322">
        <v>0</v>
      </c>
      <c r="O70" s="322">
        <v>0</v>
      </c>
      <c r="P70" s="322">
        <v>0</v>
      </c>
      <c r="Q70" s="322">
        <v>0</v>
      </c>
      <c r="R70" s="322">
        <v>0</v>
      </c>
      <c r="S70" s="9">
        <v>1.1915507505329999E-4</v>
      </c>
      <c r="T70" s="9">
        <f t="shared" ref="T70:T133" si="1">S70*R70</f>
        <v>0</v>
      </c>
      <c r="U70" s="321" t="s">
        <v>1081</v>
      </c>
    </row>
    <row r="71" spans="1:21" ht="12" customHeight="1">
      <c r="A71" s="327">
        <v>1</v>
      </c>
      <c r="B71" s="159" t="s">
        <v>314</v>
      </c>
      <c r="C71" s="68" t="s">
        <v>95</v>
      </c>
      <c r="D71" s="68" t="s">
        <v>308</v>
      </c>
      <c r="E71" s="321">
        <v>1</v>
      </c>
      <c r="F71" s="322">
        <v>970</v>
      </c>
      <c r="G71" s="322">
        <v>500</v>
      </c>
      <c r="H71" s="322">
        <v>0</v>
      </c>
      <c r="I71" s="322">
        <v>0</v>
      </c>
      <c r="J71" s="322">
        <v>0</v>
      </c>
      <c r="K71" s="322">
        <v>0</v>
      </c>
      <c r="L71" s="322">
        <v>0</v>
      </c>
      <c r="M71" s="322">
        <v>0</v>
      </c>
      <c r="N71" s="322">
        <v>0</v>
      </c>
      <c r="O71" s="322">
        <v>0</v>
      </c>
      <c r="P71" s="322">
        <v>0</v>
      </c>
      <c r="Q71" s="322">
        <v>0</v>
      </c>
      <c r="R71" s="322">
        <v>0</v>
      </c>
      <c r="S71" s="9">
        <v>4.4577237522717891E-8</v>
      </c>
      <c r="T71" s="9">
        <f t="shared" si="1"/>
        <v>0</v>
      </c>
      <c r="U71" s="321" t="s">
        <v>837</v>
      </c>
    </row>
    <row r="72" spans="1:21" ht="12" customHeight="1">
      <c r="A72" s="327">
        <v>1</v>
      </c>
      <c r="B72" s="159" t="s">
        <v>314</v>
      </c>
      <c r="C72" s="68" t="s">
        <v>95</v>
      </c>
      <c r="D72" s="68" t="s">
        <v>308</v>
      </c>
      <c r="E72" s="321">
        <v>2</v>
      </c>
      <c r="F72" s="322">
        <v>1044</v>
      </c>
      <c r="G72" s="322">
        <v>519</v>
      </c>
      <c r="H72" s="322">
        <v>0</v>
      </c>
      <c r="I72" s="322">
        <v>0</v>
      </c>
      <c r="J72" s="322">
        <v>0</v>
      </c>
      <c r="K72" s="322">
        <v>0</v>
      </c>
      <c r="L72" s="322">
        <v>0</v>
      </c>
      <c r="M72" s="322">
        <v>0</v>
      </c>
      <c r="N72" s="322">
        <v>0</v>
      </c>
      <c r="O72" s="322">
        <v>0</v>
      </c>
      <c r="P72" s="322">
        <v>0</v>
      </c>
      <c r="Q72" s="322">
        <v>0</v>
      </c>
      <c r="R72" s="322">
        <v>0</v>
      </c>
      <c r="S72" s="9">
        <v>4.4577237522717891E-8</v>
      </c>
      <c r="T72" s="9">
        <f t="shared" si="1"/>
        <v>0</v>
      </c>
      <c r="U72" s="321" t="s">
        <v>838</v>
      </c>
    </row>
    <row r="73" spans="1:21" ht="12" customHeight="1">
      <c r="A73" s="327">
        <v>1</v>
      </c>
      <c r="B73" s="159" t="s">
        <v>314</v>
      </c>
      <c r="C73" s="68" t="s">
        <v>95</v>
      </c>
      <c r="D73" s="68" t="s">
        <v>308</v>
      </c>
      <c r="E73" s="321">
        <v>3</v>
      </c>
      <c r="F73" s="322">
        <v>980</v>
      </c>
      <c r="G73" s="322">
        <v>524</v>
      </c>
      <c r="H73" s="322">
        <v>0</v>
      </c>
      <c r="I73" s="322">
        <v>0</v>
      </c>
      <c r="J73" s="322">
        <v>0</v>
      </c>
      <c r="K73" s="322">
        <v>0</v>
      </c>
      <c r="L73" s="322">
        <v>0</v>
      </c>
      <c r="M73" s="322">
        <v>0</v>
      </c>
      <c r="N73" s="322">
        <v>0</v>
      </c>
      <c r="O73" s="322">
        <v>0</v>
      </c>
      <c r="P73" s="322">
        <v>0</v>
      </c>
      <c r="Q73" s="322">
        <v>0</v>
      </c>
      <c r="R73" s="322">
        <v>0</v>
      </c>
      <c r="S73" s="9">
        <v>4.4577237522717891E-8</v>
      </c>
      <c r="T73" s="9">
        <f t="shared" si="1"/>
        <v>0</v>
      </c>
      <c r="U73" s="321" t="s">
        <v>839</v>
      </c>
    </row>
    <row r="74" spans="1:21" ht="12" customHeight="1">
      <c r="A74" s="327">
        <v>1</v>
      </c>
      <c r="B74" s="159" t="s">
        <v>314</v>
      </c>
      <c r="C74" s="68" t="s">
        <v>95</v>
      </c>
      <c r="D74" s="68" t="s">
        <v>308</v>
      </c>
      <c r="E74" s="321">
        <v>4</v>
      </c>
      <c r="F74" s="322">
        <v>994</v>
      </c>
      <c r="G74" s="322">
        <v>524</v>
      </c>
      <c r="H74" s="322">
        <v>0</v>
      </c>
      <c r="I74" s="322">
        <v>0</v>
      </c>
      <c r="J74" s="322">
        <v>0</v>
      </c>
      <c r="K74" s="322">
        <v>0</v>
      </c>
      <c r="L74" s="322">
        <v>0</v>
      </c>
      <c r="M74" s="322">
        <v>0</v>
      </c>
      <c r="N74" s="322">
        <v>0</v>
      </c>
      <c r="O74" s="322">
        <v>0</v>
      </c>
      <c r="P74" s="322">
        <v>0</v>
      </c>
      <c r="Q74" s="322">
        <v>0</v>
      </c>
      <c r="R74" s="322">
        <v>0</v>
      </c>
      <c r="S74" s="9">
        <v>4.4577237522717891E-8</v>
      </c>
      <c r="T74" s="9">
        <f t="shared" si="1"/>
        <v>0</v>
      </c>
      <c r="U74" s="321" t="s">
        <v>840</v>
      </c>
    </row>
    <row r="75" spans="1:21" ht="12" customHeight="1">
      <c r="A75" s="327">
        <v>1</v>
      </c>
      <c r="B75" s="159" t="s">
        <v>314</v>
      </c>
      <c r="C75" s="68" t="s">
        <v>95</v>
      </c>
      <c r="D75" s="68" t="s">
        <v>308</v>
      </c>
      <c r="E75" s="321">
        <v>5</v>
      </c>
      <c r="F75" s="322">
        <v>958</v>
      </c>
      <c r="G75" s="322">
        <v>524</v>
      </c>
      <c r="H75" s="322">
        <v>0</v>
      </c>
      <c r="I75" s="322">
        <v>0</v>
      </c>
      <c r="J75" s="322">
        <v>0</v>
      </c>
      <c r="K75" s="322">
        <v>0</v>
      </c>
      <c r="L75" s="322">
        <v>0</v>
      </c>
      <c r="M75" s="322">
        <v>0</v>
      </c>
      <c r="N75" s="322">
        <v>0</v>
      </c>
      <c r="O75" s="322">
        <v>0</v>
      </c>
      <c r="P75" s="322">
        <v>0</v>
      </c>
      <c r="Q75" s="322">
        <v>0</v>
      </c>
      <c r="R75" s="322">
        <v>0</v>
      </c>
      <c r="S75" s="9">
        <v>4.4577237522717891E-8</v>
      </c>
      <c r="T75" s="9">
        <f t="shared" si="1"/>
        <v>0</v>
      </c>
      <c r="U75" s="321" t="s">
        <v>841</v>
      </c>
    </row>
    <row r="76" spans="1:21" ht="12" customHeight="1">
      <c r="A76" s="327">
        <v>1</v>
      </c>
      <c r="B76" s="159" t="s">
        <v>314</v>
      </c>
      <c r="C76" s="68" t="s">
        <v>95</v>
      </c>
      <c r="D76" s="68" t="s">
        <v>310</v>
      </c>
      <c r="E76" s="321">
        <v>1</v>
      </c>
      <c r="F76" s="322">
        <v>918</v>
      </c>
      <c r="G76" s="322">
        <v>525</v>
      </c>
      <c r="H76" s="322">
        <v>0</v>
      </c>
      <c r="I76" s="322">
        <v>0</v>
      </c>
      <c r="J76" s="322">
        <v>0</v>
      </c>
      <c r="K76" s="322">
        <v>0</v>
      </c>
      <c r="L76" s="322">
        <v>0</v>
      </c>
      <c r="M76" s="322">
        <v>0</v>
      </c>
      <c r="N76" s="322">
        <v>0</v>
      </c>
      <c r="O76" s="322">
        <v>0</v>
      </c>
      <c r="P76" s="322">
        <v>0</v>
      </c>
      <c r="Q76" s="322">
        <v>0</v>
      </c>
      <c r="R76" s="322">
        <v>0</v>
      </c>
      <c r="S76" s="9">
        <v>4.4576836327178993E-8</v>
      </c>
      <c r="T76" s="9">
        <f t="shared" si="1"/>
        <v>0</v>
      </c>
      <c r="U76" s="321" t="s">
        <v>867</v>
      </c>
    </row>
    <row r="77" spans="1:21" ht="12" customHeight="1">
      <c r="A77" s="327">
        <v>1</v>
      </c>
      <c r="B77" s="159" t="s">
        <v>314</v>
      </c>
      <c r="C77" s="68" t="s">
        <v>95</v>
      </c>
      <c r="D77" s="68" t="s">
        <v>310</v>
      </c>
      <c r="E77" s="321">
        <v>2</v>
      </c>
      <c r="F77" s="322">
        <v>892</v>
      </c>
      <c r="G77" s="322">
        <v>524</v>
      </c>
      <c r="H77" s="322">
        <v>0</v>
      </c>
      <c r="I77" s="322">
        <v>0</v>
      </c>
      <c r="J77" s="322">
        <v>0</v>
      </c>
      <c r="K77" s="322">
        <v>0</v>
      </c>
      <c r="L77" s="322">
        <v>0</v>
      </c>
      <c r="M77" s="322">
        <v>0</v>
      </c>
      <c r="N77" s="322">
        <v>0</v>
      </c>
      <c r="O77" s="322">
        <v>0</v>
      </c>
      <c r="P77" s="322">
        <v>0</v>
      </c>
      <c r="Q77" s="322">
        <v>0</v>
      </c>
      <c r="R77" s="322">
        <v>0</v>
      </c>
      <c r="S77" s="9">
        <v>4.4576836327178993E-8</v>
      </c>
      <c r="T77" s="9">
        <f t="shared" si="1"/>
        <v>0</v>
      </c>
      <c r="U77" s="321" t="s">
        <v>868</v>
      </c>
    </row>
    <row r="78" spans="1:21" ht="12" customHeight="1">
      <c r="A78" s="327">
        <v>1</v>
      </c>
      <c r="B78" s="159" t="s">
        <v>314</v>
      </c>
      <c r="C78" s="68" t="s">
        <v>95</v>
      </c>
      <c r="D78" s="68" t="s">
        <v>310</v>
      </c>
      <c r="E78" s="321">
        <v>3</v>
      </c>
      <c r="F78" s="322">
        <v>900</v>
      </c>
      <c r="G78" s="322">
        <v>520</v>
      </c>
      <c r="H78" s="322">
        <v>0</v>
      </c>
      <c r="I78" s="322">
        <v>0</v>
      </c>
      <c r="J78" s="322">
        <v>0</v>
      </c>
      <c r="K78" s="322">
        <v>0</v>
      </c>
      <c r="L78" s="322">
        <v>0</v>
      </c>
      <c r="M78" s="322">
        <v>0</v>
      </c>
      <c r="N78" s="322">
        <v>0</v>
      </c>
      <c r="O78" s="322">
        <v>0</v>
      </c>
      <c r="P78" s="322">
        <v>0</v>
      </c>
      <c r="Q78" s="322">
        <v>0</v>
      </c>
      <c r="R78" s="322">
        <v>0</v>
      </c>
      <c r="S78" s="9">
        <v>4.4576836327178993E-8</v>
      </c>
      <c r="T78" s="9">
        <f t="shared" si="1"/>
        <v>0</v>
      </c>
      <c r="U78" s="321" t="s">
        <v>869</v>
      </c>
    </row>
    <row r="79" spans="1:21" ht="12" customHeight="1">
      <c r="A79" s="327">
        <v>1</v>
      </c>
      <c r="B79" s="159" t="s">
        <v>314</v>
      </c>
      <c r="C79" s="68" t="s">
        <v>95</v>
      </c>
      <c r="D79" s="68" t="s">
        <v>310</v>
      </c>
      <c r="E79" s="321">
        <v>4</v>
      </c>
      <c r="F79" s="322">
        <v>904</v>
      </c>
      <c r="G79" s="322">
        <v>525</v>
      </c>
      <c r="H79" s="322">
        <v>0</v>
      </c>
      <c r="I79" s="322">
        <v>0</v>
      </c>
      <c r="J79" s="322">
        <v>0</v>
      </c>
      <c r="K79" s="322">
        <v>0</v>
      </c>
      <c r="L79" s="322">
        <v>0</v>
      </c>
      <c r="M79" s="322">
        <v>0</v>
      </c>
      <c r="N79" s="322">
        <v>0</v>
      </c>
      <c r="O79" s="322">
        <v>0</v>
      </c>
      <c r="P79" s="322">
        <v>0</v>
      </c>
      <c r="Q79" s="322">
        <v>0</v>
      </c>
      <c r="R79" s="322">
        <v>0</v>
      </c>
      <c r="S79" s="9">
        <v>4.4576836327178993E-8</v>
      </c>
      <c r="T79" s="9">
        <f t="shared" si="1"/>
        <v>0</v>
      </c>
      <c r="U79" s="321" t="s">
        <v>870</v>
      </c>
    </row>
    <row r="80" spans="1:21" ht="12" customHeight="1">
      <c r="A80" s="327">
        <v>1</v>
      </c>
      <c r="B80" s="159" t="s">
        <v>314</v>
      </c>
      <c r="C80" s="68" t="s">
        <v>95</v>
      </c>
      <c r="D80" s="68" t="s">
        <v>310</v>
      </c>
      <c r="E80" s="321">
        <v>5</v>
      </c>
      <c r="F80" s="322">
        <v>938</v>
      </c>
      <c r="G80" s="322">
        <v>524</v>
      </c>
      <c r="H80" s="322">
        <v>0</v>
      </c>
      <c r="I80" s="322">
        <v>0</v>
      </c>
      <c r="J80" s="322">
        <v>0</v>
      </c>
      <c r="K80" s="322">
        <v>0</v>
      </c>
      <c r="L80" s="322">
        <v>0</v>
      </c>
      <c r="M80" s="322">
        <v>0</v>
      </c>
      <c r="N80" s="322">
        <v>0</v>
      </c>
      <c r="O80" s="322">
        <v>0</v>
      </c>
      <c r="P80" s="322">
        <v>0</v>
      </c>
      <c r="Q80" s="322">
        <v>0</v>
      </c>
      <c r="R80" s="322">
        <v>0</v>
      </c>
      <c r="S80" s="9">
        <v>4.4576836327178993E-8</v>
      </c>
      <c r="T80" s="9">
        <f t="shared" si="1"/>
        <v>0</v>
      </c>
      <c r="U80" s="321" t="s">
        <v>871</v>
      </c>
    </row>
    <row r="81" spans="1:21" ht="12" customHeight="1">
      <c r="A81" s="327">
        <v>1</v>
      </c>
      <c r="B81" s="159" t="s">
        <v>314</v>
      </c>
      <c r="C81" s="68" t="s">
        <v>95</v>
      </c>
      <c r="D81" s="68" t="s">
        <v>309</v>
      </c>
      <c r="E81" s="321">
        <v>1</v>
      </c>
      <c r="F81" s="322">
        <v>1530</v>
      </c>
      <c r="G81" s="322">
        <v>524</v>
      </c>
      <c r="H81" s="322">
        <v>214</v>
      </c>
      <c r="I81" s="322">
        <v>168</v>
      </c>
      <c r="J81" s="322">
        <v>116</v>
      </c>
      <c r="K81" s="322">
        <v>85</v>
      </c>
      <c r="L81" s="322">
        <v>54</v>
      </c>
      <c r="M81" s="322">
        <v>24</v>
      </c>
      <c r="N81" s="322">
        <v>5</v>
      </c>
      <c r="O81" s="322">
        <v>0</v>
      </c>
      <c r="P81" s="322">
        <v>0</v>
      </c>
      <c r="Q81" s="322">
        <v>0</v>
      </c>
      <c r="R81" s="322">
        <v>121.7</v>
      </c>
      <c r="S81" s="9">
        <v>4.4577237522717891E-8</v>
      </c>
      <c r="T81" s="9">
        <f t="shared" si="1"/>
        <v>5.4250498065147675E-6</v>
      </c>
      <c r="U81" s="321" t="s">
        <v>897</v>
      </c>
    </row>
    <row r="82" spans="1:21" ht="12" customHeight="1">
      <c r="A82" s="327">
        <v>1</v>
      </c>
      <c r="B82" s="159" t="s">
        <v>314</v>
      </c>
      <c r="C82" s="68" t="s">
        <v>95</v>
      </c>
      <c r="D82" s="68" t="s">
        <v>309</v>
      </c>
      <c r="E82" s="321">
        <v>2</v>
      </c>
      <c r="F82" s="322">
        <v>1572</v>
      </c>
      <c r="G82" s="322">
        <v>524</v>
      </c>
      <c r="H82" s="322">
        <v>177</v>
      </c>
      <c r="I82" s="322">
        <v>125</v>
      </c>
      <c r="J82" s="322">
        <v>97</v>
      </c>
      <c r="K82" s="322">
        <v>64</v>
      </c>
      <c r="L82" s="322">
        <v>47</v>
      </c>
      <c r="M82" s="322">
        <v>25</v>
      </c>
      <c r="N82" s="322">
        <v>4</v>
      </c>
      <c r="O82" s="322">
        <v>3</v>
      </c>
      <c r="P82" s="322">
        <v>0</v>
      </c>
      <c r="Q82" s="322">
        <v>0</v>
      </c>
      <c r="R82" s="322">
        <v>100.3</v>
      </c>
      <c r="S82" s="9">
        <v>4.4577237522717891E-8</v>
      </c>
      <c r="T82" s="9">
        <f t="shared" si="1"/>
        <v>4.4710969235286047E-6</v>
      </c>
      <c r="U82" s="321" t="s">
        <v>898</v>
      </c>
    </row>
    <row r="83" spans="1:21" ht="12" customHeight="1">
      <c r="A83" s="327">
        <v>1</v>
      </c>
      <c r="B83" s="159" t="s">
        <v>314</v>
      </c>
      <c r="C83" s="68" t="s">
        <v>95</v>
      </c>
      <c r="D83" s="68" t="s">
        <v>309</v>
      </c>
      <c r="E83" s="321">
        <v>3</v>
      </c>
      <c r="F83" s="322">
        <v>1510</v>
      </c>
      <c r="G83" s="322">
        <v>524</v>
      </c>
      <c r="H83" s="322">
        <v>165</v>
      </c>
      <c r="I83" s="322">
        <v>134</v>
      </c>
      <c r="J83" s="322">
        <v>100</v>
      </c>
      <c r="K83" s="322">
        <v>72</v>
      </c>
      <c r="L83" s="322">
        <v>41</v>
      </c>
      <c r="M83" s="322">
        <v>14</v>
      </c>
      <c r="N83" s="322">
        <v>2</v>
      </c>
      <c r="O83" s="322">
        <v>0</v>
      </c>
      <c r="P83" s="322">
        <v>0</v>
      </c>
      <c r="Q83" s="322">
        <v>0</v>
      </c>
      <c r="R83" s="322">
        <v>103.7</v>
      </c>
      <c r="S83" s="9">
        <v>4.4577237522717891E-8</v>
      </c>
      <c r="T83" s="9">
        <f t="shared" si="1"/>
        <v>4.6226595311058457E-6</v>
      </c>
      <c r="U83" s="321" t="s">
        <v>899</v>
      </c>
    </row>
    <row r="84" spans="1:21" ht="12" customHeight="1">
      <c r="A84" s="327">
        <v>1</v>
      </c>
      <c r="B84" s="159" t="s">
        <v>314</v>
      </c>
      <c r="C84" s="68" t="s">
        <v>95</v>
      </c>
      <c r="D84" s="68" t="s">
        <v>309</v>
      </c>
      <c r="E84" s="321">
        <v>4</v>
      </c>
      <c r="F84" s="322">
        <v>1448</v>
      </c>
      <c r="G84" s="322">
        <v>524</v>
      </c>
      <c r="H84" s="322">
        <v>213</v>
      </c>
      <c r="I84" s="322">
        <v>168</v>
      </c>
      <c r="J84" s="322">
        <v>131</v>
      </c>
      <c r="K84" s="322">
        <v>97</v>
      </c>
      <c r="L84" s="322">
        <v>44</v>
      </c>
      <c r="M84" s="322">
        <v>10</v>
      </c>
      <c r="N84" s="322">
        <v>0</v>
      </c>
      <c r="O84" s="322">
        <v>0</v>
      </c>
      <c r="P84" s="322">
        <v>0</v>
      </c>
      <c r="Q84" s="322">
        <v>0</v>
      </c>
      <c r="R84" s="322">
        <v>135.19999999999999</v>
      </c>
      <c r="S84" s="9">
        <v>4.4577237522717891E-8</v>
      </c>
      <c r="T84" s="9">
        <f t="shared" si="1"/>
        <v>6.0268425130714582E-6</v>
      </c>
      <c r="U84" s="321" t="s">
        <v>900</v>
      </c>
    </row>
    <row r="85" spans="1:21" ht="12" customHeight="1">
      <c r="A85" s="327">
        <v>1</v>
      </c>
      <c r="B85" s="159" t="s">
        <v>314</v>
      </c>
      <c r="C85" s="68" t="s">
        <v>95</v>
      </c>
      <c r="D85" s="68" t="s">
        <v>309</v>
      </c>
      <c r="E85" s="321">
        <v>5</v>
      </c>
      <c r="F85" s="322">
        <v>1562</v>
      </c>
      <c r="G85" s="322">
        <v>524</v>
      </c>
      <c r="H85" s="322">
        <v>169</v>
      </c>
      <c r="I85" s="322">
        <v>126</v>
      </c>
      <c r="J85" s="322">
        <v>70</v>
      </c>
      <c r="K85" s="322">
        <v>50</v>
      </c>
      <c r="L85" s="322">
        <v>32</v>
      </c>
      <c r="M85" s="322">
        <v>13</v>
      </c>
      <c r="N85" s="322">
        <v>2</v>
      </c>
      <c r="O85" s="322">
        <v>1</v>
      </c>
      <c r="P85" s="322">
        <v>0</v>
      </c>
      <c r="Q85" s="322">
        <v>0</v>
      </c>
      <c r="R85" s="322">
        <v>76</v>
      </c>
      <c r="S85" s="9">
        <v>4.4577237522717891E-8</v>
      </c>
      <c r="T85" s="9">
        <f t="shared" si="1"/>
        <v>3.3878700517265595E-6</v>
      </c>
      <c r="U85" s="321" t="s">
        <v>901</v>
      </c>
    </row>
    <row r="86" spans="1:21" ht="12" customHeight="1">
      <c r="A86" s="327">
        <v>1</v>
      </c>
      <c r="B86" s="159" t="s">
        <v>314</v>
      </c>
      <c r="C86" s="68" t="s">
        <v>95</v>
      </c>
      <c r="D86" s="68" t="s">
        <v>311</v>
      </c>
      <c r="E86" s="321">
        <v>1</v>
      </c>
      <c r="F86" s="322">
        <v>1430</v>
      </c>
      <c r="G86" s="322">
        <v>524</v>
      </c>
      <c r="H86" s="322">
        <v>25</v>
      </c>
      <c r="I86" s="322">
        <v>23</v>
      </c>
      <c r="J86" s="322">
        <v>14</v>
      </c>
      <c r="K86" s="322">
        <v>7</v>
      </c>
      <c r="L86" s="322">
        <v>1</v>
      </c>
      <c r="M86" s="322">
        <v>0</v>
      </c>
      <c r="N86" s="322">
        <v>0</v>
      </c>
      <c r="O86" s="322">
        <v>0</v>
      </c>
      <c r="P86" s="322">
        <v>0</v>
      </c>
      <c r="Q86" s="322">
        <v>0</v>
      </c>
      <c r="R86" s="322">
        <v>14.9</v>
      </c>
      <c r="S86" s="9">
        <v>1.2035866167E-6</v>
      </c>
      <c r="T86" s="9">
        <f t="shared" si="1"/>
        <v>1.7933440588829999E-5</v>
      </c>
      <c r="U86" s="321" t="s">
        <v>927</v>
      </c>
    </row>
    <row r="87" spans="1:21" ht="12" customHeight="1">
      <c r="A87" s="327">
        <v>1</v>
      </c>
      <c r="B87" s="159" t="s">
        <v>314</v>
      </c>
      <c r="C87" s="68" t="s">
        <v>95</v>
      </c>
      <c r="D87" s="68" t="s">
        <v>311</v>
      </c>
      <c r="E87" s="321">
        <v>2</v>
      </c>
      <c r="F87" s="322">
        <v>1544</v>
      </c>
      <c r="G87" s="322">
        <v>524</v>
      </c>
      <c r="H87" s="322">
        <v>43</v>
      </c>
      <c r="I87" s="322">
        <v>34</v>
      </c>
      <c r="J87" s="322">
        <v>20</v>
      </c>
      <c r="K87" s="322">
        <v>14</v>
      </c>
      <c r="L87" s="322">
        <v>7</v>
      </c>
      <c r="M87" s="322">
        <v>4</v>
      </c>
      <c r="N87" s="322">
        <v>0</v>
      </c>
      <c r="O87" s="322">
        <v>0</v>
      </c>
      <c r="P87" s="322">
        <v>0</v>
      </c>
      <c r="Q87" s="322">
        <v>0</v>
      </c>
      <c r="R87" s="322">
        <v>21.5</v>
      </c>
      <c r="S87" s="9">
        <v>1.2035866167E-6</v>
      </c>
      <c r="T87" s="9">
        <f t="shared" si="1"/>
        <v>2.587711225905E-5</v>
      </c>
      <c r="U87" s="321" t="s">
        <v>928</v>
      </c>
    </row>
    <row r="88" spans="1:21" ht="12" customHeight="1">
      <c r="A88" s="327">
        <v>1</v>
      </c>
      <c r="B88" s="159" t="s">
        <v>314</v>
      </c>
      <c r="C88" s="68" t="s">
        <v>95</v>
      </c>
      <c r="D88" s="68" t="s">
        <v>311</v>
      </c>
      <c r="E88" s="321">
        <v>3</v>
      </c>
      <c r="F88" s="322">
        <v>1470</v>
      </c>
      <c r="G88" s="322">
        <v>497</v>
      </c>
      <c r="H88" s="322">
        <v>64</v>
      </c>
      <c r="I88" s="322">
        <v>53</v>
      </c>
      <c r="J88" s="322">
        <v>38</v>
      </c>
      <c r="K88" s="322">
        <v>20</v>
      </c>
      <c r="L88" s="322">
        <v>9</v>
      </c>
      <c r="M88" s="322">
        <v>0</v>
      </c>
      <c r="N88" s="322">
        <v>0</v>
      </c>
      <c r="O88" s="322">
        <v>0</v>
      </c>
      <c r="P88" s="322">
        <v>0</v>
      </c>
      <c r="Q88" s="322">
        <v>0</v>
      </c>
      <c r="R88" s="322">
        <v>39.6</v>
      </c>
      <c r="S88" s="9">
        <v>1.2035866167E-6</v>
      </c>
      <c r="T88" s="9">
        <f t="shared" si="1"/>
        <v>4.7662030021320003E-5</v>
      </c>
      <c r="U88" s="321" t="s">
        <v>929</v>
      </c>
    </row>
    <row r="89" spans="1:21" ht="12" customHeight="1">
      <c r="A89" s="327">
        <v>1</v>
      </c>
      <c r="B89" s="159" t="s">
        <v>314</v>
      </c>
      <c r="C89" s="68" t="s">
        <v>95</v>
      </c>
      <c r="D89" s="68" t="s">
        <v>311</v>
      </c>
      <c r="E89" s="321">
        <v>4</v>
      </c>
      <c r="F89" s="322">
        <v>1470</v>
      </c>
      <c r="G89" s="322">
        <v>524</v>
      </c>
      <c r="H89" s="322">
        <v>37</v>
      </c>
      <c r="I89" s="322">
        <v>27</v>
      </c>
      <c r="J89" s="322">
        <v>20</v>
      </c>
      <c r="K89" s="322">
        <v>10</v>
      </c>
      <c r="L89" s="322">
        <v>7</v>
      </c>
      <c r="M89" s="322">
        <v>0</v>
      </c>
      <c r="N89" s="322">
        <v>0</v>
      </c>
      <c r="O89" s="322">
        <v>0</v>
      </c>
      <c r="P89" s="322">
        <v>0</v>
      </c>
      <c r="Q89" s="322">
        <v>0</v>
      </c>
      <c r="R89" s="322">
        <v>20.8</v>
      </c>
      <c r="S89" s="9">
        <v>1.2035866167E-6</v>
      </c>
      <c r="T89" s="9">
        <f t="shared" si="1"/>
        <v>2.5034601627360003E-5</v>
      </c>
      <c r="U89" s="321" t="s">
        <v>930</v>
      </c>
    </row>
    <row r="90" spans="1:21" ht="12" customHeight="1">
      <c r="A90" s="327">
        <v>1</v>
      </c>
      <c r="B90" s="159" t="s">
        <v>314</v>
      </c>
      <c r="C90" s="68" t="s">
        <v>95</v>
      </c>
      <c r="D90" s="68" t="s">
        <v>311</v>
      </c>
      <c r="E90" s="321">
        <v>5</v>
      </c>
      <c r="F90" s="322">
        <v>1480</v>
      </c>
      <c r="G90" s="322">
        <v>500</v>
      </c>
      <c r="H90" s="322">
        <v>24</v>
      </c>
      <c r="I90" s="322">
        <v>17</v>
      </c>
      <c r="J90" s="322">
        <v>12</v>
      </c>
      <c r="K90" s="322">
        <v>10</v>
      </c>
      <c r="L90" s="322">
        <v>3</v>
      </c>
      <c r="M90" s="322">
        <v>1</v>
      </c>
      <c r="N90" s="322">
        <v>0</v>
      </c>
      <c r="O90" s="322">
        <v>0</v>
      </c>
      <c r="P90" s="322">
        <v>0</v>
      </c>
      <c r="Q90" s="322">
        <v>0</v>
      </c>
      <c r="R90" s="322">
        <v>12.6</v>
      </c>
      <c r="S90" s="9">
        <v>1.2035866167E-6</v>
      </c>
      <c r="T90" s="9">
        <f t="shared" si="1"/>
        <v>1.516519137042E-5</v>
      </c>
      <c r="U90" s="321" t="s">
        <v>931</v>
      </c>
    </row>
    <row r="91" spans="1:21" ht="12" customHeight="1">
      <c r="A91" s="327">
        <v>1</v>
      </c>
      <c r="B91" s="159" t="s">
        <v>314</v>
      </c>
      <c r="C91" s="68" t="s">
        <v>95</v>
      </c>
      <c r="D91" s="68" t="s">
        <v>307</v>
      </c>
      <c r="E91" s="321">
        <v>1</v>
      </c>
      <c r="F91" s="322">
        <v>1618</v>
      </c>
      <c r="G91" s="322">
        <v>524</v>
      </c>
      <c r="H91" s="322">
        <v>208</v>
      </c>
      <c r="I91" s="322">
        <v>167</v>
      </c>
      <c r="J91" s="322">
        <v>145</v>
      </c>
      <c r="K91" s="322">
        <v>115</v>
      </c>
      <c r="L91" s="322">
        <v>65</v>
      </c>
      <c r="M91" s="322">
        <v>8</v>
      </c>
      <c r="N91" s="322">
        <v>0</v>
      </c>
      <c r="O91" s="322">
        <v>0</v>
      </c>
      <c r="P91" s="322">
        <v>0</v>
      </c>
      <c r="Q91" s="322">
        <v>0</v>
      </c>
      <c r="R91" s="322">
        <v>147.6</v>
      </c>
      <c r="S91" s="9">
        <v>0</v>
      </c>
      <c r="T91" s="9">
        <f t="shared" si="1"/>
        <v>0</v>
      </c>
      <c r="U91" s="321" t="s">
        <v>957</v>
      </c>
    </row>
    <row r="92" spans="1:21" ht="12" customHeight="1">
      <c r="A92" s="327">
        <v>1</v>
      </c>
      <c r="B92" s="159" t="s">
        <v>314</v>
      </c>
      <c r="C92" s="68" t="s">
        <v>95</v>
      </c>
      <c r="D92" s="68" t="s">
        <v>307</v>
      </c>
      <c r="E92" s="321">
        <v>2</v>
      </c>
      <c r="F92" s="322">
        <v>1542</v>
      </c>
      <c r="G92" s="322">
        <v>519</v>
      </c>
      <c r="H92" s="322">
        <v>250</v>
      </c>
      <c r="I92" s="322">
        <v>193</v>
      </c>
      <c r="J92" s="322">
        <v>132</v>
      </c>
      <c r="K92" s="322">
        <v>92</v>
      </c>
      <c r="L92" s="322">
        <v>39</v>
      </c>
      <c r="M92" s="322">
        <v>10</v>
      </c>
      <c r="N92" s="322">
        <v>0</v>
      </c>
      <c r="O92" s="322">
        <v>0</v>
      </c>
      <c r="P92" s="322">
        <v>0</v>
      </c>
      <c r="Q92" s="322">
        <v>0</v>
      </c>
      <c r="R92" s="322">
        <v>138.69999999999999</v>
      </c>
      <c r="S92" s="9">
        <v>0</v>
      </c>
      <c r="T92" s="9">
        <f t="shared" si="1"/>
        <v>0</v>
      </c>
      <c r="U92" s="321" t="s">
        <v>958</v>
      </c>
    </row>
    <row r="93" spans="1:21" ht="12" customHeight="1">
      <c r="A93" s="327">
        <v>1</v>
      </c>
      <c r="B93" s="159" t="s">
        <v>314</v>
      </c>
      <c r="C93" s="68" t="s">
        <v>95</v>
      </c>
      <c r="D93" s="68" t="s">
        <v>307</v>
      </c>
      <c r="E93" s="321">
        <v>3</v>
      </c>
      <c r="F93" s="322">
        <v>1502</v>
      </c>
      <c r="G93" s="322">
        <v>524</v>
      </c>
      <c r="H93" s="322">
        <v>235</v>
      </c>
      <c r="I93" s="322">
        <v>171</v>
      </c>
      <c r="J93" s="322">
        <v>132</v>
      </c>
      <c r="K93" s="322">
        <v>110</v>
      </c>
      <c r="L93" s="322">
        <v>59</v>
      </c>
      <c r="M93" s="322">
        <v>9</v>
      </c>
      <c r="N93" s="322">
        <v>0</v>
      </c>
      <c r="O93" s="322">
        <v>0</v>
      </c>
      <c r="P93" s="322">
        <v>0</v>
      </c>
      <c r="Q93" s="322">
        <v>0</v>
      </c>
      <c r="R93" s="322">
        <v>136.5</v>
      </c>
      <c r="S93" s="9">
        <v>0</v>
      </c>
      <c r="T93" s="9">
        <f t="shared" si="1"/>
        <v>0</v>
      </c>
      <c r="U93" s="321" t="s">
        <v>959</v>
      </c>
    </row>
    <row r="94" spans="1:21" ht="12" customHeight="1">
      <c r="A94" s="327">
        <v>1</v>
      </c>
      <c r="B94" s="159" t="s">
        <v>314</v>
      </c>
      <c r="C94" s="68" t="s">
        <v>95</v>
      </c>
      <c r="D94" s="68" t="s">
        <v>307</v>
      </c>
      <c r="E94" s="321">
        <v>4</v>
      </c>
      <c r="F94" s="322">
        <v>1678</v>
      </c>
      <c r="G94" s="322">
        <v>524</v>
      </c>
      <c r="H94" s="322">
        <v>241</v>
      </c>
      <c r="I94" s="322">
        <v>188</v>
      </c>
      <c r="J94" s="322">
        <v>134</v>
      </c>
      <c r="K94" s="322">
        <v>111</v>
      </c>
      <c r="L94" s="322">
        <v>70</v>
      </c>
      <c r="M94" s="322">
        <v>43</v>
      </c>
      <c r="N94" s="322">
        <v>21</v>
      </c>
      <c r="O94" s="322">
        <v>0</v>
      </c>
      <c r="P94" s="322">
        <v>0</v>
      </c>
      <c r="Q94" s="322">
        <v>0</v>
      </c>
      <c r="R94" s="322">
        <v>139.9</v>
      </c>
      <c r="S94" s="9">
        <v>0</v>
      </c>
      <c r="T94" s="9">
        <f t="shared" si="1"/>
        <v>0</v>
      </c>
      <c r="U94" s="321" t="s">
        <v>960</v>
      </c>
    </row>
    <row r="95" spans="1:21" ht="12" customHeight="1">
      <c r="A95" s="327">
        <v>1</v>
      </c>
      <c r="B95" s="159" t="s">
        <v>314</v>
      </c>
      <c r="C95" s="68" t="s">
        <v>95</v>
      </c>
      <c r="D95" s="68" t="s">
        <v>307</v>
      </c>
      <c r="E95" s="321">
        <v>5</v>
      </c>
      <c r="F95" s="322">
        <v>1626</v>
      </c>
      <c r="G95" s="322">
        <v>500</v>
      </c>
      <c r="H95" s="322">
        <v>220</v>
      </c>
      <c r="I95" s="322">
        <v>166</v>
      </c>
      <c r="J95" s="322">
        <v>134</v>
      </c>
      <c r="K95" s="322">
        <v>102</v>
      </c>
      <c r="L95" s="322">
        <v>64</v>
      </c>
      <c r="M95" s="322">
        <v>32</v>
      </c>
      <c r="N95" s="322">
        <v>1</v>
      </c>
      <c r="O95" s="322">
        <v>0</v>
      </c>
      <c r="P95" s="322">
        <v>0</v>
      </c>
      <c r="Q95" s="322">
        <v>0</v>
      </c>
      <c r="R95" s="322">
        <v>137.69999999999999</v>
      </c>
      <c r="S95" s="9">
        <v>0</v>
      </c>
      <c r="T95" s="9">
        <f t="shared" si="1"/>
        <v>0</v>
      </c>
      <c r="U95" s="321" t="s">
        <v>961</v>
      </c>
    </row>
    <row r="96" spans="1:21" ht="12" customHeight="1">
      <c r="A96" s="328">
        <v>1</v>
      </c>
      <c r="B96" s="159" t="s">
        <v>316</v>
      </c>
      <c r="C96" s="68" t="s">
        <v>96</v>
      </c>
      <c r="D96" s="68" t="s">
        <v>308</v>
      </c>
      <c r="E96" s="323">
        <v>1</v>
      </c>
      <c r="F96" s="324">
        <v>154</v>
      </c>
      <c r="G96" s="324">
        <v>28</v>
      </c>
      <c r="H96" s="324">
        <v>0</v>
      </c>
      <c r="I96" s="324">
        <v>0</v>
      </c>
      <c r="J96" s="324">
        <v>0</v>
      </c>
      <c r="K96" s="324">
        <v>0</v>
      </c>
      <c r="L96" s="324">
        <v>0</v>
      </c>
      <c r="M96" s="324">
        <v>0</v>
      </c>
      <c r="N96" s="324">
        <v>0</v>
      </c>
      <c r="O96" s="324">
        <v>0</v>
      </c>
      <c r="P96" s="324">
        <v>0</v>
      </c>
      <c r="Q96" s="324">
        <v>0</v>
      </c>
      <c r="R96" s="324">
        <v>0</v>
      </c>
      <c r="S96" s="9">
        <v>1.5093682811302096E-7</v>
      </c>
      <c r="T96" s="9">
        <f t="shared" si="1"/>
        <v>0</v>
      </c>
      <c r="U96" s="323" t="s">
        <v>1257</v>
      </c>
    </row>
    <row r="97" spans="1:21" ht="12" customHeight="1">
      <c r="A97" s="328">
        <v>1</v>
      </c>
      <c r="B97" s="159" t="s">
        <v>316</v>
      </c>
      <c r="C97" s="68" t="s">
        <v>96</v>
      </c>
      <c r="D97" s="68" t="s">
        <v>308</v>
      </c>
      <c r="E97" s="323">
        <v>2</v>
      </c>
      <c r="F97" s="324">
        <v>166</v>
      </c>
      <c r="G97" s="324">
        <v>28</v>
      </c>
      <c r="H97" s="324">
        <v>0</v>
      </c>
      <c r="I97" s="324">
        <v>0</v>
      </c>
      <c r="J97" s="324">
        <v>0</v>
      </c>
      <c r="K97" s="324">
        <v>0</v>
      </c>
      <c r="L97" s="324">
        <v>0</v>
      </c>
      <c r="M97" s="324">
        <v>0</v>
      </c>
      <c r="N97" s="324">
        <v>0</v>
      </c>
      <c r="O97" s="324">
        <v>0</v>
      </c>
      <c r="P97" s="324">
        <v>0</v>
      </c>
      <c r="Q97" s="324">
        <v>0</v>
      </c>
      <c r="R97" s="324">
        <v>0</v>
      </c>
      <c r="S97" s="9">
        <v>1.5093682811302096E-7</v>
      </c>
      <c r="T97" s="9">
        <f t="shared" si="1"/>
        <v>0</v>
      </c>
      <c r="U97" s="323" t="s">
        <v>1258</v>
      </c>
    </row>
    <row r="98" spans="1:21" ht="12" customHeight="1">
      <c r="A98" s="328">
        <v>1</v>
      </c>
      <c r="B98" s="159" t="s">
        <v>316</v>
      </c>
      <c r="C98" s="68" t="s">
        <v>96</v>
      </c>
      <c r="D98" s="68" t="s">
        <v>308</v>
      </c>
      <c r="E98" s="323">
        <v>3</v>
      </c>
      <c r="F98" s="324">
        <v>164</v>
      </c>
      <c r="G98" s="324">
        <v>28</v>
      </c>
      <c r="H98" s="324">
        <v>0</v>
      </c>
      <c r="I98" s="324">
        <v>0</v>
      </c>
      <c r="J98" s="324">
        <v>0</v>
      </c>
      <c r="K98" s="324">
        <v>0</v>
      </c>
      <c r="L98" s="324">
        <v>0</v>
      </c>
      <c r="M98" s="324">
        <v>0</v>
      </c>
      <c r="N98" s="324">
        <v>0</v>
      </c>
      <c r="O98" s="324">
        <v>0</v>
      </c>
      <c r="P98" s="324">
        <v>0</v>
      </c>
      <c r="Q98" s="324">
        <v>0</v>
      </c>
      <c r="R98" s="324">
        <v>0</v>
      </c>
      <c r="S98" s="9">
        <v>1.5093682811302096E-7</v>
      </c>
      <c r="T98" s="9">
        <f t="shared" si="1"/>
        <v>0</v>
      </c>
      <c r="U98" s="323" t="s">
        <v>1259</v>
      </c>
    </row>
    <row r="99" spans="1:21" ht="12" customHeight="1">
      <c r="A99" s="328">
        <v>1</v>
      </c>
      <c r="B99" s="159" t="s">
        <v>316</v>
      </c>
      <c r="C99" s="68" t="s">
        <v>96</v>
      </c>
      <c r="D99" s="68" t="s">
        <v>308</v>
      </c>
      <c r="E99" s="323">
        <v>4</v>
      </c>
      <c r="F99" s="324">
        <v>158</v>
      </c>
      <c r="G99" s="324">
        <v>28</v>
      </c>
      <c r="H99" s="324">
        <v>0</v>
      </c>
      <c r="I99" s="324">
        <v>0</v>
      </c>
      <c r="J99" s="324">
        <v>0</v>
      </c>
      <c r="K99" s="324">
        <v>0</v>
      </c>
      <c r="L99" s="324">
        <v>0</v>
      </c>
      <c r="M99" s="324">
        <v>0</v>
      </c>
      <c r="N99" s="324">
        <v>0</v>
      </c>
      <c r="O99" s="324">
        <v>0</v>
      </c>
      <c r="P99" s="324">
        <v>0</v>
      </c>
      <c r="Q99" s="324">
        <v>0</v>
      </c>
      <c r="R99" s="324">
        <v>0</v>
      </c>
      <c r="S99" s="9">
        <v>1.5093682811302096E-7</v>
      </c>
      <c r="T99" s="9">
        <f t="shared" si="1"/>
        <v>0</v>
      </c>
      <c r="U99" s="323" t="s">
        <v>1260</v>
      </c>
    </row>
    <row r="100" spans="1:21" ht="12" customHeight="1">
      <c r="A100" s="328">
        <v>1</v>
      </c>
      <c r="B100" s="159" t="s">
        <v>316</v>
      </c>
      <c r="C100" s="68" t="s">
        <v>96</v>
      </c>
      <c r="D100" s="68" t="s">
        <v>308</v>
      </c>
      <c r="E100" s="323">
        <v>5</v>
      </c>
      <c r="F100" s="324">
        <v>176</v>
      </c>
      <c r="G100" s="324">
        <v>28</v>
      </c>
      <c r="H100" s="324">
        <v>0</v>
      </c>
      <c r="I100" s="324">
        <v>0</v>
      </c>
      <c r="J100" s="324">
        <v>0</v>
      </c>
      <c r="K100" s="324">
        <v>0</v>
      </c>
      <c r="L100" s="324">
        <v>0</v>
      </c>
      <c r="M100" s="324">
        <v>0</v>
      </c>
      <c r="N100" s="324">
        <v>0</v>
      </c>
      <c r="O100" s="324">
        <v>0</v>
      </c>
      <c r="P100" s="324">
        <v>0</v>
      </c>
      <c r="Q100" s="324">
        <v>0</v>
      </c>
      <c r="R100" s="324">
        <v>0</v>
      </c>
      <c r="S100" s="9">
        <v>1.5093682811302096E-7</v>
      </c>
      <c r="T100" s="9">
        <f t="shared" si="1"/>
        <v>0</v>
      </c>
      <c r="U100" s="323" t="s">
        <v>1261</v>
      </c>
    </row>
    <row r="101" spans="1:21" ht="12" customHeight="1">
      <c r="A101" s="328">
        <v>1</v>
      </c>
      <c r="B101" s="159" t="s">
        <v>316</v>
      </c>
      <c r="C101" s="68" t="s">
        <v>96</v>
      </c>
      <c r="D101" s="68" t="s">
        <v>310</v>
      </c>
      <c r="E101" s="323">
        <v>1</v>
      </c>
      <c r="F101" s="324">
        <v>150</v>
      </c>
      <c r="G101" s="324">
        <v>28</v>
      </c>
      <c r="H101" s="324">
        <v>0</v>
      </c>
      <c r="I101" s="324">
        <v>0</v>
      </c>
      <c r="J101" s="324">
        <v>0</v>
      </c>
      <c r="K101" s="324">
        <v>0</v>
      </c>
      <c r="L101" s="324">
        <v>0</v>
      </c>
      <c r="M101" s="324">
        <v>0</v>
      </c>
      <c r="N101" s="324">
        <v>0</v>
      </c>
      <c r="O101" s="324">
        <v>0</v>
      </c>
      <c r="P101" s="324">
        <v>0</v>
      </c>
      <c r="Q101" s="324">
        <v>0</v>
      </c>
      <c r="R101" s="324">
        <v>0</v>
      </c>
      <c r="S101" s="9">
        <v>1.5093546968020952E-7</v>
      </c>
      <c r="T101" s="9">
        <f t="shared" si="1"/>
        <v>0</v>
      </c>
      <c r="U101" s="323" t="s">
        <v>1287</v>
      </c>
    </row>
    <row r="102" spans="1:21" ht="12" customHeight="1">
      <c r="A102" s="328">
        <v>1</v>
      </c>
      <c r="B102" s="159" t="s">
        <v>316</v>
      </c>
      <c r="C102" s="68" t="s">
        <v>96</v>
      </c>
      <c r="D102" s="68" t="s">
        <v>310</v>
      </c>
      <c r="E102" s="323">
        <v>2</v>
      </c>
      <c r="F102" s="324">
        <v>176</v>
      </c>
      <c r="G102" s="324">
        <v>28</v>
      </c>
      <c r="H102" s="324">
        <v>0</v>
      </c>
      <c r="I102" s="324">
        <v>0</v>
      </c>
      <c r="J102" s="324">
        <v>0</v>
      </c>
      <c r="K102" s="324">
        <v>0</v>
      </c>
      <c r="L102" s="324">
        <v>0</v>
      </c>
      <c r="M102" s="324">
        <v>0</v>
      </c>
      <c r="N102" s="324">
        <v>0</v>
      </c>
      <c r="O102" s="324">
        <v>0</v>
      </c>
      <c r="P102" s="324">
        <v>0</v>
      </c>
      <c r="Q102" s="324">
        <v>0</v>
      </c>
      <c r="R102" s="324">
        <v>0</v>
      </c>
      <c r="S102" s="9">
        <v>1.5093546968020952E-7</v>
      </c>
      <c r="T102" s="9">
        <f t="shared" si="1"/>
        <v>0</v>
      </c>
      <c r="U102" s="323" t="s">
        <v>1288</v>
      </c>
    </row>
    <row r="103" spans="1:21" ht="12" customHeight="1">
      <c r="A103" s="328">
        <v>1</v>
      </c>
      <c r="B103" s="159" t="s">
        <v>316</v>
      </c>
      <c r="C103" s="68" t="s">
        <v>96</v>
      </c>
      <c r="D103" s="68" t="s">
        <v>310</v>
      </c>
      <c r="E103" s="323">
        <v>3</v>
      </c>
      <c r="F103" s="324">
        <v>162</v>
      </c>
      <c r="G103" s="324">
        <v>28</v>
      </c>
      <c r="H103" s="324">
        <v>0</v>
      </c>
      <c r="I103" s="324">
        <v>0</v>
      </c>
      <c r="J103" s="324">
        <v>0</v>
      </c>
      <c r="K103" s="324">
        <v>0</v>
      </c>
      <c r="L103" s="324">
        <v>0</v>
      </c>
      <c r="M103" s="324">
        <v>0</v>
      </c>
      <c r="N103" s="324">
        <v>0</v>
      </c>
      <c r="O103" s="324">
        <v>0</v>
      </c>
      <c r="P103" s="324">
        <v>0</v>
      </c>
      <c r="Q103" s="324">
        <v>0</v>
      </c>
      <c r="R103" s="324">
        <v>0</v>
      </c>
      <c r="S103" s="9">
        <v>1.5093546968020952E-7</v>
      </c>
      <c r="T103" s="9">
        <f t="shared" si="1"/>
        <v>0</v>
      </c>
      <c r="U103" s="323" t="s">
        <v>1289</v>
      </c>
    </row>
    <row r="104" spans="1:21" ht="12" customHeight="1">
      <c r="A104" s="328">
        <v>1</v>
      </c>
      <c r="B104" s="159" t="s">
        <v>316</v>
      </c>
      <c r="C104" s="68" t="s">
        <v>96</v>
      </c>
      <c r="D104" s="68" t="s">
        <v>310</v>
      </c>
      <c r="E104" s="323">
        <v>4</v>
      </c>
      <c r="F104" s="324">
        <v>170</v>
      </c>
      <c r="G104" s="324">
        <v>28</v>
      </c>
      <c r="H104" s="324">
        <v>0</v>
      </c>
      <c r="I104" s="324">
        <v>0</v>
      </c>
      <c r="J104" s="324">
        <v>0</v>
      </c>
      <c r="K104" s="324">
        <v>0</v>
      </c>
      <c r="L104" s="324">
        <v>0</v>
      </c>
      <c r="M104" s="324">
        <v>0</v>
      </c>
      <c r="N104" s="324">
        <v>0</v>
      </c>
      <c r="O104" s="324">
        <v>0</v>
      </c>
      <c r="P104" s="324">
        <v>0</v>
      </c>
      <c r="Q104" s="324">
        <v>0</v>
      </c>
      <c r="R104" s="324">
        <v>0</v>
      </c>
      <c r="S104" s="9">
        <v>1.5093546968020952E-7</v>
      </c>
      <c r="T104" s="9">
        <f t="shared" si="1"/>
        <v>0</v>
      </c>
      <c r="U104" s="323" t="s">
        <v>1290</v>
      </c>
    </row>
    <row r="105" spans="1:21" ht="12" customHeight="1">
      <c r="A105" s="328">
        <v>1</v>
      </c>
      <c r="B105" s="159" t="s">
        <v>316</v>
      </c>
      <c r="C105" s="68" t="s">
        <v>96</v>
      </c>
      <c r="D105" s="68" t="s">
        <v>310</v>
      </c>
      <c r="E105" s="323">
        <v>5</v>
      </c>
      <c r="F105" s="324">
        <v>178</v>
      </c>
      <c r="G105" s="324">
        <v>28</v>
      </c>
      <c r="H105" s="324">
        <v>0</v>
      </c>
      <c r="I105" s="324">
        <v>0</v>
      </c>
      <c r="J105" s="324">
        <v>0</v>
      </c>
      <c r="K105" s="324">
        <v>0</v>
      </c>
      <c r="L105" s="324">
        <v>0</v>
      </c>
      <c r="M105" s="324">
        <v>0</v>
      </c>
      <c r="N105" s="324">
        <v>0</v>
      </c>
      <c r="O105" s="324">
        <v>0</v>
      </c>
      <c r="P105" s="324">
        <v>0</v>
      </c>
      <c r="Q105" s="324">
        <v>0</v>
      </c>
      <c r="R105" s="324">
        <v>0</v>
      </c>
      <c r="S105" s="9">
        <v>1.5093546968020952E-7</v>
      </c>
      <c r="T105" s="9">
        <f t="shared" si="1"/>
        <v>0</v>
      </c>
      <c r="U105" s="323" t="s">
        <v>1291</v>
      </c>
    </row>
    <row r="106" spans="1:21" ht="12" customHeight="1">
      <c r="A106" s="328">
        <v>1</v>
      </c>
      <c r="B106" s="159" t="s">
        <v>316</v>
      </c>
      <c r="C106" s="68" t="s">
        <v>96</v>
      </c>
      <c r="D106" s="68" t="s">
        <v>309</v>
      </c>
      <c r="E106" s="323">
        <v>1</v>
      </c>
      <c r="F106" s="324">
        <v>200</v>
      </c>
      <c r="G106" s="324">
        <v>28</v>
      </c>
      <c r="H106" s="324">
        <v>0</v>
      </c>
      <c r="I106" s="324">
        <v>0</v>
      </c>
      <c r="J106" s="324">
        <v>0</v>
      </c>
      <c r="K106" s="324">
        <v>0</v>
      </c>
      <c r="L106" s="324">
        <v>0</v>
      </c>
      <c r="M106" s="324">
        <v>0</v>
      </c>
      <c r="N106" s="324">
        <v>0</v>
      </c>
      <c r="O106" s="324">
        <v>0</v>
      </c>
      <c r="P106" s="324">
        <v>0</v>
      </c>
      <c r="Q106" s="324">
        <v>0</v>
      </c>
      <c r="R106" s="324">
        <v>0</v>
      </c>
      <c r="S106" s="9">
        <v>1.5093682811302096E-7</v>
      </c>
      <c r="T106" s="9">
        <f t="shared" si="1"/>
        <v>0</v>
      </c>
      <c r="U106" s="323" t="s">
        <v>1317</v>
      </c>
    </row>
    <row r="107" spans="1:21" ht="12" customHeight="1">
      <c r="A107" s="328">
        <v>1</v>
      </c>
      <c r="B107" s="159" t="s">
        <v>316</v>
      </c>
      <c r="C107" s="68" t="s">
        <v>96</v>
      </c>
      <c r="D107" s="68" t="s">
        <v>309</v>
      </c>
      <c r="E107" s="323">
        <v>2</v>
      </c>
      <c r="F107" s="324">
        <v>158</v>
      </c>
      <c r="G107" s="324">
        <v>28</v>
      </c>
      <c r="H107" s="324">
        <v>0</v>
      </c>
      <c r="I107" s="324">
        <v>0</v>
      </c>
      <c r="J107" s="324">
        <v>0</v>
      </c>
      <c r="K107" s="324">
        <v>0</v>
      </c>
      <c r="L107" s="324">
        <v>0</v>
      </c>
      <c r="M107" s="324">
        <v>0</v>
      </c>
      <c r="N107" s="324">
        <v>0</v>
      </c>
      <c r="O107" s="324">
        <v>0</v>
      </c>
      <c r="P107" s="324">
        <v>0</v>
      </c>
      <c r="Q107" s="324">
        <v>0</v>
      </c>
      <c r="R107" s="324">
        <v>0</v>
      </c>
      <c r="S107" s="9">
        <v>1.5093682811302096E-7</v>
      </c>
      <c r="T107" s="9">
        <f t="shared" si="1"/>
        <v>0</v>
      </c>
      <c r="U107" s="323" t="s">
        <v>1318</v>
      </c>
    </row>
    <row r="108" spans="1:21" ht="12" customHeight="1">
      <c r="A108" s="328">
        <v>1</v>
      </c>
      <c r="B108" s="159" t="s">
        <v>316</v>
      </c>
      <c r="C108" s="68" t="s">
        <v>96</v>
      </c>
      <c r="D108" s="68" t="s">
        <v>309</v>
      </c>
      <c r="E108" s="323">
        <v>3</v>
      </c>
      <c r="F108" s="324">
        <v>166</v>
      </c>
      <c r="G108" s="324">
        <v>28</v>
      </c>
      <c r="H108" s="324">
        <v>0</v>
      </c>
      <c r="I108" s="324">
        <v>0</v>
      </c>
      <c r="J108" s="324">
        <v>0</v>
      </c>
      <c r="K108" s="324">
        <v>0</v>
      </c>
      <c r="L108" s="324">
        <v>0</v>
      </c>
      <c r="M108" s="324">
        <v>0</v>
      </c>
      <c r="N108" s="324">
        <v>0</v>
      </c>
      <c r="O108" s="324">
        <v>0</v>
      </c>
      <c r="P108" s="324">
        <v>0</v>
      </c>
      <c r="Q108" s="324">
        <v>0</v>
      </c>
      <c r="R108" s="324">
        <v>0</v>
      </c>
      <c r="S108" s="9">
        <v>1.5093682811302096E-7</v>
      </c>
      <c r="T108" s="9">
        <f t="shared" si="1"/>
        <v>0</v>
      </c>
      <c r="U108" s="323" t="s">
        <v>1319</v>
      </c>
    </row>
    <row r="109" spans="1:21" ht="12" customHeight="1">
      <c r="A109" s="328">
        <v>1</v>
      </c>
      <c r="B109" s="159" t="s">
        <v>316</v>
      </c>
      <c r="C109" s="68" t="s">
        <v>96</v>
      </c>
      <c r="D109" s="68" t="s">
        <v>309</v>
      </c>
      <c r="E109" s="323">
        <v>4</v>
      </c>
      <c r="F109" s="324">
        <v>164</v>
      </c>
      <c r="G109" s="324">
        <v>28</v>
      </c>
      <c r="H109" s="324">
        <v>0</v>
      </c>
      <c r="I109" s="324">
        <v>0</v>
      </c>
      <c r="J109" s="324">
        <v>0</v>
      </c>
      <c r="K109" s="324">
        <v>0</v>
      </c>
      <c r="L109" s="324">
        <v>0</v>
      </c>
      <c r="M109" s="324">
        <v>0</v>
      </c>
      <c r="N109" s="324">
        <v>0</v>
      </c>
      <c r="O109" s="324">
        <v>0</v>
      </c>
      <c r="P109" s="324">
        <v>0</v>
      </c>
      <c r="Q109" s="324">
        <v>0</v>
      </c>
      <c r="R109" s="324">
        <v>0</v>
      </c>
      <c r="S109" s="9">
        <v>1.5093682811302096E-7</v>
      </c>
      <c r="T109" s="9">
        <f t="shared" si="1"/>
        <v>0</v>
      </c>
      <c r="U109" s="323" t="s">
        <v>1320</v>
      </c>
    </row>
    <row r="110" spans="1:21" ht="12" customHeight="1">
      <c r="A110" s="328">
        <v>1</v>
      </c>
      <c r="B110" s="159" t="s">
        <v>316</v>
      </c>
      <c r="C110" s="68" t="s">
        <v>96</v>
      </c>
      <c r="D110" s="68" t="s">
        <v>309</v>
      </c>
      <c r="E110" s="323">
        <v>5</v>
      </c>
      <c r="F110" s="324">
        <v>212</v>
      </c>
      <c r="G110" s="324">
        <v>28</v>
      </c>
      <c r="H110" s="324">
        <v>0</v>
      </c>
      <c r="I110" s="324">
        <v>0</v>
      </c>
      <c r="J110" s="324">
        <v>0</v>
      </c>
      <c r="K110" s="324">
        <v>0</v>
      </c>
      <c r="L110" s="324">
        <v>0</v>
      </c>
      <c r="M110" s="324">
        <v>0</v>
      </c>
      <c r="N110" s="324">
        <v>0</v>
      </c>
      <c r="O110" s="324">
        <v>0</v>
      </c>
      <c r="P110" s="324">
        <v>0</v>
      </c>
      <c r="Q110" s="324">
        <v>0</v>
      </c>
      <c r="R110" s="324">
        <v>0</v>
      </c>
      <c r="S110" s="9">
        <v>1.5093682811302096E-7</v>
      </c>
      <c r="T110" s="9">
        <f t="shared" si="1"/>
        <v>0</v>
      </c>
      <c r="U110" s="323" t="s">
        <v>1321</v>
      </c>
    </row>
    <row r="111" spans="1:21" ht="12" customHeight="1">
      <c r="A111" s="328">
        <v>1</v>
      </c>
      <c r="B111" s="159" t="s">
        <v>316</v>
      </c>
      <c r="C111" s="68" t="s">
        <v>96</v>
      </c>
      <c r="D111" s="68" t="s">
        <v>307</v>
      </c>
      <c r="E111" s="323">
        <v>1</v>
      </c>
      <c r="F111" s="324">
        <v>158</v>
      </c>
      <c r="G111" s="324">
        <v>28</v>
      </c>
      <c r="H111" s="324">
        <v>0</v>
      </c>
      <c r="I111" s="324">
        <v>0</v>
      </c>
      <c r="J111" s="324">
        <v>0</v>
      </c>
      <c r="K111" s="324">
        <v>0</v>
      </c>
      <c r="L111" s="324">
        <v>0</v>
      </c>
      <c r="M111" s="324">
        <v>0</v>
      </c>
      <c r="N111" s="324">
        <v>0</v>
      </c>
      <c r="O111" s="324">
        <v>0</v>
      </c>
      <c r="P111" s="324">
        <v>0</v>
      </c>
      <c r="Q111" s="324">
        <v>0</v>
      </c>
      <c r="R111" s="324">
        <v>0</v>
      </c>
      <c r="S111" s="9">
        <v>4.0752984343500006E-6</v>
      </c>
      <c r="T111" s="9">
        <f t="shared" si="1"/>
        <v>0</v>
      </c>
      <c r="U111" s="323" t="s">
        <v>1347</v>
      </c>
    </row>
    <row r="112" spans="1:21" ht="12" customHeight="1">
      <c r="A112" s="328">
        <v>1</v>
      </c>
      <c r="B112" s="159" t="s">
        <v>316</v>
      </c>
      <c r="C112" s="68" t="s">
        <v>96</v>
      </c>
      <c r="D112" s="68" t="s">
        <v>307</v>
      </c>
      <c r="E112" s="323">
        <v>2</v>
      </c>
      <c r="F112" s="324">
        <v>168</v>
      </c>
      <c r="G112" s="324">
        <v>28</v>
      </c>
      <c r="H112" s="324">
        <v>0</v>
      </c>
      <c r="I112" s="324">
        <v>0</v>
      </c>
      <c r="J112" s="324">
        <v>0</v>
      </c>
      <c r="K112" s="324">
        <v>0</v>
      </c>
      <c r="L112" s="324">
        <v>0</v>
      </c>
      <c r="M112" s="324">
        <v>0</v>
      </c>
      <c r="N112" s="324">
        <v>0</v>
      </c>
      <c r="O112" s="324">
        <v>0</v>
      </c>
      <c r="P112" s="324">
        <v>0</v>
      </c>
      <c r="Q112" s="324">
        <v>0</v>
      </c>
      <c r="R112" s="324">
        <v>0</v>
      </c>
      <c r="S112" s="9">
        <v>4.0752984343500006E-6</v>
      </c>
      <c r="T112" s="9">
        <f t="shared" si="1"/>
        <v>0</v>
      </c>
      <c r="U112" s="323" t="s">
        <v>1348</v>
      </c>
    </row>
    <row r="113" spans="1:21" ht="12" customHeight="1">
      <c r="A113" s="328">
        <v>1</v>
      </c>
      <c r="B113" s="159" t="s">
        <v>316</v>
      </c>
      <c r="C113" s="68" t="s">
        <v>96</v>
      </c>
      <c r="D113" s="68" t="s">
        <v>307</v>
      </c>
      <c r="E113" s="323">
        <v>3</v>
      </c>
      <c r="F113" s="324">
        <v>152</v>
      </c>
      <c r="G113" s="324">
        <v>28</v>
      </c>
      <c r="H113" s="324">
        <v>0</v>
      </c>
      <c r="I113" s="324">
        <v>0</v>
      </c>
      <c r="J113" s="324">
        <v>0</v>
      </c>
      <c r="K113" s="324">
        <v>0</v>
      </c>
      <c r="L113" s="324">
        <v>0</v>
      </c>
      <c r="M113" s="324">
        <v>0</v>
      </c>
      <c r="N113" s="324">
        <v>0</v>
      </c>
      <c r="O113" s="324">
        <v>0</v>
      </c>
      <c r="P113" s="324">
        <v>0</v>
      </c>
      <c r="Q113" s="324">
        <v>0</v>
      </c>
      <c r="R113" s="324">
        <v>0</v>
      </c>
      <c r="S113" s="9">
        <v>4.0752984343500006E-6</v>
      </c>
      <c r="T113" s="9">
        <f t="shared" si="1"/>
        <v>0</v>
      </c>
      <c r="U113" s="323" t="s">
        <v>1349</v>
      </c>
    </row>
    <row r="114" spans="1:21" ht="12" customHeight="1">
      <c r="A114" s="328">
        <v>1</v>
      </c>
      <c r="B114" s="159" t="s">
        <v>316</v>
      </c>
      <c r="C114" s="68" t="s">
        <v>96</v>
      </c>
      <c r="D114" s="68" t="s">
        <v>307</v>
      </c>
      <c r="E114" s="323">
        <v>4</v>
      </c>
      <c r="F114" s="324">
        <v>162</v>
      </c>
      <c r="G114" s="324">
        <v>28</v>
      </c>
      <c r="H114" s="324">
        <v>0</v>
      </c>
      <c r="I114" s="324">
        <v>0</v>
      </c>
      <c r="J114" s="324">
        <v>0</v>
      </c>
      <c r="K114" s="324">
        <v>0</v>
      </c>
      <c r="L114" s="324">
        <v>0</v>
      </c>
      <c r="M114" s="324">
        <v>0</v>
      </c>
      <c r="N114" s="324">
        <v>0</v>
      </c>
      <c r="O114" s="324">
        <v>0</v>
      </c>
      <c r="P114" s="324">
        <v>0</v>
      </c>
      <c r="Q114" s="324">
        <v>0</v>
      </c>
      <c r="R114" s="324">
        <v>0</v>
      </c>
      <c r="S114" s="9">
        <v>4.0752984343500006E-6</v>
      </c>
      <c r="T114" s="9">
        <f t="shared" si="1"/>
        <v>0</v>
      </c>
      <c r="U114" s="323" t="s">
        <v>1350</v>
      </c>
    </row>
    <row r="115" spans="1:21" ht="12" customHeight="1">
      <c r="A115" s="328">
        <v>1</v>
      </c>
      <c r="B115" s="159" t="s">
        <v>316</v>
      </c>
      <c r="C115" s="68" t="s">
        <v>96</v>
      </c>
      <c r="D115" s="68" t="s">
        <v>307</v>
      </c>
      <c r="E115" s="323">
        <v>5</v>
      </c>
      <c r="F115" s="324">
        <v>168</v>
      </c>
      <c r="G115" s="324">
        <v>28</v>
      </c>
      <c r="H115" s="324">
        <v>0</v>
      </c>
      <c r="I115" s="324">
        <v>0</v>
      </c>
      <c r="J115" s="324">
        <v>0</v>
      </c>
      <c r="K115" s="324">
        <v>0</v>
      </c>
      <c r="L115" s="324">
        <v>0</v>
      </c>
      <c r="M115" s="324">
        <v>0</v>
      </c>
      <c r="N115" s="324">
        <v>0</v>
      </c>
      <c r="O115" s="324">
        <v>0</v>
      </c>
      <c r="P115" s="324">
        <v>0</v>
      </c>
      <c r="Q115" s="324">
        <v>0</v>
      </c>
      <c r="R115" s="324">
        <v>0</v>
      </c>
      <c r="S115" s="9">
        <v>4.0752984343500006E-6</v>
      </c>
      <c r="T115" s="9">
        <f t="shared" si="1"/>
        <v>0</v>
      </c>
      <c r="U115" s="323" t="s">
        <v>1351</v>
      </c>
    </row>
    <row r="116" spans="1:21" ht="12" customHeight="1">
      <c r="A116" s="328">
        <v>1</v>
      </c>
      <c r="B116" s="159" t="s">
        <v>316</v>
      </c>
      <c r="C116" s="68" t="s">
        <v>95</v>
      </c>
      <c r="D116" s="68" t="s">
        <v>308</v>
      </c>
      <c r="E116" s="323">
        <v>1</v>
      </c>
      <c r="F116" s="324">
        <v>1034</v>
      </c>
      <c r="G116" s="324">
        <v>500</v>
      </c>
      <c r="H116" s="324">
        <v>1</v>
      </c>
      <c r="I116" s="324">
        <v>0</v>
      </c>
      <c r="J116" s="324">
        <v>0</v>
      </c>
      <c r="K116" s="324">
        <v>0</v>
      </c>
      <c r="L116" s="324">
        <v>0</v>
      </c>
      <c r="M116" s="324">
        <v>0</v>
      </c>
      <c r="N116" s="324">
        <v>0</v>
      </c>
      <c r="O116" s="324">
        <v>0</v>
      </c>
      <c r="P116" s="324">
        <v>0</v>
      </c>
      <c r="Q116" s="324">
        <v>0</v>
      </c>
      <c r="R116" s="324">
        <v>0</v>
      </c>
      <c r="S116" s="9">
        <v>1.5246144253840504E-9</v>
      </c>
      <c r="T116" s="9">
        <f t="shared" si="1"/>
        <v>0</v>
      </c>
      <c r="U116" s="323" t="s">
        <v>1107</v>
      </c>
    </row>
    <row r="117" spans="1:21" ht="12" customHeight="1">
      <c r="A117" s="328">
        <v>1</v>
      </c>
      <c r="B117" s="159" t="s">
        <v>316</v>
      </c>
      <c r="C117" s="68" t="s">
        <v>95</v>
      </c>
      <c r="D117" s="68" t="s">
        <v>308</v>
      </c>
      <c r="E117" s="323">
        <v>2</v>
      </c>
      <c r="F117" s="324">
        <v>1112</v>
      </c>
      <c r="G117" s="324">
        <v>519</v>
      </c>
      <c r="H117" s="324">
        <v>20</v>
      </c>
      <c r="I117" s="324">
        <v>0</v>
      </c>
      <c r="J117" s="324">
        <v>0</v>
      </c>
      <c r="K117" s="324">
        <v>0</v>
      </c>
      <c r="L117" s="324">
        <v>0</v>
      </c>
      <c r="M117" s="324">
        <v>0</v>
      </c>
      <c r="N117" s="324">
        <v>0</v>
      </c>
      <c r="O117" s="324">
        <v>0</v>
      </c>
      <c r="P117" s="324">
        <v>0</v>
      </c>
      <c r="Q117" s="324">
        <v>0</v>
      </c>
      <c r="R117" s="324">
        <v>0.2</v>
      </c>
      <c r="S117" s="9">
        <v>1.5246144253840504E-9</v>
      </c>
      <c r="T117" s="9">
        <f t="shared" si="1"/>
        <v>3.0492288507681008E-10</v>
      </c>
      <c r="U117" s="323" t="s">
        <v>1108</v>
      </c>
    </row>
    <row r="118" spans="1:21" ht="12" customHeight="1">
      <c r="A118" s="328">
        <v>1</v>
      </c>
      <c r="B118" s="159" t="s">
        <v>316</v>
      </c>
      <c r="C118" s="68" t="s">
        <v>95</v>
      </c>
      <c r="D118" s="68" t="s">
        <v>308</v>
      </c>
      <c r="E118" s="323">
        <v>3</v>
      </c>
      <c r="F118" s="324">
        <v>1028</v>
      </c>
      <c r="G118" s="324">
        <v>524</v>
      </c>
      <c r="H118" s="324">
        <v>3</v>
      </c>
      <c r="I118" s="324">
        <v>0</v>
      </c>
      <c r="J118" s="324">
        <v>0</v>
      </c>
      <c r="K118" s="324">
        <v>0</v>
      </c>
      <c r="L118" s="324">
        <v>0</v>
      </c>
      <c r="M118" s="324">
        <v>0</v>
      </c>
      <c r="N118" s="324">
        <v>0</v>
      </c>
      <c r="O118" s="324">
        <v>0</v>
      </c>
      <c r="P118" s="324">
        <v>0</v>
      </c>
      <c r="Q118" s="324">
        <v>0</v>
      </c>
      <c r="R118" s="324">
        <v>0</v>
      </c>
      <c r="S118" s="9">
        <v>1.5246144253840504E-9</v>
      </c>
      <c r="T118" s="9">
        <f t="shared" si="1"/>
        <v>0</v>
      </c>
      <c r="U118" s="323" t="s">
        <v>1109</v>
      </c>
    </row>
    <row r="119" spans="1:21" ht="12" customHeight="1">
      <c r="A119" s="328">
        <v>1</v>
      </c>
      <c r="B119" s="159" t="s">
        <v>316</v>
      </c>
      <c r="C119" s="68" t="s">
        <v>95</v>
      </c>
      <c r="D119" s="68" t="s">
        <v>308</v>
      </c>
      <c r="E119" s="323">
        <v>4</v>
      </c>
      <c r="F119" s="324">
        <v>1060</v>
      </c>
      <c r="G119" s="324">
        <v>524</v>
      </c>
      <c r="H119" s="324">
        <v>4</v>
      </c>
      <c r="I119" s="324">
        <v>0</v>
      </c>
      <c r="J119" s="324">
        <v>0</v>
      </c>
      <c r="K119" s="324">
        <v>0</v>
      </c>
      <c r="L119" s="324">
        <v>0</v>
      </c>
      <c r="M119" s="324">
        <v>0</v>
      </c>
      <c r="N119" s="324">
        <v>0</v>
      </c>
      <c r="O119" s="324">
        <v>0</v>
      </c>
      <c r="P119" s="324">
        <v>0</v>
      </c>
      <c r="Q119" s="324">
        <v>0</v>
      </c>
      <c r="R119" s="324">
        <v>0</v>
      </c>
      <c r="S119" s="9">
        <v>1.5246144253840504E-9</v>
      </c>
      <c r="T119" s="9">
        <f t="shared" si="1"/>
        <v>0</v>
      </c>
      <c r="U119" s="323" t="s">
        <v>1110</v>
      </c>
    </row>
    <row r="120" spans="1:21" ht="12" customHeight="1">
      <c r="A120" s="328">
        <v>1</v>
      </c>
      <c r="B120" s="159" t="s">
        <v>316</v>
      </c>
      <c r="C120" s="68" t="s">
        <v>95</v>
      </c>
      <c r="D120" s="68" t="s">
        <v>308</v>
      </c>
      <c r="E120" s="323">
        <v>5</v>
      </c>
      <c r="F120" s="324">
        <v>1004</v>
      </c>
      <c r="G120" s="324">
        <v>524</v>
      </c>
      <c r="H120" s="324">
        <v>1</v>
      </c>
      <c r="I120" s="324">
        <v>0</v>
      </c>
      <c r="J120" s="324">
        <v>0</v>
      </c>
      <c r="K120" s="324">
        <v>0</v>
      </c>
      <c r="L120" s="324">
        <v>0</v>
      </c>
      <c r="M120" s="324">
        <v>0</v>
      </c>
      <c r="N120" s="324">
        <v>0</v>
      </c>
      <c r="O120" s="324">
        <v>0</v>
      </c>
      <c r="P120" s="324">
        <v>0</v>
      </c>
      <c r="Q120" s="324">
        <v>0</v>
      </c>
      <c r="R120" s="324">
        <v>0</v>
      </c>
      <c r="S120" s="9">
        <v>1.5246144253840504E-9</v>
      </c>
      <c r="T120" s="9">
        <f t="shared" si="1"/>
        <v>0</v>
      </c>
      <c r="U120" s="323" t="s">
        <v>1111</v>
      </c>
    </row>
    <row r="121" spans="1:21" ht="12" customHeight="1">
      <c r="A121" s="329">
        <v>1</v>
      </c>
      <c r="B121" s="159" t="s">
        <v>316</v>
      </c>
      <c r="C121" s="68" t="s">
        <v>95</v>
      </c>
      <c r="D121" s="68" t="s">
        <v>310</v>
      </c>
      <c r="E121" s="330">
        <v>1</v>
      </c>
      <c r="F121" s="326">
        <v>1038</v>
      </c>
      <c r="G121" s="326">
        <v>525</v>
      </c>
      <c r="H121" s="326">
        <v>140</v>
      </c>
      <c r="I121" s="326">
        <v>139</v>
      </c>
      <c r="J121" s="326">
        <v>139</v>
      </c>
      <c r="K121" s="326">
        <v>139</v>
      </c>
      <c r="L121" s="326">
        <v>139</v>
      </c>
      <c r="M121" s="326">
        <v>137</v>
      </c>
      <c r="N121" s="326">
        <v>136</v>
      </c>
      <c r="O121" s="326">
        <v>134</v>
      </c>
      <c r="P121" s="326">
        <v>133</v>
      </c>
      <c r="Q121" s="326">
        <v>130</v>
      </c>
      <c r="R121" s="326">
        <v>139</v>
      </c>
      <c r="S121" s="9">
        <v>1.5246007038405004E-9</v>
      </c>
      <c r="T121" s="9">
        <f t="shared" si="1"/>
        <v>2.1191949783382957E-7</v>
      </c>
      <c r="U121" s="325" t="s">
        <v>1137</v>
      </c>
    </row>
    <row r="122" spans="1:21" ht="12" customHeight="1">
      <c r="A122" s="329">
        <v>1</v>
      </c>
      <c r="B122" s="159" t="s">
        <v>316</v>
      </c>
      <c r="C122" s="68" t="s">
        <v>95</v>
      </c>
      <c r="D122" s="68" t="s">
        <v>310</v>
      </c>
      <c r="E122" s="330">
        <v>2</v>
      </c>
      <c r="F122" s="326">
        <v>1042</v>
      </c>
      <c r="G122" s="326">
        <v>524</v>
      </c>
      <c r="H122" s="326">
        <v>107</v>
      </c>
      <c r="I122" s="326">
        <v>104</v>
      </c>
      <c r="J122" s="326">
        <v>100</v>
      </c>
      <c r="K122" s="326">
        <v>98</v>
      </c>
      <c r="L122" s="326">
        <v>97</v>
      </c>
      <c r="M122" s="326">
        <v>96</v>
      </c>
      <c r="N122" s="326">
        <v>95</v>
      </c>
      <c r="O122" s="326">
        <v>90</v>
      </c>
      <c r="P122" s="326">
        <v>83</v>
      </c>
      <c r="Q122" s="326">
        <v>78</v>
      </c>
      <c r="R122" s="326">
        <v>100.4</v>
      </c>
      <c r="S122" s="9">
        <v>1.5246007038405004E-9</v>
      </c>
      <c r="T122" s="9">
        <f t="shared" si="1"/>
        <v>1.5306991066558626E-7</v>
      </c>
      <c r="U122" s="325" t="s">
        <v>1138</v>
      </c>
    </row>
    <row r="123" spans="1:21" ht="12" customHeight="1">
      <c r="A123" s="329">
        <v>1</v>
      </c>
      <c r="B123" s="159" t="s">
        <v>316</v>
      </c>
      <c r="C123" s="68" t="s">
        <v>95</v>
      </c>
      <c r="D123" s="68" t="s">
        <v>310</v>
      </c>
      <c r="E123" s="330">
        <v>3</v>
      </c>
      <c r="F123" s="326">
        <v>1040</v>
      </c>
      <c r="G123" s="326">
        <v>520</v>
      </c>
      <c r="H123" s="326">
        <v>117</v>
      </c>
      <c r="I123" s="326">
        <v>114</v>
      </c>
      <c r="J123" s="326">
        <v>112</v>
      </c>
      <c r="K123" s="326">
        <v>110</v>
      </c>
      <c r="L123" s="326">
        <v>107</v>
      </c>
      <c r="M123" s="326">
        <v>106</v>
      </c>
      <c r="N123" s="326">
        <v>106</v>
      </c>
      <c r="O123" s="326">
        <v>103</v>
      </c>
      <c r="P123" s="326">
        <v>99</v>
      </c>
      <c r="Q123" s="326">
        <v>94</v>
      </c>
      <c r="R123" s="326">
        <v>112.2</v>
      </c>
      <c r="S123" s="9">
        <v>1.5246007038405004E-9</v>
      </c>
      <c r="T123" s="9">
        <f t="shared" si="1"/>
        <v>1.7106019897090416E-7</v>
      </c>
      <c r="U123" s="325" t="s">
        <v>1139</v>
      </c>
    </row>
    <row r="124" spans="1:21" ht="12" customHeight="1">
      <c r="A124" s="329">
        <v>1</v>
      </c>
      <c r="B124" s="159" t="s">
        <v>316</v>
      </c>
      <c r="C124" s="68" t="s">
        <v>95</v>
      </c>
      <c r="D124" s="68" t="s">
        <v>310</v>
      </c>
      <c r="E124" s="330">
        <v>4</v>
      </c>
      <c r="F124" s="326">
        <v>1042</v>
      </c>
      <c r="G124" s="326">
        <v>525</v>
      </c>
      <c r="H124" s="326">
        <v>144</v>
      </c>
      <c r="I124" s="326">
        <v>139</v>
      </c>
      <c r="J124" s="326">
        <v>137</v>
      </c>
      <c r="K124" s="326">
        <v>135</v>
      </c>
      <c r="L124" s="326">
        <v>133</v>
      </c>
      <c r="M124" s="326">
        <v>133</v>
      </c>
      <c r="N124" s="326">
        <v>132</v>
      </c>
      <c r="O124" s="326">
        <v>128</v>
      </c>
      <c r="P124" s="326">
        <v>126</v>
      </c>
      <c r="Q124" s="326">
        <v>121</v>
      </c>
      <c r="R124" s="326">
        <v>137.30000000000001</v>
      </c>
      <c r="S124" s="9">
        <v>1.5246007038405004E-9</v>
      </c>
      <c r="T124" s="9">
        <f t="shared" si="1"/>
        <v>2.0932767663730073E-7</v>
      </c>
      <c r="U124" s="325" t="s">
        <v>1140</v>
      </c>
    </row>
    <row r="125" spans="1:21" ht="12" customHeight="1">
      <c r="A125" s="329">
        <v>1</v>
      </c>
      <c r="B125" s="159" t="s">
        <v>316</v>
      </c>
      <c r="C125" s="68" t="s">
        <v>95</v>
      </c>
      <c r="D125" s="68" t="s">
        <v>310</v>
      </c>
      <c r="E125" s="330">
        <v>5</v>
      </c>
      <c r="F125" s="326">
        <v>1042</v>
      </c>
      <c r="G125" s="326">
        <v>524</v>
      </c>
      <c r="H125" s="326">
        <v>131</v>
      </c>
      <c r="I125" s="326">
        <v>129</v>
      </c>
      <c r="J125" s="326">
        <v>128</v>
      </c>
      <c r="K125" s="326">
        <v>127</v>
      </c>
      <c r="L125" s="326">
        <v>126</v>
      </c>
      <c r="M125" s="326">
        <v>126</v>
      </c>
      <c r="N125" s="326">
        <v>125</v>
      </c>
      <c r="O125" s="326">
        <v>122</v>
      </c>
      <c r="P125" s="326">
        <v>122</v>
      </c>
      <c r="Q125" s="326">
        <v>119</v>
      </c>
      <c r="R125" s="326">
        <v>128.1</v>
      </c>
      <c r="S125" s="9">
        <v>1.5246007038405004E-9</v>
      </c>
      <c r="T125" s="9">
        <f t="shared" si="1"/>
        <v>1.9530135016196809E-7</v>
      </c>
      <c r="U125" s="325" t="s">
        <v>1141</v>
      </c>
    </row>
    <row r="126" spans="1:21" ht="12" customHeight="1">
      <c r="A126" s="329">
        <v>1</v>
      </c>
      <c r="B126" s="159" t="s">
        <v>316</v>
      </c>
      <c r="C126" s="68" t="s">
        <v>95</v>
      </c>
      <c r="D126" s="68" t="s">
        <v>309</v>
      </c>
      <c r="E126" s="330">
        <v>1</v>
      </c>
      <c r="F126" s="326">
        <v>1156</v>
      </c>
      <c r="G126" s="326">
        <v>524</v>
      </c>
      <c r="H126" s="326">
        <v>281</v>
      </c>
      <c r="I126" s="326">
        <v>265</v>
      </c>
      <c r="J126" s="326">
        <v>255</v>
      </c>
      <c r="K126" s="326">
        <v>237</v>
      </c>
      <c r="L126" s="326">
        <v>209</v>
      </c>
      <c r="M126" s="326">
        <v>191</v>
      </c>
      <c r="N126" s="326">
        <v>176</v>
      </c>
      <c r="O126" s="326">
        <v>147</v>
      </c>
      <c r="P126" s="326">
        <v>120</v>
      </c>
      <c r="Q126" s="326">
        <v>104</v>
      </c>
      <c r="R126" s="326">
        <v>256.2</v>
      </c>
      <c r="S126" s="9">
        <v>1.5246144253840504E-9</v>
      </c>
      <c r="T126" s="9">
        <f t="shared" si="1"/>
        <v>3.9060621578339368E-7</v>
      </c>
      <c r="U126" s="325" t="s">
        <v>1167</v>
      </c>
    </row>
    <row r="127" spans="1:21" ht="12" customHeight="1">
      <c r="A127" s="329">
        <v>1</v>
      </c>
      <c r="B127" s="159" t="s">
        <v>316</v>
      </c>
      <c r="C127" s="68" t="s">
        <v>95</v>
      </c>
      <c r="D127" s="68" t="s">
        <v>309</v>
      </c>
      <c r="E127" s="330">
        <v>2</v>
      </c>
      <c r="F127" s="326">
        <v>1160</v>
      </c>
      <c r="G127" s="326">
        <v>524</v>
      </c>
      <c r="H127" s="326">
        <v>266</v>
      </c>
      <c r="I127" s="326">
        <v>249</v>
      </c>
      <c r="J127" s="326">
        <v>228</v>
      </c>
      <c r="K127" s="326">
        <v>205</v>
      </c>
      <c r="L127" s="326">
        <v>176</v>
      </c>
      <c r="M127" s="326">
        <v>152</v>
      </c>
      <c r="N127" s="326">
        <v>126</v>
      </c>
      <c r="O127" s="326">
        <v>112</v>
      </c>
      <c r="P127" s="326">
        <v>96</v>
      </c>
      <c r="Q127" s="326">
        <v>87</v>
      </c>
      <c r="R127" s="326">
        <v>230.3</v>
      </c>
      <c r="S127" s="9">
        <v>1.5246144253840504E-9</v>
      </c>
      <c r="T127" s="9">
        <f t="shared" si="1"/>
        <v>3.5111870216594682E-7</v>
      </c>
      <c r="U127" s="325" t="s">
        <v>1168</v>
      </c>
    </row>
    <row r="128" spans="1:21" ht="12" customHeight="1">
      <c r="A128" s="329">
        <v>1</v>
      </c>
      <c r="B128" s="159" t="s">
        <v>316</v>
      </c>
      <c r="C128" s="68" t="s">
        <v>95</v>
      </c>
      <c r="D128" s="68" t="s">
        <v>309</v>
      </c>
      <c r="E128" s="330">
        <v>3</v>
      </c>
      <c r="F128" s="326">
        <v>1158</v>
      </c>
      <c r="G128" s="326">
        <v>524</v>
      </c>
      <c r="H128" s="326">
        <v>274</v>
      </c>
      <c r="I128" s="326">
        <v>224</v>
      </c>
      <c r="J128" s="326">
        <v>199</v>
      </c>
      <c r="K128" s="326">
        <v>183</v>
      </c>
      <c r="L128" s="326">
        <v>168</v>
      </c>
      <c r="M128" s="326">
        <v>159</v>
      </c>
      <c r="N128" s="326">
        <v>132</v>
      </c>
      <c r="O128" s="326">
        <v>110</v>
      </c>
      <c r="P128" s="326">
        <v>98</v>
      </c>
      <c r="Q128" s="326">
        <v>93</v>
      </c>
      <c r="R128" s="326">
        <v>202</v>
      </c>
      <c r="S128" s="9">
        <v>1.5246144253840504E-9</v>
      </c>
      <c r="T128" s="9">
        <f t="shared" si="1"/>
        <v>3.0797211392757817E-7</v>
      </c>
      <c r="U128" s="325" t="s">
        <v>1169</v>
      </c>
    </row>
    <row r="129" spans="1:21" ht="12" customHeight="1">
      <c r="A129" s="329">
        <v>1</v>
      </c>
      <c r="B129" s="159" t="s">
        <v>316</v>
      </c>
      <c r="C129" s="68" t="s">
        <v>95</v>
      </c>
      <c r="D129" s="68" t="s">
        <v>309</v>
      </c>
      <c r="E129" s="330">
        <v>4</v>
      </c>
      <c r="F129" s="326">
        <v>1152</v>
      </c>
      <c r="G129" s="326">
        <v>524</v>
      </c>
      <c r="H129" s="326">
        <v>314</v>
      </c>
      <c r="I129" s="326">
        <v>292</v>
      </c>
      <c r="J129" s="326">
        <v>270</v>
      </c>
      <c r="K129" s="326">
        <v>248</v>
      </c>
      <c r="L129" s="326">
        <v>222</v>
      </c>
      <c r="M129" s="326">
        <v>180</v>
      </c>
      <c r="N129" s="326">
        <v>162</v>
      </c>
      <c r="O129" s="326">
        <v>149</v>
      </c>
      <c r="P129" s="326">
        <v>135</v>
      </c>
      <c r="Q129" s="326">
        <v>121</v>
      </c>
      <c r="R129" s="326">
        <v>272.39999999999998</v>
      </c>
      <c r="S129" s="9">
        <v>1.5246144253840504E-9</v>
      </c>
      <c r="T129" s="9">
        <f t="shared" si="1"/>
        <v>4.1530496947461526E-7</v>
      </c>
      <c r="U129" s="325" t="s">
        <v>1170</v>
      </c>
    </row>
    <row r="130" spans="1:21" ht="12" customHeight="1">
      <c r="A130" s="329">
        <v>1</v>
      </c>
      <c r="B130" s="159" t="s">
        <v>316</v>
      </c>
      <c r="C130" s="68" t="s">
        <v>95</v>
      </c>
      <c r="D130" s="68" t="s">
        <v>309</v>
      </c>
      <c r="E130" s="330">
        <v>5</v>
      </c>
      <c r="F130" s="326">
        <v>1162</v>
      </c>
      <c r="G130" s="326">
        <v>524</v>
      </c>
      <c r="H130" s="326">
        <v>312</v>
      </c>
      <c r="I130" s="326">
        <v>254</v>
      </c>
      <c r="J130" s="326">
        <v>222</v>
      </c>
      <c r="K130" s="326">
        <v>207</v>
      </c>
      <c r="L130" s="326">
        <v>184</v>
      </c>
      <c r="M130" s="326">
        <v>139</v>
      </c>
      <c r="N130" s="326">
        <v>105</v>
      </c>
      <c r="O130" s="326">
        <v>88</v>
      </c>
      <c r="P130" s="326">
        <v>70</v>
      </c>
      <c r="Q130" s="326">
        <v>62</v>
      </c>
      <c r="R130" s="326">
        <v>225.8</v>
      </c>
      <c r="S130" s="9">
        <v>1.5246144253840504E-9</v>
      </c>
      <c r="T130" s="9">
        <f t="shared" si="1"/>
        <v>3.4425793725171857E-7</v>
      </c>
      <c r="U130" s="325" t="s">
        <v>1171</v>
      </c>
    </row>
    <row r="131" spans="1:21" ht="12" customHeight="1">
      <c r="A131" s="329">
        <v>1</v>
      </c>
      <c r="B131" s="159" t="s">
        <v>316</v>
      </c>
      <c r="C131" s="68" t="s">
        <v>95</v>
      </c>
      <c r="D131" s="68" t="s">
        <v>311</v>
      </c>
      <c r="E131" s="330">
        <v>1</v>
      </c>
      <c r="F131" s="326">
        <v>1150</v>
      </c>
      <c r="G131" s="326">
        <v>524</v>
      </c>
      <c r="H131" s="326">
        <v>139</v>
      </c>
      <c r="I131" s="326">
        <v>128</v>
      </c>
      <c r="J131" s="326">
        <v>124</v>
      </c>
      <c r="K131" s="326">
        <v>121</v>
      </c>
      <c r="L131" s="326">
        <v>116</v>
      </c>
      <c r="M131" s="326">
        <v>112</v>
      </c>
      <c r="N131" s="326">
        <v>109</v>
      </c>
      <c r="O131" s="326">
        <v>103</v>
      </c>
      <c r="P131" s="326">
        <v>101</v>
      </c>
      <c r="Q131" s="326">
        <v>95</v>
      </c>
      <c r="R131" s="326">
        <v>124.5</v>
      </c>
      <c r="S131" s="9">
        <v>4.1164630650000014E-8</v>
      </c>
      <c r="T131" s="9">
        <f t="shared" si="1"/>
        <v>5.1249965159250017E-6</v>
      </c>
      <c r="U131" s="325" t="s">
        <v>1197</v>
      </c>
    </row>
    <row r="132" spans="1:21" ht="12" customHeight="1">
      <c r="A132" s="329">
        <v>1</v>
      </c>
      <c r="B132" s="159" t="s">
        <v>316</v>
      </c>
      <c r="C132" s="68" t="s">
        <v>95</v>
      </c>
      <c r="D132" s="68" t="s">
        <v>311</v>
      </c>
      <c r="E132" s="330">
        <v>2</v>
      </c>
      <c r="F132" s="326">
        <v>1152</v>
      </c>
      <c r="G132" s="326">
        <v>524</v>
      </c>
      <c r="H132" s="326">
        <v>147</v>
      </c>
      <c r="I132" s="326">
        <v>140</v>
      </c>
      <c r="J132" s="326">
        <v>136</v>
      </c>
      <c r="K132" s="326">
        <v>132</v>
      </c>
      <c r="L132" s="326">
        <v>125</v>
      </c>
      <c r="M132" s="326">
        <v>116</v>
      </c>
      <c r="N132" s="326">
        <v>115</v>
      </c>
      <c r="O132" s="326">
        <v>114</v>
      </c>
      <c r="P132" s="326">
        <v>112</v>
      </c>
      <c r="Q132" s="326">
        <v>110</v>
      </c>
      <c r="R132" s="326">
        <v>136.5</v>
      </c>
      <c r="S132" s="9">
        <v>4.1164630650000014E-8</v>
      </c>
      <c r="T132" s="9">
        <f t="shared" si="1"/>
        <v>5.6189720837250021E-6</v>
      </c>
      <c r="U132" s="325" t="s">
        <v>1198</v>
      </c>
    </row>
    <row r="133" spans="1:21" ht="12" customHeight="1">
      <c r="A133" s="329">
        <v>1</v>
      </c>
      <c r="B133" s="159" t="s">
        <v>316</v>
      </c>
      <c r="C133" s="68" t="s">
        <v>95</v>
      </c>
      <c r="D133" s="68" t="s">
        <v>311</v>
      </c>
      <c r="E133" s="330">
        <v>3</v>
      </c>
      <c r="F133" s="326">
        <v>1140</v>
      </c>
      <c r="G133" s="326">
        <v>497</v>
      </c>
      <c r="H133" s="326">
        <v>153</v>
      </c>
      <c r="I133" s="326">
        <v>144</v>
      </c>
      <c r="J133" s="326">
        <v>143</v>
      </c>
      <c r="K133" s="326">
        <v>140</v>
      </c>
      <c r="L133" s="326">
        <v>138</v>
      </c>
      <c r="M133" s="326">
        <v>134</v>
      </c>
      <c r="N133" s="326">
        <v>133</v>
      </c>
      <c r="O133" s="326">
        <v>130</v>
      </c>
      <c r="P133" s="326">
        <v>126</v>
      </c>
      <c r="Q133" s="326">
        <v>120</v>
      </c>
      <c r="R133" s="326">
        <v>143.19999999999999</v>
      </c>
      <c r="S133" s="9">
        <v>4.1164630650000014E-8</v>
      </c>
      <c r="T133" s="9">
        <f t="shared" si="1"/>
        <v>5.8947751090800015E-6</v>
      </c>
      <c r="U133" s="325" t="s">
        <v>1199</v>
      </c>
    </row>
    <row r="134" spans="1:21" ht="12" customHeight="1">
      <c r="A134" s="329">
        <v>1</v>
      </c>
      <c r="B134" s="159" t="s">
        <v>316</v>
      </c>
      <c r="C134" s="68" t="s">
        <v>95</v>
      </c>
      <c r="D134" s="68" t="s">
        <v>311</v>
      </c>
      <c r="E134" s="330">
        <v>4</v>
      </c>
      <c r="F134" s="326">
        <v>1150</v>
      </c>
      <c r="G134" s="326">
        <v>524</v>
      </c>
      <c r="H134" s="326">
        <v>116</v>
      </c>
      <c r="I134" s="326">
        <v>112</v>
      </c>
      <c r="J134" s="326">
        <v>110</v>
      </c>
      <c r="K134" s="326">
        <v>105</v>
      </c>
      <c r="L134" s="326">
        <v>103</v>
      </c>
      <c r="M134" s="326">
        <v>100</v>
      </c>
      <c r="N134" s="326">
        <v>92</v>
      </c>
      <c r="O134" s="326">
        <v>90</v>
      </c>
      <c r="P134" s="326">
        <v>87</v>
      </c>
      <c r="Q134" s="326">
        <v>79</v>
      </c>
      <c r="R134" s="326">
        <v>110.2</v>
      </c>
      <c r="S134" s="9">
        <v>4.1164630650000014E-8</v>
      </c>
      <c r="T134" s="9">
        <f t="shared" ref="T134:T197" si="2">S134*R134</f>
        <v>4.5363422976300016E-6</v>
      </c>
      <c r="U134" s="325" t="s">
        <v>1200</v>
      </c>
    </row>
    <row r="135" spans="1:21" ht="12" customHeight="1">
      <c r="A135" s="329">
        <v>1</v>
      </c>
      <c r="B135" s="159" t="s">
        <v>316</v>
      </c>
      <c r="C135" s="68" t="s">
        <v>95</v>
      </c>
      <c r="D135" s="68" t="s">
        <v>311</v>
      </c>
      <c r="E135" s="330">
        <v>5</v>
      </c>
      <c r="F135" s="326">
        <v>1148</v>
      </c>
      <c r="G135" s="326">
        <v>500</v>
      </c>
      <c r="H135" s="326">
        <v>98</v>
      </c>
      <c r="I135" s="326">
        <v>88</v>
      </c>
      <c r="J135" s="326">
        <v>81</v>
      </c>
      <c r="K135" s="326">
        <v>78</v>
      </c>
      <c r="L135" s="326">
        <v>73</v>
      </c>
      <c r="M135" s="326">
        <v>69</v>
      </c>
      <c r="N135" s="326">
        <v>65</v>
      </c>
      <c r="O135" s="326">
        <v>63</v>
      </c>
      <c r="P135" s="326">
        <v>62</v>
      </c>
      <c r="Q135" s="326">
        <v>55</v>
      </c>
      <c r="R135" s="326">
        <v>81.8</v>
      </c>
      <c r="S135" s="9">
        <v>4.1164630650000014E-8</v>
      </c>
      <c r="T135" s="9">
        <f t="shared" si="2"/>
        <v>3.367266787170001E-6</v>
      </c>
      <c r="U135" s="325" t="s">
        <v>1201</v>
      </c>
    </row>
    <row r="136" spans="1:21" ht="12" customHeight="1">
      <c r="A136" s="329">
        <v>1</v>
      </c>
      <c r="B136" s="159" t="s">
        <v>316</v>
      </c>
      <c r="C136" s="68" t="s">
        <v>95</v>
      </c>
      <c r="D136" s="68" t="s">
        <v>307</v>
      </c>
      <c r="E136" s="330">
        <v>1</v>
      </c>
      <c r="F136" s="326">
        <v>906</v>
      </c>
      <c r="G136" s="326">
        <v>524</v>
      </c>
      <c r="H136" s="326">
        <v>329</v>
      </c>
      <c r="I136" s="326">
        <v>323</v>
      </c>
      <c r="J136" s="326">
        <v>310</v>
      </c>
      <c r="K136" s="326">
        <v>293</v>
      </c>
      <c r="L136" s="326">
        <v>273</v>
      </c>
      <c r="M136" s="326">
        <v>244</v>
      </c>
      <c r="N136" s="326">
        <v>235</v>
      </c>
      <c r="O136" s="326">
        <v>221</v>
      </c>
      <c r="P136" s="326">
        <v>206</v>
      </c>
      <c r="Q136" s="326">
        <v>178</v>
      </c>
      <c r="R136" s="326">
        <v>311.39999999999998</v>
      </c>
      <c r="S136" s="9">
        <v>0</v>
      </c>
      <c r="T136" s="9">
        <f t="shared" si="2"/>
        <v>0</v>
      </c>
      <c r="U136" s="325" t="s">
        <v>1227</v>
      </c>
    </row>
    <row r="137" spans="1:21" ht="12" customHeight="1">
      <c r="A137" s="329">
        <v>1</v>
      </c>
      <c r="B137" s="159" t="s">
        <v>316</v>
      </c>
      <c r="C137" s="68" t="s">
        <v>95</v>
      </c>
      <c r="D137" s="68" t="s">
        <v>307</v>
      </c>
      <c r="E137" s="330">
        <v>2</v>
      </c>
      <c r="F137" s="326">
        <v>1638</v>
      </c>
      <c r="G137" s="326">
        <v>519</v>
      </c>
      <c r="H137" s="326">
        <v>364</v>
      </c>
      <c r="I137" s="326">
        <v>348</v>
      </c>
      <c r="J137" s="326">
        <v>319</v>
      </c>
      <c r="K137" s="326">
        <v>306</v>
      </c>
      <c r="L137" s="326">
        <v>299</v>
      </c>
      <c r="M137" s="326">
        <v>283</v>
      </c>
      <c r="N137" s="326">
        <v>278</v>
      </c>
      <c r="O137" s="326">
        <v>275</v>
      </c>
      <c r="P137" s="326">
        <v>268</v>
      </c>
      <c r="Q137" s="326">
        <v>255</v>
      </c>
      <c r="R137" s="326">
        <v>322.10000000000002</v>
      </c>
      <c r="S137" s="9">
        <v>0</v>
      </c>
      <c r="T137" s="9">
        <f t="shared" si="2"/>
        <v>0</v>
      </c>
      <c r="U137" s="325" t="s">
        <v>1228</v>
      </c>
    </row>
    <row r="138" spans="1:21" ht="12" customHeight="1">
      <c r="A138" s="329">
        <v>1</v>
      </c>
      <c r="B138" s="159" t="s">
        <v>316</v>
      </c>
      <c r="C138" s="68" t="s">
        <v>95</v>
      </c>
      <c r="D138" s="68" t="s">
        <v>307</v>
      </c>
      <c r="E138" s="330">
        <v>3</v>
      </c>
      <c r="F138" s="326">
        <v>906</v>
      </c>
      <c r="G138" s="326">
        <v>524</v>
      </c>
      <c r="H138" s="326">
        <v>318</v>
      </c>
      <c r="I138" s="326">
        <v>306</v>
      </c>
      <c r="J138" s="326">
        <v>294</v>
      </c>
      <c r="K138" s="326">
        <v>287</v>
      </c>
      <c r="L138" s="326">
        <v>284</v>
      </c>
      <c r="M138" s="326">
        <v>276</v>
      </c>
      <c r="N138" s="326">
        <v>271</v>
      </c>
      <c r="O138" s="326">
        <v>258</v>
      </c>
      <c r="P138" s="326">
        <v>247</v>
      </c>
      <c r="Q138" s="326">
        <v>215</v>
      </c>
      <c r="R138" s="326">
        <v>295.3</v>
      </c>
      <c r="S138" s="9">
        <v>0</v>
      </c>
      <c r="T138" s="9">
        <f t="shared" si="2"/>
        <v>0</v>
      </c>
      <c r="U138" s="325" t="s">
        <v>1229</v>
      </c>
    </row>
    <row r="139" spans="1:21" ht="12" customHeight="1">
      <c r="A139" s="329">
        <v>1</v>
      </c>
      <c r="B139" s="159" t="s">
        <v>316</v>
      </c>
      <c r="C139" s="68" t="s">
        <v>95</v>
      </c>
      <c r="D139" s="68" t="s">
        <v>307</v>
      </c>
      <c r="E139" s="330">
        <v>4</v>
      </c>
      <c r="F139" s="326">
        <v>1642</v>
      </c>
      <c r="G139" s="326">
        <v>524</v>
      </c>
      <c r="H139" s="326">
        <v>339</v>
      </c>
      <c r="I139" s="326">
        <v>328</v>
      </c>
      <c r="J139" s="326">
        <v>319</v>
      </c>
      <c r="K139" s="326">
        <v>309</v>
      </c>
      <c r="L139" s="326">
        <v>292</v>
      </c>
      <c r="M139" s="326">
        <v>281</v>
      </c>
      <c r="N139" s="326">
        <v>274</v>
      </c>
      <c r="O139" s="326">
        <v>268</v>
      </c>
      <c r="P139" s="326">
        <v>260</v>
      </c>
      <c r="Q139" s="326">
        <v>251</v>
      </c>
      <c r="R139" s="326">
        <v>320</v>
      </c>
      <c r="S139" s="9">
        <v>0</v>
      </c>
      <c r="T139" s="9">
        <f t="shared" si="2"/>
        <v>0</v>
      </c>
      <c r="U139" s="325" t="s">
        <v>1230</v>
      </c>
    </row>
    <row r="140" spans="1:21" ht="12" customHeight="1">
      <c r="A140" s="329">
        <v>1</v>
      </c>
      <c r="B140" s="159" t="s">
        <v>316</v>
      </c>
      <c r="C140" s="68" t="s">
        <v>95</v>
      </c>
      <c r="D140" s="68" t="s">
        <v>307</v>
      </c>
      <c r="E140" s="330">
        <v>5</v>
      </c>
      <c r="F140" s="326">
        <v>1638</v>
      </c>
      <c r="G140" s="326">
        <v>500</v>
      </c>
      <c r="H140" s="326">
        <v>341</v>
      </c>
      <c r="I140" s="326">
        <v>317</v>
      </c>
      <c r="J140" s="326">
        <v>295</v>
      </c>
      <c r="K140" s="326">
        <v>279</v>
      </c>
      <c r="L140" s="326">
        <v>271</v>
      </c>
      <c r="M140" s="326">
        <v>252</v>
      </c>
      <c r="N140" s="326">
        <v>244</v>
      </c>
      <c r="O140" s="326">
        <v>233</v>
      </c>
      <c r="P140" s="326">
        <v>225</v>
      </c>
      <c r="Q140" s="326">
        <v>220</v>
      </c>
      <c r="R140" s="326">
        <v>297.39999999999998</v>
      </c>
      <c r="S140" s="9">
        <v>0</v>
      </c>
      <c r="T140" s="9">
        <f t="shared" si="2"/>
        <v>0</v>
      </c>
      <c r="U140" s="325" t="s">
        <v>1231</v>
      </c>
    </row>
    <row r="141" spans="1:21" ht="12" customHeight="1">
      <c r="A141" s="327">
        <v>2</v>
      </c>
      <c r="B141" s="159" t="s">
        <v>312</v>
      </c>
      <c r="C141" s="68" t="s">
        <v>96</v>
      </c>
      <c r="D141" s="68" t="s">
        <v>308</v>
      </c>
      <c r="E141" s="321">
        <v>1</v>
      </c>
      <c r="F141" s="322">
        <v>366</v>
      </c>
      <c r="G141" s="322">
        <v>119</v>
      </c>
      <c r="H141" s="322">
        <v>0</v>
      </c>
      <c r="I141" s="322">
        <v>0</v>
      </c>
      <c r="J141" s="322">
        <v>0</v>
      </c>
      <c r="K141" s="322">
        <v>0</v>
      </c>
      <c r="L141" s="322">
        <v>0</v>
      </c>
      <c r="M141" s="322">
        <v>0</v>
      </c>
      <c r="N141" s="322">
        <v>0</v>
      </c>
      <c r="O141" s="322">
        <v>0</v>
      </c>
      <c r="P141" s="322">
        <v>0</v>
      </c>
      <c r="Q141" s="322">
        <v>0</v>
      </c>
      <c r="R141" s="322">
        <v>0</v>
      </c>
      <c r="S141" s="9">
        <v>2.225365578577196E-5</v>
      </c>
      <c r="T141" s="9">
        <f t="shared" si="2"/>
        <v>0</v>
      </c>
      <c r="U141" s="321" t="s">
        <v>722</v>
      </c>
    </row>
    <row r="142" spans="1:21" ht="12" customHeight="1">
      <c r="A142" s="327">
        <v>2</v>
      </c>
      <c r="B142" s="159" t="s">
        <v>312</v>
      </c>
      <c r="C142" s="68" t="s">
        <v>96</v>
      </c>
      <c r="D142" s="68" t="s">
        <v>308</v>
      </c>
      <c r="E142" s="321">
        <v>2</v>
      </c>
      <c r="F142" s="322">
        <v>358</v>
      </c>
      <c r="G142" s="322">
        <v>119</v>
      </c>
      <c r="H142" s="322">
        <v>0</v>
      </c>
      <c r="I142" s="322">
        <v>0</v>
      </c>
      <c r="J142" s="322">
        <v>0</v>
      </c>
      <c r="K142" s="322">
        <v>0</v>
      </c>
      <c r="L142" s="322">
        <v>0</v>
      </c>
      <c r="M142" s="322">
        <v>0</v>
      </c>
      <c r="N142" s="322">
        <v>0</v>
      </c>
      <c r="O142" s="322">
        <v>0</v>
      </c>
      <c r="P142" s="322">
        <v>0</v>
      </c>
      <c r="Q142" s="322">
        <v>0</v>
      </c>
      <c r="R142" s="322">
        <v>0</v>
      </c>
      <c r="S142" s="9">
        <v>2.225365578577196E-5</v>
      </c>
      <c r="T142" s="9">
        <f t="shared" si="2"/>
        <v>0</v>
      </c>
      <c r="U142" s="321" t="s">
        <v>723</v>
      </c>
    </row>
    <row r="143" spans="1:21" ht="12" customHeight="1">
      <c r="A143" s="327">
        <v>2</v>
      </c>
      <c r="B143" s="159" t="s">
        <v>312</v>
      </c>
      <c r="C143" s="68" t="s">
        <v>96</v>
      </c>
      <c r="D143" s="68" t="s">
        <v>308</v>
      </c>
      <c r="E143" s="321">
        <v>3</v>
      </c>
      <c r="F143" s="322">
        <v>376</v>
      </c>
      <c r="G143" s="322">
        <v>119</v>
      </c>
      <c r="H143" s="322">
        <v>0</v>
      </c>
      <c r="I143" s="322">
        <v>0</v>
      </c>
      <c r="J143" s="322">
        <v>0</v>
      </c>
      <c r="K143" s="322">
        <v>0</v>
      </c>
      <c r="L143" s="322">
        <v>0</v>
      </c>
      <c r="M143" s="322">
        <v>0</v>
      </c>
      <c r="N143" s="322">
        <v>0</v>
      </c>
      <c r="O143" s="322">
        <v>0</v>
      </c>
      <c r="P143" s="322">
        <v>0</v>
      </c>
      <c r="Q143" s="322">
        <v>0</v>
      </c>
      <c r="R143" s="322">
        <v>0</v>
      </c>
      <c r="S143" s="9">
        <v>2.225365578577196E-5</v>
      </c>
      <c r="T143" s="9">
        <f t="shared" si="2"/>
        <v>0</v>
      </c>
      <c r="U143" s="321" t="s">
        <v>724</v>
      </c>
    </row>
    <row r="144" spans="1:21" ht="12" customHeight="1">
      <c r="A144" s="327">
        <v>2</v>
      </c>
      <c r="B144" s="159" t="s">
        <v>312</v>
      </c>
      <c r="C144" s="68" t="s">
        <v>96</v>
      </c>
      <c r="D144" s="68" t="s">
        <v>308</v>
      </c>
      <c r="E144" s="321">
        <v>4</v>
      </c>
      <c r="F144" s="322">
        <v>314</v>
      </c>
      <c r="G144" s="322">
        <v>119</v>
      </c>
      <c r="H144" s="322">
        <v>0</v>
      </c>
      <c r="I144" s="322">
        <v>0</v>
      </c>
      <c r="J144" s="322">
        <v>0</v>
      </c>
      <c r="K144" s="322">
        <v>0</v>
      </c>
      <c r="L144" s="322">
        <v>0</v>
      </c>
      <c r="M144" s="322">
        <v>0</v>
      </c>
      <c r="N144" s="322">
        <v>0</v>
      </c>
      <c r="O144" s="322">
        <v>0</v>
      </c>
      <c r="P144" s="322">
        <v>0</v>
      </c>
      <c r="Q144" s="322">
        <v>0</v>
      </c>
      <c r="R144" s="322">
        <v>0</v>
      </c>
      <c r="S144" s="9">
        <v>2.225365578577196E-5</v>
      </c>
      <c r="T144" s="9">
        <f t="shared" si="2"/>
        <v>0</v>
      </c>
      <c r="U144" s="321" t="s">
        <v>725</v>
      </c>
    </row>
    <row r="145" spans="1:21" ht="12" customHeight="1">
      <c r="A145" s="327">
        <v>2</v>
      </c>
      <c r="B145" s="159" t="s">
        <v>312</v>
      </c>
      <c r="C145" s="68" t="s">
        <v>96</v>
      </c>
      <c r="D145" s="68" t="s">
        <v>308</v>
      </c>
      <c r="E145" s="321">
        <v>5</v>
      </c>
      <c r="F145" s="322">
        <v>316</v>
      </c>
      <c r="G145" s="322">
        <v>119</v>
      </c>
      <c r="H145" s="322">
        <v>0</v>
      </c>
      <c r="I145" s="322">
        <v>0</v>
      </c>
      <c r="J145" s="322">
        <v>0</v>
      </c>
      <c r="K145" s="322">
        <v>0</v>
      </c>
      <c r="L145" s="322">
        <v>0</v>
      </c>
      <c r="M145" s="322">
        <v>0</v>
      </c>
      <c r="N145" s="322">
        <v>0</v>
      </c>
      <c r="O145" s="322">
        <v>0</v>
      </c>
      <c r="P145" s="322">
        <v>0</v>
      </c>
      <c r="Q145" s="322">
        <v>0</v>
      </c>
      <c r="R145" s="322">
        <v>0</v>
      </c>
      <c r="S145" s="9">
        <v>2.225365578577196E-5</v>
      </c>
      <c r="T145" s="9">
        <f t="shared" si="2"/>
        <v>0</v>
      </c>
      <c r="U145" s="321" t="s">
        <v>726</v>
      </c>
    </row>
    <row r="146" spans="1:21" ht="12" customHeight="1">
      <c r="A146" s="327">
        <v>2</v>
      </c>
      <c r="B146" s="159" t="s">
        <v>312</v>
      </c>
      <c r="C146" s="68" t="s">
        <v>96</v>
      </c>
      <c r="D146" s="68" t="s">
        <v>310</v>
      </c>
      <c r="E146" s="321">
        <v>1</v>
      </c>
      <c r="F146" s="322">
        <v>314</v>
      </c>
      <c r="G146" s="322">
        <v>119</v>
      </c>
      <c r="H146" s="322">
        <v>0</v>
      </c>
      <c r="I146" s="322">
        <v>0</v>
      </c>
      <c r="J146" s="322">
        <v>0</v>
      </c>
      <c r="K146" s="322">
        <v>0</v>
      </c>
      <c r="L146" s="322">
        <v>0</v>
      </c>
      <c r="M146" s="322">
        <v>0</v>
      </c>
      <c r="N146" s="322">
        <v>0</v>
      </c>
      <c r="O146" s="322">
        <v>0</v>
      </c>
      <c r="P146" s="322">
        <v>0</v>
      </c>
      <c r="Q146" s="322">
        <v>0</v>
      </c>
      <c r="R146" s="322">
        <v>0</v>
      </c>
      <c r="S146" s="9">
        <v>2.2253455502669612E-5</v>
      </c>
      <c r="T146" s="9">
        <f t="shared" si="2"/>
        <v>0</v>
      </c>
      <c r="U146" s="321" t="s">
        <v>752</v>
      </c>
    </row>
    <row r="147" spans="1:21" ht="12" customHeight="1">
      <c r="A147" s="327">
        <v>2</v>
      </c>
      <c r="B147" s="159" t="s">
        <v>312</v>
      </c>
      <c r="C147" s="68" t="s">
        <v>96</v>
      </c>
      <c r="D147" s="68" t="s">
        <v>310</v>
      </c>
      <c r="E147" s="321">
        <v>2</v>
      </c>
      <c r="F147" s="322">
        <v>378</v>
      </c>
      <c r="G147" s="322">
        <v>119</v>
      </c>
      <c r="H147" s="322">
        <v>0</v>
      </c>
      <c r="I147" s="322">
        <v>0</v>
      </c>
      <c r="J147" s="322">
        <v>0</v>
      </c>
      <c r="K147" s="322">
        <v>0</v>
      </c>
      <c r="L147" s="322">
        <v>0</v>
      </c>
      <c r="M147" s="322">
        <v>0</v>
      </c>
      <c r="N147" s="322">
        <v>0</v>
      </c>
      <c r="O147" s="322">
        <v>0</v>
      </c>
      <c r="P147" s="322">
        <v>0</v>
      </c>
      <c r="Q147" s="322">
        <v>0</v>
      </c>
      <c r="R147" s="322">
        <v>0</v>
      </c>
      <c r="S147" s="9">
        <v>2.2253455502669612E-5</v>
      </c>
      <c r="T147" s="9">
        <f t="shared" si="2"/>
        <v>0</v>
      </c>
      <c r="U147" s="321" t="s">
        <v>753</v>
      </c>
    </row>
    <row r="148" spans="1:21" ht="12" customHeight="1">
      <c r="A148" s="327">
        <v>2</v>
      </c>
      <c r="B148" s="159" t="s">
        <v>312</v>
      </c>
      <c r="C148" s="68" t="s">
        <v>96</v>
      </c>
      <c r="D148" s="68" t="s">
        <v>310</v>
      </c>
      <c r="E148" s="321">
        <v>3</v>
      </c>
      <c r="F148" s="322">
        <v>328</v>
      </c>
      <c r="G148" s="322">
        <v>119</v>
      </c>
      <c r="H148" s="322">
        <v>0</v>
      </c>
      <c r="I148" s="322">
        <v>0</v>
      </c>
      <c r="J148" s="322">
        <v>0</v>
      </c>
      <c r="K148" s="322">
        <v>0</v>
      </c>
      <c r="L148" s="322">
        <v>0</v>
      </c>
      <c r="M148" s="322">
        <v>0</v>
      </c>
      <c r="N148" s="322">
        <v>0</v>
      </c>
      <c r="O148" s="322">
        <v>0</v>
      </c>
      <c r="P148" s="322">
        <v>0</v>
      </c>
      <c r="Q148" s="322">
        <v>0</v>
      </c>
      <c r="R148" s="322">
        <v>0</v>
      </c>
      <c r="S148" s="9">
        <v>2.2253455502669612E-5</v>
      </c>
      <c r="T148" s="9">
        <f t="shared" si="2"/>
        <v>0</v>
      </c>
      <c r="U148" s="321" t="s">
        <v>754</v>
      </c>
    </row>
    <row r="149" spans="1:21" ht="12" customHeight="1">
      <c r="A149" s="327">
        <v>2</v>
      </c>
      <c r="B149" s="159" t="s">
        <v>312</v>
      </c>
      <c r="C149" s="68" t="s">
        <v>96</v>
      </c>
      <c r="D149" s="68" t="s">
        <v>310</v>
      </c>
      <c r="E149" s="321">
        <v>4</v>
      </c>
      <c r="F149" s="322">
        <v>314</v>
      </c>
      <c r="G149" s="322">
        <v>119</v>
      </c>
      <c r="H149" s="322">
        <v>0</v>
      </c>
      <c r="I149" s="322">
        <v>0</v>
      </c>
      <c r="J149" s="322">
        <v>0</v>
      </c>
      <c r="K149" s="322">
        <v>0</v>
      </c>
      <c r="L149" s="322">
        <v>0</v>
      </c>
      <c r="M149" s="322">
        <v>0</v>
      </c>
      <c r="N149" s="322">
        <v>0</v>
      </c>
      <c r="O149" s="322">
        <v>0</v>
      </c>
      <c r="P149" s="322">
        <v>0</v>
      </c>
      <c r="Q149" s="322">
        <v>0</v>
      </c>
      <c r="R149" s="322">
        <v>0</v>
      </c>
      <c r="S149" s="9">
        <v>2.2253455502669612E-5</v>
      </c>
      <c r="T149" s="9">
        <f t="shared" si="2"/>
        <v>0</v>
      </c>
      <c r="U149" s="321" t="s">
        <v>755</v>
      </c>
    </row>
    <row r="150" spans="1:21" ht="12" customHeight="1">
      <c r="A150" s="327">
        <v>2</v>
      </c>
      <c r="B150" s="159" t="s">
        <v>312</v>
      </c>
      <c r="C150" s="68" t="s">
        <v>96</v>
      </c>
      <c r="D150" s="68" t="s">
        <v>310</v>
      </c>
      <c r="E150" s="321">
        <v>5</v>
      </c>
      <c r="F150" s="322">
        <v>308</v>
      </c>
      <c r="G150" s="322">
        <v>119</v>
      </c>
      <c r="H150" s="322">
        <v>0</v>
      </c>
      <c r="I150" s="322">
        <v>0</v>
      </c>
      <c r="J150" s="322">
        <v>0</v>
      </c>
      <c r="K150" s="322">
        <v>0</v>
      </c>
      <c r="L150" s="322">
        <v>0</v>
      </c>
      <c r="M150" s="322">
        <v>0</v>
      </c>
      <c r="N150" s="322">
        <v>0</v>
      </c>
      <c r="O150" s="322">
        <v>0</v>
      </c>
      <c r="P150" s="322">
        <v>0</v>
      </c>
      <c r="Q150" s="322">
        <v>0</v>
      </c>
      <c r="R150" s="322">
        <v>0</v>
      </c>
      <c r="S150" s="9">
        <v>2.2253455502669612E-5</v>
      </c>
      <c r="T150" s="9">
        <f t="shared" si="2"/>
        <v>0</v>
      </c>
      <c r="U150" s="321" t="s">
        <v>756</v>
      </c>
    </row>
    <row r="151" spans="1:21" ht="12" customHeight="1">
      <c r="A151" s="327">
        <v>2</v>
      </c>
      <c r="B151" s="159" t="s">
        <v>312</v>
      </c>
      <c r="C151" s="68" t="s">
        <v>96</v>
      </c>
      <c r="D151" s="68" t="s">
        <v>309</v>
      </c>
      <c r="E151" s="321">
        <v>1</v>
      </c>
      <c r="F151" s="322">
        <v>324</v>
      </c>
      <c r="G151" s="322">
        <v>119</v>
      </c>
      <c r="H151" s="322">
        <v>0</v>
      </c>
      <c r="I151" s="322">
        <v>0</v>
      </c>
      <c r="J151" s="322">
        <v>0</v>
      </c>
      <c r="K151" s="322">
        <v>0</v>
      </c>
      <c r="L151" s="322">
        <v>0</v>
      </c>
      <c r="M151" s="322">
        <v>0</v>
      </c>
      <c r="N151" s="322">
        <v>0</v>
      </c>
      <c r="O151" s="322">
        <v>0</v>
      </c>
      <c r="P151" s="322">
        <v>0</v>
      </c>
      <c r="Q151" s="322">
        <v>0</v>
      </c>
      <c r="R151" s="322">
        <v>0</v>
      </c>
      <c r="S151" s="9">
        <v>2.225365578577196E-5</v>
      </c>
      <c r="T151" s="9">
        <f t="shared" si="2"/>
        <v>0</v>
      </c>
      <c r="U151" s="321" t="s">
        <v>782</v>
      </c>
    </row>
    <row r="152" spans="1:21" ht="12" customHeight="1">
      <c r="A152" s="327">
        <v>2</v>
      </c>
      <c r="B152" s="159" t="s">
        <v>312</v>
      </c>
      <c r="C152" s="68" t="s">
        <v>96</v>
      </c>
      <c r="D152" s="68" t="s">
        <v>309</v>
      </c>
      <c r="E152" s="321">
        <v>2</v>
      </c>
      <c r="F152" s="322">
        <v>344</v>
      </c>
      <c r="G152" s="322">
        <v>119</v>
      </c>
      <c r="H152" s="322">
        <v>0</v>
      </c>
      <c r="I152" s="322">
        <v>0</v>
      </c>
      <c r="J152" s="322">
        <v>0</v>
      </c>
      <c r="K152" s="322">
        <v>0</v>
      </c>
      <c r="L152" s="322">
        <v>0</v>
      </c>
      <c r="M152" s="322">
        <v>0</v>
      </c>
      <c r="N152" s="322">
        <v>0</v>
      </c>
      <c r="O152" s="322">
        <v>0</v>
      </c>
      <c r="P152" s="322">
        <v>0</v>
      </c>
      <c r="Q152" s="322">
        <v>0</v>
      </c>
      <c r="R152" s="322">
        <v>0</v>
      </c>
      <c r="S152" s="9">
        <v>2.225365578577196E-5</v>
      </c>
      <c r="T152" s="9">
        <f t="shared" si="2"/>
        <v>0</v>
      </c>
      <c r="U152" s="321" t="s">
        <v>783</v>
      </c>
    </row>
    <row r="153" spans="1:21" ht="12" customHeight="1">
      <c r="A153" s="327">
        <v>2</v>
      </c>
      <c r="B153" s="159" t="s">
        <v>312</v>
      </c>
      <c r="C153" s="68" t="s">
        <v>96</v>
      </c>
      <c r="D153" s="68" t="s">
        <v>309</v>
      </c>
      <c r="E153" s="321">
        <v>3</v>
      </c>
      <c r="F153" s="322">
        <v>314</v>
      </c>
      <c r="G153" s="322">
        <v>119</v>
      </c>
      <c r="H153" s="322">
        <v>0</v>
      </c>
      <c r="I153" s="322">
        <v>0</v>
      </c>
      <c r="J153" s="322">
        <v>0</v>
      </c>
      <c r="K153" s="322">
        <v>0</v>
      </c>
      <c r="L153" s="322">
        <v>0</v>
      </c>
      <c r="M153" s="322">
        <v>0</v>
      </c>
      <c r="N153" s="322">
        <v>0</v>
      </c>
      <c r="O153" s="322">
        <v>0</v>
      </c>
      <c r="P153" s="322">
        <v>0</v>
      </c>
      <c r="Q153" s="322">
        <v>0</v>
      </c>
      <c r="R153" s="322">
        <v>0</v>
      </c>
      <c r="S153" s="9">
        <v>2.225365578577196E-5</v>
      </c>
      <c r="T153" s="9">
        <f t="shared" si="2"/>
        <v>0</v>
      </c>
      <c r="U153" s="321" t="s">
        <v>784</v>
      </c>
    </row>
    <row r="154" spans="1:21" ht="12" customHeight="1">
      <c r="A154" s="327">
        <v>2</v>
      </c>
      <c r="B154" s="159" t="s">
        <v>312</v>
      </c>
      <c r="C154" s="68" t="s">
        <v>96</v>
      </c>
      <c r="D154" s="68" t="s">
        <v>309</v>
      </c>
      <c r="E154" s="321">
        <v>4</v>
      </c>
      <c r="F154" s="322">
        <v>308</v>
      </c>
      <c r="G154" s="322">
        <v>119</v>
      </c>
      <c r="H154" s="322">
        <v>0</v>
      </c>
      <c r="I154" s="322">
        <v>0</v>
      </c>
      <c r="J154" s="322">
        <v>0</v>
      </c>
      <c r="K154" s="322">
        <v>0</v>
      </c>
      <c r="L154" s="322">
        <v>0</v>
      </c>
      <c r="M154" s="322">
        <v>0</v>
      </c>
      <c r="N154" s="322">
        <v>0</v>
      </c>
      <c r="O154" s="322">
        <v>0</v>
      </c>
      <c r="P154" s="322">
        <v>0</v>
      </c>
      <c r="Q154" s="322">
        <v>0</v>
      </c>
      <c r="R154" s="322">
        <v>0</v>
      </c>
      <c r="S154" s="9">
        <v>2.225365578577196E-5</v>
      </c>
      <c r="T154" s="9">
        <f t="shared" si="2"/>
        <v>0</v>
      </c>
      <c r="U154" s="321" t="s">
        <v>785</v>
      </c>
    </row>
    <row r="155" spans="1:21" ht="12" customHeight="1">
      <c r="A155" s="327">
        <v>2</v>
      </c>
      <c r="B155" s="159" t="s">
        <v>312</v>
      </c>
      <c r="C155" s="68" t="s">
        <v>96</v>
      </c>
      <c r="D155" s="68" t="s">
        <v>309</v>
      </c>
      <c r="E155" s="321">
        <v>5</v>
      </c>
      <c r="F155" s="322">
        <v>314</v>
      </c>
      <c r="G155" s="322">
        <v>119</v>
      </c>
      <c r="H155" s="322">
        <v>0</v>
      </c>
      <c r="I155" s="322">
        <v>0</v>
      </c>
      <c r="J155" s="322">
        <v>0</v>
      </c>
      <c r="K155" s="322">
        <v>0</v>
      </c>
      <c r="L155" s="322">
        <v>0</v>
      </c>
      <c r="M155" s="322">
        <v>0</v>
      </c>
      <c r="N155" s="322">
        <v>0</v>
      </c>
      <c r="O155" s="322">
        <v>0</v>
      </c>
      <c r="P155" s="322">
        <v>0</v>
      </c>
      <c r="Q155" s="322">
        <v>0</v>
      </c>
      <c r="R155" s="322">
        <v>0</v>
      </c>
      <c r="S155" s="9">
        <v>2.225365578577196E-5</v>
      </c>
      <c r="T155" s="9">
        <f t="shared" si="2"/>
        <v>0</v>
      </c>
      <c r="U155" s="321" t="s">
        <v>786</v>
      </c>
    </row>
    <row r="156" spans="1:21" ht="12" customHeight="1">
      <c r="A156" s="327">
        <v>2</v>
      </c>
      <c r="B156" s="159" t="s">
        <v>312</v>
      </c>
      <c r="C156" s="68" t="s">
        <v>96</v>
      </c>
      <c r="D156" s="68" t="s">
        <v>307</v>
      </c>
      <c r="E156" s="321">
        <v>1</v>
      </c>
      <c r="F156" s="322">
        <v>322</v>
      </c>
      <c r="G156" s="322">
        <v>119</v>
      </c>
      <c r="H156" s="322">
        <v>0</v>
      </c>
      <c r="I156" s="322">
        <v>0</v>
      </c>
      <c r="J156" s="322">
        <v>0</v>
      </c>
      <c r="K156" s="322">
        <v>0</v>
      </c>
      <c r="L156" s="322">
        <v>0</v>
      </c>
      <c r="M156" s="322">
        <v>0</v>
      </c>
      <c r="N156" s="322">
        <v>0</v>
      </c>
      <c r="O156" s="322">
        <v>0</v>
      </c>
      <c r="P156" s="322">
        <v>0</v>
      </c>
      <c r="Q156" s="322">
        <v>0</v>
      </c>
      <c r="R156" s="322">
        <v>0</v>
      </c>
      <c r="S156" s="9">
        <v>6.0084930706515009E-4</v>
      </c>
      <c r="T156" s="9">
        <f t="shared" si="2"/>
        <v>0</v>
      </c>
      <c r="U156" s="321" t="s">
        <v>812</v>
      </c>
    </row>
    <row r="157" spans="1:21" ht="12" customHeight="1">
      <c r="A157" s="327">
        <v>2</v>
      </c>
      <c r="B157" s="159" t="s">
        <v>312</v>
      </c>
      <c r="C157" s="68" t="s">
        <v>96</v>
      </c>
      <c r="D157" s="68" t="s">
        <v>307</v>
      </c>
      <c r="E157" s="321">
        <v>2</v>
      </c>
      <c r="F157" s="322">
        <v>350</v>
      </c>
      <c r="G157" s="322">
        <v>119</v>
      </c>
      <c r="H157" s="322">
        <v>0</v>
      </c>
      <c r="I157" s="322">
        <v>0</v>
      </c>
      <c r="J157" s="322">
        <v>0</v>
      </c>
      <c r="K157" s="322">
        <v>0</v>
      </c>
      <c r="L157" s="322">
        <v>0</v>
      </c>
      <c r="M157" s="322">
        <v>0</v>
      </c>
      <c r="N157" s="322">
        <v>0</v>
      </c>
      <c r="O157" s="322">
        <v>0</v>
      </c>
      <c r="P157" s="322">
        <v>0</v>
      </c>
      <c r="Q157" s="322">
        <v>0</v>
      </c>
      <c r="R157" s="322">
        <v>0</v>
      </c>
      <c r="S157" s="9">
        <v>6.0084930706515009E-4</v>
      </c>
      <c r="T157" s="9">
        <f t="shared" si="2"/>
        <v>0</v>
      </c>
      <c r="U157" s="321" t="s">
        <v>813</v>
      </c>
    </row>
    <row r="158" spans="1:21" ht="12" customHeight="1">
      <c r="A158" s="327">
        <v>2</v>
      </c>
      <c r="B158" s="159" t="s">
        <v>312</v>
      </c>
      <c r="C158" s="68" t="s">
        <v>96</v>
      </c>
      <c r="D158" s="68" t="s">
        <v>307</v>
      </c>
      <c r="E158" s="321">
        <v>3</v>
      </c>
      <c r="F158" s="322">
        <v>346</v>
      </c>
      <c r="G158" s="322">
        <v>119</v>
      </c>
      <c r="H158" s="322">
        <v>0</v>
      </c>
      <c r="I158" s="322">
        <v>0</v>
      </c>
      <c r="J158" s="322">
        <v>0</v>
      </c>
      <c r="K158" s="322">
        <v>0</v>
      </c>
      <c r="L158" s="322">
        <v>0</v>
      </c>
      <c r="M158" s="322">
        <v>0</v>
      </c>
      <c r="N158" s="322">
        <v>0</v>
      </c>
      <c r="O158" s="322">
        <v>0</v>
      </c>
      <c r="P158" s="322">
        <v>0</v>
      </c>
      <c r="Q158" s="322">
        <v>0</v>
      </c>
      <c r="R158" s="322">
        <v>0</v>
      </c>
      <c r="S158" s="9">
        <v>6.0084930706515009E-4</v>
      </c>
      <c r="T158" s="9">
        <f t="shared" si="2"/>
        <v>0</v>
      </c>
      <c r="U158" s="321" t="s">
        <v>814</v>
      </c>
    </row>
    <row r="159" spans="1:21" ht="12" customHeight="1">
      <c r="A159" s="327">
        <v>2</v>
      </c>
      <c r="B159" s="159" t="s">
        <v>312</v>
      </c>
      <c r="C159" s="68" t="s">
        <v>96</v>
      </c>
      <c r="D159" s="68" t="s">
        <v>307</v>
      </c>
      <c r="E159" s="321">
        <v>4</v>
      </c>
      <c r="F159" s="322">
        <v>338</v>
      </c>
      <c r="G159" s="322">
        <v>119</v>
      </c>
      <c r="H159" s="322">
        <v>0</v>
      </c>
      <c r="I159" s="322">
        <v>0</v>
      </c>
      <c r="J159" s="322">
        <v>0</v>
      </c>
      <c r="K159" s="322">
        <v>0</v>
      </c>
      <c r="L159" s="322">
        <v>0</v>
      </c>
      <c r="M159" s="322">
        <v>0</v>
      </c>
      <c r="N159" s="322">
        <v>0</v>
      </c>
      <c r="O159" s="322">
        <v>0</v>
      </c>
      <c r="P159" s="322">
        <v>0</v>
      </c>
      <c r="Q159" s="322">
        <v>0</v>
      </c>
      <c r="R159" s="322">
        <v>0</v>
      </c>
      <c r="S159" s="9">
        <v>6.0084930706515009E-4</v>
      </c>
      <c r="T159" s="9">
        <f t="shared" si="2"/>
        <v>0</v>
      </c>
      <c r="U159" s="321" t="s">
        <v>815</v>
      </c>
    </row>
    <row r="160" spans="1:21" ht="12" customHeight="1">
      <c r="A160" s="327">
        <v>2</v>
      </c>
      <c r="B160" s="159" t="s">
        <v>312</v>
      </c>
      <c r="C160" s="68" t="s">
        <v>96</v>
      </c>
      <c r="D160" s="68" t="s">
        <v>307</v>
      </c>
      <c r="E160" s="321">
        <v>5</v>
      </c>
      <c r="F160" s="322">
        <v>336</v>
      </c>
      <c r="G160" s="322">
        <v>119</v>
      </c>
      <c r="H160" s="322">
        <v>0</v>
      </c>
      <c r="I160" s="322">
        <v>0</v>
      </c>
      <c r="J160" s="322">
        <v>0</v>
      </c>
      <c r="K160" s="322">
        <v>0</v>
      </c>
      <c r="L160" s="322">
        <v>0</v>
      </c>
      <c r="M160" s="322">
        <v>0</v>
      </c>
      <c r="N160" s="322">
        <v>0</v>
      </c>
      <c r="O160" s="322">
        <v>0</v>
      </c>
      <c r="P160" s="322">
        <v>0</v>
      </c>
      <c r="Q160" s="322">
        <v>0</v>
      </c>
      <c r="R160" s="322">
        <v>0</v>
      </c>
      <c r="S160" s="9">
        <v>6.0084930706515009E-4</v>
      </c>
      <c r="T160" s="9">
        <f t="shared" si="2"/>
        <v>0</v>
      </c>
      <c r="U160" s="321" t="s">
        <v>816</v>
      </c>
    </row>
    <row r="161" spans="1:21" ht="12" customHeight="1">
      <c r="A161" s="327">
        <v>2</v>
      </c>
      <c r="B161" s="159" t="s">
        <v>312</v>
      </c>
      <c r="C161" s="68" t="s">
        <v>95</v>
      </c>
      <c r="D161" s="68" t="s">
        <v>308</v>
      </c>
      <c r="E161" s="321">
        <v>1</v>
      </c>
      <c r="F161" s="322">
        <v>836</v>
      </c>
      <c r="G161" s="322">
        <v>525</v>
      </c>
      <c r="H161" s="322">
        <v>0</v>
      </c>
      <c r="I161" s="322">
        <v>0</v>
      </c>
      <c r="J161" s="322">
        <v>0</v>
      </c>
      <c r="K161" s="322">
        <v>0</v>
      </c>
      <c r="L161" s="322">
        <v>0</v>
      </c>
      <c r="M161" s="322">
        <v>0</v>
      </c>
      <c r="N161" s="322">
        <v>0</v>
      </c>
      <c r="O161" s="322">
        <v>0</v>
      </c>
      <c r="P161" s="322">
        <v>0</v>
      </c>
      <c r="Q161" s="322">
        <v>0</v>
      </c>
      <c r="R161" s="322">
        <v>0</v>
      </c>
      <c r="S161" s="9">
        <v>2.247844018764845E-7</v>
      </c>
      <c r="T161" s="9">
        <f t="shared" si="2"/>
        <v>0</v>
      </c>
      <c r="U161" s="321" t="s">
        <v>572</v>
      </c>
    </row>
    <row r="162" spans="1:21" ht="12" customHeight="1">
      <c r="A162" s="327">
        <v>2</v>
      </c>
      <c r="B162" s="159" t="s">
        <v>312</v>
      </c>
      <c r="C162" s="68" t="s">
        <v>95</v>
      </c>
      <c r="D162" s="68" t="s">
        <v>308</v>
      </c>
      <c r="E162" s="321">
        <v>2</v>
      </c>
      <c r="F162" s="322">
        <v>802</v>
      </c>
      <c r="G162" s="322">
        <v>524</v>
      </c>
      <c r="H162" s="322">
        <v>0</v>
      </c>
      <c r="I162" s="322">
        <v>0</v>
      </c>
      <c r="J162" s="322">
        <v>0</v>
      </c>
      <c r="K162" s="322">
        <v>0</v>
      </c>
      <c r="L162" s="322">
        <v>0</v>
      </c>
      <c r="M162" s="322">
        <v>0</v>
      </c>
      <c r="N162" s="322">
        <v>0</v>
      </c>
      <c r="O162" s="322">
        <v>0</v>
      </c>
      <c r="P162" s="322">
        <v>0</v>
      </c>
      <c r="Q162" s="322">
        <v>0</v>
      </c>
      <c r="R162" s="322">
        <v>0</v>
      </c>
      <c r="S162" s="9">
        <v>2.247844018764845E-7</v>
      </c>
      <c r="T162" s="9">
        <f t="shared" si="2"/>
        <v>0</v>
      </c>
      <c r="U162" s="321" t="s">
        <v>573</v>
      </c>
    </row>
    <row r="163" spans="1:21" ht="12" customHeight="1">
      <c r="A163" s="327">
        <v>2</v>
      </c>
      <c r="B163" s="159" t="s">
        <v>312</v>
      </c>
      <c r="C163" s="68" t="s">
        <v>95</v>
      </c>
      <c r="D163" s="68" t="s">
        <v>308</v>
      </c>
      <c r="E163" s="321">
        <v>3</v>
      </c>
      <c r="F163" s="322">
        <v>858</v>
      </c>
      <c r="G163" s="322">
        <v>524</v>
      </c>
      <c r="H163" s="322">
        <v>0</v>
      </c>
      <c r="I163" s="322">
        <v>0</v>
      </c>
      <c r="J163" s="322">
        <v>0</v>
      </c>
      <c r="K163" s="322">
        <v>0</v>
      </c>
      <c r="L163" s="322">
        <v>0</v>
      </c>
      <c r="M163" s="322">
        <v>0</v>
      </c>
      <c r="N163" s="322">
        <v>0</v>
      </c>
      <c r="O163" s="322">
        <v>0</v>
      </c>
      <c r="P163" s="322">
        <v>0</v>
      </c>
      <c r="Q163" s="322">
        <v>0</v>
      </c>
      <c r="R163" s="322">
        <v>0</v>
      </c>
      <c r="S163" s="9">
        <v>2.247844018764845E-7</v>
      </c>
      <c r="T163" s="9">
        <f t="shared" si="2"/>
        <v>0</v>
      </c>
      <c r="U163" s="321" t="s">
        <v>574</v>
      </c>
    </row>
    <row r="164" spans="1:21" ht="12" customHeight="1">
      <c r="A164" s="327">
        <v>2</v>
      </c>
      <c r="B164" s="159" t="s">
        <v>312</v>
      </c>
      <c r="C164" s="68" t="s">
        <v>95</v>
      </c>
      <c r="D164" s="68" t="s">
        <v>308</v>
      </c>
      <c r="E164" s="321">
        <v>4</v>
      </c>
      <c r="F164" s="322">
        <v>790</v>
      </c>
      <c r="G164" s="322">
        <v>520</v>
      </c>
      <c r="H164" s="322">
        <v>0</v>
      </c>
      <c r="I164" s="322">
        <v>0</v>
      </c>
      <c r="J164" s="322">
        <v>0</v>
      </c>
      <c r="K164" s="322">
        <v>0</v>
      </c>
      <c r="L164" s="322">
        <v>0</v>
      </c>
      <c r="M164" s="322">
        <v>0</v>
      </c>
      <c r="N164" s="322">
        <v>0</v>
      </c>
      <c r="O164" s="322">
        <v>0</v>
      </c>
      <c r="P164" s="322">
        <v>0</v>
      </c>
      <c r="Q164" s="322">
        <v>0</v>
      </c>
      <c r="R164" s="322">
        <v>0</v>
      </c>
      <c r="S164" s="9">
        <v>2.247844018764845E-7</v>
      </c>
      <c r="T164" s="9">
        <f t="shared" si="2"/>
        <v>0</v>
      </c>
      <c r="U164" s="321" t="s">
        <v>575</v>
      </c>
    </row>
    <row r="165" spans="1:21" ht="12" customHeight="1">
      <c r="A165" s="327">
        <v>2</v>
      </c>
      <c r="B165" s="159" t="s">
        <v>312</v>
      </c>
      <c r="C165" s="68" t="s">
        <v>95</v>
      </c>
      <c r="D165" s="68" t="s">
        <v>308</v>
      </c>
      <c r="E165" s="321">
        <v>5</v>
      </c>
      <c r="F165" s="322">
        <v>840</v>
      </c>
      <c r="G165" s="322">
        <v>524</v>
      </c>
      <c r="H165" s="322">
        <v>0</v>
      </c>
      <c r="I165" s="322">
        <v>0</v>
      </c>
      <c r="J165" s="322">
        <v>0</v>
      </c>
      <c r="K165" s="322">
        <v>0</v>
      </c>
      <c r="L165" s="322">
        <v>0</v>
      </c>
      <c r="M165" s="322">
        <v>0</v>
      </c>
      <c r="N165" s="322">
        <v>0</v>
      </c>
      <c r="O165" s="322">
        <v>0</v>
      </c>
      <c r="P165" s="322">
        <v>0</v>
      </c>
      <c r="Q165" s="322">
        <v>0</v>
      </c>
      <c r="R165" s="322">
        <v>0</v>
      </c>
      <c r="S165" s="9">
        <v>2.247844018764845E-7</v>
      </c>
      <c r="T165" s="9">
        <f t="shared" si="2"/>
        <v>0</v>
      </c>
      <c r="U165" s="321" t="s">
        <v>576</v>
      </c>
    </row>
    <row r="166" spans="1:21" ht="12" customHeight="1">
      <c r="A166" s="327">
        <v>2</v>
      </c>
      <c r="B166" s="159" t="s">
        <v>312</v>
      </c>
      <c r="C166" s="68" t="s">
        <v>95</v>
      </c>
      <c r="D166" s="68" t="s">
        <v>310</v>
      </c>
      <c r="E166" s="321">
        <v>1</v>
      </c>
      <c r="F166" s="322">
        <v>816</v>
      </c>
      <c r="G166" s="322">
        <v>524</v>
      </c>
      <c r="H166" s="322">
        <v>0</v>
      </c>
      <c r="I166" s="322">
        <v>0</v>
      </c>
      <c r="J166" s="322">
        <v>0</v>
      </c>
      <c r="K166" s="322">
        <v>0</v>
      </c>
      <c r="L166" s="322">
        <v>0</v>
      </c>
      <c r="M166" s="322">
        <v>0</v>
      </c>
      <c r="N166" s="322">
        <v>0</v>
      </c>
      <c r="O166" s="322">
        <v>0</v>
      </c>
      <c r="P166" s="322">
        <v>0</v>
      </c>
      <c r="Q166" s="322">
        <v>0</v>
      </c>
      <c r="R166" s="322">
        <v>0</v>
      </c>
      <c r="S166" s="9">
        <v>2.2478237881484456E-7</v>
      </c>
      <c r="T166" s="9">
        <f t="shared" si="2"/>
        <v>0</v>
      </c>
      <c r="U166" s="321" t="s">
        <v>602</v>
      </c>
    </row>
    <row r="167" spans="1:21" ht="12" customHeight="1">
      <c r="A167" s="327">
        <v>2</v>
      </c>
      <c r="B167" s="159" t="s">
        <v>312</v>
      </c>
      <c r="C167" s="68" t="s">
        <v>95</v>
      </c>
      <c r="D167" s="68" t="s">
        <v>310</v>
      </c>
      <c r="E167" s="321">
        <v>2</v>
      </c>
      <c r="F167" s="322">
        <v>764</v>
      </c>
      <c r="G167" s="322">
        <v>519</v>
      </c>
      <c r="H167" s="322">
        <v>0</v>
      </c>
      <c r="I167" s="322">
        <v>0</v>
      </c>
      <c r="J167" s="322">
        <v>0</v>
      </c>
      <c r="K167" s="322">
        <v>0</v>
      </c>
      <c r="L167" s="322">
        <v>0</v>
      </c>
      <c r="M167" s="322">
        <v>0</v>
      </c>
      <c r="N167" s="322">
        <v>0</v>
      </c>
      <c r="O167" s="322">
        <v>0</v>
      </c>
      <c r="P167" s="322">
        <v>0</v>
      </c>
      <c r="Q167" s="322">
        <v>0</v>
      </c>
      <c r="R167" s="322">
        <v>0</v>
      </c>
      <c r="S167" s="9">
        <v>2.2478237881484456E-7</v>
      </c>
      <c r="T167" s="9">
        <f t="shared" si="2"/>
        <v>0</v>
      </c>
      <c r="U167" s="321" t="s">
        <v>603</v>
      </c>
    </row>
    <row r="168" spans="1:21" ht="12" customHeight="1">
      <c r="A168" s="327">
        <v>2</v>
      </c>
      <c r="B168" s="159" t="s">
        <v>312</v>
      </c>
      <c r="C168" s="68" t="s">
        <v>95</v>
      </c>
      <c r="D168" s="68" t="s">
        <v>310</v>
      </c>
      <c r="E168" s="321">
        <v>3</v>
      </c>
      <c r="F168" s="322">
        <v>748</v>
      </c>
      <c r="G168" s="322">
        <v>524</v>
      </c>
      <c r="H168" s="322">
        <v>0</v>
      </c>
      <c r="I168" s="322">
        <v>0</v>
      </c>
      <c r="J168" s="322">
        <v>0</v>
      </c>
      <c r="K168" s="322">
        <v>0</v>
      </c>
      <c r="L168" s="322">
        <v>0</v>
      </c>
      <c r="M168" s="322">
        <v>0</v>
      </c>
      <c r="N168" s="322">
        <v>0</v>
      </c>
      <c r="O168" s="322">
        <v>0</v>
      </c>
      <c r="P168" s="322">
        <v>0</v>
      </c>
      <c r="Q168" s="322">
        <v>0</v>
      </c>
      <c r="R168" s="322">
        <v>0</v>
      </c>
      <c r="S168" s="9">
        <v>2.2478237881484456E-7</v>
      </c>
      <c r="T168" s="9">
        <f t="shared" si="2"/>
        <v>0</v>
      </c>
      <c r="U168" s="321" t="s">
        <v>604</v>
      </c>
    </row>
    <row r="169" spans="1:21" ht="12" customHeight="1">
      <c r="A169" s="327">
        <v>2</v>
      </c>
      <c r="B169" s="159" t="s">
        <v>312</v>
      </c>
      <c r="C169" s="68" t="s">
        <v>95</v>
      </c>
      <c r="D169" s="68" t="s">
        <v>310</v>
      </c>
      <c r="E169" s="321">
        <v>4</v>
      </c>
      <c r="F169" s="322">
        <v>752</v>
      </c>
      <c r="G169" s="322">
        <v>519</v>
      </c>
      <c r="H169" s="322">
        <v>0</v>
      </c>
      <c r="I169" s="322">
        <v>0</v>
      </c>
      <c r="J169" s="322">
        <v>0</v>
      </c>
      <c r="K169" s="322">
        <v>0</v>
      </c>
      <c r="L169" s="322">
        <v>0</v>
      </c>
      <c r="M169" s="322">
        <v>0</v>
      </c>
      <c r="N169" s="322">
        <v>0</v>
      </c>
      <c r="O169" s="322">
        <v>0</v>
      </c>
      <c r="P169" s="322">
        <v>0</v>
      </c>
      <c r="Q169" s="322">
        <v>0</v>
      </c>
      <c r="R169" s="322">
        <v>0</v>
      </c>
      <c r="S169" s="9">
        <v>2.2478237881484456E-7</v>
      </c>
      <c r="T169" s="9">
        <f t="shared" si="2"/>
        <v>0</v>
      </c>
      <c r="U169" s="321" t="s">
        <v>605</v>
      </c>
    </row>
    <row r="170" spans="1:21" ht="12" customHeight="1">
      <c r="A170" s="327">
        <v>2</v>
      </c>
      <c r="B170" s="159" t="s">
        <v>312</v>
      </c>
      <c r="C170" s="68" t="s">
        <v>95</v>
      </c>
      <c r="D170" s="68" t="s">
        <v>310</v>
      </c>
      <c r="E170" s="321">
        <v>5</v>
      </c>
      <c r="F170" s="322">
        <v>762</v>
      </c>
      <c r="G170" s="322">
        <v>524</v>
      </c>
      <c r="H170" s="322">
        <v>10</v>
      </c>
      <c r="I170" s="322">
        <v>0</v>
      </c>
      <c r="J170" s="322">
        <v>0</v>
      </c>
      <c r="K170" s="322">
        <v>0</v>
      </c>
      <c r="L170" s="322">
        <v>0</v>
      </c>
      <c r="M170" s="322">
        <v>0</v>
      </c>
      <c r="N170" s="322">
        <v>0</v>
      </c>
      <c r="O170" s="322">
        <v>0</v>
      </c>
      <c r="P170" s="322">
        <v>0</v>
      </c>
      <c r="Q170" s="322">
        <v>0</v>
      </c>
      <c r="R170" s="322">
        <v>0.1</v>
      </c>
      <c r="S170" s="9">
        <v>2.2478237881484456E-7</v>
      </c>
      <c r="T170" s="9">
        <f t="shared" si="2"/>
        <v>2.2478237881484458E-8</v>
      </c>
      <c r="U170" s="321" t="s">
        <v>606</v>
      </c>
    </row>
    <row r="171" spans="1:21" ht="12" customHeight="1">
      <c r="A171" s="327">
        <v>2</v>
      </c>
      <c r="B171" s="159" t="s">
        <v>312</v>
      </c>
      <c r="C171" s="68" t="s">
        <v>95</v>
      </c>
      <c r="D171" s="68" t="s">
        <v>309</v>
      </c>
      <c r="E171" s="321">
        <v>1</v>
      </c>
      <c r="F171" s="322">
        <v>1168</v>
      </c>
      <c r="G171" s="322">
        <v>524</v>
      </c>
      <c r="H171" s="322">
        <v>40</v>
      </c>
      <c r="I171" s="322">
        <v>0</v>
      </c>
      <c r="J171" s="322">
        <v>0</v>
      </c>
      <c r="K171" s="322">
        <v>0</v>
      </c>
      <c r="L171" s="322">
        <v>0</v>
      </c>
      <c r="M171" s="322">
        <v>0</v>
      </c>
      <c r="N171" s="322">
        <v>0</v>
      </c>
      <c r="O171" s="322">
        <v>0</v>
      </c>
      <c r="P171" s="322">
        <v>0</v>
      </c>
      <c r="Q171" s="322">
        <v>0</v>
      </c>
      <c r="R171" s="322">
        <v>0.4</v>
      </c>
      <c r="S171" s="9">
        <v>2.247844018764845E-7</v>
      </c>
      <c r="T171" s="9">
        <f t="shared" si="2"/>
        <v>8.9913760750593809E-8</v>
      </c>
      <c r="U171" s="321" t="s">
        <v>632</v>
      </c>
    </row>
    <row r="172" spans="1:21" ht="12" customHeight="1">
      <c r="A172" s="327">
        <v>2</v>
      </c>
      <c r="B172" s="159" t="s">
        <v>312</v>
      </c>
      <c r="C172" s="68" t="s">
        <v>95</v>
      </c>
      <c r="D172" s="68" t="s">
        <v>309</v>
      </c>
      <c r="E172" s="321">
        <v>2</v>
      </c>
      <c r="F172" s="322">
        <v>1196</v>
      </c>
      <c r="G172" s="322">
        <v>524</v>
      </c>
      <c r="H172" s="322">
        <v>29</v>
      </c>
      <c r="I172" s="322">
        <v>0</v>
      </c>
      <c r="J172" s="322">
        <v>0</v>
      </c>
      <c r="K172" s="322">
        <v>0</v>
      </c>
      <c r="L172" s="322">
        <v>0</v>
      </c>
      <c r="M172" s="322">
        <v>0</v>
      </c>
      <c r="N172" s="322">
        <v>0</v>
      </c>
      <c r="O172" s="322">
        <v>0</v>
      </c>
      <c r="P172" s="322">
        <v>0</v>
      </c>
      <c r="Q172" s="322">
        <v>0</v>
      </c>
      <c r="R172" s="322">
        <v>0.3</v>
      </c>
      <c r="S172" s="9">
        <v>2.247844018764845E-7</v>
      </c>
      <c r="T172" s="9">
        <f t="shared" si="2"/>
        <v>6.7435320562945354E-8</v>
      </c>
      <c r="U172" s="321" t="s">
        <v>633</v>
      </c>
    </row>
    <row r="173" spans="1:21" ht="12" customHeight="1">
      <c r="A173" s="327">
        <v>2</v>
      </c>
      <c r="B173" s="159" t="s">
        <v>312</v>
      </c>
      <c r="C173" s="68" t="s">
        <v>95</v>
      </c>
      <c r="D173" s="68" t="s">
        <v>309</v>
      </c>
      <c r="E173" s="321">
        <v>3</v>
      </c>
      <c r="F173" s="322">
        <v>1270</v>
      </c>
      <c r="G173" s="322">
        <v>525</v>
      </c>
      <c r="H173" s="322">
        <v>58</v>
      </c>
      <c r="I173" s="322">
        <v>0</v>
      </c>
      <c r="J173" s="322">
        <v>0</v>
      </c>
      <c r="K173" s="322">
        <v>0</v>
      </c>
      <c r="L173" s="322">
        <v>0</v>
      </c>
      <c r="M173" s="322">
        <v>0</v>
      </c>
      <c r="N173" s="322">
        <v>0</v>
      </c>
      <c r="O173" s="322">
        <v>0</v>
      </c>
      <c r="P173" s="322">
        <v>0</v>
      </c>
      <c r="Q173" s="322">
        <v>0</v>
      </c>
      <c r="R173" s="322">
        <v>0.6</v>
      </c>
      <c r="S173" s="9">
        <v>2.247844018764845E-7</v>
      </c>
      <c r="T173" s="9">
        <f t="shared" si="2"/>
        <v>1.3487064112589071E-7</v>
      </c>
      <c r="U173" s="321" t="s">
        <v>634</v>
      </c>
    </row>
    <row r="174" spans="1:21" ht="12" customHeight="1">
      <c r="A174" s="327">
        <v>2</v>
      </c>
      <c r="B174" s="159" t="s">
        <v>312</v>
      </c>
      <c r="C174" s="68" t="s">
        <v>95</v>
      </c>
      <c r="D174" s="68" t="s">
        <v>309</v>
      </c>
      <c r="E174" s="321">
        <v>4</v>
      </c>
      <c r="F174" s="322">
        <v>1168</v>
      </c>
      <c r="G174" s="322">
        <v>524</v>
      </c>
      <c r="H174" s="322">
        <v>57</v>
      </c>
      <c r="I174" s="322">
        <v>0</v>
      </c>
      <c r="J174" s="322">
        <v>0</v>
      </c>
      <c r="K174" s="322">
        <v>0</v>
      </c>
      <c r="L174" s="322">
        <v>0</v>
      </c>
      <c r="M174" s="322">
        <v>0</v>
      </c>
      <c r="N174" s="322">
        <v>0</v>
      </c>
      <c r="O174" s="322">
        <v>0</v>
      </c>
      <c r="P174" s="322">
        <v>0</v>
      </c>
      <c r="Q174" s="322">
        <v>0</v>
      </c>
      <c r="R174" s="322">
        <v>0.6</v>
      </c>
      <c r="S174" s="9">
        <v>2.247844018764845E-7</v>
      </c>
      <c r="T174" s="9">
        <f t="shared" si="2"/>
        <v>1.3487064112589071E-7</v>
      </c>
      <c r="U174" s="321" t="s">
        <v>635</v>
      </c>
    </row>
    <row r="175" spans="1:21" ht="12" customHeight="1">
      <c r="A175" s="327">
        <v>2</v>
      </c>
      <c r="B175" s="159" t="s">
        <v>312</v>
      </c>
      <c r="C175" s="68" t="s">
        <v>95</v>
      </c>
      <c r="D175" s="68" t="s">
        <v>309</v>
      </c>
      <c r="E175" s="321">
        <v>5</v>
      </c>
      <c r="F175" s="322">
        <v>1182</v>
      </c>
      <c r="G175" s="322">
        <v>524</v>
      </c>
      <c r="H175" s="322">
        <v>57</v>
      </c>
      <c r="I175" s="322">
        <v>0</v>
      </c>
      <c r="J175" s="322">
        <v>0</v>
      </c>
      <c r="K175" s="322">
        <v>0</v>
      </c>
      <c r="L175" s="322">
        <v>0</v>
      </c>
      <c r="M175" s="322">
        <v>0</v>
      </c>
      <c r="N175" s="322">
        <v>0</v>
      </c>
      <c r="O175" s="322">
        <v>0</v>
      </c>
      <c r="P175" s="322">
        <v>0</v>
      </c>
      <c r="Q175" s="322">
        <v>0</v>
      </c>
      <c r="R175" s="322">
        <v>0.6</v>
      </c>
      <c r="S175" s="9">
        <v>2.247844018764845E-7</v>
      </c>
      <c r="T175" s="9">
        <f t="shared" si="2"/>
        <v>1.3487064112589071E-7</v>
      </c>
      <c r="U175" s="321" t="s">
        <v>636</v>
      </c>
    </row>
    <row r="176" spans="1:21" ht="12" customHeight="1">
      <c r="A176" s="327">
        <v>2</v>
      </c>
      <c r="B176" s="159" t="s">
        <v>312</v>
      </c>
      <c r="C176" s="68" t="s">
        <v>95</v>
      </c>
      <c r="D176" s="68" t="s">
        <v>311</v>
      </c>
      <c r="E176" s="321">
        <v>1</v>
      </c>
      <c r="F176" s="322">
        <v>1456</v>
      </c>
      <c r="G176" s="322">
        <v>524</v>
      </c>
      <c r="H176" s="322">
        <v>12</v>
      </c>
      <c r="I176" s="322">
        <v>4</v>
      </c>
      <c r="J176" s="322">
        <v>1</v>
      </c>
      <c r="K176" s="322">
        <v>0</v>
      </c>
      <c r="L176" s="322">
        <v>0</v>
      </c>
      <c r="M176" s="322">
        <v>0</v>
      </c>
      <c r="N176" s="322">
        <v>0</v>
      </c>
      <c r="O176" s="322">
        <v>0</v>
      </c>
      <c r="P176" s="322">
        <v>0</v>
      </c>
      <c r="Q176" s="322">
        <v>0</v>
      </c>
      <c r="R176" s="322">
        <v>1.4</v>
      </c>
      <c r="S176" s="9">
        <v>6.0691849198500013E-6</v>
      </c>
      <c r="T176" s="9">
        <f t="shared" si="2"/>
        <v>8.4968588877900009E-6</v>
      </c>
      <c r="U176" s="321" t="s">
        <v>662</v>
      </c>
    </row>
    <row r="177" spans="1:21" ht="12" customHeight="1">
      <c r="A177" s="327">
        <v>2</v>
      </c>
      <c r="B177" s="159" t="s">
        <v>312</v>
      </c>
      <c r="C177" s="68" t="s">
        <v>95</v>
      </c>
      <c r="D177" s="68" t="s">
        <v>311</v>
      </c>
      <c r="E177" s="321">
        <v>2</v>
      </c>
      <c r="F177" s="322">
        <v>1112</v>
      </c>
      <c r="G177" s="322">
        <v>524</v>
      </c>
      <c r="H177" s="322">
        <v>4</v>
      </c>
      <c r="I177" s="322">
        <v>0</v>
      </c>
      <c r="J177" s="322">
        <v>0</v>
      </c>
      <c r="K177" s="322">
        <v>0</v>
      </c>
      <c r="L177" s="322">
        <v>0</v>
      </c>
      <c r="M177" s="322">
        <v>0</v>
      </c>
      <c r="N177" s="322">
        <v>0</v>
      </c>
      <c r="O177" s="322">
        <v>0</v>
      </c>
      <c r="P177" s="322">
        <v>0</v>
      </c>
      <c r="Q177" s="322">
        <v>0</v>
      </c>
      <c r="R177" s="322">
        <v>0</v>
      </c>
      <c r="S177" s="9">
        <v>6.0691849198500013E-6</v>
      </c>
      <c r="T177" s="9">
        <f t="shared" si="2"/>
        <v>0</v>
      </c>
      <c r="U177" s="321" t="s">
        <v>663</v>
      </c>
    </row>
    <row r="178" spans="1:21" ht="12" customHeight="1">
      <c r="A178" s="327">
        <v>2</v>
      </c>
      <c r="B178" s="159" t="s">
        <v>312</v>
      </c>
      <c r="C178" s="68" t="s">
        <v>95</v>
      </c>
      <c r="D178" s="68" t="s">
        <v>311</v>
      </c>
      <c r="E178" s="321">
        <v>3</v>
      </c>
      <c r="F178" s="322">
        <v>1232</v>
      </c>
      <c r="G178" s="322">
        <v>524</v>
      </c>
      <c r="H178" s="322">
        <v>9</v>
      </c>
      <c r="I178" s="322">
        <v>2</v>
      </c>
      <c r="J178" s="322">
        <v>0</v>
      </c>
      <c r="K178" s="322">
        <v>0</v>
      </c>
      <c r="L178" s="322">
        <v>0</v>
      </c>
      <c r="M178" s="322">
        <v>0</v>
      </c>
      <c r="N178" s="322">
        <v>0</v>
      </c>
      <c r="O178" s="322">
        <v>0</v>
      </c>
      <c r="P178" s="322">
        <v>0</v>
      </c>
      <c r="Q178" s="322">
        <v>0</v>
      </c>
      <c r="R178" s="322">
        <v>0.3</v>
      </c>
      <c r="S178" s="9">
        <v>6.0691849198500013E-6</v>
      </c>
      <c r="T178" s="9">
        <f t="shared" si="2"/>
        <v>1.8207554759550004E-6</v>
      </c>
      <c r="U178" s="321" t="s">
        <v>664</v>
      </c>
    </row>
    <row r="179" spans="1:21" ht="12" customHeight="1">
      <c r="A179" s="327">
        <v>2</v>
      </c>
      <c r="B179" s="159" t="s">
        <v>312</v>
      </c>
      <c r="C179" s="68" t="s">
        <v>95</v>
      </c>
      <c r="D179" s="68" t="s">
        <v>311</v>
      </c>
      <c r="E179" s="321">
        <v>4</v>
      </c>
      <c r="F179" s="322">
        <v>1162</v>
      </c>
      <c r="G179" s="322">
        <v>524</v>
      </c>
      <c r="H179" s="322">
        <v>8</v>
      </c>
      <c r="I179" s="322">
        <v>0</v>
      </c>
      <c r="J179" s="322">
        <v>0</v>
      </c>
      <c r="K179" s="322">
        <v>0</v>
      </c>
      <c r="L179" s="322">
        <v>0</v>
      </c>
      <c r="M179" s="322">
        <v>0</v>
      </c>
      <c r="N179" s="322">
        <v>0</v>
      </c>
      <c r="O179" s="322">
        <v>0</v>
      </c>
      <c r="P179" s="322">
        <v>0</v>
      </c>
      <c r="Q179" s="322">
        <v>0</v>
      </c>
      <c r="R179" s="322">
        <v>0.1</v>
      </c>
      <c r="S179" s="9">
        <v>6.0691849198500013E-6</v>
      </c>
      <c r="T179" s="9">
        <f t="shared" si="2"/>
        <v>6.0691849198500013E-7</v>
      </c>
      <c r="U179" s="321" t="s">
        <v>665</v>
      </c>
    </row>
    <row r="180" spans="1:21" ht="12" customHeight="1">
      <c r="A180" s="327">
        <v>2</v>
      </c>
      <c r="B180" s="159" t="s">
        <v>312</v>
      </c>
      <c r="C180" s="68" t="s">
        <v>95</v>
      </c>
      <c r="D180" s="68" t="s">
        <v>311</v>
      </c>
      <c r="E180" s="321">
        <v>5</v>
      </c>
      <c r="F180" s="322">
        <v>1258</v>
      </c>
      <c r="G180" s="322">
        <v>520</v>
      </c>
      <c r="H180" s="322">
        <v>5</v>
      </c>
      <c r="I180" s="322">
        <v>1</v>
      </c>
      <c r="J180" s="322">
        <v>0</v>
      </c>
      <c r="K180" s="322">
        <v>0</v>
      </c>
      <c r="L180" s="322">
        <v>0</v>
      </c>
      <c r="M180" s="322">
        <v>0</v>
      </c>
      <c r="N180" s="322">
        <v>0</v>
      </c>
      <c r="O180" s="322">
        <v>0</v>
      </c>
      <c r="P180" s="322">
        <v>0</v>
      </c>
      <c r="Q180" s="322">
        <v>0</v>
      </c>
      <c r="R180" s="322">
        <v>0.1</v>
      </c>
      <c r="S180" s="9">
        <v>6.0691849198500013E-6</v>
      </c>
      <c r="T180" s="9">
        <f t="shared" si="2"/>
        <v>6.0691849198500013E-7</v>
      </c>
      <c r="U180" s="321" t="s">
        <v>666</v>
      </c>
    </row>
    <row r="181" spans="1:21" ht="12" customHeight="1">
      <c r="A181" s="327">
        <v>2</v>
      </c>
      <c r="B181" s="159" t="s">
        <v>312</v>
      </c>
      <c r="C181" s="68" t="s">
        <v>95</v>
      </c>
      <c r="D181" s="68" t="s">
        <v>307</v>
      </c>
      <c r="E181" s="321">
        <v>1</v>
      </c>
      <c r="F181" s="322">
        <v>1158</v>
      </c>
      <c r="G181" s="322">
        <v>524</v>
      </c>
      <c r="H181" s="322">
        <v>96</v>
      </c>
      <c r="I181" s="322">
        <v>53</v>
      </c>
      <c r="J181" s="322">
        <v>0</v>
      </c>
      <c r="K181" s="322">
        <v>0</v>
      </c>
      <c r="L181" s="322">
        <v>0</v>
      </c>
      <c r="M181" s="322">
        <v>0</v>
      </c>
      <c r="N181" s="322">
        <v>0</v>
      </c>
      <c r="O181" s="322">
        <v>0</v>
      </c>
      <c r="P181" s="322">
        <v>0</v>
      </c>
      <c r="Q181" s="322">
        <v>0</v>
      </c>
      <c r="R181" s="322">
        <v>5.7</v>
      </c>
      <c r="S181" s="9">
        <v>0</v>
      </c>
      <c r="T181" s="9">
        <f t="shared" si="2"/>
        <v>0</v>
      </c>
      <c r="U181" s="321" t="s">
        <v>692</v>
      </c>
    </row>
    <row r="182" spans="1:21" ht="12" customHeight="1">
      <c r="A182" s="327">
        <v>2</v>
      </c>
      <c r="B182" s="159" t="s">
        <v>312</v>
      </c>
      <c r="C182" s="68" t="s">
        <v>95</v>
      </c>
      <c r="D182" s="68" t="s">
        <v>307</v>
      </c>
      <c r="E182" s="321">
        <v>2</v>
      </c>
      <c r="F182" s="322">
        <v>1322</v>
      </c>
      <c r="G182" s="322">
        <v>524</v>
      </c>
      <c r="H182" s="322">
        <v>65</v>
      </c>
      <c r="I182" s="322">
        <v>43</v>
      </c>
      <c r="J182" s="322">
        <v>2</v>
      </c>
      <c r="K182" s="322">
        <v>0</v>
      </c>
      <c r="L182" s="322">
        <v>0</v>
      </c>
      <c r="M182" s="322">
        <v>0</v>
      </c>
      <c r="N182" s="322">
        <v>0</v>
      </c>
      <c r="O182" s="322">
        <v>0</v>
      </c>
      <c r="P182" s="322">
        <v>0</v>
      </c>
      <c r="Q182" s="322">
        <v>0</v>
      </c>
      <c r="R182" s="322">
        <v>6.3</v>
      </c>
      <c r="S182" s="9">
        <v>0</v>
      </c>
      <c r="T182" s="9">
        <f t="shared" si="2"/>
        <v>0</v>
      </c>
      <c r="U182" s="321" t="s">
        <v>693</v>
      </c>
    </row>
    <row r="183" spans="1:21" ht="12" customHeight="1">
      <c r="A183" s="327">
        <v>2</v>
      </c>
      <c r="B183" s="159" t="s">
        <v>312</v>
      </c>
      <c r="C183" s="68" t="s">
        <v>95</v>
      </c>
      <c r="D183" s="68" t="s">
        <v>307</v>
      </c>
      <c r="E183" s="321">
        <v>3</v>
      </c>
      <c r="F183" s="322">
        <v>1174</v>
      </c>
      <c r="G183" s="322">
        <v>524</v>
      </c>
      <c r="H183" s="322">
        <v>38</v>
      </c>
      <c r="I183" s="322">
        <v>19</v>
      </c>
      <c r="J183" s="322">
        <v>0</v>
      </c>
      <c r="K183" s="322">
        <v>0</v>
      </c>
      <c r="L183" s="322">
        <v>0</v>
      </c>
      <c r="M183" s="322">
        <v>0</v>
      </c>
      <c r="N183" s="322">
        <v>0</v>
      </c>
      <c r="O183" s="322">
        <v>0</v>
      </c>
      <c r="P183" s="322">
        <v>0</v>
      </c>
      <c r="Q183" s="322">
        <v>0</v>
      </c>
      <c r="R183" s="322">
        <v>2.1</v>
      </c>
      <c r="S183" s="9">
        <v>0</v>
      </c>
      <c r="T183" s="9">
        <f t="shared" si="2"/>
        <v>0</v>
      </c>
      <c r="U183" s="321" t="s">
        <v>694</v>
      </c>
    </row>
    <row r="184" spans="1:21" ht="12" customHeight="1">
      <c r="A184" s="327">
        <v>2</v>
      </c>
      <c r="B184" s="159" t="s">
        <v>312</v>
      </c>
      <c r="C184" s="68" t="s">
        <v>95</v>
      </c>
      <c r="D184" s="68" t="s">
        <v>307</v>
      </c>
      <c r="E184" s="321">
        <v>4</v>
      </c>
      <c r="F184" s="322">
        <v>1248</v>
      </c>
      <c r="G184" s="322">
        <v>524</v>
      </c>
      <c r="H184" s="322">
        <v>56</v>
      </c>
      <c r="I184" s="322">
        <v>22</v>
      </c>
      <c r="J184" s="322">
        <v>1</v>
      </c>
      <c r="K184" s="322">
        <v>0</v>
      </c>
      <c r="L184" s="322">
        <v>0</v>
      </c>
      <c r="M184" s="322">
        <v>0</v>
      </c>
      <c r="N184" s="322">
        <v>0</v>
      </c>
      <c r="O184" s="322">
        <v>0</v>
      </c>
      <c r="P184" s="322">
        <v>0</v>
      </c>
      <c r="Q184" s="322">
        <v>0</v>
      </c>
      <c r="R184" s="322">
        <v>3.4</v>
      </c>
      <c r="S184" s="9">
        <v>0</v>
      </c>
      <c r="T184" s="9">
        <f t="shared" si="2"/>
        <v>0</v>
      </c>
      <c r="U184" s="321" t="s">
        <v>695</v>
      </c>
    </row>
    <row r="185" spans="1:21" ht="12" customHeight="1">
      <c r="A185" s="327">
        <v>2</v>
      </c>
      <c r="B185" s="159" t="s">
        <v>312</v>
      </c>
      <c r="C185" s="68" t="s">
        <v>95</v>
      </c>
      <c r="D185" s="68" t="s">
        <v>307</v>
      </c>
      <c r="E185" s="321">
        <v>5</v>
      </c>
      <c r="F185" s="322">
        <v>1232</v>
      </c>
      <c r="G185" s="322">
        <v>524</v>
      </c>
      <c r="H185" s="322">
        <v>34</v>
      </c>
      <c r="I185" s="322">
        <v>11</v>
      </c>
      <c r="J185" s="322">
        <v>2</v>
      </c>
      <c r="K185" s="322">
        <v>0</v>
      </c>
      <c r="L185" s="322">
        <v>0</v>
      </c>
      <c r="M185" s="322">
        <v>0</v>
      </c>
      <c r="N185" s="322">
        <v>0</v>
      </c>
      <c r="O185" s="322">
        <v>0</v>
      </c>
      <c r="P185" s="322">
        <v>0</v>
      </c>
      <c r="Q185" s="322">
        <v>0</v>
      </c>
      <c r="R185" s="322">
        <v>3.1</v>
      </c>
      <c r="S185" s="9">
        <v>0</v>
      </c>
      <c r="T185" s="9">
        <f t="shared" si="2"/>
        <v>0</v>
      </c>
      <c r="U185" s="321" t="s">
        <v>696</v>
      </c>
    </row>
    <row r="186" spans="1:21" ht="12" customHeight="1">
      <c r="A186" s="327">
        <v>2</v>
      </c>
      <c r="B186" s="159" t="s">
        <v>314</v>
      </c>
      <c r="C186" s="68" t="s">
        <v>96</v>
      </c>
      <c r="D186" s="68" t="s">
        <v>308</v>
      </c>
      <c r="E186" s="321">
        <v>1</v>
      </c>
      <c r="F186" s="322">
        <v>366</v>
      </c>
      <c r="G186" s="322">
        <v>119</v>
      </c>
      <c r="H186" s="322">
        <v>0</v>
      </c>
      <c r="I186" s="322">
        <v>0</v>
      </c>
      <c r="J186" s="322">
        <v>0</v>
      </c>
      <c r="K186" s="322">
        <v>0</v>
      </c>
      <c r="L186" s="322">
        <v>0</v>
      </c>
      <c r="M186" s="322">
        <v>0</v>
      </c>
      <c r="N186" s="322">
        <v>0</v>
      </c>
      <c r="O186" s="322">
        <v>0</v>
      </c>
      <c r="P186" s="322">
        <v>0</v>
      </c>
      <c r="Q186" s="322">
        <v>0</v>
      </c>
      <c r="R186" s="322">
        <v>0</v>
      </c>
      <c r="S186" s="9">
        <v>4.413146514749072E-6</v>
      </c>
      <c r="T186" s="9">
        <f t="shared" si="2"/>
        <v>0</v>
      </c>
      <c r="U186" s="321" t="s">
        <v>992</v>
      </c>
    </row>
    <row r="187" spans="1:21" ht="12" customHeight="1">
      <c r="A187" s="327">
        <v>2</v>
      </c>
      <c r="B187" s="159" t="s">
        <v>314</v>
      </c>
      <c r="C187" s="68" t="s">
        <v>96</v>
      </c>
      <c r="D187" s="68" t="s">
        <v>308</v>
      </c>
      <c r="E187" s="321">
        <v>2</v>
      </c>
      <c r="F187" s="322">
        <v>358</v>
      </c>
      <c r="G187" s="322">
        <v>119</v>
      </c>
      <c r="H187" s="322">
        <v>0</v>
      </c>
      <c r="I187" s="322">
        <v>0</v>
      </c>
      <c r="J187" s="322">
        <v>0</v>
      </c>
      <c r="K187" s="322">
        <v>0</v>
      </c>
      <c r="L187" s="322">
        <v>0</v>
      </c>
      <c r="M187" s="322">
        <v>0</v>
      </c>
      <c r="N187" s="322">
        <v>0</v>
      </c>
      <c r="O187" s="322">
        <v>0</v>
      </c>
      <c r="P187" s="322">
        <v>0</v>
      </c>
      <c r="Q187" s="322">
        <v>0</v>
      </c>
      <c r="R187" s="322">
        <v>0</v>
      </c>
      <c r="S187" s="9">
        <v>4.413146514749072E-6</v>
      </c>
      <c r="T187" s="9">
        <f t="shared" si="2"/>
        <v>0</v>
      </c>
      <c r="U187" s="321" t="s">
        <v>993</v>
      </c>
    </row>
    <row r="188" spans="1:21" ht="12" customHeight="1">
      <c r="A188" s="327">
        <v>2</v>
      </c>
      <c r="B188" s="159" t="s">
        <v>314</v>
      </c>
      <c r="C188" s="68" t="s">
        <v>96</v>
      </c>
      <c r="D188" s="68" t="s">
        <v>308</v>
      </c>
      <c r="E188" s="321">
        <v>3</v>
      </c>
      <c r="F188" s="322">
        <v>376</v>
      </c>
      <c r="G188" s="322">
        <v>119</v>
      </c>
      <c r="H188" s="322">
        <v>0</v>
      </c>
      <c r="I188" s="322">
        <v>0</v>
      </c>
      <c r="J188" s="322">
        <v>0</v>
      </c>
      <c r="K188" s="322">
        <v>0</v>
      </c>
      <c r="L188" s="322">
        <v>0</v>
      </c>
      <c r="M188" s="322">
        <v>0</v>
      </c>
      <c r="N188" s="322">
        <v>0</v>
      </c>
      <c r="O188" s="322">
        <v>0</v>
      </c>
      <c r="P188" s="322">
        <v>0</v>
      </c>
      <c r="Q188" s="322">
        <v>0</v>
      </c>
      <c r="R188" s="322">
        <v>0</v>
      </c>
      <c r="S188" s="9">
        <v>4.413146514749072E-6</v>
      </c>
      <c r="T188" s="9">
        <f t="shared" si="2"/>
        <v>0</v>
      </c>
      <c r="U188" s="321" t="s">
        <v>994</v>
      </c>
    </row>
    <row r="189" spans="1:21" ht="12" customHeight="1">
      <c r="A189" s="327">
        <v>2</v>
      </c>
      <c r="B189" s="159" t="s">
        <v>314</v>
      </c>
      <c r="C189" s="68" t="s">
        <v>96</v>
      </c>
      <c r="D189" s="68" t="s">
        <v>308</v>
      </c>
      <c r="E189" s="321">
        <v>4</v>
      </c>
      <c r="F189" s="322">
        <v>314</v>
      </c>
      <c r="G189" s="322">
        <v>119</v>
      </c>
      <c r="H189" s="322">
        <v>0</v>
      </c>
      <c r="I189" s="322">
        <v>0</v>
      </c>
      <c r="J189" s="322">
        <v>0</v>
      </c>
      <c r="K189" s="322">
        <v>0</v>
      </c>
      <c r="L189" s="322">
        <v>0</v>
      </c>
      <c r="M189" s="322">
        <v>0</v>
      </c>
      <c r="N189" s="322">
        <v>0</v>
      </c>
      <c r="O189" s="322">
        <v>0</v>
      </c>
      <c r="P189" s="322">
        <v>0</v>
      </c>
      <c r="Q189" s="322">
        <v>0</v>
      </c>
      <c r="R189" s="322">
        <v>0</v>
      </c>
      <c r="S189" s="9">
        <v>4.413146514749072E-6</v>
      </c>
      <c r="T189" s="9">
        <f t="shared" si="2"/>
        <v>0</v>
      </c>
      <c r="U189" s="321" t="s">
        <v>995</v>
      </c>
    </row>
    <row r="190" spans="1:21" ht="12" customHeight="1">
      <c r="A190" s="327">
        <v>2</v>
      </c>
      <c r="B190" s="159" t="s">
        <v>314</v>
      </c>
      <c r="C190" s="68" t="s">
        <v>96</v>
      </c>
      <c r="D190" s="68" t="s">
        <v>308</v>
      </c>
      <c r="E190" s="321">
        <v>5</v>
      </c>
      <c r="F190" s="322">
        <v>316</v>
      </c>
      <c r="G190" s="322">
        <v>119</v>
      </c>
      <c r="H190" s="322">
        <v>0</v>
      </c>
      <c r="I190" s="322">
        <v>0</v>
      </c>
      <c r="J190" s="322">
        <v>0</v>
      </c>
      <c r="K190" s="322">
        <v>0</v>
      </c>
      <c r="L190" s="322">
        <v>0</v>
      </c>
      <c r="M190" s="322">
        <v>0</v>
      </c>
      <c r="N190" s="322">
        <v>0</v>
      </c>
      <c r="O190" s="322">
        <v>0</v>
      </c>
      <c r="P190" s="322">
        <v>0</v>
      </c>
      <c r="Q190" s="322">
        <v>0</v>
      </c>
      <c r="R190" s="322">
        <v>0</v>
      </c>
      <c r="S190" s="9">
        <v>4.413146514749072E-6</v>
      </c>
      <c r="T190" s="9">
        <f t="shared" si="2"/>
        <v>0</v>
      </c>
      <c r="U190" s="321" t="s">
        <v>996</v>
      </c>
    </row>
    <row r="191" spans="1:21" ht="12" customHeight="1">
      <c r="A191" s="327">
        <v>2</v>
      </c>
      <c r="B191" s="159" t="s">
        <v>314</v>
      </c>
      <c r="C191" s="68" t="s">
        <v>96</v>
      </c>
      <c r="D191" s="68" t="s">
        <v>310</v>
      </c>
      <c r="E191" s="321">
        <v>1</v>
      </c>
      <c r="F191" s="322">
        <v>314</v>
      </c>
      <c r="G191" s="322">
        <v>119</v>
      </c>
      <c r="H191" s="322">
        <v>0</v>
      </c>
      <c r="I191" s="322">
        <v>0</v>
      </c>
      <c r="J191" s="322">
        <v>0</v>
      </c>
      <c r="K191" s="322">
        <v>0</v>
      </c>
      <c r="L191" s="322">
        <v>0</v>
      </c>
      <c r="M191" s="322">
        <v>0</v>
      </c>
      <c r="N191" s="322">
        <v>0</v>
      </c>
      <c r="O191" s="322">
        <v>0</v>
      </c>
      <c r="P191" s="322">
        <v>0</v>
      </c>
      <c r="Q191" s="322">
        <v>0</v>
      </c>
      <c r="R191" s="322">
        <v>0</v>
      </c>
      <c r="S191" s="9">
        <v>4.4131067963907217E-6</v>
      </c>
      <c r="T191" s="9">
        <f t="shared" si="2"/>
        <v>0</v>
      </c>
      <c r="U191" s="321" t="s">
        <v>1022</v>
      </c>
    </row>
    <row r="192" spans="1:21" ht="12" customHeight="1">
      <c r="A192" s="327">
        <v>2</v>
      </c>
      <c r="B192" s="159" t="s">
        <v>314</v>
      </c>
      <c r="C192" s="68" t="s">
        <v>96</v>
      </c>
      <c r="D192" s="68" t="s">
        <v>310</v>
      </c>
      <c r="E192" s="321">
        <v>2</v>
      </c>
      <c r="F192" s="322">
        <v>410</v>
      </c>
      <c r="G192" s="322">
        <v>119</v>
      </c>
      <c r="H192" s="322">
        <v>0</v>
      </c>
      <c r="I192" s="322">
        <v>0</v>
      </c>
      <c r="J192" s="322">
        <v>0</v>
      </c>
      <c r="K192" s="322">
        <v>0</v>
      </c>
      <c r="L192" s="322">
        <v>0</v>
      </c>
      <c r="M192" s="322">
        <v>0</v>
      </c>
      <c r="N192" s="322">
        <v>0</v>
      </c>
      <c r="O192" s="322">
        <v>0</v>
      </c>
      <c r="P192" s="322">
        <v>0</v>
      </c>
      <c r="Q192" s="322">
        <v>0</v>
      </c>
      <c r="R192" s="322">
        <v>0</v>
      </c>
      <c r="S192" s="9">
        <v>4.4131067963907217E-6</v>
      </c>
      <c r="T192" s="9">
        <f t="shared" si="2"/>
        <v>0</v>
      </c>
      <c r="U192" s="321" t="s">
        <v>1023</v>
      </c>
    </row>
    <row r="193" spans="1:21" ht="12" customHeight="1">
      <c r="A193" s="327">
        <v>2</v>
      </c>
      <c r="B193" s="159" t="s">
        <v>314</v>
      </c>
      <c r="C193" s="68" t="s">
        <v>96</v>
      </c>
      <c r="D193" s="68" t="s">
        <v>310</v>
      </c>
      <c r="E193" s="321">
        <v>3</v>
      </c>
      <c r="F193" s="322">
        <v>328</v>
      </c>
      <c r="G193" s="322">
        <v>119</v>
      </c>
      <c r="H193" s="322">
        <v>0</v>
      </c>
      <c r="I193" s="322">
        <v>0</v>
      </c>
      <c r="J193" s="322">
        <v>0</v>
      </c>
      <c r="K193" s="322">
        <v>0</v>
      </c>
      <c r="L193" s="322">
        <v>0</v>
      </c>
      <c r="M193" s="322">
        <v>0</v>
      </c>
      <c r="N193" s="322">
        <v>0</v>
      </c>
      <c r="O193" s="322">
        <v>0</v>
      </c>
      <c r="P193" s="322">
        <v>0</v>
      </c>
      <c r="Q193" s="322">
        <v>0</v>
      </c>
      <c r="R193" s="322">
        <v>0</v>
      </c>
      <c r="S193" s="9">
        <v>4.4131067963907217E-6</v>
      </c>
      <c r="T193" s="9">
        <f t="shared" si="2"/>
        <v>0</v>
      </c>
      <c r="U193" s="321" t="s">
        <v>1024</v>
      </c>
    </row>
    <row r="194" spans="1:21" ht="12" customHeight="1">
      <c r="A194" s="327">
        <v>2</v>
      </c>
      <c r="B194" s="159" t="s">
        <v>314</v>
      </c>
      <c r="C194" s="68" t="s">
        <v>96</v>
      </c>
      <c r="D194" s="68" t="s">
        <v>310</v>
      </c>
      <c r="E194" s="321">
        <v>4</v>
      </c>
      <c r="F194" s="322">
        <v>314</v>
      </c>
      <c r="G194" s="322">
        <v>119</v>
      </c>
      <c r="H194" s="322">
        <v>0</v>
      </c>
      <c r="I194" s="322">
        <v>0</v>
      </c>
      <c r="J194" s="322">
        <v>0</v>
      </c>
      <c r="K194" s="322">
        <v>0</v>
      </c>
      <c r="L194" s="322">
        <v>0</v>
      </c>
      <c r="M194" s="322">
        <v>0</v>
      </c>
      <c r="N194" s="322">
        <v>0</v>
      </c>
      <c r="O194" s="322">
        <v>0</v>
      </c>
      <c r="P194" s="322">
        <v>0</v>
      </c>
      <c r="Q194" s="322">
        <v>0</v>
      </c>
      <c r="R194" s="322">
        <v>0</v>
      </c>
      <c r="S194" s="9">
        <v>4.4131067963907217E-6</v>
      </c>
      <c r="T194" s="9">
        <f t="shared" si="2"/>
        <v>0</v>
      </c>
      <c r="U194" s="321" t="s">
        <v>1025</v>
      </c>
    </row>
    <row r="195" spans="1:21" ht="12" customHeight="1">
      <c r="A195" s="327">
        <v>2</v>
      </c>
      <c r="B195" s="159" t="s">
        <v>314</v>
      </c>
      <c r="C195" s="68" t="s">
        <v>96</v>
      </c>
      <c r="D195" s="68" t="s">
        <v>310</v>
      </c>
      <c r="E195" s="321">
        <v>5</v>
      </c>
      <c r="F195" s="322">
        <v>308</v>
      </c>
      <c r="G195" s="322">
        <v>119</v>
      </c>
      <c r="H195" s="322">
        <v>0</v>
      </c>
      <c r="I195" s="322">
        <v>0</v>
      </c>
      <c r="J195" s="322">
        <v>0</v>
      </c>
      <c r="K195" s="322">
        <v>0</v>
      </c>
      <c r="L195" s="322">
        <v>0</v>
      </c>
      <c r="M195" s="322">
        <v>0</v>
      </c>
      <c r="N195" s="322">
        <v>0</v>
      </c>
      <c r="O195" s="322">
        <v>0</v>
      </c>
      <c r="P195" s="322">
        <v>0</v>
      </c>
      <c r="Q195" s="322">
        <v>0</v>
      </c>
      <c r="R195" s="322">
        <v>0</v>
      </c>
      <c r="S195" s="9">
        <v>4.4131067963907217E-6</v>
      </c>
      <c r="T195" s="9">
        <f t="shared" si="2"/>
        <v>0</v>
      </c>
      <c r="U195" s="321" t="s">
        <v>1026</v>
      </c>
    </row>
    <row r="196" spans="1:21" ht="12" customHeight="1">
      <c r="A196" s="327">
        <v>2</v>
      </c>
      <c r="B196" s="159" t="s">
        <v>314</v>
      </c>
      <c r="C196" s="68" t="s">
        <v>96</v>
      </c>
      <c r="D196" s="68" t="s">
        <v>309</v>
      </c>
      <c r="E196" s="321">
        <v>1</v>
      </c>
      <c r="F196" s="322">
        <v>324</v>
      </c>
      <c r="G196" s="322">
        <v>119</v>
      </c>
      <c r="H196" s="322">
        <v>0</v>
      </c>
      <c r="I196" s="322">
        <v>0</v>
      </c>
      <c r="J196" s="322">
        <v>0</v>
      </c>
      <c r="K196" s="322">
        <v>0</v>
      </c>
      <c r="L196" s="322">
        <v>0</v>
      </c>
      <c r="M196" s="322">
        <v>0</v>
      </c>
      <c r="N196" s="322">
        <v>0</v>
      </c>
      <c r="O196" s="322">
        <v>0</v>
      </c>
      <c r="P196" s="322">
        <v>0</v>
      </c>
      <c r="Q196" s="322">
        <v>0</v>
      </c>
      <c r="R196" s="322">
        <v>0</v>
      </c>
      <c r="S196" s="9">
        <v>4.413146514749072E-6</v>
      </c>
      <c r="T196" s="9">
        <f t="shared" si="2"/>
        <v>0</v>
      </c>
      <c r="U196" s="321" t="s">
        <v>1052</v>
      </c>
    </row>
    <row r="197" spans="1:21" ht="12" customHeight="1">
      <c r="A197" s="327">
        <v>2</v>
      </c>
      <c r="B197" s="159" t="s">
        <v>314</v>
      </c>
      <c r="C197" s="68" t="s">
        <v>96</v>
      </c>
      <c r="D197" s="68" t="s">
        <v>309</v>
      </c>
      <c r="E197" s="321">
        <v>2</v>
      </c>
      <c r="F197" s="322">
        <v>344</v>
      </c>
      <c r="G197" s="322">
        <v>119</v>
      </c>
      <c r="H197" s="322">
        <v>0</v>
      </c>
      <c r="I197" s="322">
        <v>0</v>
      </c>
      <c r="J197" s="322">
        <v>0</v>
      </c>
      <c r="K197" s="322">
        <v>0</v>
      </c>
      <c r="L197" s="322">
        <v>0</v>
      </c>
      <c r="M197" s="322">
        <v>0</v>
      </c>
      <c r="N197" s="322">
        <v>0</v>
      </c>
      <c r="O197" s="322">
        <v>0</v>
      </c>
      <c r="P197" s="322">
        <v>0</v>
      </c>
      <c r="Q197" s="322">
        <v>0</v>
      </c>
      <c r="R197" s="322">
        <v>0</v>
      </c>
      <c r="S197" s="9">
        <v>4.413146514749072E-6</v>
      </c>
      <c r="T197" s="9">
        <f t="shared" si="2"/>
        <v>0</v>
      </c>
      <c r="U197" s="321" t="s">
        <v>1053</v>
      </c>
    </row>
    <row r="198" spans="1:21" ht="12" customHeight="1">
      <c r="A198" s="327">
        <v>2</v>
      </c>
      <c r="B198" s="159" t="s">
        <v>314</v>
      </c>
      <c r="C198" s="68" t="s">
        <v>96</v>
      </c>
      <c r="D198" s="68" t="s">
        <v>309</v>
      </c>
      <c r="E198" s="321">
        <v>3</v>
      </c>
      <c r="F198" s="322">
        <v>314</v>
      </c>
      <c r="G198" s="322">
        <v>119</v>
      </c>
      <c r="H198" s="322">
        <v>0</v>
      </c>
      <c r="I198" s="322">
        <v>0</v>
      </c>
      <c r="J198" s="322">
        <v>0</v>
      </c>
      <c r="K198" s="322">
        <v>0</v>
      </c>
      <c r="L198" s="322">
        <v>0</v>
      </c>
      <c r="M198" s="322">
        <v>0</v>
      </c>
      <c r="N198" s="322">
        <v>0</v>
      </c>
      <c r="O198" s="322">
        <v>0</v>
      </c>
      <c r="P198" s="322">
        <v>0</v>
      </c>
      <c r="Q198" s="322">
        <v>0</v>
      </c>
      <c r="R198" s="322">
        <v>0</v>
      </c>
      <c r="S198" s="9">
        <v>4.413146514749072E-6</v>
      </c>
      <c r="T198" s="9">
        <f t="shared" ref="T198:T261" si="3">S198*R198</f>
        <v>0</v>
      </c>
      <c r="U198" s="321" t="s">
        <v>1054</v>
      </c>
    </row>
    <row r="199" spans="1:21" ht="12" customHeight="1">
      <c r="A199" s="327">
        <v>2</v>
      </c>
      <c r="B199" s="159" t="s">
        <v>314</v>
      </c>
      <c r="C199" s="68" t="s">
        <v>96</v>
      </c>
      <c r="D199" s="68" t="s">
        <v>309</v>
      </c>
      <c r="E199" s="321">
        <v>4</v>
      </c>
      <c r="F199" s="322">
        <v>308</v>
      </c>
      <c r="G199" s="322">
        <v>119</v>
      </c>
      <c r="H199" s="322">
        <v>0</v>
      </c>
      <c r="I199" s="322">
        <v>0</v>
      </c>
      <c r="J199" s="322">
        <v>0</v>
      </c>
      <c r="K199" s="322">
        <v>0</v>
      </c>
      <c r="L199" s="322">
        <v>0</v>
      </c>
      <c r="M199" s="322">
        <v>0</v>
      </c>
      <c r="N199" s="322">
        <v>0</v>
      </c>
      <c r="O199" s="322">
        <v>0</v>
      </c>
      <c r="P199" s="322">
        <v>0</v>
      </c>
      <c r="Q199" s="322">
        <v>0</v>
      </c>
      <c r="R199" s="322">
        <v>0</v>
      </c>
      <c r="S199" s="9">
        <v>4.413146514749072E-6</v>
      </c>
      <c r="T199" s="9">
        <f t="shared" si="3"/>
        <v>0</v>
      </c>
      <c r="U199" s="321" t="s">
        <v>1055</v>
      </c>
    </row>
    <row r="200" spans="1:21" ht="12" customHeight="1">
      <c r="A200" s="327">
        <v>2</v>
      </c>
      <c r="B200" s="159" t="s">
        <v>314</v>
      </c>
      <c r="C200" s="68" t="s">
        <v>96</v>
      </c>
      <c r="D200" s="68" t="s">
        <v>309</v>
      </c>
      <c r="E200" s="321">
        <v>5</v>
      </c>
      <c r="F200" s="322">
        <v>314</v>
      </c>
      <c r="G200" s="322">
        <v>119</v>
      </c>
      <c r="H200" s="322">
        <v>0</v>
      </c>
      <c r="I200" s="322">
        <v>0</v>
      </c>
      <c r="J200" s="322">
        <v>0</v>
      </c>
      <c r="K200" s="322">
        <v>0</v>
      </c>
      <c r="L200" s="322">
        <v>0</v>
      </c>
      <c r="M200" s="322">
        <v>0</v>
      </c>
      <c r="N200" s="322">
        <v>0</v>
      </c>
      <c r="O200" s="322">
        <v>0</v>
      </c>
      <c r="P200" s="322">
        <v>0</v>
      </c>
      <c r="Q200" s="322">
        <v>0</v>
      </c>
      <c r="R200" s="322">
        <v>0</v>
      </c>
      <c r="S200" s="9">
        <v>4.413146514749072E-6</v>
      </c>
      <c r="T200" s="9">
        <f t="shared" si="3"/>
        <v>0</v>
      </c>
      <c r="U200" s="321" t="s">
        <v>1056</v>
      </c>
    </row>
    <row r="201" spans="1:21" ht="12" customHeight="1">
      <c r="A201" s="327">
        <v>2</v>
      </c>
      <c r="B201" s="159" t="s">
        <v>314</v>
      </c>
      <c r="C201" s="68" t="s">
        <v>96</v>
      </c>
      <c r="D201" s="68" t="s">
        <v>307</v>
      </c>
      <c r="E201" s="321">
        <v>1</v>
      </c>
      <c r="F201" s="322">
        <v>322</v>
      </c>
      <c r="G201" s="322">
        <v>119</v>
      </c>
      <c r="H201" s="322">
        <v>0</v>
      </c>
      <c r="I201" s="322">
        <v>0</v>
      </c>
      <c r="J201" s="322">
        <v>0</v>
      </c>
      <c r="K201" s="322">
        <v>0</v>
      </c>
      <c r="L201" s="322">
        <v>0</v>
      </c>
      <c r="M201" s="322">
        <v>0</v>
      </c>
      <c r="N201" s="322">
        <v>0</v>
      </c>
      <c r="O201" s="322">
        <v>0</v>
      </c>
      <c r="P201" s="322">
        <v>0</v>
      </c>
      <c r="Q201" s="322">
        <v>0</v>
      </c>
      <c r="R201" s="322">
        <v>0</v>
      </c>
      <c r="S201" s="9">
        <v>1.1915507505329999E-4</v>
      </c>
      <c r="T201" s="9">
        <f t="shared" si="3"/>
        <v>0</v>
      </c>
      <c r="U201" s="321" t="s">
        <v>1082</v>
      </c>
    </row>
    <row r="202" spans="1:21" ht="12" customHeight="1">
      <c r="A202" s="327">
        <v>2</v>
      </c>
      <c r="B202" s="159" t="s">
        <v>314</v>
      </c>
      <c r="C202" s="68" t="s">
        <v>96</v>
      </c>
      <c r="D202" s="68" t="s">
        <v>307</v>
      </c>
      <c r="E202" s="321">
        <v>2</v>
      </c>
      <c r="F202" s="322">
        <v>350</v>
      </c>
      <c r="G202" s="322">
        <v>119</v>
      </c>
      <c r="H202" s="322">
        <v>0</v>
      </c>
      <c r="I202" s="322">
        <v>0</v>
      </c>
      <c r="J202" s="322">
        <v>0</v>
      </c>
      <c r="K202" s="322">
        <v>0</v>
      </c>
      <c r="L202" s="322">
        <v>0</v>
      </c>
      <c r="M202" s="322">
        <v>0</v>
      </c>
      <c r="N202" s="322">
        <v>0</v>
      </c>
      <c r="O202" s="322">
        <v>0</v>
      </c>
      <c r="P202" s="322">
        <v>0</v>
      </c>
      <c r="Q202" s="322">
        <v>0</v>
      </c>
      <c r="R202" s="322">
        <v>0</v>
      </c>
      <c r="S202" s="9">
        <v>1.1915507505329999E-4</v>
      </c>
      <c r="T202" s="9">
        <f t="shared" si="3"/>
        <v>0</v>
      </c>
      <c r="U202" s="321" t="s">
        <v>1083</v>
      </c>
    </row>
    <row r="203" spans="1:21" ht="12" customHeight="1">
      <c r="A203" s="327">
        <v>2</v>
      </c>
      <c r="B203" s="159" t="s">
        <v>314</v>
      </c>
      <c r="C203" s="68" t="s">
        <v>96</v>
      </c>
      <c r="D203" s="68" t="s">
        <v>307</v>
      </c>
      <c r="E203" s="321">
        <v>3</v>
      </c>
      <c r="F203" s="322">
        <v>326</v>
      </c>
      <c r="G203" s="322">
        <v>119</v>
      </c>
      <c r="H203" s="322">
        <v>0</v>
      </c>
      <c r="I203" s="322">
        <v>0</v>
      </c>
      <c r="J203" s="322">
        <v>0</v>
      </c>
      <c r="K203" s="322">
        <v>0</v>
      </c>
      <c r="L203" s="322">
        <v>0</v>
      </c>
      <c r="M203" s="322">
        <v>0</v>
      </c>
      <c r="N203" s="322">
        <v>0</v>
      </c>
      <c r="O203" s="322">
        <v>0</v>
      </c>
      <c r="P203" s="322">
        <v>0</v>
      </c>
      <c r="Q203" s="322">
        <v>0</v>
      </c>
      <c r="R203" s="322">
        <v>0</v>
      </c>
      <c r="S203" s="9">
        <v>1.1915507505329999E-4</v>
      </c>
      <c r="T203" s="9">
        <f t="shared" si="3"/>
        <v>0</v>
      </c>
      <c r="U203" s="321" t="s">
        <v>1084</v>
      </c>
    </row>
    <row r="204" spans="1:21" ht="12" customHeight="1">
      <c r="A204" s="327">
        <v>2</v>
      </c>
      <c r="B204" s="159" t="s">
        <v>314</v>
      </c>
      <c r="C204" s="68" t="s">
        <v>96</v>
      </c>
      <c r="D204" s="68" t="s">
        <v>307</v>
      </c>
      <c r="E204" s="321">
        <v>4</v>
      </c>
      <c r="F204" s="322">
        <v>338</v>
      </c>
      <c r="G204" s="322">
        <v>119</v>
      </c>
      <c r="H204" s="322">
        <v>0</v>
      </c>
      <c r="I204" s="322">
        <v>0</v>
      </c>
      <c r="J204" s="322">
        <v>0</v>
      </c>
      <c r="K204" s="322">
        <v>0</v>
      </c>
      <c r="L204" s="322">
        <v>0</v>
      </c>
      <c r="M204" s="322">
        <v>0</v>
      </c>
      <c r="N204" s="322">
        <v>0</v>
      </c>
      <c r="O204" s="322">
        <v>0</v>
      </c>
      <c r="P204" s="322">
        <v>0</v>
      </c>
      <c r="Q204" s="322">
        <v>0</v>
      </c>
      <c r="R204" s="322">
        <v>0</v>
      </c>
      <c r="S204" s="9">
        <v>1.1915507505329999E-4</v>
      </c>
      <c r="T204" s="9">
        <f t="shared" si="3"/>
        <v>0</v>
      </c>
      <c r="U204" s="321" t="s">
        <v>1085</v>
      </c>
    </row>
    <row r="205" spans="1:21" ht="12" customHeight="1">
      <c r="A205" s="327">
        <v>2</v>
      </c>
      <c r="B205" s="159" t="s">
        <v>314</v>
      </c>
      <c r="C205" s="68" t="s">
        <v>96</v>
      </c>
      <c r="D205" s="68" t="s">
        <v>307</v>
      </c>
      <c r="E205" s="321">
        <v>5</v>
      </c>
      <c r="F205" s="322">
        <v>336</v>
      </c>
      <c r="G205" s="322">
        <v>119</v>
      </c>
      <c r="H205" s="322">
        <v>0</v>
      </c>
      <c r="I205" s="322">
        <v>0</v>
      </c>
      <c r="J205" s="322">
        <v>0</v>
      </c>
      <c r="K205" s="322">
        <v>0</v>
      </c>
      <c r="L205" s="322">
        <v>0</v>
      </c>
      <c r="M205" s="322">
        <v>0</v>
      </c>
      <c r="N205" s="322">
        <v>0</v>
      </c>
      <c r="O205" s="322">
        <v>0</v>
      </c>
      <c r="P205" s="322">
        <v>0</v>
      </c>
      <c r="Q205" s="322">
        <v>0</v>
      </c>
      <c r="R205" s="322">
        <v>0</v>
      </c>
      <c r="S205" s="9">
        <v>1.1915507505329999E-4</v>
      </c>
      <c r="T205" s="9">
        <f t="shared" si="3"/>
        <v>0</v>
      </c>
      <c r="U205" s="321" t="s">
        <v>1086</v>
      </c>
    </row>
    <row r="206" spans="1:21" ht="12" customHeight="1">
      <c r="A206" s="327">
        <v>2</v>
      </c>
      <c r="B206" s="159" t="s">
        <v>314</v>
      </c>
      <c r="C206" s="68" t="s">
        <v>95</v>
      </c>
      <c r="D206" s="68" t="s">
        <v>308</v>
      </c>
      <c r="E206" s="321">
        <v>1</v>
      </c>
      <c r="F206" s="322">
        <v>850</v>
      </c>
      <c r="G206" s="322">
        <v>525</v>
      </c>
      <c r="H206" s="322">
        <v>0</v>
      </c>
      <c r="I206" s="322">
        <v>0</v>
      </c>
      <c r="J206" s="322">
        <v>0</v>
      </c>
      <c r="K206" s="322">
        <v>0</v>
      </c>
      <c r="L206" s="322">
        <v>0</v>
      </c>
      <c r="M206" s="322">
        <v>0</v>
      </c>
      <c r="N206" s="322">
        <v>0</v>
      </c>
      <c r="O206" s="322">
        <v>0</v>
      </c>
      <c r="P206" s="322">
        <v>0</v>
      </c>
      <c r="Q206" s="322">
        <v>0</v>
      </c>
      <c r="R206" s="322">
        <v>0</v>
      </c>
      <c r="S206" s="9">
        <v>4.4577237522717891E-8</v>
      </c>
      <c r="T206" s="9">
        <f t="shared" si="3"/>
        <v>0</v>
      </c>
      <c r="U206" s="321" t="s">
        <v>842</v>
      </c>
    </row>
    <row r="207" spans="1:21" ht="12" customHeight="1">
      <c r="A207" s="327">
        <v>2</v>
      </c>
      <c r="B207" s="159" t="s">
        <v>314</v>
      </c>
      <c r="C207" s="68" t="s">
        <v>95</v>
      </c>
      <c r="D207" s="68" t="s">
        <v>308</v>
      </c>
      <c r="E207" s="321">
        <v>2</v>
      </c>
      <c r="F207" s="322">
        <v>822</v>
      </c>
      <c r="G207" s="322">
        <v>524</v>
      </c>
      <c r="H207" s="322">
        <v>0</v>
      </c>
      <c r="I207" s="322">
        <v>0</v>
      </c>
      <c r="J207" s="322">
        <v>0</v>
      </c>
      <c r="K207" s="322">
        <v>0</v>
      </c>
      <c r="L207" s="322">
        <v>0</v>
      </c>
      <c r="M207" s="322">
        <v>0</v>
      </c>
      <c r="N207" s="322">
        <v>0</v>
      </c>
      <c r="O207" s="322">
        <v>0</v>
      </c>
      <c r="P207" s="322">
        <v>0</v>
      </c>
      <c r="Q207" s="322">
        <v>0</v>
      </c>
      <c r="R207" s="322">
        <v>0</v>
      </c>
      <c r="S207" s="9">
        <v>4.4577237522717891E-8</v>
      </c>
      <c r="T207" s="9">
        <f t="shared" si="3"/>
        <v>0</v>
      </c>
      <c r="U207" s="321" t="s">
        <v>843</v>
      </c>
    </row>
    <row r="208" spans="1:21" ht="12" customHeight="1">
      <c r="A208" s="327">
        <v>2</v>
      </c>
      <c r="B208" s="159" t="s">
        <v>314</v>
      </c>
      <c r="C208" s="68" t="s">
        <v>95</v>
      </c>
      <c r="D208" s="68" t="s">
        <v>308</v>
      </c>
      <c r="E208" s="321">
        <v>3</v>
      </c>
      <c r="F208" s="322">
        <v>860</v>
      </c>
      <c r="G208" s="322">
        <v>524</v>
      </c>
      <c r="H208" s="322">
        <v>0</v>
      </c>
      <c r="I208" s="322">
        <v>0</v>
      </c>
      <c r="J208" s="322">
        <v>0</v>
      </c>
      <c r="K208" s="322">
        <v>0</v>
      </c>
      <c r="L208" s="322">
        <v>0</v>
      </c>
      <c r="M208" s="322">
        <v>0</v>
      </c>
      <c r="N208" s="322">
        <v>0</v>
      </c>
      <c r="O208" s="322">
        <v>0</v>
      </c>
      <c r="P208" s="322">
        <v>0</v>
      </c>
      <c r="Q208" s="322">
        <v>0</v>
      </c>
      <c r="R208" s="322">
        <v>0</v>
      </c>
      <c r="S208" s="9">
        <v>4.4577237522717891E-8</v>
      </c>
      <c r="T208" s="9">
        <f t="shared" si="3"/>
        <v>0</v>
      </c>
      <c r="U208" s="321" t="s">
        <v>844</v>
      </c>
    </row>
    <row r="209" spans="1:21" ht="12" customHeight="1">
      <c r="A209" s="327">
        <v>2</v>
      </c>
      <c r="B209" s="159" t="s">
        <v>314</v>
      </c>
      <c r="C209" s="68" t="s">
        <v>95</v>
      </c>
      <c r="D209" s="68" t="s">
        <v>308</v>
      </c>
      <c r="E209" s="321">
        <v>4</v>
      </c>
      <c r="F209" s="322">
        <v>808</v>
      </c>
      <c r="G209" s="322">
        <v>520</v>
      </c>
      <c r="H209" s="322">
        <v>0</v>
      </c>
      <c r="I209" s="322">
        <v>0</v>
      </c>
      <c r="J209" s="322">
        <v>0</v>
      </c>
      <c r="K209" s="322">
        <v>0</v>
      </c>
      <c r="L209" s="322">
        <v>0</v>
      </c>
      <c r="M209" s="322">
        <v>0</v>
      </c>
      <c r="N209" s="322">
        <v>0</v>
      </c>
      <c r="O209" s="322">
        <v>0</v>
      </c>
      <c r="P209" s="322">
        <v>0</v>
      </c>
      <c r="Q209" s="322">
        <v>0</v>
      </c>
      <c r="R209" s="322">
        <v>0</v>
      </c>
      <c r="S209" s="9">
        <v>4.4577237522717891E-8</v>
      </c>
      <c r="T209" s="9">
        <f t="shared" si="3"/>
        <v>0</v>
      </c>
      <c r="U209" s="321" t="s">
        <v>845</v>
      </c>
    </row>
    <row r="210" spans="1:21" ht="12" customHeight="1">
      <c r="A210" s="327">
        <v>2</v>
      </c>
      <c r="B210" s="159" t="s">
        <v>314</v>
      </c>
      <c r="C210" s="68" t="s">
        <v>95</v>
      </c>
      <c r="D210" s="68" t="s">
        <v>308</v>
      </c>
      <c r="E210" s="321">
        <v>5</v>
      </c>
      <c r="F210" s="322">
        <v>850</v>
      </c>
      <c r="G210" s="322">
        <v>524</v>
      </c>
      <c r="H210" s="322">
        <v>0</v>
      </c>
      <c r="I210" s="322">
        <v>0</v>
      </c>
      <c r="J210" s="322">
        <v>0</v>
      </c>
      <c r="K210" s="322">
        <v>0</v>
      </c>
      <c r="L210" s="322">
        <v>0</v>
      </c>
      <c r="M210" s="322">
        <v>0</v>
      </c>
      <c r="N210" s="322">
        <v>0</v>
      </c>
      <c r="O210" s="322">
        <v>0</v>
      </c>
      <c r="P210" s="322">
        <v>0</v>
      </c>
      <c r="Q210" s="322">
        <v>0</v>
      </c>
      <c r="R210" s="322">
        <v>0</v>
      </c>
      <c r="S210" s="9">
        <v>4.4577237522717891E-8</v>
      </c>
      <c r="T210" s="9">
        <f t="shared" si="3"/>
        <v>0</v>
      </c>
      <c r="U210" s="321" t="s">
        <v>846</v>
      </c>
    </row>
    <row r="211" spans="1:21" ht="12" customHeight="1">
      <c r="A211" s="327">
        <v>2</v>
      </c>
      <c r="B211" s="159" t="s">
        <v>314</v>
      </c>
      <c r="C211" s="68" t="s">
        <v>95</v>
      </c>
      <c r="D211" s="68" t="s">
        <v>310</v>
      </c>
      <c r="E211" s="321">
        <v>1</v>
      </c>
      <c r="F211" s="322">
        <v>816</v>
      </c>
      <c r="G211" s="322">
        <v>524</v>
      </c>
      <c r="H211" s="322">
        <v>3</v>
      </c>
      <c r="I211" s="322">
        <v>0</v>
      </c>
      <c r="J211" s="322">
        <v>0</v>
      </c>
      <c r="K211" s="322">
        <v>0</v>
      </c>
      <c r="L211" s="322">
        <v>0</v>
      </c>
      <c r="M211" s="322">
        <v>0</v>
      </c>
      <c r="N211" s="322">
        <v>0</v>
      </c>
      <c r="O211" s="322">
        <v>0</v>
      </c>
      <c r="P211" s="322">
        <v>0</v>
      </c>
      <c r="Q211" s="322">
        <v>0</v>
      </c>
      <c r="R211" s="322">
        <v>0</v>
      </c>
      <c r="S211" s="9">
        <v>4.4576836327178993E-8</v>
      </c>
      <c r="T211" s="9">
        <f t="shared" si="3"/>
        <v>0</v>
      </c>
      <c r="U211" s="321" t="s">
        <v>872</v>
      </c>
    </row>
    <row r="212" spans="1:21" ht="12" customHeight="1">
      <c r="A212" s="327">
        <v>2</v>
      </c>
      <c r="B212" s="159" t="s">
        <v>314</v>
      </c>
      <c r="C212" s="68" t="s">
        <v>95</v>
      </c>
      <c r="D212" s="68" t="s">
        <v>310</v>
      </c>
      <c r="E212" s="321">
        <v>2</v>
      </c>
      <c r="F212" s="322">
        <v>764</v>
      </c>
      <c r="G212" s="322">
        <v>519</v>
      </c>
      <c r="H212" s="322">
        <v>4</v>
      </c>
      <c r="I212" s="322">
        <v>0</v>
      </c>
      <c r="J212" s="322">
        <v>0</v>
      </c>
      <c r="K212" s="322">
        <v>0</v>
      </c>
      <c r="L212" s="322">
        <v>0</v>
      </c>
      <c r="M212" s="322">
        <v>0</v>
      </c>
      <c r="N212" s="322">
        <v>0</v>
      </c>
      <c r="O212" s="322">
        <v>0</v>
      </c>
      <c r="P212" s="322">
        <v>0</v>
      </c>
      <c r="Q212" s="322">
        <v>0</v>
      </c>
      <c r="R212" s="322">
        <v>0</v>
      </c>
      <c r="S212" s="9">
        <v>4.4576836327178993E-8</v>
      </c>
      <c r="T212" s="9">
        <f t="shared" si="3"/>
        <v>0</v>
      </c>
      <c r="U212" s="321" t="s">
        <v>873</v>
      </c>
    </row>
    <row r="213" spans="1:21" ht="12" customHeight="1">
      <c r="A213" s="327">
        <v>2</v>
      </c>
      <c r="B213" s="159" t="s">
        <v>314</v>
      </c>
      <c r="C213" s="68" t="s">
        <v>95</v>
      </c>
      <c r="D213" s="68" t="s">
        <v>310</v>
      </c>
      <c r="E213" s="321">
        <v>3</v>
      </c>
      <c r="F213" s="322">
        <v>748</v>
      </c>
      <c r="G213" s="322">
        <v>524</v>
      </c>
      <c r="H213" s="322">
        <v>3</v>
      </c>
      <c r="I213" s="322">
        <v>0</v>
      </c>
      <c r="J213" s="322">
        <v>0</v>
      </c>
      <c r="K213" s="322">
        <v>0</v>
      </c>
      <c r="L213" s="322">
        <v>0</v>
      </c>
      <c r="M213" s="322">
        <v>0</v>
      </c>
      <c r="N213" s="322">
        <v>0</v>
      </c>
      <c r="O213" s="322">
        <v>0</v>
      </c>
      <c r="P213" s="322">
        <v>0</v>
      </c>
      <c r="Q213" s="322">
        <v>0</v>
      </c>
      <c r="R213" s="322">
        <v>0</v>
      </c>
      <c r="S213" s="9">
        <v>4.4576836327178993E-8</v>
      </c>
      <c r="T213" s="9">
        <f t="shared" si="3"/>
        <v>0</v>
      </c>
      <c r="U213" s="321" t="s">
        <v>874</v>
      </c>
    </row>
    <row r="214" spans="1:21" ht="12" customHeight="1">
      <c r="A214" s="327">
        <v>2</v>
      </c>
      <c r="B214" s="159" t="s">
        <v>314</v>
      </c>
      <c r="C214" s="68" t="s">
        <v>95</v>
      </c>
      <c r="D214" s="68" t="s">
        <v>310</v>
      </c>
      <c r="E214" s="321">
        <v>4</v>
      </c>
      <c r="F214" s="322">
        <v>750</v>
      </c>
      <c r="G214" s="322">
        <v>519</v>
      </c>
      <c r="H214" s="322">
        <v>0</v>
      </c>
      <c r="I214" s="322">
        <v>0</v>
      </c>
      <c r="J214" s="322">
        <v>0</v>
      </c>
      <c r="K214" s="322">
        <v>0</v>
      </c>
      <c r="L214" s="322">
        <v>0</v>
      </c>
      <c r="M214" s="322">
        <v>0</v>
      </c>
      <c r="N214" s="322">
        <v>0</v>
      </c>
      <c r="O214" s="322">
        <v>0</v>
      </c>
      <c r="P214" s="322">
        <v>0</v>
      </c>
      <c r="Q214" s="322">
        <v>0</v>
      </c>
      <c r="R214" s="322">
        <v>0</v>
      </c>
      <c r="S214" s="9">
        <v>4.4576836327178993E-8</v>
      </c>
      <c r="T214" s="9">
        <f t="shared" si="3"/>
        <v>0</v>
      </c>
      <c r="U214" s="321" t="s">
        <v>875</v>
      </c>
    </row>
    <row r="215" spans="1:21" ht="12" customHeight="1">
      <c r="A215" s="327">
        <v>2</v>
      </c>
      <c r="B215" s="159" t="s">
        <v>314</v>
      </c>
      <c r="C215" s="68" t="s">
        <v>95</v>
      </c>
      <c r="D215" s="68" t="s">
        <v>310</v>
      </c>
      <c r="E215" s="321">
        <v>5</v>
      </c>
      <c r="F215" s="322">
        <v>762</v>
      </c>
      <c r="G215" s="322">
        <v>524</v>
      </c>
      <c r="H215" s="322">
        <v>31</v>
      </c>
      <c r="I215" s="322">
        <v>5</v>
      </c>
      <c r="J215" s="322">
        <v>0</v>
      </c>
      <c r="K215" s="322">
        <v>0</v>
      </c>
      <c r="L215" s="322">
        <v>0</v>
      </c>
      <c r="M215" s="322">
        <v>0</v>
      </c>
      <c r="N215" s="322">
        <v>0</v>
      </c>
      <c r="O215" s="322">
        <v>0</v>
      </c>
      <c r="P215" s="322">
        <v>0</v>
      </c>
      <c r="Q215" s="322">
        <v>0</v>
      </c>
      <c r="R215" s="322">
        <v>0.8</v>
      </c>
      <c r="S215" s="9">
        <v>4.4576836327178993E-8</v>
      </c>
      <c r="T215" s="9">
        <f t="shared" si="3"/>
        <v>3.5661469061743194E-8</v>
      </c>
      <c r="U215" s="321" t="s">
        <v>876</v>
      </c>
    </row>
    <row r="216" spans="1:21" ht="12" customHeight="1">
      <c r="A216" s="327">
        <v>2</v>
      </c>
      <c r="B216" s="159" t="s">
        <v>314</v>
      </c>
      <c r="C216" s="68" t="s">
        <v>95</v>
      </c>
      <c r="D216" s="68" t="s">
        <v>309</v>
      </c>
      <c r="E216" s="321">
        <v>1</v>
      </c>
      <c r="F216" s="322">
        <v>1214</v>
      </c>
      <c r="G216" s="322">
        <v>524</v>
      </c>
      <c r="H216" s="322">
        <v>90</v>
      </c>
      <c r="I216" s="322">
        <v>63</v>
      </c>
      <c r="J216" s="322">
        <v>29</v>
      </c>
      <c r="K216" s="322">
        <v>7</v>
      </c>
      <c r="L216" s="322">
        <v>0</v>
      </c>
      <c r="M216" s="322">
        <v>0</v>
      </c>
      <c r="N216" s="322">
        <v>0</v>
      </c>
      <c r="O216" s="322">
        <v>0</v>
      </c>
      <c r="P216" s="322">
        <v>0</v>
      </c>
      <c r="Q216" s="322">
        <v>0</v>
      </c>
      <c r="R216" s="322">
        <v>32.700000000000003</v>
      </c>
      <c r="S216" s="9">
        <v>4.4577237522717891E-8</v>
      </c>
      <c r="T216" s="9">
        <f t="shared" si="3"/>
        <v>1.4576756669928751E-6</v>
      </c>
      <c r="U216" s="321" t="s">
        <v>902</v>
      </c>
    </row>
    <row r="217" spans="1:21" ht="12" customHeight="1">
      <c r="A217" s="327">
        <v>2</v>
      </c>
      <c r="B217" s="159" t="s">
        <v>314</v>
      </c>
      <c r="C217" s="68" t="s">
        <v>95</v>
      </c>
      <c r="D217" s="68" t="s">
        <v>309</v>
      </c>
      <c r="E217" s="321">
        <v>2</v>
      </c>
      <c r="F217" s="322">
        <v>1232</v>
      </c>
      <c r="G217" s="322">
        <v>524</v>
      </c>
      <c r="H217" s="322">
        <v>106</v>
      </c>
      <c r="I217" s="322">
        <v>51</v>
      </c>
      <c r="J217" s="322">
        <v>25</v>
      </c>
      <c r="K217" s="322">
        <v>11</v>
      </c>
      <c r="L217" s="322">
        <v>0</v>
      </c>
      <c r="M217" s="322">
        <v>0</v>
      </c>
      <c r="N217" s="322">
        <v>0</v>
      </c>
      <c r="O217" s="322">
        <v>0</v>
      </c>
      <c r="P217" s="322">
        <v>0</v>
      </c>
      <c r="Q217" s="322">
        <v>0</v>
      </c>
      <c r="R217" s="322">
        <v>28.2</v>
      </c>
      <c r="S217" s="9">
        <v>4.4577237522717891E-8</v>
      </c>
      <c r="T217" s="9">
        <f t="shared" si="3"/>
        <v>1.2570780981406445E-6</v>
      </c>
      <c r="U217" s="321" t="s">
        <v>903</v>
      </c>
    </row>
    <row r="218" spans="1:21" ht="12" customHeight="1">
      <c r="A218" s="327">
        <v>2</v>
      </c>
      <c r="B218" s="159" t="s">
        <v>314</v>
      </c>
      <c r="C218" s="68" t="s">
        <v>95</v>
      </c>
      <c r="D218" s="68" t="s">
        <v>309</v>
      </c>
      <c r="E218" s="321">
        <v>3</v>
      </c>
      <c r="F218" s="322">
        <v>1318</v>
      </c>
      <c r="G218" s="322">
        <v>525</v>
      </c>
      <c r="H218" s="322">
        <v>141</v>
      </c>
      <c r="I218" s="322">
        <v>83</v>
      </c>
      <c r="J218" s="322">
        <v>37</v>
      </c>
      <c r="K218" s="322">
        <v>12</v>
      </c>
      <c r="L218" s="322">
        <v>1</v>
      </c>
      <c r="M218" s="322">
        <v>0</v>
      </c>
      <c r="N218" s="322">
        <v>0</v>
      </c>
      <c r="O218" s="322">
        <v>0</v>
      </c>
      <c r="P218" s="322">
        <v>0</v>
      </c>
      <c r="Q218" s="322">
        <v>0</v>
      </c>
      <c r="R218" s="322">
        <v>42.2</v>
      </c>
      <c r="S218" s="9">
        <v>4.4577237522717891E-8</v>
      </c>
      <c r="T218" s="9">
        <f t="shared" si="3"/>
        <v>1.8811594234586952E-6</v>
      </c>
      <c r="U218" s="321" t="s">
        <v>904</v>
      </c>
    </row>
    <row r="219" spans="1:21" ht="12" customHeight="1">
      <c r="A219" s="327">
        <v>2</v>
      </c>
      <c r="B219" s="159" t="s">
        <v>314</v>
      </c>
      <c r="C219" s="68" t="s">
        <v>95</v>
      </c>
      <c r="D219" s="68" t="s">
        <v>309</v>
      </c>
      <c r="E219" s="321">
        <v>4</v>
      </c>
      <c r="F219" s="322">
        <v>1212</v>
      </c>
      <c r="G219" s="322">
        <v>524</v>
      </c>
      <c r="H219" s="322">
        <v>119</v>
      </c>
      <c r="I219" s="322">
        <v>90</v>
      </c>
      <c r="J219" s="322">
        <v>31</v>
      </c>
      <c r="K219" s="322">
        <v>7</v>
      </c>
      <c r="L219" s="322">
        <v>0</v>
      </c>
      <c r="M219" s="322">
        <v>0</v>
      </c>
      <c r="N219" s="322">
        <v>0</v>
      </c>
      <c r="O219" s="322">
        <v>0</v>
      </c>
      <c r="P219" s="322">
        <v>0</v>
      </c>
      <c r="Q219" s="322">
        <v>0</v>
      </c>
      <c r="R219" s="322">
        <v>37.200000000000003</v>
      </c>
      <c r="S219" s="9">
        <v>4.4577237522717891E-8</v>
      </c>
      <c r="T219" s="9">
        <f t="shared" si="3"/>
        <v>1.6582732358451056E-6</v>
      </c>
      <c r="U219" s="321" t="s">
        <v>905</v>
      </c>
    </row>
    <row r="220" spans="1:21" ht="12" customHeight="1">
      <c r="A220" s="327">
        <v>2</v>
      </c>
      <c r="B220" s="159" t="s">
        <v>314</v>
      </c>
      <c r="C220" s="68" t="s">
        <v>95</v>
      </c>
      <c r="D220" s="68" t="s">
        <v>309</v>
      </c>
      <c r="E220" s="321">
        <v>5</v>
      </c>
      <c r="F220" s="322">
        <v>1236</v>
      </c>
      <c r="G220" s="322">
        <v>524</v>
      </c>
      <c r="H220" s="322">
        <v>144</v>
      </c>
      <c r="I220" s="322">
        <v>79</v>
      </c>
      <c r="J220" s="322">
        <v>34</v>
      </c>
      <c r="K220" s="322">
        <v>16</v>
      </c>
      <c r="L220" s="322">
        <v>1</v>
      </c>
      <c r="M220" s="322">
        <v>0</v>
      </c>
      <c r="N220" s="322">
        <v>0</v>
      </c>
      <c r="O220" s="322">
        <v>0</v>
      </c>
      <c r="P220" s="322">
        <v>0</v>
      </c>
      <c r="Q220" s="322">
        <v>0</v>
      </c>
      <c r="R220" s="322">
        <v>39.200000000000003</v>
      </c>
      <c r="S220" s="9">
        <v>4.4577237522717891E-8</v>
      </c>
      <c r="T220" s="9">
        <f t="shared" si="3"/>
        <v>1.7474277108905414E-6</v>
      </c>
      <c r="U220" s="321" t="s">
        <v>906</v>
      </c>
    </row>
    <row r="221" spans="1:21" ht="12" customHeight="1">
      <c r="A221" s="327">
        <v>2</v>
      </c>
      <c r="B221" s="159" t="s">
        <v>314</v>
      </c>
      <c r="C221" s="68" t="s">
        <v>95</v>
      </c>
      <c r="D221" s="68" t="s">
        <v>311</v>
      </c>
      <c r="E221" s="321">
        <v>1</v>
      </c>
      <c r="F221" s="322">
        <v>1474</v>
      </c>
      <c r="G221" s="322">
        <v>524</v>
      </c>
      <c r="H221" s="322">
        <v>30</v>
      </c>
      <c r="I221" s="322">
        <v>14</v>
      </c>
      <c r="J221" s="322">
        <v>11</v>
      </c>
      <c r="K221" s="322">
        <v>1</v>
      </c>
      <c r="L221" s="322">
        <v>1</v>
      </c>
      <c r="M221" s="322">
        <v>1</v>
      </c>
      <c r="N221" s="322">
        <v>1</v>
      </c>
      <c r="O221" s="322">
        <v>0</v>
      </c>
      <c r="P221" s="322">
        <v>0</v>
      </c>
      <c r="Q221" s="322">
        <v>0</v>
      </c>
      <c r="R221" s="322">
        <v>11.5</v>
      </c>
      <c r="S221" s="9">
        <v>1.2035866167E-6</v>
      </c>
      <c r="T221" s="9">
        <f t="shared" si="3"/>
        <v>1.3841246092050001E-5</v>
      </c>
      <c r="U221" s="321" t="s">
        <v>932</v>
      </c>
    </row>
    <row r="222" spans="1:21" ht="12" customHeight="1">
      <c r="A222" s="327">
        <v>2</v>
      </c>
      <c r="B222" s="159" t="s">
        <v>314</v>
      </c>
      <c r="C222" s="68" t="s">
        <v>95</v>
      </c>
      <c r="D222" s="68" t="s">
        <v>311</v>
      </c>
      <c r="E222" s="321">
        <v>2</v>
      </c>
      <c r="F222" s="322">
        <v>1156</v>
      </c>
      <c r="G222" s="322">
        <v>524</v>
      </c>
      <c r="H222" s="322">
        <v>11</v>
      </c>
      <c r="I222" s="322">
        <v>4</v>
      </c>
      <c r="J222" s="322">
        <v>1</v>
      </c>
      <c r="K222" s="322">
        <v>0</v>
      </c>
      <c r="L222" s="322">
        <v>0</v>
      </c>
      <c r="M222" s="322">
        <v>0</v>
      </c>
      <c r="N222" s="322">
        <v>0</v>
      </c>
      <c r="O222" s="322">
        <v>0</v>
      </c>
      <c r="P222" s="322">
        <v>0</v>
      </c>
      <c r="Q222" s="322">
        <v>0</v>
      </c>
      <c r="R222" s="322">
        <v>1.4</v>
      </c>
      <c r="S222" s="9">
        <v>1.2035866167E-6</v>
      </c>
      <c r="T222" s="9">
        <f t="shared" si="3"/>
        <v>1.6850212633799999E-6</v>
      </c>
      <c r="U222" s="321" t="s">
        <v>933</v>
      </c>
    </row>
    <row r="223" spans="1:21" ht="12" customHeight="1">
      <c r="A223" s="327">
        <v>2</v>
      </c>
      <c r="B223" s="159" t="s">
        <v>314</v>
      </c>
      <c r="C223" s="68" t="s">
        <v>95</v>
      </c>
      <c r="D223" s="68" t="s">
        <v>311</v>
      </c>
      <c r="E223" s="321">
        <v>3</v>
      </c>
      <c r="F223" s="322">
        <v>1264</v>
      </c>
      <c r="G223" s="322">
        <v>524</v>
      </c>
      <c r="H223" s="322">
        <v>20</v>
      </c>
      <c r="I223" s="322">
        <v>10</v>
      </c>
      <c r="J223" s="322">
        <v>6</v>
      </c>
      <c r="K223" s="322">
        <v>2</v>
      </c>
      <c r="L223" s="322">
        <v>0</v>
      </c>
      <c r="M223" s="322">
        <v>0</v>
      </c>
      <c r="N223" s="322">
        <v>0</v>
      </c>
      <c r="O223" s="322">
        <v>0</v>
      </c>
      <c r="P223" s="322">
        <v>0</v>
      </c>
      <c r="Q223" s="322">
        <v>0</v>
      </c>
      <c r="R223" s="322">
        <v>6.5</v>
      </c>
      <c r="S223" s="9">
        <v>1.2035866167E-6</v>
      </c>
      <c r="T223" s="9">
        <f t="shared" si="3"/>
        <v>7.8233130085500004E-6</v>
      </c>
      <c r="U223" s="321" t="s">
        <v>934</v>
      </c>
    </row>
    <row r="224" spans="1:21" ht="12" customHeight="1">
      <c r="A224" s="327">
        <v>2</v>
      </c>
      <c r="B224" s="159" t="s">
        <v>314</v>
      </c>
      <c r="C224" s="68" t="s">
        <v>95</v>
      </c>
      <c r="D224" s="68" t="s">
        <v>311</v>
      </c>
      <c r="E224" s="321">
        <v>4</v>
      </c>
      <c r="F224" s="322">
        <v>1198</v>
      </c>
      <c r="G224" s="322">
        <v>524</v>
      </c>
      <c r="H224" s="322">
        <v>27</v>
      </c>
      <c r="I224" s="322">
        <v>9</v>
      </c>
      <c r="J224" s="322">
        <v>2</v>
      </c>
      <c r="K224" s="322">
        <v>0</v>
      </c>
      <c r="L224" s="322">
        <v>0</v>
      </c>
      <c r="M224" s="322">
        <v>0</v>
      </c>
      <c r="N224" s="322">
        <v>0</v>
      </c>
      <c r="O224" s="322">
        <v>0</v>
      </c>
      <c r="P224" s="322">
        <v>0</v>
      </c>
      <c r="Q224" s="322">
        <v>0</v>
      </c>
      <c r="R224" s="322">
        <v>2.9</v>
      </c>
      <c r="S224" s="9">
        <v>1.2035866167E-6</v>
      </c>
      <c r="T224" s="9">
        <f t="shared" si="3"/>
        <v>3.4904011884299998E-6</v>
      </c>
      <c r="U224" s="321" t="s">
        <v>935</v>
      </c>
    </row>
    <row r="225" spans="1:21" ht="12" customHeight="1">
      <c r="A225" s="327">
        <v>2</v>
      </c>
      <c r="B225" s="159" t="s">
        <v>314</v>
      </c>
      <c r="C225" s="68" t="s">
        <v>95</v>
      </c>
      <c r="D225" s="68" t="s">
        <v>311</v>
      </c>
      <c r="E225" s="321">
        <v>5</v>
      </c>
      <c r="F225" s="322">
        <v>1288</v>
      </c>
      <c r="G225" s="322">
        <v>520</v>
      </c>
      <c r="H225" s="322">
        <v>27</v>
      </c>
      <c r="I225" s="322">
        <v>13</v>
      </c>
      <c r="J225" s="322">
        <v>1</v>
      </c>
      <c r="K225" s="322">
        <v>1</v>
      </c>
      <c r="L225" s="322">
        <v>0</v>
      </c>
      <c r="M225" s="322">
        <v>0</v>
      </c>
      <c r="N225" s="322">
        <v>0</v>
      </c>
      <c r="O225" s="322">
        <v>0</v>
      </c>
      <c r="P225" s="322">
        <v>0</v>
      </c>
      <c r="Q225" s="322">
        <v>0</v>
      </c>
      <c r="R225" s="322">
        <v>2.2999999999999998</v>
      </c>
      <c r="S225" s="9">
        <v>1.2035866167E-6</v>
      </c>
      <c r="T225" s="9">
        <f t="shared" si="3"/>
        <v>2.76824921841E-6</v>
      </c>
      <c r="U225" s="321" t="s">
        <v>936</v>
      </c>
    </row>
    <row r="226" spans="1:21" ht="12" customHeight="1">
      <c r="A226" s="327">
        <v>2</v>
      </c>
      <c r="B226" s="159" t="s">
        <v>314</v>
      </c>
      <c r="C226" s="68" t="s">
        <v>95</v>
      </c>
      <c r="D226" s="68" t="s">
        <v>307</v>
      </c>
      <c r="E226" s="321">
        <v>1</v>
      </c>
      <c r="F226" s="322">
        <v>1216</v>
      </c>
      <c r="G226" s="322">
        <v>524</v>
      </c>
      <c r="H226" s="322">
        <v>206</v>
      </c>
      <c r="I226" s="322">
        <v>143</v>
      </c>
      <c r="J226" s="322">
        <v>111</v>
      </c>
      <c r="K226" s="322">
        <v>48</v>
      </c>
      <c r="L226" s="322">
        <v>0</v>
      </c>
      <c r="M226" s="322">
        <v>0</v>
      </c>
      <c r="N226" s="322">
        <v>0</v>
      </c>
      <c r="O226" s="322">
        <v>0</v>
      </c>
      <c r="P226" s="322">
        <v>0</v>
      </c>
      <c r="Q226" s="322">
        <v>0</v>
      </c>
      <c r="R226" s="322">
        <v>114.8</v>
      </c>
      <c r="S226" s="9">
        <v>0</v>
      </c>
      <c r="T226" s="9">
        <f t="shared" si="3"/>
        <v>0</v>
      </c>
      <c r="U226" s="321" t="s">
        <v>962</v>
      </c>
    </row>
    <row r="227" spans="1:21" ht="12" customHeight="1">
      <c r="A227" s="327">
        <v>2</v>
      </c>
      <c r="B227" s="159" t="s">
        <v>314</v>
      </c>
      <c r="C227" s="68" t="s">
        <v>95</v>
      </c>
      <c r="D227" s="68" t="s">
        <v>307</v>
      </c>
      <c r="E227" s="321">
        <v>2</v>
      </c>
      <c r="F227" s="322">
        <v>1288</v>
      </c>
      <c r="G227" s="322">
        <v>524</v>
      </c>
      <c r="H227" s="322">
        <v>169</v>
      </c>
      <c r="I227" s="322">
        <v>116</v>
      </c>
      <c r="J227" s="322">
        <v>79</v>
      </c>
      <c r="K227" s="322">
        <v>45</v>
      </c>
      <c r="L227" s="322">
        <v>2</v>
      </c>
      <c r="M227" s="322">
        <v>0</v>
      </c>
      <c r="N227" s="322">
        <v>0</v>
      </c>
      <c r="O227" s="322">
        <v>0</v>
      </c>
      <c r="P227" s="322">
        <v>0</v>
      </c>
      <c r="Q227" s="322">
        <v>0</v>
      </c>
      <c r="R227" s="322">
        <v>83.2</v>
      </c>
      <c r="S227" s="9">
        <v>0</v>
      </c>
      <c r="T227" s="9">
        <f t="shared" si="3"/>
        <v>0</v>
      </c>
      <c r="U227" s="321" t="s">
        <v>963</v>
      </c>
    </row>
    <row r="228" spans="1:21" ht="12" customHeight="1">
      <c r="A228" s="327">
        <v>2</v>
      </c>
      <c r="B228" s="159" t="s">
        <v>314</v>
      </c>
      <c r="C228" s="68" t="s">
        <v>95</v>
      </c>
      <c r="D228" s="68" t="s">
        <v>307</v>
      </c>
      <c r="E228" s="321">
        <v>3</v>
      </c>
      <c r="F228" s="322">
        <v>1232</v>
      </c>
      <c r="G228" s="322">
        <v>524</v>
      </c>
      <c r="H228" s="322">
        <v>154</v>
      </c>
      <c r="I228" s="322">
        <v>120</v>
      </c>
      <c r="J228" s="322">
        <v>70</v>
      </c>
      <c r="K228" s="322">
        <v>27</v>
      </c>
      <c r="L228" s="322">
        <v>0</v>
      </c>
      <c r="M228" s="322">
        <v>0</v>
      </c>
      <c r="N228" s="322">
        <v>0</v>
      </c>
      <c r="O228" s="322">
        <v>0</v>
      </c>
      <c r="P228" s="322">
        <v>0</v>
      </c>
      <c r="Q228" s="322">
        <v>0</v>
      </c>
      <c r="R228" s="322">
        <v>75.3</v>
      </c>
      <c r="S228" s="9">
        <v>0</v>
      </c>
      <c r="T228" s="9">
        <f t="shared" si="3"/>
        <v>0</v>
      </c>
      <c r="U228" s="321" t="s">
        <v>964</v>
      </c>
    </row>
    <row r="229" spans="1:21" ht="12" customHeight="1">
      <c r="A229" s="327">
        <v>2</v>
      </c>
      <c r="B229" s="159" t="s">
        <v>314</v>
      </c>
      <c r="C229" s="68" t="s">
        <v>95</v>
      </c>
      <c r="D229" s="68" t="s">
        <v>307</v>
      </c>
      <c r="E229" s="321">
        <v>4</v>
      </c>
      <c r="F229" s="322">
        <v>1262</v>
      </c>
      <c r="G229" s="322">
        <v>524</v>
      </c>
      <c r="H229" s="322">
        <v>216</v>
      </c>
      <c r="I229" s="322">
        <v>154</v>
      </c>
      <c r="J229" s="322">
        <v>90</v>
      </c>
      <c r="K229" s="322">
        <v>31</v>
      </c>
      <c r="L229" s="322">
        <v>1</v>
      </c>
      <c r="M229" s="322">
        <v>0</v>
      </c>
      <c r="N229" s="322">
        <v>0</v>
      </c>
      <c r="O229" s="322">
        <v>0</v>
      </c>
      <c r="P229" s="322">
        <v>0</v>
      </c>
      <c r="Q229" s="322">
        <v>0</v>
      </c>
      <c r="R229" s="322">
        <v>97</v>
      </c>
      <c r="S229" s="9">
        <v>0</v>
      </c>
      <c r="T229" s="9">
        <f t="shared" si="3"/>
        <v>0</v>
      </c>
      <c r="U229" s="321" t="s">
        <v>965</v>
      </c>
    </row>
    <row r="230" spans="1:21" ht="12" customHeight="1">
      <c r="A230" s="327">
        <v>2</v>
      </c>
      <c r="B230" s="159" t="s">
        <v>314</v>
      </c>
      <c r="C230" s="68" t="s">
        <v>95</v>
      </c>
      <c r="D230" s="68" t="s">
        <v>307</v>
      </c>
      <c r="E230" s="321">
        <v>5</v>
      </c>
      <c r="F230" s="322">
        <v>1270</v>
      </c>
      <c r="G230" s="322">
        <v>524</v>
      </c>
      <c r="H230" s="322">
        <v>148</v>
      </c>
      <c r="I230" s="322">
        <v>104</v>
      </c>
      <c r="J230" s="322">
        <v>52</v>
      </c>
      <c r="K230" s="322">
        <v>13</v>
      </c>
      <c r="L230" s="322">
        <v>1</v>
      </c>
      <c r="M230" s="322">
        <v>0</v>
      </c>
      <c r="N230" s="322">
        <v>0</v>
      </c>
      <c r="O230" s="322">
        <v>0</v>
      </c>
      <c r="P230" s="322">
        <v>0</v>
      </c>
      <c r="Q230" s="322">
        <v>0</v>
      </c>
      <c r="R230" s="322">
        <v>57.6</v>
      </c>
      <c r="S230" s="9">
        <v>0</v>
      </c>
      <c r="T230" s="9">
        <f t="shared" si="3"/>
        <v>0</v>
      </c>
      <c r="U230" s="321" t="s">
        <v>966</v>
      </c>
    </row>
    <row r="231" spans="1:21" ht="12" customHeight="1">
      <c r="A231" s="328">
        <v>2</v>
      </c>
      <c r="B231" s="159" t="s">
        <v>316</v>
      </c>
      <c r="C231" s="68" t="s">
        <v>96</v>
      </c>
      <c r="D231" s="68" t="s">
        <v>308</v>
      </c>
      <c r="E231" s="323">
        <v>1</v>
      </c>
      <c r="F231" s="324">
        <v>428</v>
      </c>
      <c r="G231" s="324">
        <v>119</v>
      </c>
      <c r="H231" s="324">
        <v>0</v>
      </c>
      <c r="I231" s="324">
        <v>0</v>
      </c>
      <c r="J231" s="324">
        <v>0</v>
      </c>
      <c r="K231" s="324">
        <v>0</v>
      </c>
      <c r="L231" s="324">
        <v>0</v>
      </c>
      <c r="M231" s="324">
        <v>0</v>
      </c>
      <c r="N231" s="324">
        <v>0</v>
      </c>
      <c r="O231" s="324">
        <v>0</v>
      </c>
      <c r="P231" s="324">
        <v>0</v>
      </c>
      <c r="Q231" s="324">
        <v>0</v>
      </c>
      <c r="R231" s="324">
        <v>0</v>
      </c>
      <c r="S231" s="9">
        <v>1.5093682811302096E-7</v>
      </c>
      <c r="T231" s="9">
        <f t="shared" si="3"/>
        <v>0</v>
      </c>
      <c r="U231" s="323" t="s">
        <v>1262</v>
      </c>
    </row>
    <row r="232" spans="1:21" ht="12" customHeight="1">
      <c r="A232" s="328">
        <v>2</v>
      </c>
      <c r="B232" s="159" t="s">
        <v>316</v>
      </c>
      <c r="C232" s="68" t="s">
        <v>96</v>
      </c>
      <c r="D232" s="68" t="s">
        <v>308</v>
      </c>
      <c r="E232" s="323">
        <v>2</v>
      </c>
      <c r="F232" s="324">
        <v>370</v>
      </c>
      <c r="G232" s="324">
        <v>119</v>
      </c>
      <c r="H232" s="324">
        <v>0</v>
      </c>
      <c r="I232" s="324">
        <v>0</v>
      </c>
      <c r="J232" s="324">
        <v>0</v>
      </c>
      <c r="K232" s="324">
        <v>0</v>
      </c>
      <c r="L232" s="324">
        <v>0</v>
      </c>
      <c r="M232" s="324">
        <v>0</v>
      </c>
      <c r="N232" s="324">
        <v>0</v>
      </c>
      <c r="O232" s="324">
        <v>0</v>
      </c>
      <c r="P232" s="324">
        <v>0</v>
      </c>
      <c r="Q232" s="324">
        <v>0</v>
      </c>
      <c r="R232" s="324">
        <v>0</v>
      </c>
      <c r="S232" s="9">
        <v>1.5093682811302096E-7</v>
      </c>
      <c r="T232" s="9">
        <f t="shared" si="3"/>
        <v>0</v>
      </c>
      <c r="U232" s="323" t="s">
        <v>1263</v>
      </c>
    </row>
    <row r="233" spans="1:21" ht="12" customHeight="1">
      <c r="A233" s="328">
        <v>2</v>
      </c>
      <c r="B233" s="159" t="s">
        <v>316</v>
      </c>
      <c r="C233" s="68" t="s">
        <v>96</v>
      </c>
      <c r="D233" s="68" t="s">
        <v>308</v>
      </c>
      <c r="E233" s="323">
        <v>3</v>
      </c>
      <c r="F233" s="324">
        <v>432</v>
      </c>
      <c r="G233" s="324">
        <v>119</v>
      </c>
      <c r="H233" s="324">
        <v>0</v>
      </c>
      <c r="I233" s="324">
        <v>0</v>
      </c>
      <c r="J233" s="324">
        <v>0</v>
      </c>
      <c r="K233" s="324">
        <v>0</v>
      </c>
      <c r="L233" s="324">
        <v>0</v>
      </c>
      <c r="M233" s="324">
        <v>0</v>
      </c>
      <c r="N233" s="324">
        <v>0</v>
      </c>
      <c r="O233" s="324">
        <v>0</v>
      </c>
      <c r="P233" s="324">
        <v>0</v>
      </c>
      <c r="Q233" s="324">
        <v>0</v>
      </c>
      <c r="R233" s="324">
        <v>0</v>
      </c>
      <c r="S233" s="9">
        <v>1.5093682811302096E-7</v>
      </c>
      <c r="T233" s="9">
        <f t="shared" si="3"/>
        <v>0</v>
      </c>
      <c r="U233" s="323" t="s">
        <v>1264</v>
      </c>
    </row>
    <row r="234" spans="1:21" ht="12" customHeight="1">
      <c r="A234" s="328">
        <v>2</v>
      </c>
      <c r="B234" s="159" t="s">
        <v>316</v>
      </c>
      <c r="C234" s="68" t="s">
        <v>96</v>
      </c>
      <c r="D234" s="68" t="s">
        <v>308</v>
      </c>
      <c r="E234" s="323">
        <v>4</v>
      </c>
      <c r="F234" s="324">
        <v>346</v>
      </c>
      <c r="G234" s="324">
        <v>119</v>
      </c>
      <c r="H234" s="324">
        <v>0</v>
      </c>
      <c r="I234" s="324">
        <v>0</v>
      </c>
      <c r="J234" s="324">
        <v>0</v>
      </c>
      <c r="K234" s="324">
        <v>0</v>
      </c>
      <c r="L234" s="324">
        <v>0</v>
      </c>
      <c r="M234" s="324">
        <v>0</v>
      </c>
      <c r="N234" s="324">
        <v>0</v>
      </c>
      <c r="O234" s="324">
        <v>0</v>
      </c>
      <c r="P234" s="324">
        <v>0</v>
      </c>
      <c r="Q234" s="324">
        <v>0</v>
      </c>
      <c r="R234" s="324">
        <v>0</v>
      </c>
      <c r="S234" s="9">
        <v>1.5093682811302096E-7</v>
      </c>
      <c r="T234" s="9">
        <f t="shared" si="3"/>
        <v>0</v>
      </c>
      <c r="U234" s="323" t="s">
        <v>1265</v>
      </c>
    </row>
    <row r="235" spans="1:21" ht="12" customHeight="1">
      <c r="A235" s="328">
        <v>2</v>
      </c>
      <c r="B235" s="159" t="s">
        <v>316</v>
      </c>
      <c r="C235" s="68" t="s">
        <v>96</v>
      </c>
      <c r="D235" s="68" t="s">
        <v>308</v>
      </c>
      <c r="E235" s="323">
        <v>5</v>
      </c>
      <c r="F235" s="324">
        <v>320</v>
      </c>
      <c r="G235" s="324">
        <v>119</v>
      </c>
      <c r="H235" s="324">
        <v>0</v>
      </c>
      <c r="I235" s="324">
        <v>0</v>
      </c>
      <c r="J235" s="324">
        <v>0</v>
      </c>
      <c r="K235" s="324">
        <v>0</v>
      </c>
      <c r="L235" s="324">
        <v>0</v>
      </c>
      <c r="M235" s="324">
        <v>0</v>
      </c>
      <c r="N235" s="324">
        <v>0</v>
      </c>
      <c r="O235" s="324">
        <v>0</v>
      </c>
      <c r="P235" s="324">
        <v>0</v>
      </c>
      <c r="Q235" s="324">
        <v>0</v>
      </c>
      <c r="R235" s="324">
        <v>0</v>
      </c>
      <c r="S235" s="9">
        <v>1.5093682811302096E-7</v>
      </c>
      <c r="T235" s="9">
        <f t="shared" si="3"/>
        <v>0</v>
      </c>
      <c r="U235" s="323" t="s">
        <v>1266</v>
      </c>
    </row>
    <row r="236" spans="1:21" ht="12" customHeight="1">
      <c r="A236" s="328">
        <v>2</v>
      </c>
      <c r="B236" s="159" t="s">
        <v>316</v>
      </c>
      <c r="C236" s="68" t="s">
        <v>96</v>
      </c>
      <c r="D236" s="68" t="s">
        <v>310</v>
      </c>
      <c r="E236" s="323">
        <v>1</v>
      </c>
      <c r="F236" s="324">
        <v>336</v>
      </c>
      <c r="G236" s="324">
        <v>119</v>
      </c>
      <c r="H236" s="324">
        <v>0</v>
      </c>
      <c r="I236" s="324">
        <v>0</v>
      </c>
      <c r="J236" s="324">
        <v>0</v>
      </c>
      <c r="K236" s="324">
        <v>0</v>
      </c>
      <c r="L236" s="324">
        <v>0</v>
      </c>
      <c r="M236" s="324">
        <v>0</v>
      </c>
      <c r="N236" s="324">
        <v>0</v>
      </c>
      <c r="O236" s="324">
        <v>0</v>
      </c>
      <c r="P236" s="324">
        <v>0</v>
      </c>
      <c r="Q236" s="324">
        <v>0</v>
      </c>
      <c r="R236" s="324">
        <v>0</v>
      </c>
      <c r="S236" s="9">
        <v>1.5093546968020952E-7</v>
      </c>
      <c r="T236" s="9">
        <f t="shared" si="3"/>
        <v>0</v>
      </c>
      <c r="U236" s="323" t="s">
        <v>1292</v>
      </c>
    </row>
    <row r="237" spans="1:21" ht="12" customHeight="1">
      <c r="A237" s="328">
        <v>2</v>
      </c>
      <c r="B237" s="159" t="s">
        <v>316</v>
      </c>
      <c r="C237" s="68" t="s">
        <v>96</v>
      </c>
      <c r="D237" s="68" t="s">
        <v>310</v>
      </c>
      <c r="E237" s="323">
        <v>2</v>
      </c>
      <c r="F237" s="324">
        <v>476</v>
      </c>
      <c r="G237" s="324">
        <v>119</v>
      </c>
      <c r="H237" s="324">
        <v>4</v>
      </c>
      <c r="I237" s="324">
        <v>3</v>
      </c>
      <c r="J237" s="324">
        <v>0</v>
      </c>
      <c r="K237" s="324">
        <v>0</v>
      </c>
      <c r="L237" s="324">
        <v>0</v>
      </c>
      <c r="M237" s="324">
        <v>0</v>
      </c>
      <c r="N237" s="324">
        <v>0</v>
      </c>
      <c r="O237" s="324">
        <v>0</v>
      </c>
      <c r="P237" s="324">
        <v>0</v>
      </c>
      <c r="Q237" s="324">
        <v>0</v>
      </c>
      <c r="R237" s="324">
        <v>0.3</v>
      </c>
      <c r="S237" s="9">
        <v>1.5093546968020952E-7</v>
      </c>
      <c r="T237" s="9">
        <f t="shared" si="3"/>
        <v>4.5280640904062853E-8</v>
      </c>
      <c r="U237" s="323" t="s">
        <v>1293</v>
      </c>
    </row>
    <row r="238" spans="1:21" ht="12" customHeight="1">
      <c r="A238" s="328">
        <v>2</v>
      </c>
      <c r="B238" s="159" t="s">
        <v>316</v>
      </c>
      <c r="C238" s="68" t="s">
        <v>96</v>
      </c>
      <c r="D238" s="68" t="s">
        <v>310</v>
      </c>
      <c r="E238" s="323">
        <v>3</v>
      </c>
      <c r="F238" s="324">
        <v>328</v>
      </c>
      <c r="G238" s="324">
        <v>119</v>
      </c>
      <c r="H238" s="324">
        <v>0</v>
      </c>
      <c r="I238" s="324">
        <v>0</v>
      </c>
      <c r="J238" s="324">
        <v>0</v>
      </c>
      <c r="K238" s="324">
        <v>0</v>
      </c>
      <c r="L238" s="324">
        <v>0</v>
      </c>
      <c r="M238" s="324">
        <v>0</v>
      </c>
      <c r="N238" s="324">
        <v>0</v>
      </c>
      <c r="O238" s="324">
        <v>0</v>
      </c>
      <c r="P238" s="324">
        <v>0</v>
      </c>
      <c r="Q238" s="324">
        <v>0</v>
      </c>
      <c r="R238" s="324">
        <v>0</v>
      </c>
      <c r="S238" s="9">
        <v>1.5093546968020952E-7</v>
      </c>
      <c r="T238" s="9">
        <f t="shared" si="3"/>
        <v>0</v>
      </c>
      <c r="U238" s="323" t="s">
        <v>1294</v>
      </c>
    </row>
    <row r="239" spans="1:21" ht="12" customHeight="1">
      <c r="A239" s="328">
        <v>2</v>
      </c>
      <c r="B239" s="159" t="s">
        <v>316</v>
      </c>
      <c r="C239" s="68" t="s">
        <v>96</v>
      </c>
      <c r="D239" s="68" t="s">
        <v>310</v>
      </c>
      <c r="E239" s="323">
        <v>4</v>
      </c>
      <c r="F239" s="324">
        <v>318</v>
      </c>
      <c r="G239" s="324">
        <v>119</v>
      </c>
      <c r="H239" s="324">
        <v>0</v>
      </c>
      <c r="I239" s="324">
        <v>0</v>
      </c>
      <c r="J239" s="324">
        <v>0</v>
      </c>
      <c r="K239" s="324">
        <v>0</v>
      </c>
      <c r="L239" s="324">
        <v>0</v>
      </c>
      <c r="M239" s="324">
        <v>0</v>
      </c>
      <c r="N239" s="324">
        <v>0</v>
      </c>
      <c r="O239" s="324">
        <v>0</v>
      </c>
      <c r="P239" s="324">
        <v>0</v>
      </c>
      <c r="Q239" s="324">
        <v>0</v>
      </c>
      <c r="R239" s="324">
        <v>0</v>
      </c>
      <c r="S239" s="9">
        <v>1.5093546968020952E-7</v>
      </c>
      <c r="T239" s="9">
        <f t="shared" si="3"/>
        <v>0</v>
      </c>
      <c r="U239" s="323" t="s">
        <v>1295</v>
      </c>
    </row>
    <row r="240" spans="1:21" ht="12" customHeight="1">
      <c r="A240" s="328">
        <v>2</v>
      </c>
      <c r="B240" s="159" t="s">
        <v>316</v>
      </c>
      <c r="C240" s="68" t="s">
        <v>96</v>
      </c>
      <c r="D240" s="68" t="s">
        <v>310</v>
      </c>
      <c r="E240" s="323">
        <v>5</v>
      </c>
      <c r="F240" s="324">
        <v>324</v>
      </c>
      <c r="G240" s="324">
        <v>119</v>
      </c>
      <c r="H240" s="324">
        <v>0</v>
      </c>
      <c r="I240" s="324">
        <v>0</v>
      </c>
      <c r="J240" s="324">
        <v>0</v>
      </c>
      <c r="K240" s="324">
        <v>0</v>
      </c>
      <c r="L240" s="324">
        <v>0</v>
      </c>
      <c r="M240" s="324">
        <v>0</v>
      </c>
      <c r="N240" s="324">
        <v>0</v>
      </c>
      <c r="O240" s="324">
        <v>0</v>
      </c>
      <c r="P240" s="324">
        <v>0</v>
      </c>
      <c r="Q240" s="324">
        <v>0</v>
      </c>
      <c r="R240" s="324">
        <v>0</v>
      </c>
      <c r="S240" s="9">
        <v>1.5093546968020952E-7</v>
      </c>
      <c r="T240" s="9">
        <f t="shared" si="3"/>
        <v>0</v>
      </c>
      <c r="U240" s="323" t="s">
        <v>1296</v>
      </c>
    </row>
    <row r="241" spans="1:21" ht="12" customHeight="1">
      <c r="A241" s="328">
        <v>2</v>
      </c>
      <c r="B241" s="159" t="s">
        <v>316</v>
      </c>
      <c r="C241" s="68" t="s">
        <v>96</v>
      </c>
      <c r="D241" s="68" t="s">
        <v>309</v>
      </c>
      <c r="E241" s="323">
        <v>1</v>
      </c>
      <c r="F241" s="324">
        <v>312</v>
      </c>
      <c r="G241" s="324">
        <v>119</v>
      </c>
      <c r="H241" s="324">
        <v>0</v>
      </c>
      <c r="I241" s="324">
        <v>0</v>
      </c>
      <c r="J241" s="324">
        <v>0</v>
      </c>
      <c r="K241" s="324">
        <v>0</v>
      </c>
      <c r="L241" s="324">
        <v>0</v>
      </c>
      <c r="M241" s="324">
        <v>0</v>
      </c>
      <c r="N241" s="324">
        <v>0</v>
      </c>
      <c r="O241" s="324">
        <v>0</v>
      </c>
      <c r="P241" s="324">
        <v>0</v>
      </c>
      <c r="Q241" s="324">
        <v>0</v>
      </c>
      <c r="R241" s="324">
        <v>0</v>
      </c>
      <c r="S241" s="9">
        <v>1.5093682811302096E-7</v>
      </c>
      <c r="T241" s="9">
        <f t="shared" si="3"/>
        <v>0</v>
      </c>
      <c r="U241" s="323" t="s">
        <v>1322</v>
      </c>
    </row>
    <row r="242" spans="1:21" ht="12" customHeight="1">
      <c r="A242" s="328">
        <v>2</v>
      </c>
      <c r="B242" s="159" t="s">
        <v>316</v>
      </c>
      <c r="C242" s="68" t="s">
        <v>96</v>
      </c>
      <c r="D242" s="68" t="s">
        <v>309</v>
      </c>
      <c r="E242" s="323">
        <v>2</v>
      </c>
      <c r="F242" s="324">
        <v>344</v>
      </c>
      <c r="G242" s="324">
        <v>119</v>
      </c>
      <c r="H242" s="324">
        <v>0</v>
      </c>
      <c r="I242" s="324">
        <v>0</v>
      </c>
      <c r="J242" s="324">
        <v>0</v>
      </c>
      <c r="K242" s="324">
        <v>0</v>
      </c>
      <c r="L242" s="324">
        <v>0</v>
      </c>
      <c r="M242" s="324">
        <v>0</v>
      </c>
      <c r="N242" s="324">
        <v>0</v>
      </c>
      <c r="O242" s="324">
        <v>0</v>
      </c>
      <c r="P242" s="324">
        <v>0</v>
      </c>
      <c r="Q242" s="324">
        <v>0</v>
      </c>
      <c r="R242" s="324">
        <v>0</v>
      </c>
      <c r="S242" s="9">
        <v>1.5093682811302096E-7</v>
      </c>
      <c r="T242" s="9">
        <f t="shared" si="3"/>
        <v>0</v>
      </c>
      <c r="U242" s="323" t="s">
        <v>1323</v>
      </c>
    </row>
    <row r="243" spans="1:21" ht="12" customHeight="1">
      <c r="A243" s="328">
        <v>2</v>
      </c>
      <c r="B243" s="159" t="s">
        <v>316</v>
      </c>
      <c r="C243" s="68" t="s">
        <v>96</v>
      </c>
      <c r="D243" s="68" t="s">
        <v>309</v>
      </c>
      <c r="E243" s="323">
        <v>3</v>
      </c>
      <c r="F243" s="324">
        <v>308</v>
      </c>
      <c r="G243" s="324">
        <v>119</v>
      </c>
      <c r="H243" s="324">
        <v>0</v>
      </c>
      <c r="I243" s="324">
        <v>0</v>
      </c>
      <c r="J243" s="324">
        <v>0</v>
      </c>
      <c r="K243" s="324">
        <v>0</v>
      </c>
      <c r="L243" s="324">
        <v>0</v>
      </c>
      <c r="M243" s="324">
        <v>0</v>
      </c>
      <c r="N243" s="324">
        <v>0</v>
      </c>
      <c r="O243" s="324">
        <v>0</v>
      </c>
      <c r="P243" s="324">
        <v>0</v>
      </c>
      <c r="Q243" s="324">
        <v>0</v>
      </c>
      <c r="R243" s="324">
        <v>0</v>
      </c>
      <c r="S243" s="9">
        <v>1.5093682811302096E-7</v>
      </c>
      <c r="T243" s="9">
        <f t="shared" si="3"/>
        <v>0</v>
      </c>
      <c r="U243" s="323" t="s">
        <v>1324</v>
      </c>
    </row>
    <row r="244" spans="1:21" ht="12" customHeight="1">
      <c r="A244" s="328">
        <v>2</v>
      </c>
      <c r="B244" s="159" t="s">
        <v>316</v>
      </c>
      <c r="C244" s="68" t="s">
        <v>96</v>
      </c>
      <c r="D244" s="68" t="s">
        <v>309</v>
      </c>
      <c r="E244" s="323">
        <v>4</v>
      </c>
      <c r="F244" s="324">
        <v>298</v>
      </c>
      <c r="G244" s="324">
        <v>119</v>
      </c>
      <c r="H244" s="324">
        <v>0</v>
      </c>
      <c r="I244" s="324">
        <v>0</v>
      </c>
      <c r="J244" s="324">
        <v>0</v>
      </c>
      <c r="K244" s="324">
        <v>0</v>
      </c>
      <c r="L244" s="324">
        <v>0</v>
      </c>
      <c r="M244" s="324">
        <v>0</v>
      </c>
      <c r="N244" s="324">
        <v>0</v>
      </c>
      <c r="O244" s="324">
        <v>0</v>
      </c>
      <c r="P244" s="324">
        <v>0</v>
      </c>
      <c r="Q244" s="324">
        <v>0</v>
      </c>
      <c r="R244" s="324">
        <v>0</v>
      </c>
      <c r="S244" s="9">
        <v>1.5093682811302096E-7</v>
      </c>
      <c r="T244" s="9">
        <f t="shared" si="3"/>
        <v>0</v>
      </c>
      <c r="U244" s="323" t="s">
        <v>1325</v>
      </c>
    </row>
    <row r="245" spans="1:21" ht="12" customHeight="1">
      <c r="A245" s="328">
        <v>2</v>
      </c>
      <c r="B245" s="159" t="s">
        <v>316</v>
      </c>
      <c r="C245" s="68" t="s">
        <v>96</v>
      </c>
      <c r="D245" s="68" t="s">
        <v>309</v>
      </c>
      <c r="E245" s="323">
        <v>5</v>
      </c>
      <c r="F245" s="324">
        <v>292</v>
      </c>
      <c r="G245" s="324">
        <v>119</v>
      </c>
      <c r="H245" s="324">
        <v>0</v>
      </c>
      <c r="I245" s="324">
        <v>0</v>
      </c>
      <c r="J245" s="324">
        <v>0</v>
      </c>
      <c r="K245" s="324">
        <v>0</v>
      </c>
      <c r="L245" s="324">
        <v>0</v>
      </c>
      <c r="M245" s="324">
        <v>0</v>
      </c>
      <c r="N245" s="324">
        <v>0</v>
      </c>
      <c r="O245" s="324">
        <v>0</v>
      </c>
      <c r="P245" s="324">
        <v>0</v>
      </c>
      <c r="Q245" s="324">
        <v>0</v>
      </c>
      <c r="R245" s="324">
        <v>0</v>
      </c>
      <c r="S245" s="9">
        <v>1.5093682811302096E-7</v>
      </c>
      <c r="T245" s="9">
        <f t="shared" si="3"/>
        <v>0</v>
      </c>
      <c r="U245" s="323" t="s">
        <v>1326</v>
      </c>
    </row>
    <row r="246" spans="1:21" ht="12" customHeight="1">
      <c r="A246" s="328">
        <v>2</v>
      </c>
      <c r="B246" s="159" t="s">
        <v>316</v>
      </c>
      <c r="C246" s="68" t="s">
        <v>96</v>
      </c>
      <c r="D246" s="68" t="s">
        <v>307</v>
      </c>
      <c r="E246" s="323">
        <v>1</v>
      </c>
      <c r="F246" s="324">
        <v>322</v>
      </c>
      <c r="G246" s="324">
        <v>119</v>
      </c>
      <c r="H246" s="324">
        <v>0</v>
      </c>
      <c r="I246" s="324">
        <v>0</v>
      </c>
      <c r="J246" s="324">
        <v>0</v>
      </c>
      <c r="K246" s="324">
        <v>0</v>
      </c>
      <c r="L246" s="324">
        <v>0</v>
      </c>
      <c r="M246" s="324">
        <v>0</v>
      </c>
      <c r="N246" s="324">
        <v>0</v>
      </c>
      <c r="O246" s="324">
        <v>0</v>
      </c>
      <c r="P246" s="324">
        <v>0</v>
      </c>
      <c r="Q246" s="324">
        <v>0</v>
      </c>
      <c r="R246" s="324">
        <v>0</v>
      </c>
      <c r="S246" s="9">
        <v>4.0752984343500006E-6</v>
      </c>
      <c r="T246" s="9">
        <f t="shared" si="3"/>
        <v>0</v>
      </c>
      <c r="U246" s="323" t="s">
        <v>1352</v>
      </c>
    </row>
    <row r="247" spans="1:21" ht="12" customHeight="1">
      <c r="A247" s="328">
        <v>2</v>
      </c>
      <c r="B247" s="159" t="s">
        <v>316</v>
      </c>
      <c r="C247" s="68" t="s">
        <v>96</v>
      </c>
      <c r="D247" s="68" t="s">
        <v>307</v>
      </c>
      <c r="E247" s="323">
        <v>2</v>
      </c>
      <c r="F247" s="324">
        <v>330</v>
      </c>
      <c r="G247" s="324">
        <v>119</v>
      </c>
      <c r="H247" s="324">
        <v>0</v>
      </c>
      <c r="I247" s="324">
        <v>0</v>
      </c>
      <c r="J247" s="324">
        <v>0</v>
      </c>
      <c r="K247" s="324">
        <v>0</v>
      </c>
      <c r="L247" s="324">
        <v>0</v>
      </c>
      <c r="M247" s="324">
        <v>0</v>
      </c>
      <c r="N247" s="324">
        <v>0</v>
      </c>
      <c r="O247" s="324">
        <v>0</v>
      </c>
      <c r="P247" s="324">
        <v>0</v>
      </c>
      <c r="Q247" s="324">
        <v>0</v>
      </c>
      <c r="R247" s="324">
        <v>0</v>
      </c>
      <c r="S247" s="9">
        <v>4.0752984343500006E-6</v>
      </c>
      <c r="T247" s="9">
        <f t="shared" si="3"/>
        <v>0</v>
      </c>
      <c r="U247" s="323" t="s">
        <v>1353</v>
      </c>
    </row>
    <row r="248" spans="1:21" ht="12" customHeight="1">
      <c r="A248" s="328">
        <v>2</v>
      </c>
      <c r="B248" s="159" t="s">
        <v>316</v>
      </c>
      <c r="C248" s="68" t="s">
        <v>96</v>
      </c>
      <c r="D248" s="68" t="s">
        <v>307</v>
      </c>
      <c r="E248" s="323">
        <v>3</v>
      </c>
      <c r="F248" s="324">
        <v>318</v>
      </c>
      <c r="G248" s="324">
        <v>119</v>
      </c>
      <c r="H248" s="324">
        <v>0</v>
      </c>
      <c r="I248" s="324">
        <v>0</v>
      </c>
      <c r="J248" s="324">
        <v>0</v>
      </c>
      <c r="K248" s="324">
        <v>0</v>
      </c>
      <c r="L248" s="324">
        <v>0</v>
      </c>
      <c r="M248" s="324">
        <v>0</v>
      </c>
      <c r="N248" s="324">
        <v>0</v>
      </c>
      <c r="O248" s="324">
        <v>0</v>
      </c>
      <c r="P248" s="324">
        <v>0</v>
      </c>
      <c r="Q248" s="324">
        <v>0</v>
      </c>
      <c r="R248" s="324">
        <v>0</v>
      </c>
      <c r="S248" s="9">
        <v>4.0752984343500006E-6</v>
      </c>
      <c r="T248" s="9">
        <f t="shared" si="3"/>
        <v>0</v>
      </c>
      <c r="U248" s="323" t="s">
        <v>1354</v>
      </c>
    </row>
    <row r="249" spans="1:21" ht="12" customHeight="1">
      <c r="A249" s="328">
        <v>2</v>
      </c>
      <c r="B249" s="159" t="s">
        <v>316</v>
      </c>
      <c r="C249" s="68" t="s">
        <v>96</v>
      </c>
      <c r="D249" s="68" t="s">
        <v>307</v>
      </c>
      <c r="E249" s="323">
        <v>4</v>
      </c>
      <c r="F249" s="324">
        <v>336</v>
      </c>
      <c r="G249" s="324">
        <v>119</v>
      </c>
      <c r="H249" s="324">
        <v>0</v>
      </c>
      <c r="I249" s="324">
        <v>0</v>
      </c>
      <c r="J249" s="324">
        <v>0</v>
      </c>
      <c r="K249" s="324">
        <v>0</v>
      </c>
      <c r="L249" s="324">
        <v>0</v>
      </c>
      <c r="M249" s="324">
        <v>0</v>
      </c>
      <c r="N249" s="324">
        <v>0</v>
      </c>
      <c r="O249" s="324">
        <v>0</v>
      </c>
      <c r="P249" s="324">
        <v>0</v>
      </c>
      <c r="Q249" s="324">
        <v>0</v>
      </c>
      <c r="R249" s="324">
        <v>0</v>
      </c>
      <c r="S249" s="9">
        <v>4.0752984343500006E-6</v>
      </c>
      <c r="T249" s="9">
        <f t="shared" si="3"/>
        <v>0</v>
      </c>
      <c r="U249" s="323" t="s">
        <v>1355</v>
      </c>
    </row>
    <row r="250" spans="1:21" ht="12" customHeight="1">
      <c r="A250" s="328">
        <v>2</v>
      </c>
      <c r="B250" s="159" t="s">
        <v>316</v>
      </c>
      <c r="C250" s="68" t="s">
        <v>96</v>
      </c>
      <c r="D250" s="68" t="s">
        <v>307</v>
      </c>
      <c r="E250" s="323">
        <v>5</v>
      </c>
      <c r="F250" s="324">
        <v>334</v>
      </c>
      <c r="G250" s="324">
        <v>119</v>
      </c>
      <c r="H250" s="324">
        <v>0</v>
      </c>
      <c r="I250" s="324">
        <v>0</v>
      </c>
      <c r="J250" s="324">
        <v>0</v>
      </c>
      <c r="K250" s="324">
        <v>0</v>
      </c>
      <c r="L250" s="324">
        <v>0</v>
      </c>
      <c r="M250" s="324">
        <v>0</v>
      </c>
      <c r="N250" s="324">
        <v>0</v>
      </c>
      <c r="O250" s="324">
        <v>0</v>
      </c>
      <c r="P250" s="324">
        <v>0</v>
      </c>
      <c r="Q250" s="324">
        <v>0</v>
      </c>
      <c r="R250" s="324">
        <v>0</v>
      </c>
      <c r="S250" s="9">
        <v>4.0752984343500006E-6</v>
      </c>
      <c r="T250" s="9">
        <f t="shared" si="3"/>
        <v>0</v>
      </c>
      <c r="U250" s="323" t="s">
        <v>1356</v>
      </c>
    </row>
    <row r="251" spans="1:21" ht="12" customHeight="1">
      <c r="A251" s="328">
        <v>2</v>
      </c>
      <c r="B251" s="159" t="s">
        <v>316</v>
      </c>
      <c r="C251" s="68" t="s">
        <v>95</v>
      </c>
      <c r="D251" s="68" t="s">
        <v>308</v>
      </c>
      <c r="E251" s="323">
        <v>1</v>
      </c>
      <c r="F251" s="324">
        <v>852</v>
      </c>
      <c r="G251" s="324">
        <v>525</v>
      </c>
      <c r="H251" s="324">
        <v>1</v>
      </c>
      <c r="I251" s="324">
        <v>0</v>
      </c>
      <c r="J251" s="324">
        <v>0</v>
      </c>
      <c r="K251" s="324">
        <v>0</v>
      </c>
      <c r="L251" s="324">
        <v>0</v>
      </c>
      <c r="M251" s="324">
        <v>0</v>
      </c>
      <c r="N251" s="324">
        <v>0</v>
      </c>
      <c r="O251" s="324">
        <v>0</v>
      </c>
      <c r="P251" s="324">
        <v>0</v>
      </c>
      <c r="Q251" s="324">
        <v>0</v>
      </c>
      <c r="R251" s="324">
        <v>0</v>
      </c>
      <c r="S251" s="9">
        <v>1.5246144253840504E-9</v>
      </c>
      <c r="T251" s="9">
        <f t="shared" si="3"/>
        <v>0</v>
      </c>
      <c r="U251" s="323" t="s">
        <v>1112</v>
      </c>
    </row>
    <row r="252" spans="1:21" ht="12" customHeight="1">
      <c r="A252" s="328">
        <v>2</v>
      </c>
      <c r="B252" s="159" t="s">
        <v>316</v>
      </c>
      <c r="C252" s="68" t="s">
        <v>95</v>
      </c>
      <c r="D252" s="68" t="s">
        <v>308</v>
      </c>
      <c r="E252" s="323">
        <v>2</v>
      </c>
      <c r="F252" s="324">
        <v>868</v>
      </c>
      <c r="G252" s="324">
        <v>524</v>
      </c>
      <c r="H252" s="324">
        <v>1</v>
      </c>
      <c r="I252" s="324">
        <v>0</v>
      </c>
      <c r="J252" s="324">
        <v>0</v>
      </c>
      <c r="K252" s="324">
        <v>0</v>
      </c>
      <c r="L252" s="324">
        <v>0</v>
      </c>
      <c r="M252" s="324">
        <v>0</v>
      </c>
      <c r="N252" s="324">
        <v>0</v>
      </c>
      <c r="O252" s="324">
        <v>0</v>
      </c>
      <c r="P252" s="324">
        <v>0</v>
      </c>
      <c r="Q252" s="324">
        <v>0</v>
      </c>
      <c r="R252" s="324">
        <v>0</v>
      </c>
      <c r="S252" s="9">
        <v>1.5246144253840504E-9</v>
      </c>
      <c r="T252" s="9">
        <f t="shared" si="3"/>
        <v>0</v>
      </c>
      <c r="U252" s="323" t="s">
        <v>1113</v>
      </c>
    </row>
    <row r="253" spans="1:21" ht="12" customHeight="1">
      <c r="A253" s="328">
        <v>2</v>
      </c>
      <c r="B253" s="159" t="s">
        <v>316</v>
      </c>
      <c r="C253" s="68" t="s">
        <v>95</v>
      </c>
      <c r="D253" s="68" t="s">
        <v>308</v>
      </c>
      <c r="E253" s="323">
        <v>3</v>
      </c>
      <c r="F253" s="324">
        <v>924</v>
      </c>
      <c r="G253" s="324">
        <v>524</v>
      </c>
      <c r="H253" s="324">
        <v>9</v>
      </c>
      <c r="I253" s="324">
        <v>0</v>
      </c>
      <c r="J253" s="324">
        <v>0</v>
      </c>
      <c r="K253" s="324">
        <v>0</v>
      </c>
      <c r="L253" s="324">
        <v>0</v>
      </c>
      <c r="M253" s="324">
        <v>0</v>
      </c>
      <c r="N253" s="324">
        <v>0</v>
      </c>
      <c r="O253" s="324">
        <v>0</v>
      </c>
      <c r="P253" s="324">
        <v>0</v>
      </c>
      <c r="Q253" s="324">
        <v>0</v>
      </c>
      <c r="R253" s="324">
        <v>0.1</v>
      </c>
      <c r="S253" s="9">
        <v>1.5246144253840504E-9</v>
      </c>
      <c r="T253" s="9">
        <f t="shared" si="3"/>
        <v>1.5246144253840504E-10</v>
      </c>
      <c r="U253" s="323" t="s">
        <v>1114</v>
      </c>
    </row>
    <row r="254" spans="1:21" ht="12" customHeight="1">
      <c r="A254" s="329">
        <v>2</v>
      </c>
      <c r="B254" s="159" t="s">
        <v>316</v>
      </c>
      <c r="C254" s="68" t="s">
        <v>95</v>
      </c>
      <c r="D254" s="68" t="s">
        <v>308</v>
      </c>
      <c r="E254" s="330">
        <v>4</v>
      </c>
      <c r="F254" s="326">
        <v>874</v>
      </c>
      <c r="G254" s="326">
        <v>520</v>
      </c>
      <c r="H254" s="326">
        <v>0</v>
      </c>
      <c r="I254" s="326">
        <v>0</v>
      </c>
      <c r="J254" s="326">
        <v>0</v>
      </c>
      <c r="K254" s="326">
        <v>0</v>
      </c>
      <c r="L254" s="326">
        <v>0</v>
      </c>
      <c r="M254" s="326">
        <v>0</v>
      </c>
      <c r="N254" s="326">
        <v>0</v>
      </c>
      <c r="O254" s="326">
        <v>0</v>
      </c>
      <c r="P254" s="326">
        <v>0</v>
      </c>
      <c r="Q254" s="326">
        <v>0</v>
      </c>
      <c r="R254" s="326">
        <v>0</v>
      </c>
      <c r="S254" s="9">
        <v>1.5246144253840504E-9</v>
      </c>
      <c r="T254" s="9">
        <f t="shared" si="3"/>
        <v>0</v>
      </c>
      <c r="U254" s="325" t="s">
        <v>1115</v>
      </c>
    </row>
    <row r="255" spans="1:21" ht="12" customHeight="1">
      <c r="A255" s="329">
        <v>2</v>
      </c>
      <c r="B255" s="159" t="s">
        <v>316</v>
      </c>
      <c r="C255" s="68" t="s">
        <v>95</v>
      </c>
      <c r="D255" s="68" t="s">
        <v>308</v>
      </c>
      <c r="E255" s="330">
        <v>5</v>
      </c>
      <c r="F255" s="326">
        <v>902</v>
      </c>
      <c r="G255" s="326">
        <v>524</v>
      </c>
      <c r="H255" s="326">
        <v>5</v>
      </c>
      <c r="I255" s="326">
        <v>0</v>
      </c>
      <c r="J255" s="326">
        <v>0</v>
      </c>
      <c r="K255" s="326">
        <v>0</v>
      </c>
      <c r="L255" s="326">
        <v>0</v>
      </c>
      <c r="M255" s="326">
        <v>0</v>
      </c>
      <c r="N255" s="326">
        <v>0</v>
      </c>
      <c r="O255" s="326">
        <v>0</v>
      </c>
      <c r="P255" s="326">
        <v>0</v>
      </c>
      <c r="Q255" s="326">
        <v>0</v>
      </c>
      <c r="R255" s="326">
        <v>0.1</v>
      </c>
      <c r="S255" s="9">
        <v>1.5246144253840504E-9</v>
      </c>
      <c r="T255" s="9">
        <f t="shared" si="3"/>
        <v>1.5246144253840504E-10</v>
      </c>
      <c r="U255" s="325" t="s">
        <v>1116</v>
      </c>
    </row>
    <row r="256" spans="1:21" ht="12" customHeight="1">
      <c r="A256" s="329">
        <v>2</v>
      </c>
      <c r="B256" s="159" t="s">
        <v>316</v>
      </c>
      <c r="C256" s="68" t="s">
        <v>95</v>
      </c>
      <c r="D256" s="68" t="s">
        <v>310</v>
      </c>
      <c r="E256" s="330">
        <v>1</v>
      </c>
      <c r="F256" s="326">
        <v>1318</v>
      </c>
      <c r="G256" s="326">
        <v>524</v>
      </c>
      <c r="H256" s="326">
        <v>120</v>
      </c>
      <c r="I256" s="326">
        <v>117</v>
      </c>
      <c r="J256" s="326">
        <v>112</v>
      </c>
      <c r="K256" s="326">
        <v>104</v>
      </c>
      <c r="L256" s="326">
        <v>102</v>
      </c>
      <c r="M256" s="326">
        <v>98</v>
      </c>
      <c r="N256" s="326">
        <v>95</v>
      </c>
      <c r="O256" s="326">
        <v>89</v>
      </c>
      <c r="P256" s="326">
        <v>87</v>
      </c>
      <c r="Q256" s="326">
        <v>79</v>
      </c>
      <c r="R256" s="326">
        <v>112.5</v>
      </c>
      <c r="S256" s="9">
        <v>1.5246007038405004E-9</v>
      </c>
      <c r="T256" s="9">
        <f t="shared" si="3"/>
        <v>1.7151757918205631E-7</v>
      </c>
      <c r="U256" s="325" t="s">
        <v>1142</v>
      </c>
    </row>
    <row r="257" spans="1:21" ht="12" customHeight="1">
      <c r="A257" s="329">
        <v>2</v>
      </c>
      <c r="B257" s="159" t="s">
        <v>316</v>
      </c>
      <c r="C257" s="68" t="s">
        <v>95</v>
      </c>
      <c r="D257" s="68" t="s">
        <v>310</v>
      </c>
      <c r="E257" s="330">
        <v>2</v>
      </c>
      <c r="F257" s="326">
        <v>940</v>
      </c>
      <c r="G257" s="326">
        <v>519</v>
      </c>
      <c r="H257" s="326">
        <v>108</v>
      </c>
      <c r="I257" s="326">
        <v>104</v>
      </c>
      <c r="J257" s="326">
        <v>94</v>
      </c>
      <c r="K257" s="326">
        <v>92</v>
      </c>
      <c r="L257" s="326">
        <v>87</v>
      </c>
      <c r="M257" s="326">
        <v>83</v>
      </c>
      <c r="N257" s="326">
        <v>80</v>
      </c>
      <c r="O257" s="326">
        <v>79</v>
      </c>
      <c r="P257" s="326">
        <v>70</v>
      </c>
      <c r="Q257" s="326">
        <v>64</v>
      </c>
      <c r="R257" s="326">
        <v>95</v>
      </c>
      <c r="S257" s="9">
        <v>1.5246007038405004E-9</v>
      </c>
      <c r="T257" s="9">
        <f t="shared" si="3"/>
        <v>1.4483706686484755E-7</v>
      </c>
      <c r="U257" s="325" t="s">
        <v>1143</v>
      </c>
    </row>
    <row r="258" spans="1:21" ht="12" customHeight="1">
      <c r="A258" s="329">
        <v>2</v>
      </c>
      <c r="B258" s="159" t="s">
        <v>316</v>
      </c>
      <c r="C258" s="68" t="s">
        <v>95</v>
      </c>
      <c r="D258" s="68" t="s">
        <v>310</v>
      </c>
      <c r="E258" s="330">
        <v>3</v>
      </c>
      <c r="F258" s="326">
        <v>1238</v>
      </c>
      <c r="G258" s="326">
        <v>524</v>
      </c>
      <c r="H258" s="326">
        <v>116</v>
      </c>
      <c r="I258" s="326">
        <v>113</v>
      </c>
      <c r="J258" s="326">
        <v>102</v>
      </c>
      <c r="K258" s="326">
        <v>92</v>
      </c>
      <c r="L258" s="326">
        <v>73</v>
      </c>
      <c r="M258" s="326">
        <v>65</v>
      </c>
      <c r="N258" s="326">
        <v>59</v>
      </c>
      <c r="O258" s="326">
        <v>55</v>
      </c>
      <c r="P258" s="326">
        <v>50</v>
      </c>
      <c r="Q258" s="326">
        <v>42</v>
      </c>
      <c r="R258" s="326">
        <v>103.1</v>
      </c>
      <c r="S258" s="9">
        <v>1.5246007038405004E-9</v>
      </c>
      <c r="T258" s="9">
        <f t="shared" si="3"/>
        <v>1.5718633256595557E-7</v>
      </c>
      <c r="U258" s="325" t="s">
        <v>1144</v>
      </c>
    </row>
    <row r="259" spans="1:21" ht="12" customHeight="1">
      <c r="A259" s="329">
        <v>2</v>
      </c>
      <c r="B259" s="159" t="s">
        <v>316</v>
      </c>
      <c r="C259" s="68" t="s">
        <v>95</v>
      </c>
      <c r="D259" s="68" t="s">
        <v>310</v>
      </c>
      <c r="E259" s="330">
        <v>4</v>
      </c>
      <c r="F259" s="326">
        <v>940</v>
      </c>
      <c r="G259" s="326">
        <v>519</v>
      </c>
      <c r="H259" s="326">
        <v>92</v>
      </c>
      <c r="I259" s="326">
        <v>91</v>
      </c>
      <c r="J259" s="326">
        <v>90</v>
      </c>
      <c r="K259" s="326">
        <v>83</v>
      </c>
      <c r="L259" s="326">
        <v>79</v>
      </c>
      <c r="M259" s="326">
        <v>76</v>
      </c>
      <c r="N259" s="326">
        <v>72</v>
      </c>
      <c r="O259" s="326">
        <v>65</v>
      </c>
      <c r="P259" s="326">
        <v>61</v>
      </c>
      <c r="Q259" s="326">
        <v>58</v>
      </c>
      <c r="R259" s="326">
        <v>90.1</v>
      </c>
      <c r="S259" s="9">
        <v>1.5246007038405004E-9</v>
      </c>
      <c r="T259" s="9">
        <f t="shared" si="3"/>
        <v>1.3736652341602908E-7</v>
      </c>
      <c r="U259" s="325" t="s">
        <v>1145</v>
      </c>
    </row>
    <row r="260" spans="1:21" ht="12" customHeight="1">
      <c r="A260" s="329">
        <v>2</v>
      </c>
      <c r="B260" s="159" t="s">
        <v>316</v>
      </c>
      <c r="C260" s="68" t="s">
        <v>95</v>
      </c>
      <c r="D260" s="68" t="s">
        <v>310</v>
      </c>
      <c r="E260" s="330">
        <v>5</v>
      </c>
      <c r="F260" s="326">
        <v>936</v>
      </c>
      <c r="G260" s="326">
        <v>524</v>
      </c>
      <c r="H260" s="326">
        <v>72</v>
      </c>
      <c r="I260" s="326">
        <v>66</v>
      </c>
      <c r="J260" s="326">
        <v>59</v>
      </c>
      <c r="K260" s="326">
        <v>57</v>
      </c>
      <c r="L260" s="326">
        <v>53</v>
      </c>
      <c r="M260" s="326">
        <v>52</v>
      </c>
      <c r="N260" s="326">
        <v>47</v>
      </c>
      <c r="O260" s="326">
        <v>43</v>
      </c>
      <c r="P260" s="326">
        <v>40</v>
      </c>
      <c r="Q260" s="326">
        <v>34</v>
      </c>
      <c r="R260" s="326">
        <v>59.8</v>
      </c>
      <c r="S260" s="9">
        <v>1.5246007038405004E-9</v>
      </c>
      <c r="T260" s="9">
        <f t="shared" si="3"/>
        <v>9.1171122089661927E-8</v>
      </c>
      <c r="U260" s="325" t="s">
        <v>1146</v>
      </c>
    </row>
    <row r="261" spans="1:21" ht="12" customHeight="1">
      <c r="A261" s="329">
        <v>2</v>
      </c>
      <c r="B261" s="159" t="s">
        <v>316</v>
      </c>
      <c r="C261" s="68" t="s">
        <v>95</v>
      </c>
      <c r="D261" s="68" t="s">
        <v>309</v>
      </c>
      <c r="E261" s="330">
        <v>1</v>
      </c>
      <c r="F261" s="326">
        <v>1082</v>
      </c>
      <c r="G261" s="326">
        <v>524</v>
      </c>
      <c r="H261" s="326">
        <v>209</v>
      </c>
      <c r="I261" s="326">
        <v>197</v>
      </c>
      <c r="J261" s="326">
        <v>186</v>
      </c>
      <c r="K261" s="326">
        <v>163</v>
      </c>
      <c r="L261" s="326">
        <v>143</v>
      </c>
      <c r="M261" s="326">
        <v>137</v>
      </c>
      <c r="N261" s="326">
        <v>109</v>
      </c>
      <c r="O261" s="326">
        <v>92</v>
      </c>
      <c r="P261" s="326">
        <v>73</v>
      </c>
      <c r="Q261" s="326">
        <v>61</v>
      </c>
      <c r="R261" s="326">
        <v>187.2</v>
      </c>
      <c r="S261" s="9">
        <v>1.5246144253840504E-9</v>
      </c>
      <c r="T261" s="9">
        <f t="shared" si="3"/>
        <v>2.854078204318942E-7</v>
      </c>
      <c r="U261" s="325" t="s">
        <v>1172</v>
      </c>
    </row>
    <row r="262" spans="1:21" ht="12" customHeight="1">
      <c r="A262" s="329">
        <v>2</v>
      </c>
      <c r="B262" s="159" t="s">
        <v>316</v>
      </c>
      <c r="C262" s="68" t="s">
        <v>95</v>
      </c>
      <c r="D262" s="68" t="s">
        <v>309</v>
      </c>
      <c r="E262" s="330">
        <v>2</v>
      </c>
      <c r="F262" s="326">
        <v>1084</v>
      </c>
      <c r="G262" s="326">
        <v>524</v>
      </c>
      <c r="H262" s="326">
        <v>245</v>
      </c>
      <c r="I262" s="326">
        <v>238</v>
      </c>
      <c r="J262" s="326">
        <v>227</v>
      </c>
      <c r="K262" s="326">
        <v>205</v>
      </c>
      <c r="L262" s="326">
        <v>168</v>
      </c>
      <c r="M262" s="326">
        <v>130</v>
      </c>
      <c r="N262" s="326">
        <v>109</v>
      </c>
      <c r="O262" s="326">
        <v>97</v>
      </c>
      <c r="P262" s="326">
        <v>83</v>
      </c>
      <c r="Q262" s="326">
        <v>61</v>
      </c>
      <c r="R262" s="326">
        <v>228.2</v>
      </c>
      <c r="S262" s="9">
        <v>1.5246144253840504E-9</v>
      </c>
      <c r="T262" s="9">
        <f t="shared" ref="T262:T325" si="4">S262*R262</f>
        <v>3.4791701187264025E-7</v>
      </c>
      <c r="U262" s="325" t="s">
        <v>1173</v>
      </c>
    </row>
    <row r="263" spans="1:21" ht="12" customHeight="1">
      <c r="A263" s="329">
        <v>2</v>
      </c>
      <c r="B263" s="159" t="s">
        <v>316</v>
      </c>
      <c r="C263" s="68" t="s">
        <v>95</v>
      </c>
      <c r="D263" s="68" t="s">
        <v>309</v>
      </c>
      <c r="E263" s="330">
        <v>3</v>
      </c>
      <c r="F263" s="326">
        <v>1082</v>
      </c>
      <c r="G263" s="326">
        <v>525</v>
      </c>
      <c r="H263" s="326">
        <v>243</v>
      </c>
      <c r="I263" s="326">
        <v>233</v>
      </c>
      <c r="J263" s="326">
        <v>217</v>
      </c>
      <c r="K263" s="326">
        <v>206</v>
      </c>
      <c r="L263" s="326">
        <v>188</v>
      </c>
      <c r="M263" s="326">
        <v>148</v>
      </c>
      <c r="N263" s="326">
        <v>140</v>
      </c>
      <c r="O263" s="326">
        <v>130</v>
      </c>
      <c r="P263" s="326">
        <v>103</v>
      </c>
      <c r="Q263" s="326">
        <v>64</v>
      </c>
      <c r="R263" s="326">
        <v>218.7</v>
      </c>
      <c r="S263" s="9">
        <v>1.5246144253840504E-9</v>
      </c>
      <c r="T263" s="9">
        <f t="shared" si="4"/>
        <v>3.3343317483149181E-7</v>
      </c>
      <c r="U263" s="325" t="s">
        <v>1174</v>
      </c>
    </row>
    <row r="264" spans="1:21" ht="12" customHeight="1">
      <c r="A264" s="329">
        <v>2</v>
      </c>
      <c r="B264" s="159" t="s">
        <v>316</v>
      </c>
      <c r="C264" s="68" t="s">
        <v>95</v>
      </c>
      <c r="D264" s="68" t="s">
        <v>309</v>
      </c>
      <c r="E264" s="330">
        <v>4</v>
      </c>
      <c r="F264" s="326">
        <v>1094</v>
      </c>
      <c r="G264" s="326">
        <v>524</v>
      </c>
      <c r="H264" s="326">
        <v>202</v>
      </c>
      <c r="I264" s="326">
        <v>199</v>
      </c>
      <c r="J264" s="326">
        <v>196</v>
      </c>
      <c r="K264" s="326">
        <v>186</v>
      </c>
      <c r="L264" s="326">
        <v>165</v>
      </c>
      <c r="M264" s="326">
        <v>147</v>
      </c>
      <c r="N264" s="326">
        <v>133</v>
      </c>
      <c r="O264" s="326">
        <v>114</v>
      </c>
      <c r="P264" s="326">
        <v>99</v>
      </c>
      <c r="Q264" s="326">
        <v>85</v>
      </c>
      <c r="R264" s="326">
        <v>196.3</v>
      </c>
      <c r="S264" s="9">
        <v>1.5246144253840504E-9</v>
      </c>
      <c r="T264" s="9">
        <f t="shared" si="4"/>
        <v>2.9928181170288908E-7</v>
      </c>
      <c r="U264" s="325" t="s">
        <v>1175</v>
      </c>
    </row>
    <row r="265" spans="1:21" ht="12" customHeight="1">
      <c r="A265" s="329">
        <v>2</v>
      </c>
      <c r="B265" s="159" t="s">
        <v>316</v>
      </c>
      <c r="C265" s="68" t="s">
        <v>95</v>
      </c>
      <c r="D265" s="68" t="s">
        <v>309</v>
      </c>
      <c r="E265" s="330">
        <v>5</v>
      </c>
      <c r="F265" s="326">
        <v>1088</v>
      </c>
      <c r="G265" s="326">
        <v>524</v>
      </c>
      <c r="H265" s="326">
        <v>247</v>
      </c>
      <c r="I265" s="326">
        <v>239</v>
      </c>
      <c r="J265" s="326">
        <v>225</v>
      </c>
      <c r="K265" s="326">
        <v>210</v>
      </c>
      <c r="L265" s="326">
        <v>186</v>
      </c>
      <c r="M265" s="326">
        <v>164</v>
      </c>
      <c r="N265" s="326">
        <v>140</v>
      </c>
      <c r="O265" s="326">
        <v>136</v>
      </c>
      <c r="P265" s="326">
        <v>93</v>
      </c>
      <c r="Q265" s="326">
        <v>62</v>
      </c>
      <c r="R265" s="326">
        <v>226.5</v>
      </c>
      <c r="S265" s="9">
        <v>1.5246144253840504E-9</v>
      </c>
      <c r="T265" s="9">
        <f t="shared" si="4"/>
        <v>3.4532516734948741E-7</v>
      </c>
      <c r="U265" s="325" t="s">
        <v>1176</v>
      </c>
    </row>
    <row r="266" spans="1:21" ht="12" customHeight="1">
      <c r="A266" s="329">
        <v>2</v>
      </c>
      <c r="B266" s="159" t="s">
        <v>316</v>
      </c>
      <c r="C266" s="68" t="s">
        <v>95</v>
      </c>
      <c r="D266" s="68" t="s">
        <v>311</v>
      </c>
      <c r="E266" s="330">
        <v>1</v>
      </c>
      <c r="F266" s="326">
        <v>970</v>
      </c>
      <c r="G266" s="326">
        <v>524</v>
      </c>
      <c r="H266" s="326">
        <v>119</v>
      </c>
      <c r="I266" s="326">
        <v>113</v>
      </c>
      <c r="J266" s="326">
        <v>104</v>
      </c>
      <c r="K266" s="326">
        <v>101</v>
      </c>
      <c r="L266" s="326">
        <v>97</v>
      </c>
      <c r="M266" s="326">
        <v>86</v>
      </c>
      <c r="N266" s="326">
        <v>74</v>
      </c>
      <c r="O266" s="326">
        <v>67</v>
      </c>
      <c r="P266" s="326">
        <v>63</v>
      </c>
      <c r="Q266" s="326">
        <v>62</v>
      </c>
      <c r="R266" s="326">
        <v>105</v>
      </c>
      <c r="S266" s="9">
        <v>4.1164630650000014E-8</v>
      </c>
      <c r="T266" s="9">
        <f t="shared" si="4"/>
        <v>4.3222862182500016E-6</v>
      </c>
      <c r="U266" s="325" t="s">
        <v>1202</v>
      </c>
    </row>
    <row r="267" spans="1:21" ht="12" customHeight="1">
      <c r="A267" s="329">
        <v>2</v>
      </c>
      <c r="B267" s="159" t="s">
        <v>316</v>
      </c>
      <c r="C267" s="68" t="s">
        <v>95</v>
      </c>
      <c r="D267" s="68" t="s">
        <v>311</v>
      </c>
      <c r="E267" s="330">
        <v>2</v>
      </c>
      <c r="F267" s="326">
        <v>976</v>
      </c>
      <c r="G267" s="326">
        <v>524</v>
      </c>
      <c r="H267" s="326">
        <v>95</v>
      </c>
      <c r="I267" s="326">
        <v>88</v>
      </c>
      <c r="J267" s="326">
        <v>83</v>
      </c>
      <c r="K267" s="326">
        <v>79</v>
      </c>
      <c r="L267" s="326">
        <v>74</v>
      </c>
      <c r="M267" s="326">
        <v>73</v>
      </c>
      <c r="N267" s="326">
        <v>69</v>
      </c>
      <c r="O267" s="326">
        <v>57</v>
      </c>
      <c r="P267" s="326">
        <v>51</v>
      </c>
      <c r="Q267" s="326">
        <v>44</v>
      </c>
      <c r="R267" s="326">
        <v>83.6</v>
      </c>
      <c r="S267" s="9">
        <v>4.1164630650000014E-8</v>
      </c>
      <c r="T267" s="9">
        <f t="shared" si="4"/>
        <v>3.4413631223400008E-6</v>
      </c>
      <c r="U267" s="325" t="s">
        <v>1203</v>
      </c>
    </row>
    <row r="268" spans="1:21" ht="12" customHeight="1">
      <c r="A268" s="329">
        <v>2</v>
      </c>
      <c r="B268" s="159" t="s">
        <v>316</v>
      </c>
      <c r="C268" s="68" t="s">
        <v>95</v>
      </c>
      <c r="D268" s="68" t="s">
        <v>311</v>
      </c>
      <c r="E268" s="330">
        <v>3</v>
      </c>
      <c r="F268" s="326">
        <v>978</v>
      </c>
      <c r="G268" s="326">
        <v>524</v>
      </c>
      <c r="H268" s="326">
        <v>128</v>
      </c>
      <c r="I268" s="326">
        <v>114</v>
      </c>
      <c r="J268" s="326">
        <v>105</v>
      </c>
      <c r="K268" s="326">
        <v>94</v>
      </c>
      <c r="L268" s="326">
        <v>83</v>
      </c>
      <c r="M268" s="326">
        <v>77</v>
      </c>
      <c r="N268" s="326">
        <v>67</v>
      </c>
      <c r="O268" s="326">
        <v>60</v>
      </c>
      <c r="P268" s="326">
        <v>48</v>
      </c>
      <c r="Q268" s="326">
        <v>41</v>
      </c>
      <c r="R268" s="326">
        <v>106</v>
      </c>
      <c r="S268" s="9">
        <v>4.1164630650000014E-8</v>
      </c>
      <c r="T268" s="9">
        <f t="shared" si="4"/>
        <v>4.3634508489000015E-6</v>
      </c>
      <c r="U268" s="325" t="s">
        <v>1204</v>
      </c>
    </row>
    <row r="269" spans="1:21" ht="12" customHeight="1">
      <c r="A269" s="329">
        <v>2</v>
      </c>
      <c r="B269" s="159" t="s">
        <v>316</v>
      </c>
      <c r="C269" s="68" t="s">
        <v>95</v>
      </c>
      <c r="D269" s="68" t="s">
        <v>311</v>
      </c>
      <c r="E269" s="330">
        <v>4</v>
      </c>
      <c r="F269" s="326">
        <v>972</v>
      </c>
      <c r="G269" s="326">
        <v>524</v>
      </c>
      <c r="H269" s="326">
        <v>151</v>
      </c>
      <c r="I269" s="326">
        <v>145</v>
      </c>
      <c r="J269" s="326">
        <v>141</v>
      </c>
      <c r="K269" s="326">
        <v>132</v>
      </c>
      <c r="L269" s="326">
        <v>125</v>
      </c>
      <c r="M269" s="326">
        <v>120</v>
      </c>
      <c r="N269" s="326">
        <v>113</v>
      </c>
      <c r="O269" s="326">
        <v>98</v>
      </c>
      <c r="P269" s="326">
        <v>90</v>
      </c>
      <c r="Q269" s="326">
        <v>81</v>
      </c>
      <c r="R269" s="326">
        <v>141.5</v>
      </c>
      <c r="S269" s="9">
        <v>4.1164630650000014E-8</v>
      </c>
      <c r="T269" s="9">
        <f t="shared" si="4"/>
        <v>5.8247952369750016E-6</v>
      </c>
      <c r="U269" s="325" t="s">
        <v>1205</v>
      </c>
    </row>
    <row r="270" spans="1:21" ht="12" customHeight="1">
      <c r="A270" s="329">
        <v>2</v>
      </c>
      <c r="B270" s="159" t="s">
        <v>316</v>
      </c>
      <c r="C270" s="68" t="s">
        <v>95</v>
      </c>
      <c r="D270" s="68" t="s">
        <v>311</v>
      </c>
      <c r="E270" s="330">
        <v>5</v>
      </c>
      <c r="F270" s="326">
        <v>974</v>
      </c>
      <c r="G270" s="326">
        <v>520</v>
      </c>
      <c r="H270" s="326">
        <v>149</v>
      </c>
      <c r="I270" s="326">
        <v>141</v>
      </c>
      <c r="J270" s="326">
        <v>133</v>
      </c>
      <c r="K270" s="326">
        <v>129</v>
      </c>
      <c r="L270" s="326">
        <v>119</v>
      </c>
      <c r="M270" s="326">
        <v>112</v>
      </c>
      <c r="N270" s="326">
        <v>102</v>
      </c>
      <c r="O270" s="326">
        <v>91</v>
      </c>
      <c r="P270" s="326">
        <v>80</v>
      </c>
      <c r="Q270" s="326">
        <v>72</v>
      </c>
      <c r="R270" s="326">
        <v>133.9</v>
      </c>
      <c r="S270" s="9">
        <v>4.1164630650000014E-8</v>
      </c>
      <c r="T270" s="9">
        <f t="shared" si="4"/>
        <v>5.5119440440350017E-6</v>
      </c>
      <c r="U270" s="325" t="s">
        <v>1206</v>
      </c>
    </row>
    <row r="271" spans="1:21" ht="12" customHeight="1">
      <c r="A271" s="329">
        <v>2</v>
      </c>
      <c r="B271" s="159" t="s">
        <v>316</v>
      </c>
      <c r="C271" s="68" t="s">
        <v>95</v>
      </c>
      <c r="D271" s="68" t="s">
        <v>307</v>
      </c>
      <c r="E271" s="330">
        <v>1</v>
      </c>
      <c r="F271" s="326">
        <v>1352</v>
      </c>
      <c r="G271" s="326">
        <v>524</v>
      </c>
      <c r="H271" s="326">
        <v>293</v>
      </c>
      <c r="I271" s="326">
        <v>280</v>
      </c>
      <c r="J271" s="326">
        <v>264</v>
      </c>
      <c r="K271" s="326">
        <v>254</v>
      </c>
      <c r="L271" s="326">
        <v>240</v>
      </c>
      <c r="M271" s="326">
        <v>203</v>
      </c>
      <c r="N271" s="326">
        <v>192</v>
      </c>
      <c r="O271" s="326">
        <v>181</v>
      </c>
      <c r="P271" s="326">
        <v>167</v>
      </c>
      <c r="Q271" s="326">
        <v>159</v>
      </c>
      <c r="R271" s="326">
        <v>265.7</v>
      </c>
      <c r="S271" s="9">
        <v>0</v>
      </c>
      <c r="T271" s="9">
        <f t="shared" si="4"/>
        <v>0</v>
      </c>
      <c r="U271" s="325" t="s">
        <v>1232</v>
      </c>
    </row>
    <row r="272" spans="1:21" ht="12" customHeight="1">
      <c r="A272" s="329">
        <v>2</v>
      </c>
      <c r="B272" s="159" t="s">
        <v>316</v>
      </c>
      <c r="C272" s="68" t="s">
        <v>95</v>
      </c>
      <c r="D272" s="68" t="s">
        <v>307</v>
      </c>
      <c r="E272" s="330">
        <v>2</v>
      </c>
      <c r="F272" s="326">
        <v>906</v>
      </c>
      <c r="G272" s="326">
        <v>524</v>
      </c>
      <c r="H272" s="326">
        <v>233</v>
      </c>
      <c r="I272" s="326">
        <v>216</v>
      </c>
      <c r="J272" s="326">
        <v>209</v>
      </c>
      <c r="K272" s="326">
        <v>204</v>
      </c>
      <c r="L272" s="326">
        <v>196</v>
      </c>
      <c r="M272" s="326">
        <v>180</v>
      </c>
      <c r="N272" s="326">
        <v>161</v>
      </c>
      <c r="O272" s="326">
        <v>154</v>
      </c>
      <c r="P272" s="326">
        <v>136</v>
      </c>
      <c r="Q272" s="326">
        <v>101</v>
      </c>
      <c r="R272" s="326">
        <v>209.9</v>
      </c>
      <c r="S272" s="9">
        <v>0</v>
      </c>
      <c r="T272" s="9">
        <f t="shared" si="4"/>
        <v>0</v>
      </c>
      <c r="U272" s="325" t="s">
        <v>1233</v>
      </c>
    </row>
    <row r="273" spans="1:21" ht="12" customHeight="1">
      <c r="A273" s="329">
        <v>2</v>
      </c>
      <c r="B273" s="159" t="s">
        <v>316</v>
      </c>
      <c r="C273" s="68" t="s">
        <v>95</v>
      </c>
      <c r="D273" s="68" t="s">
        <v>307</v>
      </c>
      <c r="E273" s="330">
        <v>3</v>
      </c>
      <c r="F273" s="326">
        <v>1346</v>
      </c>
      <c r="G273" s="326">
        <v>524</v>
      </c>
      <c r="H273" s="326">
        <v>222</v>
      </c>
      <c r="I273" s="326">
        <v>200</v>
      </c>
      <c r="J273" s="326">
        <v>186</v>
      </c>
      <c r="K273" s="326">
        <v>180</v>
      </c>
      <c r="L273" s="326">
        <v>173</v>
      </c>
      <c r="M273" s="326">
        <v>167</v>
      </c>
      <c r="N273" s="326">
        <v>159</v>
      </c>
      <c r="O273" s="326">
        <v>154</v>
      </c>
      <c r="P273" s="326">
        <v>150</v>
      </c>
      <c r="Q273" s="326">
        <v>144</v>
      </c>
      <c r="R273" s="326">
        <v>187.6</v>
      </c>
      <c r="S273" s="9">
        <v>0</v>
      </c>
      <c r="T273" s="9">
        <f t="shared" si="4"/>
        <v>0</v>
      </c>
      <c r="U273" s="325" t="s">
        <v>1234</v>
      </c>
    </row>
    <row r="274" spans="1:21" ht="12" customHeight="1">
      <c r="A274" s="329">
        <v>2</v>
      </c>
      <c r="B274" s="159" t="s">
        <v>316</v>
      </c>
      <c r="C274" s="68" t="s">
        <v>95</v>
      </c>
      <c r="D274" s="68" t="s">
        <v>307</v>
      </c>
      <c r="E274" s="330">
        <v>4</v>
      </c>
      <c r="F274" s="326">
        <v>906</v>
      </c>
      <c r="G274" s="326">
        <v>524</v>
      </c>
      <c r="H274" s="326">
        <v>284</v>
      </c>
      <c r="I274" s="326">
        <v>272</v>
      </c>
      <c r="J274" s="326">
        <v>256</v>
      </c>
      <c r="K274" s="326">
        <v>251</v>
      </c>
      <c r="L274" s="326">
        <v>238</v>
      </c>
      <c r="M274" s="326">
        <v>233</v>
      </c>
      <c r="N274" s="326">
        <v>221</v>
      </c>
      <c r="O274" s="326">
        <v>195</v>
      </c>
      <c r="P274" s="326">
        <v>178</v>
      </c>
      <c r="Q274" s="326">
        <v>122</v>
      </c>
      <c r="R274" s="326">
        <v>257.7</v>
      </c>
      <c r="S274" s="9">
        <v>0</v>
      </c>
      <c r="T274" s="9">
        <f t="shared" si="4"/>
        <v>0</v>
      </c>
      <c r="U274" s="325" t="s">
        <v>1235</v>
      </c>
    </row>
    <row r="275" spans="1:21" ht="12" customHeight="1">
      <c r="A275" s="329">
        <v>2</v>
      </c>
      <c r="B275" s="159" t="s">
        <v>316</v>
      </c>
      <c r="C275" s="68" t="s">
        <v>95</v>
      </c>
      <c r="D275" s="68" t="s">
        <v>307</v>
      </c>
      <c r="E275" s="330">
        <v>5</v>
      </c>
      <c r="F275" s="326">
        <v>906</v>
      </c>
      <c r="G275" s="326">
        <v>524</v>
      </c>
      <c r="H275" s="326">
        <v>243</v>
      </c>
      <c r="I275" s="326">
        <v>209</v>
      </c>
      <c r="J275" s="326">
        <v>188</v>
      </c>
      <c r="K275" s="326">
        <v>182</v>
      </c>
      <c r="L275" s="326">
        <v>180</v>
      </c>
      <c r="M275" s="326">
        <v>170</v>
      </c>
      <c r="N275" s="326">
        <v>153</v>
      </c>
      <c r="O275" s="326">
        <v>131</v>
      </c>
      <c r="P275" s="326">
        <v>115</v>
      </c>
      <c r="Q275" s="326">
        <v>92</v>
      </c>
      <c r="R275" s="326">
        <v>190.4</v>
      </c>
      <c r="S275" s="9">
        <v>0</v>
      </c>
      <c r="T275" s="9">
        <f t="shared" si="4"/>
        <v>0</v>
      </c>
      <c r="U275" s="325" t="s">
        <v>1236</v>
      </c>
    </row>
    <row r="276" spans="1:21" ht="12" customHeight="1">
      <c r="A276" s="327">
        <v>3</v>
      </c>
      <c r="B276" s="159" t="s">
        <v>312</v>
      </c>
      <c r="C276" s="68" t="s">
        <v>96</v>
      </c>
      <c r="D276" s="68" t="s">
        <v>308</v>
      </c>
      <c r="E276" s="321">
        <v>1</v>
      </c>
      <c r="F276" s="322">
        <v>520</v>
      </c>
      <c r="G276" s="322">
        <v>218</v>
      </c>
      <c r="H276" s="322">
        <v>0</v>
      </c>
      <c r="I276" s="322">
        <v>0</v>
      </c>
      <c r="J276" s="322">
        <v>0</v>
      </c>
      <c r="K276" s="322">
        <v>0</v>
      </c>
      <c r="L276" s="322">
        <v>0</v>
      </c>
      <c r="M276" s="322">
        <v>0</v>
      </c>
      <c r="N276" s="322">
        <v>0</v>
      </c>
      <c r="O276" s="322">
        <v>0</v>
      </c>
      <c r="P276" s="322">
        <v>0</v>
      </c>
      <c r="Q276" s="322">
        <v>0</v>
      </c>
      <c r="R276" s="322">
        <v>0</v>
      </c>
      <c r="S276" s="9">
        <v>2.225365578577196E-5</v>
      </c>
      <c r="T276" s="9">
        <f t="shared" si="4"/>
        <v>0</v>
      </c>
      <c r="U276" s="321" t="s">
        <v>727</v>
      </c>
    </row>
    <row r="277" spans="1:21" ht="12" customHeight="1">
      <c r="A277" s="327">
        <v>3</v>
      </c>
      <c r="B277" s="159" t="s">
        <v>312</v>
      </c>
      <c r="C277" s="68" t="s">
        <v>96</v>
      </c>
      <c r="D277" s="68" t="s">
        <v>308</v>
      </c>
      <c r="E277" s="321">
        <v>2</v>
      </c>
      <c r="F277" s="322">
        <v>508</v>
      </c>
      <c r="G277" s="322">
        <v>218</v>
      </c>
      <c r="H277" s="322">
        <v>0</v>
      </c>
      <c r="I277" s="322">
        <v>0</v>
      </c>
      <c r="J277" s="322">
        <v>0</v>
      </c>
      <c r="K277" s="322">
        <v>0</v>
      </c>
      <c r="L277" s="322">
        <v>0</v>
      </c>
      <c r="M277" s="322">
        <v>0</v>
      </c>
      <c r="N277" s="322">
        <v>0</v>
      </c>
      <c r="O277" s="322">
        <v>0</v>
      </c>
      <c r="P277" s="322">
        <v>0</v>
      </c>
      <c r="Q277" s="322">
        <v>0</v>
      </c>
      <c r="R277" s="322">
        <v>0</v>
      </c>
      <c r="S277" s="9">
        <v>2.225365578577196E-5</v>
      </c>
      <c r="T277" s="9">
        <f t="shared" si="4"/>
        <v>0</v>
      </c>
      <c r="U277" s="321" t="s">
        <v>728</v>
      </c>
    </row>
    <row r="278" spans="1:21" ht="12" customHeight="1">
      <c r="A278" s="327">
        <v>3</v>
      </c>
      <c r="B278" s="159" t="s">
        <v>312</v>
      </c>
      <c r="C278" s="68" t="s">
        <v>96</v>
      </c>
      <c r="D278" s="68" t="s">
        <v>308</v>
      </c>
      <c r="E278" s="321">
        <v>3</v>
      </c>
      <c r="F278" s="322">
        <v>504</v>
      </c>
      <c r="G278" s="322">
        <v>218</v>
      </c>
      <c r="H278" s="322">
        <v>0</v>
      </c>
      <c r="I278" s="322">
        <v>0</v>
      </c>
      <c r="J278" s="322">
        <v>0</v>
      </c>
      <c r="K278" s="322">
        <v>0</v>
      </c>
      <c r="L278" s="322">
        <v>0</v>
      </c>
      <c r="M278" s="322">
        <v>0</v>
      </c>
      <c r="N278" s="322">
        <v>0</v>
      </c>
      <c r="O278" s="322">
        <v>0</v>
      </c>
      <c r="P278" s="322">
        <v>0</v>
      </c>
      <c r="Q278" s="322">
        <v>0</v>
      </c>
      <c r="R278" s="322">
        <v>0</v>
      </c>
      <c r="S278" s="9">
        <v>2.225365578577196E-5</v>
      </c>
      <c r="T278" s="9">
        <f t="shared" si="4"/>
        <v>0</v>
      </c>
      <c r="U278" s="321" t="s">
        <v>729</v>
      </c>
    </row>
    <row r="279" spans="1:21" ht="12" customHeight="1">
      <c r="A279" s="327">
        <v>3</v>
      </c>
      <c r="B279" s="159" t="s">
        <v>312</v>
      </c>
      <c r="C279" s="68" t="s">
        <v>96</v>
      </c>
      <c r="D279" s="68" t="s">
        <v>308</v>
      </c>
      <c r="E279" s="321">
        <v>4</v>
      </c>
      <c r="F279" s="322">
        <v>550</v>
      </c>
      <c r="G279" s="322">
        <v>214</v>
      </c>
      <c r="H279" s="322">
        <v>0</v>
      </c>
      <c r="I279" s="322">
        <v>0</v>
      </c>
      <c r="J279" s="322">
        <v>0</v>
      </c>
      <c r="K279" s="322">
        <v>0</v>
      </c>
      <c r="L279" s="322">
        <v>0</v>
      </c>
      <c r="M279" s="322">
        <v>0</v>
      </c>
      <c r="N279" s="322">
        <v>0</v>
      </c>
      <c r="O279" s="322">
        <v>0</v>
      </c>
      <c r="P279" s="322">
        <v>0</v>
      </c>
      <c r="Q279" s="322">
        <v>0</v>
      </c>
      <c r="R279" s="322">
        <v>0</v>
      </c>
      <c r="S279" s="9">
        <v>2.225365578577196E-5</v>
      </c>
      <c r="T279" s="9">
        <f t="shared" si="4"/>
        <v>0</v>
      </c>
      <c r="U279" s="321" t="s">
        <v>730</v>
      </c>
    </row>
    <row r="280" spans="1:21" ht="12" customHeight="1">
      <c r="A280" s="327">
        <v>3</v>
      </c>
      <c r="B280" s="159" t="s">
        <v>312</v>
      </c>
      <c r="C280" s="68" t="s">
        <v>96</v>
      </c>
      <c r="D280" s="68" t="s">
        <v>308</v>
      </c>
      <c r="E280" s="321">
        <v>5</v>
      </c>
      <c r="F280" s="322">
        <v>572</v>
      </c>
      <c r="G280" s="322">
        <v>219</v>
      </c>
      <c r="H280" s="322">
        <v>0</v>
      </c>
      <c r="I280" s="322">
        <v>0</v>
      </c>
      <c r="J280" s="322">
        <v>0</v>
      </c>
      <c r="K280" s="322">
        <v>0</v>
      </c>
      <c r="L280" s="322">
        <v>0</v>
      </c>
      <c r="M280" s="322">
        <v>0</v>
      </c>
      <c r="N280" s="322">
        <v>0</v>
      </c>
      <c r="O280" s="322">
        <v>0</v>
      </c>
      <c r="P280" s="322">
        <v>0</v>
      </c>
      <c r="Q280" s="322">
        <v>0</v>
      </c>
      <c r="R280" s="322">
        <v>0</v>
      </c>
      <c r="S280" s="9">
        <v>2.225365578577196E-5</v>
      </c>
      <c r="T280" s="9">
        <f t="shared" si="4"/>
        <v>0</v>
      </c>
      <c r="U280" s="321" t="s">
        <v>731</v>
      </c>
    </row>
    <row r="281" spans="1:21" ht="12" customHeight="1">
      <c r="A281" s="327">
        <v>3</v>
      </c>
      <c r="B281" s="159" t="s">
        <v>312</v>
      </c>
      <c r="C281" s="68" t="s">
        <v>96</v>
      </c>
      <c r="D281" s="68" t="s">
        <v>310</v>
      </c>
      <c r="E281" s="321">
        <v>1</v>
      </c>
      <c r="F281" s="322">
        <v>594</v>
      </c>
      <c r="G281" s="322">
        <v>218</v>
      </c>
      <c r="H281" s="322">
        <v>0</v>
      </c>
      <c r="I281" s="322">
        <v>0</v>
      </c>
      <c r="J281" s="322">
        <v>0</v>
      </c>
      <c r="K281" s="322">
        <v>0</v>
      </c>
      <c r="L281" s="322">
        <v>0</v>
      </c>
      <c r="M281" s="322">
        <v>0</v>
      </c>
      <c r="N281" s="322">
        <v>0</v>
      </c>
      <c r="O281" s="322">
        <v>0</v>
      </c>
      <c r="P281" s="322">
        <v>0</v>
      </c>
      <c r="Q281" s="322">
        <v>0</v>
      </c>
      <c r="R281" s="322">
        <v>0</v>
      </c>
      <c r="S281" s="9">
        <v>2.2253455502669612E-5</v>
      </c>
      <c r="T281" s="9">
        <f t="shared" si="4"/>
        <v>0</v>
      </c>
      <c r="U281" s="321" t="s">
        <v>757</v>
      </c>
    </row>
    <row r="282" spans="1:21" ht="12" customHeight="1">
      <c r="A282" s="327">
        <v>3</v>
      </c>
      <c r="B282" s="159" t="s">
        <v>312</v>
      </c>
      <c r="C282" s="68" t="s">
        <v>96</v>
      </c>
      <c r="D282" s="68" t="s">
        <v>310</v>
      </c>
      <c r="E282" s="321">
        <v>2</v>
      </c>
      <c r="F282" s="322">
        <v>692</v>
      </c>
      <c r="G282" s="322">
        <v>218</v>
      </c>
      <c r="H282" s="322">
        <v>3</v>
      </c>
      <c r="I282" s="322">
        <v>0</v>
      </c>
      <c r="J282" s="322">
        <v>0</v>
      </c>
      <c r="K282" s="322">
        <v>0</v>
      </c>
      <c r="L282" s="322">
        <v>0</v>
      </c>
      <c r="M282" s="322">
        <v>0</v>
      </c>
      <c r="N282" s="322">
        <v>0</v>
      </c>
      <c r="O282" s="322">
        <v>0</v>
      </c>
      <c r="P282" s="322">
        <v>0</v>
      </c>
      <c r="Q282" s="322">
        <v>0</v>
      </c>
      <c r="R282" s="322">
        <v>0</v>
      </c>
      <c r="S282" s="9">
        <v>2.2253455502669612E-5</v>
      </c>
      <c r="T282" s="9">
        <f t="shared" si="4"/>
        <v>0</v>
      </c>
      <c r="U282" s="321" t="s">
        <v>758</v>
      </c>
    </row>
    <row r="283" spans="1:21" ht="12" customHeight="1">
      <c r="A283" s="327">
        <v>3</v>
      </c>
      <c r="B283" s="159" t="s">
        <v>312</v>
      </c>
      <c r="C283" s="68" t="s">
        <v>96</v>
      </c>
      <c r="D283" s="68" t="s">
        <v>310</v>
      </c>
      <c r="E283" s="321">
        <v>3</v>
      </c>
      <c r="F283" s="322">
        <v>606</v>
      </c>
      <c r="G283" s="322">
        <v>194</v>
      </c>
      <c r="H283" s="322">
        <v>1</v>
      </c>
      <c r="I283" s="322">
        <v>0</v>
      </c>
      <c r="J283" s="322">
        <v>0</v>
      </c>
      <c r="K283" s="322">
        <v>0</v>
      </c>
      <c r="L283" s="322">
        <v>0</v>
      </c>
      <c r="M283" s="322">
        <v>0</v>
      </c>
      <c r="N283" s="322">
        <v>0</v>
      </c>
      <c r="O283" s="322">
        <v>0</v>
      </c>
      <c r="P283" s="322">
        <v>0</v>
      </c>
      <c r="Q283" s="322">
        <v>0</v>
      </c>
      <c r="R283" s="322">
        <v>0</v>
      </c>
      <c r="S283" s="9">
        <v>2.2253455502669612E-5</v>
      </c>
      <c r="T283" s="9">
        <f t="shared" si="4"/>
        <v>0</v>
      </c>
      <c r="U283" s="321" t="s">
        <v>759</v>
      </c>
    </row>
    <row r="284" spans="1:21" ht="12" customHeight="1">
      <c r="A284" s="327">
        <v>3</v>
      </c>
      <c r="B284" s="159" t="s">
        <v>312</v>
      </c>
      <c r="C284" s="68" t="s">
        <v>96</v>
      </c>
      <c r="D284" s="68" t="s">
        <v>310</v>
      </c>
      <c r="E284" s="321">
        <v>4</v>
      </c>
      <c r="F284" s="322">
        <v>674</v>
      </c>
      <c r="G284" s="322">
        <v>221</v>
      </c>
      <c r="H284" s="322">
        <v>4</v>
      </c>
      <c r="I284" s="322">
        <v>0</v>
      </c>
      <c r="J284" s="322">
        <v>0</v>
      </c>
      <c r="K284" s="322">
        <v>0</v>
      </c>
      <c r="L284" s="322">
        <v>0</v>
      </c>
      <c r="M284" s="322">
        <v>0</v>
      </c>
      <c r="N284" s="322">
        <v>0</v>
      </c>
      <c r="O284" s="322">
        <v>0</v>
      </c>
      <c r="P284" s="322">
        <v>0</v>
      </c>
      <c r="Q284" s="322">
        <v>0</v>
      </c>
      <c r="R284" s="322">
        <v>0</v>
      </c>
      <c r="S284" s="9">
        <v>2.2253455502669612E-5</v>
      </c>
      <c r="T284" s="9">
        <f t="shared" si="4"/>
        <v>0</v>
      </c>
      <c r="U284" s="321" t="s">
        <v>760</v>
      </c>
    </row>
    <row r="285" spans="1:21" ht="12" customHeight="1">
      <c r="A285" s="327">
        <v>3</v>
      </c>
      <c r="B285" s="159" t="s">
        <v>312</v>
      </c>
      <c r="C285" s="68" t="s">
        <v>96</v>
      </c>
      <c r="D285" s="68" t="s">
        <v>310</v>
      </c>
      <c r="E285" s="321">
        <v>5</v>
      </c>
      <c r="F285" s="322">
        <v>492</v>
      </c>
      <c r="G285" s="322">
        <v>219</v>
      </c>
      <c r="H285" s="322">
        <v>0</v>
      </c>
      <c r="I285" s="322">
        <v>0</v>
      </c>
      <c r="J285" s="322">
        <v>0</v>
      </c>
      <c r="K285" s="322">
        <v>0</v>
      </c>
      <c r="L285" s="322">
        <v>0</v>
      </c>
      <c r="M285" s="322">
        <v>0</v>
      </c>
      <c r="N285" s="322">
        <v>0</v>
      </c>
      <c r="O285" s="322">
        <v>0</v>
      </c>
      <c r="P285" s="322">
        <v>0</v>
      </c>
      <c r="Q285" s="322">
        <v>0</v>
      </c>
      <c r="R285" s="322">
        <v>0</v>
      </c>
      <c r="S285" s="9">
        <v>2.2253455502669612E-5</v>
      </c>
      <c r="T285" s="9">
        <f t="shared" si="4"/>
        <v>0</v>
      </c>
      <c r="U285" s="321" t="s">
        <v>761</v>
      </c>
    </row>
    <row r="286" spans="1:21" ht="12" customHeight="1">
      <c r="A286" s="327">
        <v>3</v>
      </c>
      <c r="B286" s="159" t="s">
        <v>312</v>
      </c>
      <c r="C286" s="68" t="s">
        <v>96</v>
      </c>
      <c r="D286" s="68" t="s">
        <v>309</v>
      </c>
      <c r="E286" s="321">
        <v>1</v>
      </c>
      <c r="F286" s="322">
        <v>524</v>
      </c>
      <c r="G286" s="322">
        <v>218</v>
      </c>
      <c r="H286" s="322">
        <v>0</v>
      </c>
      <c r="I286" s="322">
        <v>0</v>
      </c>
      <c r="J286" s="322">
        <v>0</v>
      </c>
      <c r="K286" s="322">
        <v>0</v>
      </c>
      <c r="L286" s="322">
        <v>0</v>
      </c>
      <c r="M286" s="322">
        <v>0</v>
      </c>
      <c r="N286" s="322">
        <v>0</v>
      </c>
      <c r="O286" s="322">
        <v>0</v>
      </c>
      <c r="P286" s="322">
        <v>0</v>
      </c>
      <c r="Q286" s="322">
        <v>0</v>
      </c>
      <c r="R286" s="322">
        <v>0</v>
      </c>
      <c r="S286" s="9">
        <v>2.225365578577196E-5</v>
      </c>
      <c r="T286" s="9">
        <f t="shared" si="4"/>
        <v>0</v>
      </c>
      <c r="U286" s="321" t="s">
        <v>787</v>
      </c>
    </row>
    <row r="287" spans="1:21" ht="12" customHeight="1">
      <c r="A287" s="327">
        <v>3</v>
      </c>
      <c r="B287" s="159" t="s">
        <v>312</v>
      </c>
      <c r="C287" s="68" t="s">
        <v>96</v>
      </c>
      <c r="D287" s="68" t="s">
        <v>309</v>
      </c>
      <c r="E287" s="321">
        <v>2</v>
      </c>
      <c r="F287" s="322">
        <v>496</v>
      </c>
      <c r="G287" s="322">
        <v>218</v>
      </c>
      <c r="H287" s="322">
        <v>0</v>
      </c>
      <c r="I287" s="322">
        <v>0</v>
      </c>
      <c r="J287" s="322">
        <v>0</v>
      </c>
      <c r="K287" s="322">
        <v>0</v>
      </c>
      <c r="L287" s="322">
        <v>0</v>
      </c>
      <c r="M287" s="322">
        <v>0</v>
      </c>
      <c r="N287" s="322">
        <v>0</v>
      </c>
      <c r="O287" s="322">
        <v>0</v>
      </c>
      <c r="P287" s="322">
        <v>0</v>
      </c>
      <c r="Q287" s="322">
        <v>0</v>
      </c>
      <c r="R287" s="322">
        <v>0</v>
      </c>
      <c r="S287" s="9">
        <v>2.225365578577196E-5</v>
      </c>
      <c r="T287" s="9">
        <f t="shared" si="4"/>
        <v>0</v>
      </c>
      <c r="U287" s="321" t="s">
        <v>788</v>
      </c>
    </row>
    <row r="288" spans="1:21" ht="12" customHeight="1">
      <c r="A288" s="327">
        <v>3</v>
      </c>
      <c r="B288" s="159" t="s">
        <v>312</v>
      </c>
      <c r="C288" s="68" t="s">
        <v>96</v>
      </c>
      <c r="D288" s="68" t="s">
        <v>309</v>
      </c>
      <c r="E288" s="321">
        <v>3</v>
      </c>
      <c r="F288" s="322">
        <v>480</v>
      </c>
      <c r="G288" s="322">
        <v>191</v>
      </c>
      <c r="H288" s="322">
        <v>0</v>
      </c>
      <c r="I288" s="322">
        <v>0</v>
      </c>
      <c r="J288" s="322">
        <v>0</v>
      </c>
      <c r="K288" s="322">
        <v>0</v>
      </c>
      <c r="L288" s="322">
        <v>0</v>
      </c>
      <c r="M288" s="322">
        <v>0</v>
      </c>
      <c r="N288" s="322">
        <v>0</v>
      </c>
      <c r="O288" s="322">
        <v>0</v>
      </c>
      <c r="P288" s="322">
        <v>0</v>
      </c>
      <c r="Q288" s="322">
        <v>0</v>
      </c>
      <c r="R288" s="322">
        <v>0</v>
      </c>
      <c r="S288" s="9">
        <v>2.225365578577196E-5</v>
      </c>
      <c r="T288" s="9">
        <f t="shared" si="4"/>
        <v>0</v>
      </c>
      <c r="U288" s="321" t="s">
        <v>789</v>
      </c>
    </row>
    <row r="289" spans="1:21" ht="12" customHeight="1">
      <c r="A289" s="327">
        <v>3</v>
      </c>
      <c r="B289" s="159" t="s">
        <v>312</v>
      </c>
      <c r="C289" s="68" t="s">
        <v>96</v>
      </c>
      <c r="D289" s="68" t="s">
        <v>309</v>
      </c>
      <c r="E289" s="321">
        <v>4</v>
      </c>
      <c r="F289" s="322">
        <v>500</v>
      </c>
      <c r="G289" s="322">
        <v>213</v>
      </c>
      <c r="H289" s="322">
        <v>0</v>
      </c>
      <c r="I289" s="322">
        <v>0</v>
      </c>
      <c r="J289" s="322">
        <v>0</v>
      </c>
      <c r="K289" s="322">
        <v>0</v>
      </c>
      <c r="L289" s="322">
        <v>0</v>
      </c>
      <c r="M289" s="322">
        <v>0</v>
      </c>
      <c r="N289" s="322">
        <v>0</v>
      </c>
      <c r="O289" s="322">
        <v>0</v>
      </c>
      <c r="P289" s="322">
        <v>0</v>
      </c>
      <c r="Q289" s="322">
        <v>0</v>
      </c>
      <c r="R289" s="322">
        <v>0</v>
      </c>
      <c r="S289" s="9">
        <v>2.225365578577196E-5</v>
      </c>
      <c r="T289" s="9">
        <f t="shared" si="4"/>
        <v>0</v>
      </c>
      <c r="U289" s="321" t="s">
        <v>790</v>
      </c>
    </row>
    <row r="290" spans="1:21" ht="12" customHeight="1">
      <c r="A290" s="327">
        <v>3</v>
      </c>
      <c r="B290" s="159" t="s">
        <v>312</v>
      </c>
      <c r="C290" s="68" t="s">
        <v>96</v>
      </c>
      <c r="D290" s="68" t="s">
        <v>309</v>
      </c>
      <c r="E290" s="321">
        <v>5</v>
      </c>
      <c r="F290" s="322">
        <v>468</v>
      </c>
      <c r="G290" s="322">
        <v>220</v>
      </c>
      <c r="H290" s="322">
        <v>0</v>
      </c>
      <c r="I290" s="322">
        <v>0</v>
      </c>
      <c r="J290" s="322">
        <v>0</v>
      </c>
      <c r="K290" s="322">
        <v>0</v>
      </c>
      <c r="L290" s="322">
        <v>0</v>
      </c>
      <c r="M290" s="322">
        <v>0</v>
      </c>
      <c r="N290" s="322">
        <v>0</v>
      </c>
      <c r="O290" s="322">
        <v>0</v>
      </c>
      <c r="P290" s="322">
        <v>0</v>
      </c>
      <c r="Q290" s="322">
        <v>0</v>
      </c>
      <c r="R290" s="322">
        <v>0</v>
      </c>
      <c r="S290" s="9">
        <v>2.225365578577196E-5</v>
      </c>
      <c r="T290" s="9">
        <f t="shared" si="4"/>
        <v>0</v>
      </c>
      <c r="U290" s="321" t="s">
        <v>791</v>
      </c>
    </row>
    <row r="291" spans="1:21" ht="12" customHeight="1">
      <c r="A291" s="327">
        <v>3</v>
      </c>
      <c r="B291" s="159" t="s">
        <v>312</v>
      </c>
      <c r="C291" s="68" t="s">
        <v>96</v>
      </c>
      <c r="D291" s="68" t="s">
        <v>307</v>
      </c>
      <c r="E291" s="321">
        <v>1</v>
      </c>
      <c r="F291" s="322">
        <v>452</v>
      </c>
      <c r="G291" s="322">
        <v>221</v>
      </c>
      <c r="H291" s="322">
        <v>0</v>
      </c>
      <c r="I291" s="322">
        <v>0</v>
      </c>
      <c r="J291" s="322">
        <v>0</v>
      </c>
      <c r="K291" s="322">
        <v>0</v>
      </c>
      <c r="L291" s="322">
        <v>0</v>
      </c>
      <c r="M291" s="322">
        <v>0</v>
      </c>
      <c r="N291" s="322">
        <v>0</v>
      </c>
      <c r="O291" s="322">
        <v>0</v>
      </c>
      <c r="P291" s="322">
        <v>0</v>
      </c>
      <c r="Q291" s="322">
        <v>0</v>
      </c>
      <c r="R291" s="322">
        <v>0</v>
      </c>
      <c r="S291" s="9">
        <v>6.0084930706515009E-4</v>
      </c>
      <c r="T291" s="9">
        <f t="shared" si="4"/>
        <v>0</v>
      </c>
      <c r="U291" s="321" t="s">
        <v>817</v>
      </c>
    </row>
    <row r="292" spans="1:21" ht="12" customHeight="1">
      <c r="A292" s="327">
        <v>3</v>
      </c>
      <c r="B292" s="159" t="s">
        <v>312</v>
      </c>
      <c r="C292" s="68" t="s">
        <v>96</v>
      </c>
      <c r="D292" s="68" t="s">
        <v>307</v>
      </c>
      <c r="E292" s="321">
        <v>2</v>
      </c>
      <c r="F292" s="322">
        <v>456</v>
      </c>
      <c r="G292" s="322">
        <v>219</v>
      </c>
      <c r="H292" s="322">
        <v>0</v>
      </c>
      <c r="I292" s="322">
        <v>0</v>
      </c>
      <c r="J292" s="322">
        <v>0</v>
      </c>
      <c r="K292" s="322">
        <v>0</v>
      </c>
      <c r="L292" s="322">
        <v>0</v>
      </c>
      <c r="M292" s="322">
        <v>0</v>
      </c>
      <c r="N292" s="322">
        <v>0</v>
      </c>
      <c r="O292" s="322">
        <v>0</v>
      </c>
      <c r="P292" s="322">
        <v>0</v>
      </c>
      <c r="Q292" s="322">
        <v>0</v>
      </c>
      <c r="R292" s="322">
        <v>0</v>
      </c>
      <c r="S292" s="9">
        <v>6.0084930706515009E-4</v>
      </c>
      <c r="T292" s="9">
        <f t="shared" si="4"/>
        <v>0</v>
      </c>
      <c r="U292" s="321" t="s">
        <v>818</v>
      </c>
    </row>
    <row r="293" spans="1:21" ht="12" customHeight="1">
      <c r="A293" s="327">
        <v>3</v>
      </c>
      <c r="B293" s="159" t="s">
        <v>312</v>
      </c>
      <c r="C293" s="68" t="s">
        <v>96</v>
      </c>
      <c r="D293" s="68" t="s">
        <v>307</v>
      </c>
      <c r="E293" s="321">
        <v>3</v>
      </c>
      <c r="F293" s="322">
        <v>468</v>
      </c>
      <c r="G293" s="322">
        <v>218</v>
      </c>
      <c r="H293" s="322">
        <v>0</v>
      </c>
      <c r="I293" s="322">
        <v>0</v>
      </c>
      <c r="J293" s="322">
        <v>0</v>
      </c>
      <c r="K293" s="322">
        <v>0</v>
      </c>
      <c r="L293" s="322">
        <v>0</v>
      </c>
      <c r="M293" s="322">
        <v>0</v>
      </c>
      <c r="N293" s="322">
        <v>0</v>
      </c>
      <c r="O293" s="322">
        <v>0</v>
      </c>
      <c r="P293" s="322">
        <v>0</v>
      </c>
      <c r="Q293" s="322">
        <v>0</v>
      </c>
      <c r="R293" s="322">
        <v>0</v>
      </c>
      <c r="S293" s="9">
        <v>6.0084930706515009E-4</v>
      </c>
      <c r="T293" s="9">
        <f t="shared" si="4"/>
        <v>0</v>
      </c>
      <c r="U293" s="321" t="s">
        <v>819</v>
      </c>
    </row>
    <row r="294" spans="1:21" ht="12" customHeight="1">
      <c r="A294" s="327">
        <v>3</v>
      </c>
      <c r="B294" s="159" t="s">
        <v>312</v>
      </c>
      <c r="C294" s="68" t="s">
        <v>96</v>
      </c>
      <c r="D294" s="68" t="s">
        <v>307</v>
      </c>
      <c r="E294" s="321">
        <v>4</v>
      </c>
      <c r="F294" s="322">
        <v>526</v>
      </c>
      <c r="G294" s="322">
        <v>218</v>
      </c>
      <c r="H294" s="322">
        <v>0</v>
      </c>
      <c r="I294" s="322">
        <v>0</v>
      </c>
      <c r="J294" s="322">
        <v>0</v>
      </c>
      <c r="K294" s="322">
        <v>0</v>
      </c>
      <c r="L294" s="322">
        <v>0</v>
      </c>
      <c r="M294" s="322">
        <v>0</v>
      </c>
      <c r="N294" s="322">
        <v>0</v>
      </c>
      <c r="O294" s="322">
        <v>0</v>
      </c>
      <c r="P294" s="322">
        <v>0</v>
      </c>
      <c r="Q294" s="322">
        <v>0</v>
      </c>
      <c r="R294" s="322">
        <v>0</v>
      </c>
      <c r="S294" s="9">
        <v>6.0084930706515009E-4</v>
      </c>
      <c r="T294" s="9">
        <f t="shared" si="4"/>
        <v>0</v>
      </c>
      <c r="U294" s="321" t="s">
        <v>820</v>
      </c>
    </row>
    <row r="295" spans="1:21" ht="12" customHeight="1">
      <c r="A295" s="327">
        <v>3</v>
      </c>
      <c r="B295" s="159" t="s">
        <v>312</v>
      </c>
      <c r="C295" s="68" t="s">
        <v>96</v>
      </c>
      <c r="D295" s="68" t="s">
        <v>307</v>
      </c>
      <c r="E295" s="321">
        <v>5</v>
      </c>
      <c r="F295" s="322">
        <v>494</v>
      </c>
      <c r="G295" s="322">
        <v>218</v>
      </c>
      <c r="H295" s="322">
        <v>0</v>
      </c>
      <c r="I295" s="322">
        <v>0</v>
      </c>
      <c r="J295" s="322">
        <v>0</v>
      </c>
      <c r="K295" s="322">
        <v>0</v>
      </c>
      <c r="L295" s="322">
        <v>0</v>
      </c>
      <c r="M295" s="322">
        <v>0</v>
      </c>
      <c r="N295" s="322">
        <v>0</v>
      </c>
      <c r="O295" s="322">
        <v>0</v>
      </c>
      <c r="P295" s="322">
        <v>0</v>
      </c>
      <c r="Q295" s="322">
        <v>0</v>
      </c>
      <c r="R295" s="322">
        <v>0</v>
      </c>
      <c r="S295" s="9">
        <v>6.0084930706515009E-4</v>
      </c>
      <c r="T295" s="9">
        <f t="shared" si="4"/>
        <v>0</v>
      </c>
      <c r="U295" s="321" t="s">
        <v>821</v>
      </c>
    </row>
    <row r="296" spans="1:21" ht="12" customHeight="1">
      <c r="A296" s="327">
        <v>3</v>
      </c>
      <c r="B296" s="159" t="s">
        <v>312</v>
      </c>
      <c r="C296" s="68" t="s">
        <v>95</v>
      </c>
      <c r="D296" s="68" t="s">
        <v>308</v>
      </c>
      <c r="E296" s="321">
        <v>1</v>
      </c>
      <c r="F296" s="322">
        <v>684</v>
      </c>
      <c r="G296" s="322">
        <v>524</v>
      </c>
      <c r="H296" s="322">
        <v>0</v>
      </c>
      <c r="I296" s="322">
        <v>0</v>
      </c>
      <c r="J296" s="322">
        <v>0</v>
      </c>
      <c r="K296" s="322">
        <v>0</v>
      </c>
      <c r="L296" s="322">
        <v>0</v>
      </c>
      <c r="M296" s="322">
        <v>0</v>
      </c>
      <c r="N296" s="322">
        <v>0</v>
      </c>
      <c r="O296" s="322">
        <v>0</v>
      </c>
      <c r="P296" s="322">
        <v>0</v>
      </c>
      <c r="Q296" s="322">
        <v>0</v>
      </c>
      <c r="R296" s="322">
        <v>0</v>
      </c>
      <c r="S296" s="9">
        <v>2.247844018764845E-7</v>
      </c>
      <c r="T296" s="9">
        <f t="shared" si="4"/>
        <v>0</v>
      </c>
      <c r="U296" s="321" t="s">
        <v>577</v>
      </c>
    </row>
    <row r="297" spans="1:21" ht="12" customHeight="1">
      <c r="A297" s="327">
        <v>3</v>
      </c>
      <c r="B297" s="159" t="s">
        <v>312</v>
      </c>
      <c r="C297" s="68" t="s">
        <v>95</v>
      </c>
      <c r="D297" s="68" t="s">
        <v>308</v>
      </c>
      <c r="E297" s="321">
        <v>2</v>
      </c>
      <c r="F297" s="322">
        <v>664</v>
      </c>
      <c r="G297" s="322">
        <v>524</v>
      </c>
      <c r="H297" s="322">
        <v>0</v>
      </c>
      <c r="I297" s="322">
        <v>0</v>
      </c>
      <c r="J297" s="322">
        <v>0</v>
      </c>
      <c r="K297" s="322">
        <v>0</v>
      </c>
      <c r="L297" s="322">
        <v>0</v>
      </c>
      <c r="M297" s="322">
        <v>0</v>
      </c>
      <c r="N297" s="322">
        <v>0</v>
      </c>
      <c r="O297" s="322">
        <v>0</v>
      </c>
      <c r="P297" s="322">
        <v>0</v>
      </c>
      <c r="Q297" s="322">
        <v>0</v>
      </c>
      <c r="R297" s="322">
        <v>0</v>
      </c>
      <c r="S297" s="9">
        <v>2.247844018764845E-7</v>
      </c>
      <c r="T297" s="9">
        <f t="shared" si="4"/>
        <v>0</v>
      </c>
      <c r="U297" s="321" t="s">
        <v>578</v>
      </c>
    </row>
    <row r="298" spans="1:21" ht="12" customHeight="1">
      <c r="A298" s="327">
        <v>3</v>
      </c>
      <c r="B298" s="159" t="s">
        <v>312</v>
      </c>
      <c r="C298" s="68" t="s">
        <v>95</v>
      </c>
      <c r="D298" s="68" t="s">
        <v>308</v>
      </c>
      <c r="E298" s="321">
        <v>3</v>
      </c>
      <c r="F298" s="322">
        <v>692</v>
      </c>
      <c r="G298" s="322">
        <v>524</v>
      </c>
      <c r="H298" s="322">
        <v>0</v>
      </c>
      <c r="I298" s="322">
        <v>0</v>
      </c>
      <c r="J298" s="322">
        <v>0</v>
      </c>
      <c r="K298" s="322">
        <v>0</v>
      </c>
      <c r="L298" s="322">
        <v>0</v>
      </c>
      <c r="M298" s="322">
        <v>0</v>
      </c>
      <c r="N298" s="322">
        <v>0</v>
      </c>
      <c r="O298" s="322">
        <v>0</v>
      </c>
      <c r="P298" s="322">
        <v>0</v>
      </c>
      <c r="Q298" s="322">
        <v>0</v>
      </c>
      <c r="R298" s="322">
        <v>0</v>
      </c>
      <c r="S298" s="9">
        <v>2.247844018764845E-7</v>
      </c>
      <c r="T298" s="9">
        <f t="shared" si="4"/>
        <v>0</v>
      </c>
      <c r="U298" s="321" t="s">
        <v>579</v>
      </c>
    </row>
    <row r="299" spans="1:21" ht="12" customHeight="1">
      <c r="A299" s="327">
        <v>3</v>
      </c>
      <c r="B299" s="159" t="s">
        <v>312</v>
      </c>
      <c r="C299" s="68" t="s">
        <v>95</v>
      </c>
      <c r="D299" s="68" t="s">
        <v>308</v>
      </c>
      <c r="E299" s="321">
        <v>4</v>
      </c>
      <c r="F299" s="322">
        <v>744</v>
      </c>
      <c r="G299" s="322">
        <v>524</v>
      </c>
      <c r="H299" s="322">
        <v>0</v>
      </c>
      <c r="I299" s="322">
        <v>0</v>
      </c>
      <c r="J299" s="322">
        <v>0</v>
      </c>
      <c r="K299" s="322">
        <v>0</v>
      </c>
      <c r="L299" s="322">
        <v>0</v>
      </c>
      <c r="M299" s="322">
        <v>0</v>
      </c>
      <c r="N299" s="322">
        <v>0</v>
      </c>
      <c r="O299" s="322">
        <v>0</v>
      </c>
      <c r="P299" s="322">
        <v>0</v>
      </c>
      <c r="Q299" s="322">
        <v>0</v>
      </c>
      <c r="R299" s="322">
        <v>0</v>
      </c>
      <c r="S299" s="9">
        <v>2.247844018764845E-7</v>
      </c>
      <c r="T299" s="9">
        <f t="shared" si="4"/>
        <v>0</v>
      </c>
      <c r="U299" s="321" t="s">
        <v>580</v>
      </c>
    </row>
    <row r="300" spans="1:21" ht="12" customHeight="1">
      <c r="A300" s="327">
        <v>3</v>
      </c>
      <c r="B300" s="159" t="s">
        <v>312</v>
      </c>
      <c r="C300" s="68" t="s">
        <v>95</v>
      </c>
      <c r="D300" s="68" t="s">
        <v>308</v>
      </c>
      <c r="E300" s="321">
        <v>5</v>
      </c>
      <c r="F300" s="322">
        <v>698</v>
      </c>
      <c r="G300" s="322">
        <v>525</v>
      </c>
      <c r="H300" s="322">
        <v>0</v>
      </c>
      <c r="I300" s="322">
        <v>0</v>
      </c>
      <c r="J300" s="322">
        <v>0</v>
      </c>
      <c r="K300" s="322">
        <v>0</v>
      </c>
      <c r="L300" s="322">
        <v>0</v>
      </c>
      <c r="M300" s="322">
        <v>0</v>
      </c>
      <c r="N300" s="322">
        <v>0</v>
      </c>
      <c r="O300" s="322">
        <v>0</v>
      </c>
      <c r="P300" s="322">
        <v>0</v>
      </c>
      <c r="Q300" s="322">
        <v>0</v>
      </c>
      <c r="R300" s="322">
        <v>0</v>
      </c>
      <c r="S300" s="9">
        <v>2.247844018764845E-7</v>
      </c>
      <c r="T300" s="9">
        <f t="shared" si="4"/>
        <v>0</v>
      </c>
      <c r="U300" s="321" t="s">
        <v>581</v>
      </c>
    </row>
    <row r="301" spans="1:21" ht="12" customHeight="1">
      <c r="A301" s="327">
        <v>3</v>
      </c>
      <c r="B301" s="159" t="s">
        <v>312</v>
      </c>
      <c r="C301" s="68" t="s">
        <v>95</v>
      </c>
      <c r="D301" s="68" t="s">
        <v>310</v>
      </c>
      <c r="E301" s="321">
        <v>1</v>
      </c>
      <c r="F301" s="322">
        <v>628</v>
      </c>
      <c r="G301" s="322">
        <v>519</v>
      </c>
      <c r="H301" s="322">
        <v>7</v>
      </c>
      <c r="I301" s="322">
        <v>0</v>
      </c>
      <c r="J301" s="322">
        <v>0</v>
      </c>
      <c r="K301" s="322">
        <v>0</v>
      </c>
      <c r="L301" s="322">
        <v>0</v>
      </c>
      <c r="M301" s="322">
        <v>0</v>
      </c>
      <c r="N301" s="322">
        <v>0</v>
      </c>
      <c r="O301" s="322">
        <v>0</v>
      </c>
      <c r="P301" s="322">
        <v>0</v>
      </c>
      <c r="Q301" s="322">
        <v>0</v>
      </c>
      <c r="R301" s="322">
        <v>0.1</v>
      </c>
      <c r="S301" s="9">
        <v>2.2478237881484456E-7</v>
      </c>
      <c r="T301" s="9">
        <f t="shared" si="4"/>
        <v>2.2478237881484458E-8</v>
      </c>
      <c r="U301" s="321" t="s">
        <v>607</v>
      </c>
    </row>
    <row r="302" spans="1:21" ht="12" customHeight="1">
      <c r="A302" s="327">
        <v>3</v>
      </c>
      <c r="B302" s="159" t="s">
        <v>312</v>
      </c>
      <c r="C302" s="68" t="s">
        <v>95</v>
      </c>
      <c r="D302" s="68" t="s">
        <v>310</v>
      </c>
      <c r="E302" s="321">
        <v>2</v>
      </c>
      <c r="F302" s="322">
        <v>656</v>
      </c>
      <c r="G302" s="322">
        <v>525</v>
      </c>
      <c r="H302" s="322">
        <v>19</v>
      </c>
      <c r="I302" s="322">
        <v>0</v>
      </c>
      <c r="J302" s="322">
        <v>0</v>
      </c>
      <c r="K302" s="322">
        <v>0</v>
      </c>
      <c r="L302" s="322">
        <v>0</v>
      </c>
      <c r="M302" s="322">
        <v>0</v>
      </c>
      <c r="N302" s="322">
        <v>0</v>
      </c>
      <c r="O302" s="322">
        <v>0</v>
      </c>
      <c r="P302" s="322">
        <v>0</v>
      </c>
      <c r="Q302" s="322">
        <v>0</v>
      </c>
      <c r="R302" s="322">
        <v>0.2</v>
      </c>
      <c r="S302" s="9">
        <v>2.2478237881484456E-7</v>
      </c>
      <c r="T302" s="9">
        <f t="shared" si="4"/>
        <v>4.4956475762968916E-8</v>
      </c>
      <c r="U302" s="321" t="s">
        <v>608</v>
      </c>
    </row>
    <row r="303" spans="1:21" ht="12" customHeight="1">
      <c r="A303" s="327">
        <v>3</v>
      </c>
      <c r="B303" s="159" t="s">
        <v>312</v>
      </c>
      <c r="C303" s="68" t="s">
        <v>95</v>
      </c>
      <c r="D303" s="68" t="s">
        <v>310</v>
      </c>
      <c r="E303" s="321">
        <v>3</v>
      </c>
      <c r="F303" s="322">
        <v>838</v>
      </c>
      <c r="G303" s="322">
        <v>524</v>
      </c>
      <c r="H303" s="322">
        <v>59</v>
      </c>
      <c r="I303" s="322">
        <v>16</v>
      </c>
      <c r="J303" s="322">
        <v>0</v>
      </c>
      <c r="K303" s="322">
        <v>0</v>
      </c>
      <c r="L303" s="322">
        <v>0</v>
      </c>
      <c r="M303" s="322">
        <v>0</v>
      </c>
      <c r="N303" s="322">
        <v>0</v>
      </c>
      <c r="O303" s="322">
        <v>0</v>
      </c>
      <c r="P303" s="322">
        <v>0</v>
      </c>
      <c r="Q303" s="322">
        <v>0</v>
      </c>
      <c r="R303" s="322">
        <v>2</v>
      </c>
      <c r="S303" s="9">
        <v>2.2478237881484456E-7</v>
      </c>
      <c r="T303" s="9">
        <f t="shared" si="4"/>
        <v>4.4956475762968912E-7</v>
      </c>
      <c r="U303" s="321" t="s">
        <v>609</v>
      </c>
    </row>
    <row r="304" spans="1:21" ht="12" customHeight="1">
      <c r="A304" s="327">
        <v>3</v>
      </c>
      <c r="B304" s="159" t="s">
        <v>312</v>
      </c>
      <c r="C304" s="68" t="s">
        <v>95</v>
      </c>
      <c r="D304" s="68" t="s">
        <v>310</v>
      </c>
      <c r="E304" s="321">
        <v>4</v>
      </c>
      <c r="F304" s="322">
        <v>804</v>
      </c>
      <c r="G304" s="322">
        <v>524</v>
      </c>
      <c r="H304" s="322">
        <v>3</v>
      </c>
      <c r="I304" s="322">
        <v>1</v>
      </c>
      <c r="J304" s="322">
        <v>0</v>
      </c>
      <c r="K304" s="322">
        <v>0</v>
      </c>
      <c r="L304" s="322">
        <v>0</v>
      </c>
      <c r="M304" s="322">
        <v>0</v>
      </c>
      <c r="N304" s="322">
        <v>0</v>
      </c>
      <c r="O304" s="322">
        <v>0</v>
      </c>
      <c r="P304" s="322">
        <v>0</v>
      </c>
      <c r="Q304" s="322">
        <v>0</v>
      </c>
      <c r="R304" s="322">
        <v>0.1</v>
      </c>
      <c r="S304" s="9">
        <v>2.2478237881484456E-7</v>
      </c>
      <c r="T304" s="9">
        <f t="shared" si="4"/>
        <v>2.2478237881484458E-8</v>
      </c>
      <c r="U304" s="321" t="s">
        <v>610</v>
      </c>
    </row>
    <row r="305" spans="1:21" ht="12" customHeight="1">
      <c r="A305" s="327">
        <v>3</v>
      </c>
      <c r="B305" s="159" t="s">
        <v>312</v>
      </c>
      <c r="C305" s="68" t="s">
        <v>95</v>
      </c>
      <c r="D305" s="68" t="s">
        <v>310</v>
      </c>
      <c r="E305" s="321">
        <v>5</v>
      </c>
      <c r="F305" s="322">
        <v>776</v>
      </c>
      <c r="G305" s="322">
        <v>501</v>
      </c>
      <c r="H305" s="322">
        <v>36</v>
      </c>
      <c r="I305" s="322">
        <v>7</v>
      </c>
      <c r="J305" s="322">
        <v>0</v>
      </c>
      <c r="K305" s="322">
        <v>0</v>
      </c>
      <c r="L305" s="322">
        <v>0</v>
      </c>
      <c r="M305" s="322">
        <v>0</v>
      </c>
      <c r="N305" s="322">
        <v>0</v>
      </c>
      <c r="O305" s="322">
        <v>0</v>
      </c>
      <c r="P305" s="322">
        <v>0</v>
      </c>
      <c r="Q305" s="322">
        <v>0</v>
      </c>
      <c r="R305" s="322">
        <v>1</v>
      </c>
      <c r="S305" s="9">
        <v>2.2478237881484456E-7</v>
      </c>
      <c r="T305" s="9">
        <f t="shared" si="4"/>
        <v>2.2478237881484456E-7</v>
      </c>
      <c r="U305" s="321" t="s">
        <v>611</v>
      </c>
    </row>
    <row r="306" spans="1:21" ht="12" customHeight="1">
      <c r="A306" s="327">
        <v>3</v>
      </c>
      <c r="B306" s="159" t="s">
        <v>312</v>
      </c>
      <c r="C306" s="68" t="s">
        <v>95</v>
      </c>
      <c r="D306" s="68" t="s">
        <v>309</v>
      </c>
      <c r="E306" s="321">
        <v>1</v>
      </c>
      <c r="F306" s="322">
        <v>888</v>
      </c>
      <c r="G306" s="322">
        <v>524</v>
      </c>
      <c r="H306" s="322">
        <v>0</v>
      </c>
      <c r="I306" s="322">
        <v>0</v>
      </c>
      <c r="J306" s="322">
        <v>0</v>
      </c>
      <c r="K306" s="322">
        <v>0</v>
      </c>
      <c r="L306" s="322">
        <v>0</v>
      </c>
      <c r="M306" s="322">
        <v>0</v>
      </c>
      <c r="N306" s="322">
        <v>0</v>
      </c>
      <c r="O306" s="322">
        <v>0</v>
      </c>
      <c r="P306" s="322">
        <v>0</v>
      </c>
      <c r="Q306" s="322">
        <v>0</v>
      </c>
      <c r="R306" s="322">
        <v>0</v>
      </c>
      <c r="S306" s="9">
        <v>2.247844018764845E-7</v>
      </c>
      <c r="T306" s="9">
        <f t="shared" si="4"/>
        <v>0</v>
      </c>
      <c r="U306" s="321" t="s">
        <v>637</v>
      </c>
    </row>
    <row r="307" spans="1:21" ht="12" customHeight="1">
      <c r="A307" s="327">
        <v>3</v>
      </c>
      <c r="B307" s="159" t="s">
        <v>312</v>
      </c>
      <c r="C307" s="68" t="s">
        <v>95</v>
      </c>
      <c r="D307" s="68" t="s">
        <v>309</v>
      </c>
      <c r="E307" s="321">
        <v>2</v>
      </c>
      <c r="F307" s="322">
        <v>1084</v>
      </c>
      <c r="G307" s="322">
        <v>525</v>
      </c>
      <c r="H307" s="322">
        <v>1</v>
      </c>
      <c r="I307" s="322">
        <v>0</v>
      </c>
      <c r="J307" s="322">
        <v>0</v>
      </c>
      <c r="K307" s="322">
        <v>0</v>
      </c>
      <c r="L307" s="322">
        <v>0</v>
      </c>
      <c r="M307" s="322">
        <v>0</v>
      </c>
      <c r="N307" s="322">
        <v>0</v>
      </c>
      <c r="O307" s="322">
        <v>0</v>
      </c>
      <c r="P307" s="322">
        <v>0</v>
      </c>
      <c r="Q307" s="322">
        <v>0</v>
      </c>
      <c r="R307" s="322">
        <v>0</v>
      </c>
      <c r="S307" s="9">
        <v>2.247844018764845E-7</v>
      </c>
      <c r="T307" s="9">
        <f t="shared" si="4"/>
        <v>0</v>
      </c>
      <c r="U307" s="321" t="s">
        <v>638</v>
      </c>
    </row>
    <row r="308" spans="1:21" ht="12" customHeight="1">
      <c r="A308" s="327">
        <v>3</v>
      </c>
      <c r="B308" s="159" t="s">
        <v>312</v>
      </c>
      <c r="C308" s="68" t="s">
        <v>95</v>
      </c>
      <c r="D308" s="68" t="s">
        <v>309</v>
      </c>
      <c r="E308" s="321">
        <v>3</v>
      </c>
      <c r="F308" s="322">
        <v>912</v>
      </c>
      <c r="G308" s="322">
        <v>524</v>
      </c>
      <c r="H308" s="322">
        <v>1</v>
      </c>
      <c r="I308" s="322">
        <v>0</v>
      </c>
      <c r="J308" s="322">
        <v>0</v>
      </c>
      <c r="K308" s="322">
        <v>0</v>
      </c>
      <c r="L308" s="322">
        <v>0</v>
      </c>
      <c r="M308" s="322">
        <v>0</v>
      </c>
      <c r="N308" s="322">
        <v>0</v>
      </c>
      <c r="O308" s="322">
        <v>0</v>
      </c>
      <c r="P308" s="322">
        <v>0</v>
      </c>
      <c r="Q308" s="322">
        <v>0</v>
      </c>
      <c r="R308" s="322">
        <v>0</v>
      </c>
      <c r="S308" s="9">
        <v>2.247844018764845E-7</v>
      </c>
      <c r="T308" s="9">
        <f t="shared" si="4"/>
        <v>0</v>
      </c>
      <c r="U308" s="321" t="s">
        <v>639</v>
      </c>
    </row>
    <row r="309" spans="1:21" ht="12" customHeight="1">
      <c r="A309" s="327">
        <v>3</v>
      </c>
      <c r="B309" s="159" t="s">
        <v>312</v>
      </c>
      <c r="C309" s="68" t="s">
        <v>95</v>
      </c>
      <c r="D309" s="68" t="s">
        <v>309</v>
      </c>
      <c r="E309" s="321">
        <v>4</v>
      </c>
      <c r="F309" s="322">
        <v>842</v>
      </c>
      <c r="G309" s="322">
        <v>519</v>
      </c>
      <c r="H309" s="322">
        <v>0</v>
      </c>
      <c r="I309" s="322">
        <v>0</v>
      </c>
      <c r="J309" s="322">
        <v>0</v>
      </c>
      <c r="K309" s="322">
        <v>0</v>
      </c>
      <c r="L309" s="322">
        <v>0</v>
      </c>
      <c r="M309" s="322">
        <v>0</v>
      </c>
      <c r="N309" s="322">
        <v>0</v>
      </c>
      <c r="O309" s="322">
        <v>0</v>
      </c>
      <c r="P309" s="322">
        <v>0</v>
      </c>
      <c r="Q309" s="322">
        <v>0</v>
      </c>
      <c r="R309" s="322">
        <v>0</v>
      </c>
      <c r="S309" s="9">
        <v>2.247844018764845E-7</v>
      </c>
      <c r="T309" s="9">
        <f t="shared" si="4"/>
        <v>0</v>
      </c>
      <c r="U309" s="321" t="s">
        <v>640</v>
      </c>
    </row>
    <row r="310" spans="1:21" ht="12" customHeight="1">
      <c r="A310" s="327">
        <v>3</v>
      </c>
      <c r="B310" s="159" t="s">
        <v>312</v>
      </c>
      <c r="C310" s="68" t="s">
        <v>95</v>
      </c>
      <c r="D310" s="68" t="s">
        <v>309</v>
      </c>
      <c r="E310" s="321">
        <v>5</v>
      </c>
      <c r="F310" s="322">
        <v>950</v>
      </c>
      <c r="G310" s="322">
        <v>524</v>
      </c>
      <c r="H310" s="322">
        <v>1</v>
      </c>
      <c r="I310" s="322">
        <v>0</v>
      </c>
      <c r="J310" s="322">
        <v>0</v>
      </c>
      <c r="K310" s="322">
        <v>0</v>
      </c>
      <c r="L310" s="322">
        <v>0</v>
      </c>
      <c r="M310" s="322">
        <v>0</v>
      </c>
      <c r="N310" s="322">
        <v>0</v>
      </c>
      <c r="O310" s="322">
        <v>0</v>
      </c>
      <c r="P310" s="322">
        <v>0</v>
      </c>
      <c r="Q310" s="322">
        <v>0</v>
      </c>
      <c r="R310" s="322">
        <v>0</v>
      </c>
      <c r="S310" s="9">
        <v>2.247844018764845E-7</v>
      </c>
      <c r="T310" s="9">
        <f t="shared" si="4"/>
        <v>0</v>
      </c>
      <c r="U310" s="321" t="s">
        <v>641</v>
      </c>
    </row>
    <row r="311" spans="1:21" ht="12" customHeight="1">
      <c r="A311" s="327">
        <v>3</v>
      </c>
      <c r="B311" s="159" t="s">
        <v>312</v>
      </c>
      <c r="C311" s="68" t="s">
        <v>95</v>
      </c>
      <c r="D311" s="68" t="s">
        <v>311</v>
      </c>
      <c r="E311" s="321">
        <v>1</v>
      </c>
      <c r="F311" s="322">
        <v>802</v>
      </c>
      <c r="G311" s="322">
        <v>524</v>
      </c>
      <c r="H311" s="322">
        <v>0</v>
      </c>
      <c r="I311" s="322">
        <v>0</v>
      </c>
      <c r="J311" s="322">
        <v>0</v>
      </c>
      <c r="K311" s="322">
        <v>0</v>
      </c>
      <c r="L311" s="322">
        <v>0</v>
      </c>
      <c r="M311" s="322">
        <v>0</v>
      </c>
      <c r="N311" s="322">
        <v>0</v>
      </c>
      <c r="O311" s="322">
        <v>0</v>
      </c>
      <c r="P311" s="322">
        <v>0</v>
      </c>
      <c r="Q311" s="322">
        <v>0</v>
      </c>
      <c r="R311" s="322">
        <v>0</v>
      </c>
      <c r="S311" s="9">
        <v>6.0691849198500013E-6</v>
      </c>
      <c r="T311" s="9">
        <f t="shared" si="4"/>
        <v>0</v>
      </c>
      <c r="U311" s="321" t="s">
        <v>667</v>
      </c>
    </row>
    <row r="312" spans="1:21" ht="12" customHeight="1">
      <c r="A312" s="327">
        <v>3</v>
      </c>
      <c r="B312" s="159" t="s">
        <v>312</v>
      </c>
      <c r="C312" s="68" t="s">
        <v>95</v>
      </c>
      <c r="D312" s="68" t="s">
        <v>311</v>
      </c>
      <c r="E312" s="321">
        <v>2</v>
      </c>
      <c r="F312" s="322">
        <v>854</v>
      </c>
      <c r="G312" s="322">
        <v>524</v>
      </c>
      <c r="H312" s="322">
        <v>2</v>
      </c>
      <c r="I312" s="322">
        <v>0</v>
      </c>
      <c r="J312" s="322">
        <v>0</v>
      </c>
      <c r="K312" s="322">
        <v>0</v>
      </c>
      <c r="L312" s="322">
        <v>0</v>
      </c>
      <c r="M312" s="322">
        <v>0</v>
      </c>
      <c r="N312" s="322">
        <v>0</v>
      </c>
      <c r="O312" s="322">
        <v>0</v>
      </c>
      <c r="P312" s="322">
        <v>0</v>
      </c>
      <c r="Q312" s="322">
        <v>0</v>
      </c>
      <c r="R312" s="322">
        <v>0</v>
      </c>
      <c r="S312" s="9">
        <v>6.0691849198500013E-6</v>
      </c>
      <c r="T312" s="9">
        <f t="shared" si="4"/>
        <v>0</v>
      </c>
      <c r="U312" s="321" t="s">
        <v>668</v>
      </c>
    </row>
    <row r="313" spans="1:21" ht="12" customHeight="1">
      <c r="A313" s="327">
        <v>3</v>
      </c>
      <c r="B313" s="159" t="s">
        <v>312</v>
      </c>
      <c r="C313" s="68" t="s">
        <v>95</v>
      </c>
      <c r="D313" s="68" t="s">
        <v>311</v>
      </c>
      <c r="E313" s="321">
        <v>3</v>
      </c>
      <c r="F313" s="322">
        <v>944</v>
      </c>
      <c r="G313" s="322">
        <v>500</v>
      </c>
      <c r="H313" s="322">
        <v>9</v>
      </c>
      <c r="I313" s="322">
        <v>0</v>
      </c>
      <c r="J313" s="322">
        <v>0</v>
      </c>
      <c r="K313" s="322">
        <v>0</v>
      </c>
      <c r="L313" s="322">
        <v>0</v>
      </c>
      <c r="M313" s="322">
        <v>0</v>
      </c>
      <c r="N313" s="322">
        <v>0</v>
      </c>
      <c r="O313" s="322">
        <v>0</v>
      </c>
      <c r="P313" s="322">
        <v>0</v>
      </c>
      <c r="Q313" s="322">
        <v>0</v>
      </c>
      <c r="R313" s="322">
        <v>0.1</v>
      </c>
      <c r="S313" s="9">
        <v>6.0691849198500013E-6</v>
      </c>
      <c r="T313" s="9">
        <f t="shared" si="4"/>
        <v>6.0691849198500013E-7</v>
      </c>
      <c r="U313" s="321" t="s">
        <v>669</v>
      </c>
    </row>
    <row r="314" spans="1:21" ht="12" customHeight="1">
      <c r="A314" s="327">
        <v>3</v>
      </c>
      <c r="B314" s="159" t="s">
        <v>312</v>
      </c>
      <c r="C314" s="68" t="s">
        <v>95</v>
      </c>
      <c r="D314" s="68" t="s">
        <v>311</v>
      </c>
      <c r="E314" s="321">
        <v>4</v>
      </c>
      <c r="F314" s="322">
        <v>822</v>
      </c>
      <c r="G314" s="322">
        <v>524</v>
      </c>
      <c r="H314" s="322">
        <v>0</v>
      </c>
      <c r="I314" s="322">
        <v>0</v>
      </c>
      <c r="J314" s="322">
        <v>0</v>
      </c>
      <c r="K314" s="322">
        <v>0</v>
      </c>
      <c r="L314" s="322">
        <v>0</v>
      </c>
      <c r="M314" s="322">
        <v>0</v>
      </c>
      <c r="N314" s="322">
        <v>0</v>
      </c>
      <c r="O314" s="322">
        <v>0</v>
      </c>
      <c r="P314" s="322">
        <v>0</v>
      </c>
      <c r="Q314" s="322">
        <v>0</v>
      </c>
      <c r="R314" s="322">
        <v>0</v>
      </c>
      <c r="S314" s="9">
        <v>6.0691849198500013E-6</v>
      </c>
      <c r="T314" s="9">
        <f t="shared" si="4"/>
        <v>0</v>
      </c>
      <c r="U314" s="321" t="s">
        <v>670</v>
      </c>
    </row>
    <row r="315" spans="1:21" ht="12" customHeight="1">
      <c r="A315" s="327">
        <v>3</v>
      </c>
      <c r="B315" s="159" t="s">
        <v>312</v>
      </c>
      <c r="C315" s="68" t="s">
        <v>95</v>
      </c>
      <c r="D315" s="68" t="s">
        <v>311</v>
      </c>
      <c r="E315" s="321">
        <v>5</v>
      </c>
      <c r="F315" s="322">
        <v>836</v>
      </c>
      <c r="G315" s="322">
        <v>524</v>
      </c>
      <c r="H315" s="322">
        <v>0</v>
      </c>
      <c r="I315" s="322">
        <v>0</v>
      </c>
      <c r="J315" s="322">
        <v>0</v>
      </c>
      <c r="K315" s="322">
        <v>0</v>
      </c>
      <c r="L315" s="322">
        <v>0</v>
      </c>
      <c r="M315" s="322">
        <v>0</v>
      </c>
      <c r="N315" s="322">
        <v>0</v>
      </c>
      <c r="O315" s="322">
        <v>0</v>
      </c>
      <c r="P315" s="322">
        <v>0</v>
      </c>
      <c r="Q315" s="322">
        <v>0</v>
      </c>
      <c r="R315" s="322">
        <v>0</v>
      </c>
      <c r="S315" s="9">
        <v>6.0691849198500013E-6</v>
      </c>
      <c r="T315" s="9">
        <f t="shared" si="4"/>
        <v>0</v>
      </c>
      <c r="U315" s="321" t="s">
        <v>671</v>
      </c>
    </row>
    <row r="316" spans="1:21" ht="12" customHeight="1">
      <c r="A316" s="327">
        <v>3</v>
      </c>
      <c r="B316" s="159" t="s">
        <v>312</v>
      </c>
      <c r="C316" s="68" t="s">
        <v>95</v>
      </c>
      <c r="D316" s="68" t="s">
        <v>307</v>
      </c>
      <c r="E316" s="321">
        <v>1</v>
      </c>
      <c r="F316" s="322">
        <v>980</v>
      </c>
      <c r="G316" s="322">
        <v>515</v>
      </c>
      <c r="H316" s="322">
        <v>60</v>
      </c>
      <c r="I316" s="322">
        <v>18</v>
      </c>
      <c r="J316" s="322">
        <v>0</v>
      </c>
      <c r="K316" s="322">
        <v>0</v>
      </c>
      <c r="L316" s="322">
        <v>0</v>
      </c>
      <c r="M316" s="322">
        <v>0</v>
      </c>
      <c r="N316" s="322">
        <v>0</v>
      </c>
      <c r="O316" s="322">
        <v>0</v>
      </c>
      <c r="P316" s="322">
        <v>0</v>
      </c>
      <c r="Q316" s="322">
        <v>0</v>
      </c>
      <c r="R316" s="322">
        <v>2.2000000000000002</v>
      </c>
      <c r="S316" s="9">
        <v>0</v>
      </c>
      <c r="T316" s="9">
        <f t="shared" si="4"/>
        <v>0</v>
      </c>
      <c r="U316" s="321" t="s">
        <v>697</v>
      </c>
    </row>
    <row r="317" spans="1:21" ht="12" customHeight="1">
      <c r="A317" s="327">
        <v>3</v>
      </c>
      <c r="B317" s="159" t="s">
        <v>312</v>
      </c>
      <c r="C317" s="68" t="s">
        <v>95</v>
      </c>
      <c r="D317" s="68" t="s">
        <v>307</v>
      </c>
      <c r="E317" s="321">
        <v>2</v>
      </c>
      <c r="F317" s="322">
        <v>908</v>
      </c>
      <c r="G317" s="322">
        <v>499</v>
      </c>
      <c r="H317" s="322">
        <v>34</v>
      </c>
      <c r="I317" s="322">
        <v>3</v>
      </c>
      <c r="J317" s="322">
        <v>0</v>
      </c>
      <c r="K317" s="322">
        <v>0</v>
      </c>
      <c r="L317" s="322">
        <v>0</v>
      </c>
      <c r="M317" s="322">
        <v>0</v>
      </c>
      <c r="N317" s="322">
        <v>0</v>
      </c>
      <c r="O317" s="322">
        <v>0</v>
      </c>
      <c r="P317" s="322">
        <v>0</v>
      </c>
      <c r="Q317" s="322">
        <v>0</v>
      </c>
      <c r="R317" s="322">
        <v>0.6</v>
      </c>
      <c r="S317" s="9">
        <v>0</v>
      </c>
      <c r="T317" s="9">
        <f t="shared" si="4"/>
        <v>0</v>
      </c>
      <c r="U317" s="321" t="s">
        <v>698</v>
      </c>
    </row>
    <row r="318" spans="1:21" ht="12" customHeight="1">
      <c r="A318" s="327">
        <v>3</v>
      </c>
      <c r="B318" s="159" t="s">
        <v>312</v>
      </c>
      <c r="C318" s="68" t="s">
        <v>95</v>
      </c>
      <c r="D318" s="68" t="s">
        <v>307</v>
      </c>
      <c r="E318" s="321">
        <v>3</v>
      </c>
      <c r="F318" s="322">
        <v>1012</v>
      </c>
      <c r="G318" s="322">
        <v>527</v>
      </c>
      <c r="H318" s="322">
        <v>52</v>
      </c>
      <c r="I318" s="322">
        <v>8</v>
      </c>
      <c r="J318" s="322">
        <v>0</v>
      </c>
      <c r="K318" s="322">
        <v>0</v>
      </c>
      <c r="L318" s="322">
        <v>0</v>
      </c>
      <c r="M318" s="322">
        <v>0</v>
      </c>
      <c r="N318" s="322">
        <v>0</v>
      </c>
      <c r="O318" s="322">
        <v>0</v>
      </c>
      <c r="P318" s="322">
        <v>0</v>
      </c>
      <c r="Q318" s="322">
        <v>0</v>
      </c>
      <c r="R318" s="322">
        <v>1.2</v>
      </c>
      <c r="S318" s="9">
        <v>0</v>
      </c>
      <c r="T318" s="9">
        <f t="shared" si="4"/>
        <v>0</v>
      </c>
      <c r="U318" s="321" t="s">
        <v>699</v>
      </c>
    </row>
    <row r="319" spans="1:21" ht="12" customHeight="1">
      <c r="A319" s="327">
        <v>3</v>
      </c>
      <c r="B319" s="159" t="s">
        <v>312</v>
      </c>
      <c r="C319" s="68" t="s">
        <v>95</v>
      </c>
      <c r="D319" s="68" t="s">
        <v>307</v>
      </c>
      <c r="E319" s="321">
        <v>4</v>
      </c>
      <c r="F319" s="322">
        <v>922</v>
      </c>
      <c r="G319" s="322">
        <v>524</v>
      </c>
      <c r="H319" s="322">
        <v>27</v>
      </c>
      <c r="I319" s="322">
        <v>5</v>
      </c>
      <c r="J319" s="322">
        <v>0</v>
      </c>
      <c r="K319" s="322">
        <v>0</v>
      </c>
      <c r="L319" s="322">
        <v>0</v>
      </c>
      <c r="M319" s="322">
        <v>0</v>
      </c>
      <c r="N319" s="322">
        <v>0</v>
      </c>
      <c r="O319" s="322">
        <v>0</v>
      </c>
      <c r="P319" s="322">
        <v>0</v>
      </c>
      <c r="Q319" s="322">
        <v>0</v>
      </c>
      <c r="R319" s="322">
        <v>0.7</v>
      </c>
      <c r="S319" s="9">
        <v>0</v>
      </c>
      <c r="T319" s="9">
        <f t="shared" si="4"/>
        <v>0</v>
      </c>
      <c r="U319" s="321" t="s">
        <v>700</v>
      </c>
    </row>
    <row r="320" spans="1:21" ht="12" customHeight="1">
      <c r="A320" s="327">
        <v>3</v>
      </c>
      <c r="B320" s="159" t="s">
        <v>312</v>
      </c>
      <c r="C320" s="68" t="s">
        <v>95</v>
      </c>
      <c r="D320" s="68" t="s">
        <v>307</v>
      </c>
      <c r="E320" s="321">
        <v>5</v>
      </c>
      <c r="F320" s="322">
        <v>924</v>
      </c>
      <c r="G320" s="322">
        <v>524</v>
      </c>
      <c r="H320" s="322">
        <v>40</v>
      </c>
      <c r="I320" s="322">
        <v>5</v>
      </c>
      <c r="J320" s="322">
        <v>0</v>
      </c>
      <c r="K320" s="322">
        <v>0</v>
      </c>
      <c r="L320" s="322">
        <v>0</v>
      </c>
      <c r="M320" s="322">
        <v>0</v>
      </c>
      <c r="N320" s="322">
        <v>0</v>
      </c>
      <c r="O320" s="322">
        <v>0</v>
      </c>
      <c r="P320" s="322">
        <v>0</v>
      </c>
      <c r="Q320" s="322">
        <v>0</v>
      </c>
      <c r="R320" s="322">
        <v>0.9</v>
      </c>
      <c r="S320" s="9">
        <v>0</v>
      </c>
      <c r="T320" s="9">
        <f t="shared" si="4"/>
        <v>0</v>
      </c>
      <c r="U320" s="321" t="s">
        <v>701</v>
      </c>
    </row>
    <row r="321" spans="1:21" ht="12" customHeight="1">
      <c r="A321" s="327">
        <v>3</v>
      </c>
      <c r="B321" s="159" t="s">
        <v>314</v>
      </c>
      <c r="C321" s="68" t="s">
        <v>96</v>
      </c>
      <c r="D321" s="68" t="s">
        <v>308</v>
      </c>
      <c r="E321" s="321">
        <v>1</v>
      </c>
      <c r="F321" s="322">
        <v>560</v>
      </c>
      <c r="G321" s="322">
        <v>218</v>
      </c>
      <c r="H321" s="322">
        <v>0</v>
      </c>
      <c r="I321" s="322">
        <v>0</v>
      </c>
      <c r="J321" s="322">
        <v>0</v>
      </c>
      <c r="K321" s="322">
        <v>0</v>
      </c>
      <c r="L321" s="322">
        <v>0</v>
      </c>
      <c r="M321" s="322">
        <v>0</v>
      </c>
      <c r="N321" s="322">
        <v>0</v>
      </c>
      <c r="O321" s="322">
        <v>0</v>
      </c>
      <c r="P321" s="322">
        <v>0</v>
      </c>
      <c r="Q321" s="322">
        <v>0</v>
      </c>
      <c r="R321" s="322">
        <v>0</v>
      </c>
      <c r="S321" s="9">
        <v>4.413146514749072E-6</v>
      </c>
      <c r="T321" s="9">
        <f t="shared" si="4"/>
        <v>0</v>
      </c>
      <c r="U321" s="321" t="s">
        <v>997</v>
      </c>
    </row>
    <row r="322" spans="1:21" ht="12" customHeight="1">
      <c r="A322" s="327">
        <v>3</v>
      </c>
      <c r="B322" s="159" t="s">
        <v>314</v>
      </c>
      <c r="C322" s="68" t="s">
        <v>96</v>
      </c>
      <c r="D322" s="68" t="s">
        <v>308</v>
      </c>
      <c r="E322" s="321">
        <v>2</v>
      </c>
      <c r="F322" s="322">
        <v>550</v>
      </c>
      <c r="G322" s="322">
        <v>218</v>
      </c>
      <c r="H322" s="322">
        <v>0</v>
      </c>
      <c r="I322" s="322">
        <v>0</v>
      </c>
      <c r="J322" s="322">
        <v>0</v>
      </c>
      <c r="K322" s="322">
        <v>0</v>
      </c>
      <c r="L322" s="322">
        <v>0</v>
      </c>
      <c r="M322" s="322">
        <v>0</v>
      </c>
      <c r="N322" s="322">
        <v>0</v>
      </c>
      <c r="O322" s="322">
        <v>0</v>
      </c>
      <c r="P322" s="322">
        <v>0</v>
      </c>
      <c r="Q322" s="322">
        <v>0</v>
      </c>
      <c r="R322" s="322">
        <v>0</v>
      </c>
      <c r="S322" s="9">
        <v>4.413146514749072E-6</v>
      </c>
      <c r="T322" s="9">
        <f t="shared" si="4"/>
        <v>0</v>
      </c>
      <c r="U322" s="321" t="s">
        <v>998</v>
      </c>
    </row>
    <row r="323" spans="1:21" ht="12" customHeight="1">
      <c r="A323" s="327">
        <v>3</v>
      </c>
      <c r="B323" s="159" t="s">
        <v>314</v>
      </c>
      <c r="C323" s="68" t="s">
        <v>96</v>
      </c>
      <c r="D323" s="68" t="s">
        <v>308</v>
      </c>
      <c r="E323" s="321">
        <v>3</v>
      </c>
      <c r="F323" s="322">
        <v>546</v>
      </c>
      <c r="G323" s="322">
        <v>218</v>
      </c>
      <c r="H323" s="322">
        <v>0</v>
      </c>
      <c r="I323" s="322">
        <v>0</v>
      </c>
      <c r="J323" s="322">
        <v>0</v>
      </c>
      <c r="K323" s="322">
        <v>0</v>
      </c>
      <c r="L323" s="322">
        <v>0</v>
      </c>
      <c r="M323" s="322">
        <v>0</v>
      </c>
      <c r="N323" s="322">
        <v>0</v>
      </c>
      <c r="O323" s="322">
        <v>0</v>
      </c>
      <c r="P323" s="322">
        <v>0</v>
      </c>
      <c r="Q323" s="322">
        <v>0</v>
      </c>
      <c r="R323" s="322">
        <v>0</v>
      </c>
      <c r="S323" s="9">
        <v>4.413146514749072E-6</v>
      </c>
      <c r="T323" s="9">
        <f t="shared" si="4"/>
        <v>0</v>
      </c>
      <c r="U323" s="321" t="s">
        <v>999</v>
      </c>
    </row>
    <row r="324" spans="1:21" ht="12" customHeight="1">
      <c r="A324" s="327">
        <v>3</v>
      </c>
      <c r="B324" s="159" t="s">
        <v>314</v>
      </c>
      <c r="C324" s="68" t="s">
        <v>96</v>
      </c>
      <c r="D324" s="68" t="s">
        <v>308</v>
      </c>
      <c r="E324" s="321">
        <v>4</v>
      </c>
      <c r="F324" s="322">
        <v>592</v>
      </c>
      <c r="G324" s="322">
        <v>214</v>
      </c>
      <c r="H324" s="322">
        <v>0</v>
      </c>
      <c r="I324" s="322">
        <v>0</v>
      </c>
      <c r="J324" s="322">
        <v>0</v>
      </c>
      <c r="K324" s="322">
        <v>0</v>
      </c>
      <c r="L324" s="322">
        <v>0</v>
      </c>
      <c r="M324" s="322">
        <v>0</v>
      </c>
      <c r="N324" s="322">
        <v>0</v>
      </c>
      <c r="O324" s="322">
        <v>0</v>
      </c>
      <c r="P324" s="322">
        <v>0</v>
      </c>
      <c r="Q324" s="322">
        <v>0</v>
      </c>
      <c r="R324" s="322">
        <v>0</v>
      </c>
      <c r="S324" s="9">
        <v>4.413146514749072E-6</v>
      </c>
      <c r="T324" s="9">
        <f t="shared" si="4"/>
        <v>0</v>
      </c>
      <c r="U324" s="321" t="s">
        <v>1000</v>
      </c>
    </row>
    <row r="325" spans="1:21" ht="12" customHeight="1">
      <c r="A325" s="327">
        <v>3</v>
      </c>
      <c r="B325" s="159" t="s">
        <v>314</v>
      </c>
      <c r="C325" s="68" t="s">
        <v>96</v>
      </c>
      <c r="D325" s="68" t="s">
        <v>308</v>
      </c>
      <c r="E325" s="321">
        <v>5</v>
      </c>
      <c r="F325" s="322">
        <v>570</v>
      </c>
      <c r="G325" s="322">
        <v>219</v>
      </c>
      <c r="H325" s="322">
        <v>0</v>
      </c>
      <c r="I325" s="322">
        <v>0</v>
      </c>
      <c r="J325" s="322">
        <v>0</v>
      </c>
      <c r="K325" s="322">
        <v>0</v>
      </c>
      <c r="L325" s="322">
        <v>0</v>
      </c>
      <c r="M325" s="322">
        <v>0</v>
      </c>
      <c r="N325" s="322">
        <v>0</v>
      </c>
      <c r="O325" s="322">
        <v>0</v>
      </c>
      <c r="P325" s="322">
        <v>0</v>
      </c>
      <c r="Q325" s="322">
        <v>0</v>
      </c>
      <c r="R325" s="322">
        <v>0</v>
      </c>
      <c r="S325" s="9">
        <v>4.413146514749072E-6</v>
      </c>
      <c r="T325" s="9">
        <f t="shared" si="4"/>
        <v>0</v>
      </c>
      <c r="U325" s="321" t="s">
        <v>1001</v>
      </c>
    </row>
    <row r="326" spans="1:21" ht="12" customHeight="1">
      <c r="A326" s="327">
        <v>3</v>
      </c>
      <c r="B326" s="159" t="s">
        <v>314</v>
      </c>
      <c r="C326" s="68" t="s">
        <v>96</v>
      </c>
      <c r="D326" s="68" t="s">
        <v>310</v>
      </c>
      <c r="E326" s="321">
        <v>1</v>
      </c>
      <c r="F326" s="322">
        <v>616</v>
      </c>
      <c r="G326" s="322">
        <v>218</v>
      </c>
      <c r="H326" s="322">
        <v>2</v>
      </c>
      <c r="I326" s="322">
        <v>0</v>
      </c>
      <c r="J326" s="322">
        <v>0</v>
      </c>
      <c r="K326" s="322">
        <v>0</v>
      </c>
      <c r="L326" s="322">
        <v>0</v>
      </c>
      <c r="M326" s="322">
        <v>0</v>
      </c>
      <c r="N326" s="322">
        <v>0</v>
      </c>
      <c r="O326" s="322">
        <v>0</v>
      </c>
      <c r="P326" s="322">
        <v>0</v>
      </c>
      <c r="Q326" s="322">
        <v>0</v>
      </c>
      <c r="R326" s="322">
        <v>0</v>
      </c>
      <c r="S326" s="9">
        <v>4.4131067963907217E-6</v>
      </c>
      <c r="T326" s="9">
        <f t="shared" ref="T326:T389" si="5">S326*R326</f>
        <v>0</v>
      </c>
      <c r="U326" s="321" t="s">
        <v>1027</v>
      </c>
    </row>
    <row r="327" spans="1:21" ht="12" customHeight="1">
      <c r="A327" s="327">
        <v>3</v>
      </c>
      <c r="B327" s="159" t="s">
        <v>314</v>
      </c>
      <c r="C327" s="68" t="s">
        <v>96</v>
      </c>
      <c r="D327" s="68" t="s">
        <v>310</v>
      </c>
      <c r="E327" s="321">
        <v>2</v>
      </c>
      <c r="F327" s="322">
        <v>712</v>
      </c>
      <c r="G327" s="322">
        <v>218</v>
      </c>
      <c r="H327" s="322">
        <v>9</v>
      </c>
      <c r="I327" s="322">
        <v>1</v>
      </c>
      <c r="J327" s="322">
        <v>0</v>
      </c>
      <c r="K327" s="322">
        <v>0</v>
      </c>
      <c r="L327" s="322">
        <v>0</v>
      </c>
      <c r="M327" s="322">
        <v>0</v>
      </c>
      <c r="N327" s="322">
        <v>0</v>
      </c>
      <c r="O327" s="322">
        <v>0</v>
      </c>
      <c r="P327" s="322">
        <v>0</v>
      </c>
      <c r="Q327" s="322">
        <v>0</v>
      </c>
      <c r="R327" s="322">
        <v>0.2</v>
      </c>
      <c r="S327" s="9">
        <v>4.4131067963907217E-6</v>
      </c>
      <c r="T327" s="9">
        <f t="shared" si="5"/>
        <v>8.8262135927814434E-7</v>
      </c>
      <c r="U327" s="321" t="s">
        <v>1028</v>
      </c>
    </row>
    <row r="328" spans="1:21" ht="12" customHeight="1">
      <c r="A328" s="327">
        <v>3</v>
      </c>
      <c r="B328" s="159" t="s">
        <v>314</v>
      </c>
      <c r="C328" s="68" t="s">
        <v>96</v>
      </c>
      <c r="D328" s="68" t="s">
        <v>310</v>
      </c>
      <c r="E328" s="321">
        <v>3</v>
      </c>
      <c r="F328" s="322">
        <v>576</v>
      </c>
      <c r="G328" s="322">
        <v>194</v>
      </c>
      <c r="H328" s="322">
        <v>1</v>
      </c>
      <c r="I328" s="322">
        <v>0</v>
      </c>
      <c r="J328" s="322">
        <v>0</v>
      </c>
      <c r="K328" s="322">
        <v>0</v>
      </c>
      <c r="L328" s="322">
        <v>0</v>
      </c>
      <c r="M328" s="322">
        <v>0</v>
      </c>
      <c r="N328" s="322">
        <v>0</v>
      </c>
      <c r="O328" s="322">
        <v>0</v>
      </c>
      <c r="P328" s="322">
        <v>0</v>
      </c>
      <c r="Q328" s="322">
        <v>0</v>
      </c>
      <c r="R328" s="322">
        <v>0</v>
      </c>
      <c r="S328" s="9">
        <v>4.4131067963907217E-6</v>
      </c>
      <c r="T328" s="9">
        <f t="shared" si="5"/>
        <v>0</v>
      </c>
      <c r="U328" s="321" t="s">
        <v>1029</v>
      </c>
    </row>
    <row r="329" spans="1:21" ht="12" customHeight="1">
      <c r="A329" s="327">
        <v>3</v>
      </c>
      <c r="B329" s="159" t="s">
        <v>314</v>
      </c>
      <c r="C329" s="68" t="s">
        <v>96</v>
      </c>
      <c r="D329" s="68" t="s">
        <v>310</v>
      </c>
      <c r="E329" s="321">
        <v>4</v>
      </c>
      <c r="F329" s="322">
        <v>702</v>
      </c>
      <c r="G329" s="322">
        <v>221</v>
      </c>
      <c r="H329" s="322">
        <v>7</v>
      </c>
      <c r="I329" s="322">
        <v>0</v>
      </c>
      <c r="J329" s="322">
        <v>0</v>
      </c>
      <c r="K329" s="322">
        <v>0</v>
      </c>
      <c r="L329" s="322">
        <v>0</v>
      </c>
      <c r="M329" s="322">
        <v>0</v>
      </c>
      <c r="N329" s="322">
        <v>0</v>
      </c>
      <c r="O329" s="322">
        <v>0</v>
      </c>
      <c r="P329" s="322">
        <v>0</v>
      </c>
      <c r="Q329" s="322">
        <v>0</v>
      </c>
      <c r="R329" s="322">
        <v>0.1</v>
      </c>
      <c r="S329" s="9">
        <v>4.4131067963907217E-6</v>
      </c>
      <c r="T329" s="9">
        <f t="shared" si="5"/>
        <v>4.4131067963907217E-7</v>
      </c>
      <c r="U329" s="321" t="s">
        <v>1030</v>
      </c>
    </row>
    <row r="330" spans="1:21" ht="12" customHeight="1">
      <c r="A330" s="327">
        <v>3</v>
      </c>
      <c r="B330" s="159" t="s">
        <v>314</v>
      </c>
      <c r="C330" s="68" t="s">
        <v>96</v>
      </c>
      <c r="D330" s="68" t="s">
        <v>310</v>
      </c>
      <c r="E330" s="321">
        <v>5</v>
      </c>
      <c r="F330" s="322">
        <v>506</v>
      </c>
      <c r="G330" s="322">
        <v>219</v>
      </c>
      <c r="H330" s="322">
        <v>0</v>
      </c>
      <c r="I330" s="322">
        <v>0</v>
      </c>
      <c r="J330" s="322">
        <v>0</v>
      </c>
      <c r="K330" s="322">
        <v>0</v>
      </c>
      <c r="L330" s="322">
        <v>0</v>
      </c>
      <c r="M330" s="322">
        <v>0</v>
      </c>
      <c r="N330" s="322">
        <v>0</v>
      </c>
      <c r="O330" s="322">
        <v>0</v>
      </c>
      <c r="P330" s="322">
        <v>0</v>
      </c>
      <c r="Q330" s="322">
        <v>0</v>
      </c>
      <c r="R330" s="322">
        <v>0</v>
      </c>
      <c r="S330" s="9">
        <v>4.4131067963907217E-6</v>
      </c>
      <c r="T330" s="9">
        <f t="shared" si="5"/>
        <v>0</v>
      </c>
      <c r="U330" s="321" t="s">
        <v>1031</v>
      </c>
    </row>
    <row r="331" spans="1:21" ht="12" customHeight="1">
      <c r="A331" s="327">
        <v>3</v>
      </c>
      <c r="B331" s="159" t="s">
        <v>314</v>
      </c>
      <c r="C331" s="68" t="s">
        <v>96</v>
      </c>
      <c r="D331" s="68" t="s">
        <v>309</v>
      </c>
      <c r="E331" s="321">
        <v>1</v>
      </c>
      <c r="F331" s="322">
        <v>524</v>
      </c>
      <c r="G331" s="322">
        <v>218</v>
      </c>
      <c r="H331" s="322">
        <v>0</v>
      </c>
      <c r="I331" s="322">
        <v>0</v>
      </c>
      <c r="J331" s="322">
        <v>0</v>
      </c>
      <c r="K331" s="322">
        <v>0</v>
      </c>
      <c r="L331" s="322">
        <v>0</v>
      </c>
      <c r="M331" s="322">
        <v>0</v>
      </c>
      <c r="N331" s="322">
        <v>0</v>
      </c>
      <c r="O331" s="322">
        <v>0</v>
      </c>
      <c r="P331" s="322">
        <v>0</v>
      </c>
      <c r="Q331" s="322">
        <v>0</v>
      </c>
      <c r="R331" s="322">
        <v>0</v>
      </c>
      <c r="S331" s="9">
        <v>4.413146514749072E-6</v>
      </c>
      <c r="T331" s="9">
        <f t="shared" si="5"/>
        <v>0</v>
      </c>
      <c r="U331" s="321" t="s">
        <v>1057</v>
      </c>
    </row>
    <row r="332" spans="1:21" ht="12" customHeight="1">
      <c r="A332" s="327">
        <v>3</v>
      </c>
      <c r="B332" s="159" t="s">
        <v>314</v>
      </c>
      <c r="C332" s="68" t="s">
        <v>96</v>
      </c>
      <c r="D332" s="68" t="s">
        <v>309</v>
      </c>
      <c r="E332" s="321">
        <v>2</v>
      </c>
      <c r="F332" s="322">
        <v>496</v>
      </c>
      <c r="G332" s="322">
        <v>218</v>
      </c>
      <c r="H332" s="322">
        <v>0</v>
      </c>
      <c r="I332" s="322">
        <v>0</v>
      </c>
      <c r="J332" s="322">
        <v>0</v>
      </c>
      <c r="K332" s="322">
        <v>0</v>
      </c>
      <c r="L332" s="322">
        <v>0</v>
      </c>
      <c r="M332" s="322">
        <v>0</v>
      </c>
      <c r="N332" s="322">
        <v>0</v>
      </c>
      <c r="O332" s="322">
        <v>0</v>
      </c>
      <c r="P332" s="322">
        <v>0</v>
      </c>
      <c r="Q332" s="322">
        <v>0</v>
      </c>
      <c r="R332" s="322">
        <v>0</v>
      </c>
      <c r="S332" s="9">
        <v>4.413146514749072E-6</v>
      </c>
      <c r="T332" s="9">
        <f t="shared" si="5"/>
        <v>0</v>
      </c>
      <c r="U332" s="321" t="s">
        <v>1058</v>
      </c>
    </row>
    <row r="333" spans="1:21" ht="12" customHeight="1">
      <c r="A333" s="327">
        <v>3</v>
      </c>
      <c r="B333" s="159" t="s">
        <v>314</v>
      </c>
      <c r="C333" s="68" t="s">
        <v>96</v>
      </c>
      <c r="D333" s="68" t="s">
        <v>309</v>
      </c>
      <c r="E333" s="321">
        <v>3</v>
      </c>
      <c r="F333" s="322">
        <v>480</v>
      </c>
      <c r="G333" s="322">
        <v>191</v>
      </c>
      <c r="H333" s="322">
        <v>0</v>
      </c>
      <c r="I333" s="322">
        <v>0</v>
      </c>
      <c r="J333" s="322">
        <v>0</v>
      </c>
      <c r="K333" s="322">
        <v>0</v>
      </c>
      <c r="L333" s="322">
        <v>0</v>
      </c>
      <c r="M333" s="322">
        <v>0</v>
      </c>
      <c r="N333" s="322">
        <v>0</v>
      </c>
      <c r="O333" s="322">
        <v>0</v>
      </c>
      <c r="P333" s="322">
        <v>0</v>
      </c>
      <c r="Q333" s="322">
        <v>0</v>
      </c>
      <c r="R333" s="322">
        <v>0</v>
      </c>
      <c r="S333" s="9">
        <v>4.413146514749072E-6</v>
      </c>
      <c r="T333" s="9">
        <f t="shared" si="5"/>
        <v>0</v>
      </c>
      <c r="U333" s="321" t="s">
        <v>1059</v>
      </c>
    </row>
    <row r="334" spans="1:21" ht="12" customHeight="1">
      <c r="A334" s="327">
        <v>3</v>
      </c>
      <c r="B334" s="159" t="s">
        <v>314</v>
      </c>
      <c r="C334" s="68" t="s">
        <v>96</v>
      </c>
      <c r="D334" s="68" t="s">
        <v>309</v>
      </c>
      <c r="E334" s="321">
        <v>4</v>
      </c>
      <c r="F334" s="322">
        <v>500</v>
      </c>
      <c r="G334" s="322">
        <v>213</v>
      </c>
      <c r="H334" s="322">
        <v>0</v>
      </c>
      <c r="I334" s="322">
        <v>0</v>
      </c>
      <c r="J334" s="322">
        <v>0</v>
      </c>
      <c r="K334" s="322">
        <v>0</v>
      </c>
      <c r="L334" s="322">
        <v>0</v>
      </c>
      <c r="M334" s="322">
        <v>0</v>
      </c>
      <c r="N334" s="322">
        <v>0</v>
      </c>
      <c r="O334" s="322">
        <v>0</v>
      </c>
      <c r="P334" s="322">
        <v>0</v>
      </c>
      <c r="Q334" s="322">
        <v>0</v>
      </c>
      <c r="R334" s="322">
        <v>0</v>
      </c>
      <c r="S334" s="9">
        <v>4.413146514749072E-6</v>
      </c>
      <c r="T334" s="9">
        <f t="shared" si="5"/>
        <v>0</v>
      </c>
      <c r="U334" s="321" t="s">
        <v>1060</v>
      </c>
    </row>
    <row r="335" spans="1:21" ht="12" customHeight="1">
      <c r="A335" s="327">
        <v>3</v>
      </c>
      <c r="B335" s="159" t="s">
        <v>314</v>
      </c>
      <c r="C335" s="68" t="s">
        <v>96</v>
      </c>
      <c r="D335" s="68" t="s">
        <v>309</v>
      </c>
      <c r="E335" s="321">
        <v>5</v>
      </c>
      <c r="F335" s="322">
        <v>468</v>
      </c>
      <c r="G335" s="322">
        <v>220</v>
      </c>
      <c r="H335" s="322">
        <v>0</v>
      </c>
      <c r="I335" s="322">
        <v>0</v>
      </c>
      <c r="J335" s="322">
        <v>0</v>
      </c>
      <c r="K335" s="322">
        <v>0</v>
      </c>
      <c r="L335" s="322">
        <v>0</v>
      </c>
      <c r="M335" s="322">
        <v>0</v>
      </c>
      <c r="N335" s="322">
        <v>0</v>
      </c>
      <c r="O335" s="322">
        <v>0</v>
      </c>
      <c r="P335" s="322">
        <v>0</v>
      </c>
      <c r="Q335" s="322">
        <v>0</v>
      </c>
      <c r="R335" s="322">
        <v>0</v>
      </c>
      <c r="S335" s="9">
        <v>4.413146514749072E-6</v>
      </c>
      <c r="T335" s="9">
        <f t="shared" si="5"/>
        <v>0</v>
      </c>
      <c r="U335" s="321" t="s">
        <v>1061</v>
      </c>
    </row>
    <row r="336" spans="1:21" ht="12" customHeight="1">
      <c r="A336" s="327">
        <v>3</v>
      </c>
      <c r="B336" s="159" t="s">
        <v>314</v>
      </c>
      <c r="C336" s="68" t="s">
        <v>96</v>
      </c>
      <c r="D336" s="68" t="s">
        <v>307</v>
      </c>
      <c r="E336" s="321">
        <v>1</v>
      </c>
      <c r="F336" s="322">
        <v>452</v>
      </c>
      <c r="G336" s="322">
        <v>221</v>
      </c>
      <c r="H336" s="322">
        <v>0</v>
      </c>
      <c r="I336" s="322">
        <v>0</v>
      </c>
      <c r="J336" s="322">
        <v>0</v>
      </c>
      <c r="K336" s="322">
        <v>0</v>
      </c>
      <c r="L336" s="322">
        <v>0</v>
      </c>
      <c r="M336" s="322">
        <v>0</v>
      </c>
      <c r="N336" s="322">
        <v>0</v>
      </c>
      <c r="O336" s="322">
        <v>0</v>
      </c>
      <c r="P336" s="322">
        <v>0</v>
      </c>
      <c r="Q336" s="322">
        <v>0</v>
      </c>
      <c r="R336" s="322">
        <v>0</v>
      </c>
      <c r="S336" s="9">
        <v>1.1915507505329999E-4</v>
      </c>
      <c r="T336" s="9">
        <f t="shared" si="5"/>
        <v>0</v>
      </c>
      <c r="U336" s="321" t="s">
        <v>1087</v>
      </c>
    </row>
    <row r="337" spans="1:21" ht="12" customHeight="1">
      <c r="A337" s="327">
        <v>3</v>
      </c>
      <c r="B337" s="159" t="s">
        <v>314</v>
      </c>
      <c r="C337" s="68" t="s">
        <v>96</v>
      </c>
      <c r="D337" s="68" t="s">
        <v>307</v>
      </c>
      <c r="E337" s="321">
        <v>2</v>
      </c>
      <c r="F337" s="322">
        <v>456</v>
      </c>
      <c r="G337" s="322">
        <v>219</v>
      </c>
      <c r="H337" s="322">
        <v>0</v>
      </c>
      <c r="I337" s="322">
        <v>0</v>
      </c>
      <c r="J337" s="322">
        <v>0</v>
      </c>
      <c r="K337" s="322">
        <v>0</v>
      </c>
      <c r="L337" s="322">
        <v>0</v>
      </c>
      <c r="M337" s="322">
        <v>0</v>
      </c>
      <c r="N337" s="322">
        <v>0</v>
      </c>
      <c r="O337" s="322">
        <v>0</v>
      </c>
      <c r="P337" s="322">
        <v>0</v>
      </c>
      <c r="Q337" s="322">
        <v>0</v>
      </c>
      <c r="R337" s="322">
        <v>0</v>
      </c>
      <c r="S337" s="9">
        <v>1.1915507505329999E-4</v>
      </c>
      <c r="T337" s="9">
        <f t="shared" si="5"/>
        <v>0</v>
      </c>
      <c r="U337" s="321" t="s">
        <v>1088</v>
      </c>
    </row>
    <row r="338" spans="1:21" ht="12" customHeight="1">
      <c r="A338" s="327">
        <v>3</v>
      </c>
      <c r="B338" s="159" t="s">
        <v>314</v>
      </c>
      <c r="C338" s="68" t="s">
        <v>96</v>
      </c>
      <c r="D338" s="68" t="s">
        <v>307</v>
      </c>
      <c r="E338" s="321">
        <v>3</v>
      </c>
      <c r="F338" s="322">
        <v>468</v>
      </c>
      <c r="G338" s="322">
        <v>218</v>
      </c>
      <c r="H338" s="322">
        <v>0</v>
      </c>
      <c r="I338" s="322">
        <v>0</v>
      </c>
      <c r="J338" s="322">
        <v>0</v>
      </c>
      <c r="K338" s="322">
        <v>0</v>
      </c>
      <c r="L338" s="322">
        <v>0</v>
      </c>
      <c r="M338" s="322">
        <v>0</v>
      </c>
      <c r="N338" s="322">
        <v>0</v>
      </c>
      <c r="O338" s="322">
        <v>0</v>
      </c>
      <c r="P338" s="322">
        <v>0</v>
      </c>
      <c r="Q338" s="322">
        <v>0</v>
      </c>
      <c r="R338" s="322">
        <v>0</v>
      </c>
      <c r="S338" s="9">
        <v>1.1915507505329999E-4</v>
      </c>
      <c r="T338" s="9">
        <f t="shared" si="5"/>
        <v>0</v>
      </c>
      <c r="U338" s="321" t="s">
        <v>1089</v>
      </c>
    </row>
    <row r="339" spans="1:21" ht="12" customHeight="1">
      <c r="A339" s="327">
        <v>3</v>
      </c>
      <c r="B339" s="159" t="s">
        <v>314</v>
      </c>
      <c r="C339" s="68" t="s">
        <v>96</v>
      </c>
      <c r="D339" s="68" t="s">
        <v>307</v>
      </c>
      <c r="E339" s="321">
        <v>4</v>
      </c>
      <c r="F339" s="322">
        <v>526</v>
      </c>
      <c r="G339" s="322">
        <v>218</v>
      </c>
      <c r="H339" s="322">
        <v>0</v>
      </c>
      <c r="I339" s="322">
        <v>0</v>
      </c>
      <c r="J339" s="322">
        <v>0</v>
      </c>
      <c r="K339" s="322">
        <v>0</v>
      </c>
      <c r="L339" s="322">
        <v>0</v>
      </c>
      <c r="M339" s="322">
        <v>0</v>
      </c>
      <c r="N339" s="322">
        <v>0</v>
      </c>
      <c r="O339" s="322">
        <v>0</v>
      </c>
      <c r="P339" s="322">
        <v>0</v>
      </c>
      <c r="Q339" s="322">
        <v>0</v>
      </c>
      <c r="R339" s="322">
        <v>0</v>
      </c>
      <c r="S339" s="9">
        <v>1.1915507505329999E-4</v>
      </c>
      <c r="T339" s="9">
        <f t="shared" si="5"/>
        <v>0</v>
      </c>
      <c r="U339" s="321" t="s">
        <v>1090</v>
      </c>
    </row>
    <row r="340" spans="1:21" ht="12" customHeight="1">
      <c r="A340" s="327">
        <v>3</v>
      </c>
      <c r="B340" s="159" t="s">
        <v>314</v>
      </c>
      <c r="C340" s="68" t="s">
        <v>96</v>
      </c>
      <c r="D340" s="68" t="s">
        <v>307</v>
      </c>
      <c r="E340" s="321">
        <v>5</v>
      </c>
      <c r="F340" s="322">
        <v>494</v>
      </c>
      <c r="G340" s="322">
        <v>218</v>
      </c>
      <c r="H340" s="322">
        <v>0</v>
      </c>
      <c r="I340" s="322">
        <v>0</v>
      </c>
      <c r="J340" s="322">
        <v>0</v>
      </c>
      <c r="K340" s="322">
        <v>0</v>
      </c>
      <c r="L340" s="322">
        <v>0</v>
      </c>
      <c r="M340" s="322">
        <v>0</v>
      </c>
      <c r="N340" s="322">
        <v>0</v>
      </c>
      <c r="O340" s="322">
        <v>0</v>
      </c>
      <c r="P340" s="322">
        <v>0</v>
      </c>
      <c r="Q340" s="322">
        <v>0</v>
      </c>
      <c r="R340" s="322">
        <v>0</v>
      </c>
      <c r="S340" s="9">
        <v>1.1915507505329999E-4</v>
      </c>
      <c r="T340" s="9">
        <f t="shared" si="5"/>
        <v>0</v>
      </c>
      <c r="U340" s="321" t="s">
        <v>1091</v>
      </c>
    </row>
    <row r="341" spans="1:21" ht="12" customHeight="1">
      <c r="A341" s="327">
        <v>3</v>
      </c>
      <c r="B341" s="159" t="s">
        <v>314</v>
      </c>
      <c r="C341" s="68" t="s">
        <v>95</v>
      </c>
      <c r="D341" s="68" t="s">
        <v>308</v>
      </c>
      <c r="E341" s="321">
        <v>1</v>
      </c>
      <c r="F341" s="322">
        <v>700</v>
      </c>
      <c r="G341" s="322">
        <v>524</v>
      </c>
      <c r="H341" s="322">
        <v>0</v>
      </c>
      <c r="I341" s="322">
        <v>0</v>
      </c>
      <c r="J341" s="322">
        <v>0</v>
      </c>
      <c r="K341" s="322">
        <v>0</v>
      </c>
      <c r="L341" s="322">
        <v>0</v>
      </c>
      <c r="M341" s="322">
        <v>0</v>
      </c>
      <c r="N341" s="322">
        <v>0</v>
      </c>
      <c r="O341" s="322">
        <v>0</v>
      </c>
      <c r="P341" s="322">
        <v>0</v>
      </c>
      <c r="Q341" s="322">
        <v>0</v>
      </c>
      <c r="R341" s="322">
        <v>0</v>
      </c>
      <c r="S341" s="9">
        <v>4.4577237522717891E-8</v>
      </c>
      <c r="T341" s="9">
        <f t="shared" si="5"/>
        <v>0</v>
      </c>
      <c r="U341" s="321" t="s">
        <v>847</v>
      </c>
    </row>
    <row r="342" spans="1:21" ht="12" customHeight="1">
      <c r="A342" s="327">
        <v>3</v>
      </c>
      <c r="B342" s="159" t="s">
        <v>314</v>
      </c>
      <c r="C342" s="68" t="s">
        <v>95</v>
      </c>
      <c r="D342" s="68" t="s">
        <v>308</v>
      </c>
      <c r="E342" s="321">
        <v>2</v>
      </c>
      <c r="F342" s="322">
        <v>682</v>
      </c>
      <c r="G342" s="322">
        <v>524</v>
      </c>
      <c r="H342" s="322">
        <v>0</v>
      </c>
      <c r="I342" s="322">
        <v>0</v>
      </c>
      <c r="J342" s="322">
        <v>0</v>
      </c>
      <c r="K342" s="322">
        <v>0</v>
      </c>
      <c r="L342" s="322">
        <v>0</v>
      </c>
      <c r="M342" s="322">
        <v>0</v>
      </c>
      <c r="N342" s="322">
        <v>0</v>
      </c>
      <c r="O342" s="322">
        <v>0</v>
      </c>
      <c r="P342" s="322">
        <v>0</v>
      </c>
      <c r="Q342" s="322">
        <v>0</v>
      </c>
      <c r="R342" s="322">
        <v>0</v>
      </c>
      <c r="S342" s="9">
        <v>4.4577237522717891E-8</v>
      </c>
      <c r="T342" s="9">
        <f t="shared" si="5"/>
        <v>0</v>
      </c>
      <c r="U342" s="321" t="s">
        <v>848</v>
      </c>
    </row>
    <row r="343" spans="1:21" ht="12" customHeight="1">
      <c r="A343" s="327">
        <v>3</v>
      </c>
      <c r="B343" s="159" t="s">
        <v>314</v>
      </c>
      <c r="C343" s="68" t="s">
        <v>95</v>
      </c>
      <c r="D343" s="68" t="s">
        <v>308</v>
      </c>
      <c r="E343" s="321">
        <v>3</v>
      </c>
      <c r="F343" s="322">
        <v>704</v>
      </c>
      <c r="G343" s="322">
        <v>524</v>
      </c>
      <c r="H343" s="322">
        <v>0</v>
      </c>
      <c r="I343" s="322">
        <v>0</v>
      </c>
      <c r="J343" s="322">
        <v>0</v>
      </c>
      <c r="K343" s="322">
        <v>0</v>
      </c>
      <c r="L343" s="322">
        <v>0</v>
      </c>
      <c r="M343" s="322">
        <v>0</v>
      </c>
      <c r="N343" s="322">
        <v>0</v>
      </c>
      <c r="O343" s="322">
        <v>0</v>
      </c>
      <c r="P343" s="322">
        <v>0</v>
      </c>
      <c r="Q343" s="322">
        <v>0</v>
      </c>
      <c r="R343" s="322">
        <v>0</v>
      </c>
      <c r="S343" s="9">
        <v>4.4577237522717891E-8</v>
      </c>
      <c r="T343" s="9">
        <f t="shared" si="5"/>
        <v>0</v>
      </c>
      <c r="U343" s="321" t="s">
        <v>849</v>
      </c>
    </row>
    <row r="344" spans="1:21" ht="12" customHeight="1">
      <c r="A344" s="327">
        <v>3</v>
      </c>
      <c r="B344" s="159" t="s">
        <v>314</v>
      </c>
      <c r="C344" s="68" t="s">
        <v>95</v>
      </c>
      <c r="D344" s="68" t="s">
        <v>308</v>
      </c>
      <c r="E344" s="321">
        <v>4</v>
      </c>
      <c r="F344" s="322">
        <v>760</v>
      </c>
      <c r="G344" s="322">
        <v>524</v>
      </c>
      <c r="H344" s="322">
        <v>0</v>
      </c>
      <c r="I344" s="322">
        <v>0</v>
      </c>
      <c r="J344" s="322">
        <v>0</v>
      </c>
      <c r="K344" s="322">
        <v>0</v>
      </c>
      <c r="L344" s="322">
        <v>0</v>
      </c>
      <c r="M344" s="322">
        <v>0</v>
      </c>
      <c r="N344" s="322">
        <v>0</v>
      </c>
      <c r="O344" s="322">
        <v>0</v>
      </c>
      <c r="P344" s="322">
        <v>0</v>
      </c>
      <c r="Q344" s="322">
        <v>0</v>
      </c>
      <c r="R344" s="322">
        <v>0</v>
      </c>
      <c r="S344" s="9">
        <v>4.4577237522717891E-8</v>
      </c>
      <c r="T344" s="9">
        <f t="shared" si="5"/>
        <v>0</v>
      </c>
      <c r="U344" s="321" t="s">
        <v>850</v>
      </c>
    </row>
    <row r="345" spans="1:21" ht="12" customHeight="1">
      <c r="A345" s="327">
        <v>3</v>
      </c>
      <c r="B345" s="159" t="s">
        <v>314</v>
      </c>
      <c r="C345" s="68" t="s">
        <v>95</v>
      </c>
      <c r="D345" s="68" t="s">
        <v>308</v>
      </c>
      <c r="E345" s="321">
        <v>5</v>
      </c>
      <c r="F345" s="322">
        <v>708</v>
      </c>
      <c r="G345" s="322">
        <v>525</v>
      </c>
      <c r="H345" s="322">
        <v>0</v>
      </c>
      <c r="I345" s="322">
        <v>0</v>
      </c>
      <c r="J345" s="322">
        <v>0</v>
      </c>
      <c r="K345" s="322">
        <v>0</v>
      </c>
      <c r="L345" s="322">
        <v>0</v>
      </c>
      <c r="M345" s="322">
        <v>0</v>
      </c>
      <c r="N345" s="322">
        <v>0</v>
      </c>
      <c r="O345" s="322">
        <v>0</v>
      </c>
      <c r="P345" s="322">
        <v>0</v>
      </c>
      <c r="Q345" s="322">
        <v>0</v>
      </c>
      <c r="R345" s="322">
        <v>0</v>
      </c>
      <c r="S345" s="9">
        <v>4.4577237522717891E-8</v>
      </c>
      <c r="T345" s="9">
        <f t="shared" si="5"/>
        <v>0</v>
      </c>
      <c r="U345" s="321" t="s">
        <v>851</v>
      </c>
    </row>
    <row r="346" spans="1:21" ht="12" customHeight="1">
      <c r="A346" s="327">
        <v>3</v>
      </c>
      <c r="B346" s="159" t="s">
        <v>314</v>
      </c>
      <c r="C346" s="68" t="s">
        <v>95</v>
      </c>
      <c r="D346" s="68" t="s">
        <v>310</v>
      </c>
      <c r="E346" s="321">
        <v>1</v>
      </c>
      <c r="F346" s="322">
        <v>792</v>
      </c>
      <c r="G346" s="322">
        <v>519</v>
      </c>
      <c r="H346" s="322">
        <v>25</v>
      </c>
      <c r="I346" s="322">
        <v>8</v>
      </c>
      <c r="J346" s="322">
        <v>3</v>
      </c>
      <c r="K346" s="322">
        <v>0</v>
      </c>
      <c r="L346" s="322">
        <v>0</v>
      </c>
      <c r="M346" s="322">
        <v>0</v>
      </c>
      <c r="N346" s="322">
        <v>0</v>
      </c>
      <c r="O346" s="322">
        <v>0</v>
      </c>
      <c r="P346" s="322">
        <v>0</v>
      </c>
      <c r="Q346" s="322">
        <v>0</v>
      </c>
      <c r="R346" s="322">
        <v>3.7</v>
      </c>
      <c r="S346" s="9">
        <v>4.4576836327178993E-8</v>
      </c>
      <c r="T346" s="9">
        <f t="shared" si="5"/>
        <v>1.6493429441056229E-7</v>
      </c>
      <c r="U346" s="321" t="s">
        <v>877</v>
      </c>
    </row>
    <row r="347" spans="1:21" ht="12" customHeight="1">
      <c r="A347" s="327">
        <v>3</v>
      </c>
      <c r="B347" s="159" t="s">
        <v>314</v>
      </c>
      <c r="C347" s="68" t="s">
        <v>95</v>
      </c>
      <c r="D347" s="68" t="s">
        <v>310</v>
      </c>
      <c r="E347" s="321">
        <v>2</v>
      </c>
      <c r="F347" s="322">
        <v>788</v>
      </c>
      <c r="G347" s="322">
        <v>525</v>
      </c>
      <c r="H347" s="322">
        <v>59</v>
      </c>
      <c r="I347" s="322">
        <v>20</v>
      </c>
      <c r="J347" s="322">
        <v>2</v>
      </c>
      <c r="K347" s="322">
        <v>0</v>
      </c>
      <c r="L347" s="322">
        <v>0</v>
      </c>
      <c r="M347" s="322">
        <v>0</v>
      </c>
      <c r="N347" s="322">
        <v>0</v>
      </c>
      <c r="O347" s="322">
        <v>0</v>
      </c>
      <c r="P347" s="322">
        <v>0</v>
      </c>
      <c r="Q347" s="322">
        <v>0</v>
      </c>
      <c r="R347" s="322">
        <v>4.2</v>
      </c>
      <c r="S347" s="9">
        <v>4.4576836327178993E-8</v>
      </c>
      <c r="T347" s="9">
        <f t="shared" si="5"/>
        <v>1.8722271257415178E-7</v>
      </c>
      <c r="U347" s="321" t="s">
        <v>878</v>
      </c>
    </row>
    <row r="348" spans="1:21" ht="12" customHeight="1">
      <c r="A348" s="327">
        <v>3</v>
      </c>
      <c r="B348" s="159" t="s">
        <v>314</v>
      </c>
      <c r="C348" s="68" t="s">
        <v>95</v>
      </c>
      <c r="D348" s="68" t="s">
        <v>310</v>
      </c>
      <c r="E348" s="321">
        <v>3</v>
      </c>
      <c r="F348" s="322">
        <v>832</v>
      </c>
      <c r="G348" s="322">
        <v>524</v>
      </c>
      <c r="H348" s="322">
        <v>88</v>
      </c>
      <c r="I348" s="322">
        <v>61</v>
      </c>
      <c r="J348" s="322">
        <v>29</v>
      </c>
      <c r="K348" s="322">
        <v>0</v>
      </c>
      <c r="L348" s="322">
        <v>0</v>
      </c>
      <c r="M348" s="322">
        <v>0</v>
      </c>
      <c r="N348" s="322">
        <v>0</v>
      </c>
      <c r="O348" s="322">
        <v>0</v>
      </c>
      <c r="P348" s="322">
        <v>0</v>
      </c>
      <c r="Q348" s="322">
        <v>0</v>
      </c>
      <c r="R348" s="322">
        <v>32.5</v>
      </c>
      <c r="S348" s="9">
        <v>4.4576836327178993E-8</v>
      </c>
      <c r="T348" s="9">
        <f t="shared" si="5"/>
        <v>1.4487471806333173E-6</v>
      </c>
      <c r="U348" s="321" t="s">
        <v>879</v>
      </c>
    </row>
    <row r="349" spans="1:21" ht="12" customHeight="1">
      <c r="A349" s="327">
        <v>3</v>
      </c>
      <c r="B349" s="159" t="s">
        <v>314</v>
      </c>
      <c r="C349" s="68" t="s">
        <v>95</v>
      </c>
      <c r="D349" s="68" t="s">
        <v>310</v>
      </c>
      <c r="E349" s="321">
        <v>4</v>
      </c>
      <c r="F349" s="322">
        <v>784</v>
      </c>
      <c r="G349" s="322">
        <v>524</v>
      </c>
      <c r="H349" s="322">
        <v>19</v>
      </c>
      <c r="I349" s="322">
        <v>2</v>
      </c>
      <c r="J349" s="322">
        <v>0</v>
      </c>
      <c r="K349" s="322">
        <v>0</v>
      </c>
      <c r="L349" s="322">
        <v>0</v>
      </c>
      <c r="M349" s="322">
        <v>0</v>
      </c>
      <c r="N349" s="322">
        <v>0</v>
      </c>
      <c r="O349" s="322">
        <v>0</v>
      </c>
      <c r="P349" s="322">
        <v>0</v>
      </c>
      <c r="Q349" s="322">
        <v>0</v>
      </c>
      <c r="R349" s="322">
        <v>0.4</v>
      </c>
      <c r="S349" s="9">
        <v>4.4576836327178993E-8</v>
      </c>
      <c r="T349" s="9">
        <f t="shared" si="5"/>
        <v>1.7830734530871597E-8</v>
      </c>
      <c r="U349" s="321" t="s">
        <v>880</v>
      </c>
    </row>
    <row r="350" spans="1:21" ht="12" customHeight="1">
      <c r="A350" s="327">
        <v>3</v>
      </c>
      <c r="B350" s="159" t="s">
        <v>314</v>
      </c>
      <c r="C350" s="68" t="s">
        <v>95</v>
      </c>
      <c r="D350" s="68" t="s">
        <v>310</v>
      </c>
      <c r="E350" s="321">
        <v>5</v>
      </c>
      <c r="F350" s="322">
        <v>798</v>
      </c>
      <c r="G350" s="322">
        <v>501</v>
      </c>
      <c r="H350" s="322">
        <v>55</v>
      </c>
      <c r="I350" s="322">
        <v>38</v>
      </c>
      <c r="J350" s="322">
        <v>11</v>
      </c>
      <c r="K350" s="322">
        <v>0</v>
      </c>
      <c r="L350" s="322">
        <v>0</v>
      </c>
      <c r="M350" s="322">
        <v>0</v>
      </c>
      <c r="N350" s="322">
        <v>0</v>
      </c>
      <c r="O350" s="322">
        <v>0</v>
      </c>
      <c r="P350" s="322">
        <v>0</v>
      </c>
      <c r="Q350" s="322">
        <v>0</v>
      </c>
      <c r="R350" s="322">
        <v>13.9</v>
      </c>
      <c r="S350" s="9">
        <v>4.4576836327178993E-8</v>
      </c>
      <c r="T350" s="9">
        <f t="shared" si="5"/>
        <v>6.1961802494778806E-7</v>
      </c>
      <c r="U350" s="321" t="s">
        <v>881</v>
      </c>
    </row>
    <row r="351" spans="1:21" ht="12" customHeight="1">
      <c r="A351" s="327">
        <v>3</v>
      </c>
      <c r="B351" s="159" t="s">
        <v>314</v>
      </c>
      <c r="C351" s="68" t="s">
        <v>95</v>
      </c>
      <c r="D351" s="68" t="s">
        <v>309</v>
      </c>
      <c r="E351" s="321">
        <v>1</v>
      </c>
      <c r="F351" s="322">
        <v>1020</v>
      </c>
      <c r="G351" s="322">
        <v>524</v>
      </c>
      <c r="H351" s="322">
        <v>31</v>
      </c>
      <c r="I351" s="322">
        <v>3</v>
      </c>
      <c r="J351" s="322">
        <v>1</v>
      </c>
      <c r="K351" s="322">
        <v>0</v>
      </c>
      <c r="L351" s="322">
        <v>0</v>
      </c>
      <c r="M351" s="322">
        <v>0</v>
      </c>
      <c r="N351" s="322">
        <v>0</v>
      </c>
      <c r="O351" s="322">
        <v>0</v>
      </c>
      <c r="P351" s="322">
        <v>0</v>
      </c>
      <c r="Q351" s="322">
        <v>0</v>
      </c>
      <c r="R351" s="322">
        <v>1.5</v>
      </c>
      <c r="S351" s="9">
        <v>4.4577237522717891E-8</v>
      </c>
      <c r="T351" s="9">
        <f t="shared" si="5"/>
        <v>6.6865856284076843E-8</v>
      </c>
      <c r="U351" s="321" t="s">
        <v>907</v>
      </c>
    </row>
    <row r="352" spans="1:21" ht="12" customHeight="1">
      <c r="A352" s="327">
        <v>3</v>
      </c>
      <c r="B352" s="159" t="s">
        <v>314</v>
      </c>
      <c r="C352" s="68" t="s">
        <v>95</v>
      </c>
      <c r="D352" s="68" t="s">
        <v>309</v>
      </c>
      <c r="E352" s="321">
        <v>2</v>
      </c>
      <c r="F352" s="322">
        <v>1038</v>
      </c>
      <c r="G352" s="322">
        <v>525</v>
      </c>
      <c r="H352" s="322">
        <v>29</v>
      </c>
      <c r="I352" s="322">
        <v>4</v>
      </c>
      <c r="J352" s="322">
        <v>0</v>
      </c>
      <c r="K352" s="322">
        <v>0</v>
      </c>
      <c r="L352" s="322">
        <v>0</v>
      </c>
      <c r="M352" s="322">
        <v>0</v>
      </c>
      <c r="N352" s="322">
        <v>0</v>
      </c>
      <c r="O352" s="322">
        <v>0</v>
      </c>
      <c r="P352" s="322">
        <v>0</v>
      </c>
      <c r="Q352" s="322">
        <v>0</v>
      </c>
      <c r="R352" s="322">
        <v>0.7</v>
      </c>
      <c r="S352" s="9">
        <v>4.4577237522717891E-8</v>
      </c>
      <c r="T352" s="9">
        <f t="shared" si="5"/>
        <v>3.1204066265902522E-8</v>
      </c>
      <c r="U352" s="321" t="s">
        <v>908</v>
      </c>
    </row>
    <row r="353" spans="1:21" ht="12" customHeight="1">
      <c r="A353" s="327">
        <v>3</v>
      </c>
      <c r="B353" s="159" t="s">
        <v>314</v>
      </c>
      <c r="C353" s="68" t="s">
        <v>95</v>
      </c>
      <c r="D353" s="68" t="s">
        <v>309</v>
      </c>
      <c r="E353" s="321">
        <v>3</v>
      </c>
      <c r="F353" s="322">
        <v>960</v>
      </c>
      <c r="G353" s="322">
        <v>524</v>
      </c>
      <c r="H353" s="322">
        <v>24</v>
      </c>
      <c r="I353" s="322">
        <v>1</v>
      </c>
      <c r="J353" s="322">
        <v>0</v>
      </c>
      <c r="K353" s="322">
        <v>0</v>
      </c>
      <c r="L353" s="322">
        <v>0</v>
      </c>
      <c r="M353" s="322">
        <v>0</v>
      </c>
      <c r="N353" s="322">
        <v>0</v>
      </c>
      <c r="O353" s="322">
        <v>0</v>
      </c>
      <c r="P353" s="322">
        <v>0</v>
      </c>
      <c r="Q353" s="322">
        <v>0</v>
      </c>
      <c r="R353" s="322">
        <v>0.3</v>
      </c>
      <c r="S353" s="9">
        <v>4.4577237522717891E-8</v>
      </c>
      <c r="T353" s="9">
        <f t="shared" si="5"/>
        <v>1.3373171256815367E-8</v>
      </c>
      <c r="U353" s="321" t="s">
        <v>909</v>
      </c>
    </row>
    <row r="354" spans="1:21" ht="12" customHeight="1">
      <c r="A354" s="327">
        <v>3</v>
      </c>
      <c r="B354" s="159" t="s">
        <v>314</v>
      </c>
      <c r="C354" s="68" t="s">
        <v>95</v>
      </c>
      <c r="D354" s="68" t="s">
        <v>309</v>
      </c>
      <c r="E354" s="321">
        <v>4</v>
      </c>
      <c r="F354" s="322">
        <v>902</v>
      </c>
      <c r="G354" s="322">
        <v>519</v>
      </c>
      <c r="H354" s="322">
        <v>21</v>
      </c>
      <c r="I354" s="322">
        <v>0</v>
      </c>
      <c r="J354" s="322">
        <v>0</v>
      </c>
      <c r="K354" s="322">
        <v>0</v>
      </c>
      <c r="L354" s="322">
        <v>0</v>
      </c>
      <c r="M354" s="322">
        <v>0</v>
      </c>
      <c r="N354" s="322">
        <v>0</v>
      </c>
      <c r="O354" s="322">
        <v>0</v>
      </c>
      <c r="P354" s="322">
        <v>0</v>
      </c>
      <c r="Q354" s="322">
        <v>0</v>
      </c>
      <c r="R354" s="322">
        <v>0.2</v>
      </c>
      <c r="S354" s="9">
        <v>4.4577237522717891E-8</v>
      </c>
      <c r="T354" s="9">
        <f t="shared" si="5"/>
        <v>8.9154475045435785E-9</v>
      </c>
      <c r="U354" s="321" t="s">
        <v>910</v>
      </c>
    </row>
    <row r="355" spans="1:21" ht="12" customHeight="1">
      <c r="A355" s="327">
        <v>3</v>
      </c>
      <c r="B355" s="159" t="s">
        <v>314</v>
      </c>
      <c r="C355" s="68" t="s">
        <v>95</v>
      </c>
      <c r="D355" s="68" t="s">
        <v>309</v>
      </c>
      <c r="E355" s="321">
        <v>5</v>
      </c>
      <c r="F355" s="322">
        <v>990</v>
      </c>
      <c r="G355" s="322">
        <v>524</v>
      </c>
      <c r="H355" s="322">
        <v>27</v>
      </c>
      <c r="I355" s="322">
        <v>4</v>
      </c>
      <c r="J355" s="322">
        <v>0</v>
      </c>
      <c r="K355" s="322">
        <v>0</v>
      </c>
      <c r="L355" s="322">
        <v>0</v>
      </c>
      <c r="M355" s="322">
        <v>0</v>
      </c>
      <c r="N355" s="322">
        <v>0</v>
      </c>
      <c r="O355" s="322">
        <v>0</v>
      </c>
      <c r="P355" s="322">
        <v>0</v>
      </c>
      <c r="Q355" s="322">
        <v>0</v>
      </c>
      <c r="R355" s="322">
        <v>0.6</v>
      </c>
      <c r="S355" s="9">
        <v>4.4577237522717891E-8</v>
      </c>
      <c r="T355" s="9">
        <f t="shared" si="5"/>
        <v>2.6746342513630734E-8</v>
      </c>
      <c r="U355" s="321" t="s">
        <v>911</v>
      </c>
    </row>
    <row r="356" spans="1:21" ht="12" customHeight="1">
      <c r="A356" s="327">
        <v>3</v>
      </c>
      <c r="B356" s="159" t="s">
        <v>314</v>
      </c>
      <c r="C356" s="68" t="s">
        <v>95</v>
      </c>
      <c r="D356" s="68" t="s">
        <v>311</v>
      </c>
      <c r="E356" s="321">
        <v>1</v>
      </c>
      <c r="F356" s="322">
        <v>854</v>
      </c>
      <c r="G356" s="322">
        <v>524</v>
      </c>
      <c r="H356" s="322">
        <v>1</v>
      </c>
      <c r="I356" s="322">
        <v>0</v>
      </c>
      <c r="J356" s="322">
        <v>0</v>
      </c>
      <c r="K356" s="322">
        <v>0</v>
      </c>
      <c r="L356" s="322">
        <v>0</v>
      </c>
      <c r="M356" s="322">
        <v>0</v>
      </c>
      <c r="N356" s="322">
        <v>0</v>
      </c>
      <c r="O356" s="322">
        <v>0</v>
      </c>
      <c r="P356" s="322">
        <v>0</v>
      </c>
      <c r="Q356" s="322">
        <v>0</v>
      </c>
      <c r="R356" s="322">
        <v>0</v>
      </c>
      <c r="S356" s="9">
        <v>1.2035866167E-6</v>
      </c>
      <c r="T356" s="9">
        <f t="shared" si="5"/>
        <v>0</v>
      </c>
      <c r="U356" s="321" t="s">
        <v>937</v>
      </c>
    </row>
    <row r="357" spans="1:21" ht="12" customHeight="1">
      <c r="A357" s="327">
        <v>3</v>
      </c>
      <c r="B357" s="159" t="s">
        <v>314</v>
      </c>
      <c r="C357" s="68" t="s">
        <v>95</v>
      </c>
      <c r="D357" s="68" t="s">
        <v>311</v>
      </c>
      <c r="E357" s="321">
        <v>2</v>
      </c>
      <c r="F357" s="322">
        <v>898</v>
      </c>
      <c r="G357" s="322">
        <v>524</v>
      </c>
      <c r="H357" s="322">
        <v>4</v>
      </c>
      <c r="I357" s="322">
        <v>2</v>
      </c>
      <c r="J357" s="322">
        <v>0</v>
      </c>
      <c r="K357" s="322">
        <v>0</v>
      </c>
      <c r="L357" s="322">
        <v>0</v>
      </c>
      <c r="M357" s="322">
        <v>0</v>
      </c>
      <c r="N357" s="322">
        <v>0</v>
      </c>
      <c r="O357" s="322">
        <v>0</v>
      </c>
      <c r="P357" s="322">
        <v>0</v>
      </c>
      <c r="Q357" s="322">
        <v>0</v>
      </c>
      <c r="R357" s="322">
        <v>0.2</v>
      </c>
      <c r="S357" s="9">
        <v>1.2035866167E-6</v>
      </c>
      <c r="T357" s="9">
        <f t="shared" si="5"/>
        <v>2.4071732334000001E-7</v>
      </c>
      <c r="U357" s="321" t="s">
        <v>938</v>
      </c>
    </row>
    <row r="358" spans="1:21" ht="12" customHeight="1">
      <c r="A358" s="327">
        <v>3</v>
      </c>
      <c r="B358" s="159" t="s">
        <v>314</v>
      </c>
      <c r="C358" s="68" t="s">
        <v>95</v>
      </c>
      <c r="D358" s="68" t="s">
        <v>311</v>
      </c>
      <c r="E358" s="321">
        <v>3</v>
      </c>
      <c r="F358" s="322">
        <v>980</v>
      </c>
      <c r="G358" s="322">
        <v>500</v>
      </c>
      <c r="H358" s="322">
        <v>19</v>
      </c>
      <c r="I358" s="322">
        <v>9</v>
      </c>
      <c r="J358" s="322">
        <v>0</v>
      </c>
      <c r="K358" s="322">
        <v>0</v>
      </c>
      <c r="L358" s="322">
        <v>0</v>
      </c>
      <c r="M358" s="322">
        <v>0</v>
      </c>
      <c r="N358" s="322">
        <v>0</v>
      </c>
      <c r="O358" s="322">
        <v>0</v>
      </c>
      <c r="P358" s="322">
        <v>0</v>
      </c>
      <c r="Q358" s="322">
        <v>0</v>
      </c>
      <c r="R358" s="322">
        <v>1</v>
      </c>
      <c r="S358" s="9">
        <v>1.2035866167E-6</v>
      </c>
      <c r="T358" s="9">
        <f t="shared" si="5"/>
        <v>1.2035866167E-6</v>
      </c>
      <c r="U358" s="321" t="s">
        <v>939</v>
      </c>
    </row>
    <row r="359" spans="1:21" ht="12" customHeight="1">
      <c r="A359" s="327">
        <v>3</v>
      </c>
      <c r="B359" s="159" t="s">
        <v>314</v>
      </c>
      <c r="C359" s="68" t="s">
        <v>95</v>
      </c>
      <c r="D359" s="68" t="s">
        <v>311</v>
      </c>
      <c r="E359" s="321">
        <v>4</v>
      </c>
      <c r="F359" s="322">
        <v>870</v>
      </c>
      <c r="G359" s="322">
        <v>524</v>
      </c>
      <c r="H359" s="322">
        <v>6</v>
      </c>
      <c r="I359" s="322">
        <v>0</v>
      </c>
      <c r="J359" s="322">
        <v>0</v>
      </c>
      <c r="K359" s="322">
        <v>0</v>
      </c>
      <c r="L359" s="322">
        <v>0</v>
      </c>
      <c r="M359" s="322">
        <v>0</v>
      </c>
      <c r="N359" s="322">
        <v>0</v>
      </c>
      <c r="O359" s="322">
        <v>0</v>
      </c>
      <c r="P359" s="322">
        <v>0</v>
      </c>
      <c r="Q359" s="322">
        <v>0</v>
      </c>
      <c r="R359" s="322">
        <v>0.1</v>
      </c>
      <c r="S359" s="9">
        <v>1.2035866167E-6</v>
      </c>
      <c r="T359" s="9">
        <f t="shared" si="5"/>
        <v>1.2035866167E-7</v>
      </c>
      <c r="U359" s="321" t="s">
        <v>940</v>
      </c>
    </row>
    <row r="360" spans="1:21" ht="12" customHeight="1">
      <c r="A360" s="327">
        <v>3</v>
      </c>
      <c r="B360" s="159" t="s">
        <v>314</v>
      </c>
      <c r="C360" s="68" t="s">
        <v>95</v>
      </c>
      <c r="D360" s="68" t="s">
        <v>311</v>
      </c>
      <c r="E360" s="321">
        <v>5</v>
      </c>
      <c r="F360" s="322">
        <v>884</v>
      </c>
      <c r="G360" s="322">
        <v>524</v>
      </c>
      <c r="H360" s="322">
        <v>8</v>
      </c>
      <c r="I360" s="322">
        <v>0</v>
      </c>
      <c r="J360" s="322">
        <v>0</v>
      </c>
      <c r="K360" s="322">
        <v>0</v>
      </c>
      <c r="L360" s="322">
        <v>0</v>
      </c>
      <c r="M360" s="322">
        <v>0</v>
      </c>
      <c r="N360" s="322">
        <v>0</v>
      </c>
      <c r="O360" s="322">
        <v>0</v>
      </c>
      <c r="P360" s="322">
        <v>0</v>
      </c>
      <c r="Q360" s="322">
        <v>0</v>
      </c>
      <c r="R360" s="322">
        <v>0.1</v>
      </c>
      <c r="S360" s="9">
        <v>1.2035866167E-6</v>
      </c>
      <c r="T360" s="9">
        <f t="shared" si="5"/>
        <v>1.2035866167E-7</v>
      </c>
      <c r="U360" s="321" t="s">
        <v>941</v>
      </c>
    </row>
    <row r="361" spans="1:21" ht="12" customHeight="1">
      <c r="A361" s="327">
        <v>3</v>
      </c>
      <c r="B361" s="159" t="s">
        <v>314</v>
      </c>
      <c r="C361" s="68" t="s">
        <v>95</v>
      </c>
      <c r="D361" s="68" t="s">
        <v>307</v>
      </c>
      <c r="E361" s="321">
        <v>1</v>
      </c>
      <c r="F361" s="322">
        <v>1068</v>
      </c>
      <c r="G361" s="322">
        <v>515</v>
      </c>
      <c r="H361" s="322">
        <v>131</v>
      </c>
      <c r="I361" s="322">
        <v>88</v>
      </c>
      <c r="J361" s="322">
        <v>41</v>
      </c>
      <c r="K361" s="322">
        <v>11</v>
      </c>
      <c r="L361" s="322">
        <v>0</v>
      </c>
      <c r="M361" s="322">
        <v>0</v>
      </c>
      <c r="N361" s="322">
        <v>0</v>
      </c>
      <c r="O361" s="322">
        <v>0</v>
      </c>
      <c r="P361" s="322">
        <v>0</v>
      </c>
      <c r="Q361" s="322">
        <v>0</v>
      </c>
      <c r="R361" s="322">
        <v>46.1</v>
      </c>
      <c r="S361" s="9">
        <v>0</v>
      </c>
      <c r="T361" s="9">
        <f t="shared" si="5"/>
        <v>0</v>
      </c>
      <c r="U361" s="321" t="s">
        <v>967</v>
      </c>
    </row>
    <row r="362" spans="1:21" ht="12" customHeight="1">
      <c r="A362" s="327">
        <v>3</v>
      </c>
      <c r="B362" s="159" t="s">
        <v>314</v>
      </c>
      <c r="C362" s="68" t="s">
        <v>95</v>
      </c>
      <c r="D362" s="68" t="s">
        <v>307</v>
      </c>
      <c r="E362" s="321">
        <v>2</v>
      </c>
      <c r="F362" s="322">
        <v>962</v>
      </c>
      <c r="G362" s="322">
        <v>499</v>
      </c>
      <c r="H362" s="322">
        <v>115</v>
      </c>
      <c r="I362" s="322">
        <v>58</v>
      </c>
      <c r="J362" s="322">
        <v>18</v>
      </c>
      <c r="K362" s="322">
        <v>0</v>
      </c>
      <c r="L362" s="322">
        <v>0</v>
      </c>
      <c r="M362" s="322">
        <v>0</v>
      </c>
      <c r="N362" s="322">
        <v>0</v>
      </c>
      <c r="O362" s="322">
        <v>0</v>
      </c>
      <c r="P362" s="322">
        <v>0</v>
      </c>
      <c r="Q362" s="322">
        <v>0</v>
      </c>
      <c r="R362" s="322">
        <v>22.6</v>
      </c>
      <c r="S362" s="9">
        <v>0</v>
      </c>
      <c r="T362" s="9">
        <f t="shared" si="5"/>
        <v>0</v>
      </c>
      <c r="U362" s="321" t="s">
        <v>968</v>
      </c>
    </row>
    <row r="363" spans="1:21" ht="12" customHeight="1">
      <c r="A363" s="327">
        <v>3</v>
      </c>
      <c r="B363" s="159" t="s">
        <v>314</v>
      </c>
      <c r="C363" s="68" t="s">
        <v>95</v>
      </c>
      <c r="D363" s="68" t="s">
        <v>307</v>
      </c>
      <c r="E363" s="321">
        <v>3</v>
      </c>
      <c r="F363" s="322">
        <v>1058</v>
      </c>
      <c r="G363" s="322">
        <v>527</v>
      </c>
      <c r="H363" s="322">
        <v>93</v>
      </c>
      <c r="I363" s="322">
        <v>64</v>
      </c>
      <c r="J363" s="322">
        <v>31</v>
      </c>
      <c r="K363" s="322">
        <v>1</v>
      </c>
      <c r="L363" s="322">
        <v>0</v>
      </c>
      <c r="M363" s="322">
        <v>0</v>
      </c>
      <c r="N363" s="322">
        <v>0</v>
      </c>
      <c r="O363" s="322">
        <v>0</v>
      </c>
      <c r="P363" s="322">
        <v>0</v>
      </c>
      <c r="Q363" s="322">
        <v>0</v>
      </c>
      <c r="R363" s="322">
        <v>34.6</v>
      </c>
      <c r="S363" s="9">
        <v>0</v>
      </c>
      <c r="T363" s="9">
        <f t="shared" si="5"/>
        <v>0</v>
      </c>
      <c r="U363" s="321" t="s">
        <v>969</v>
      </c>
    </row>
    <row r="364" spans="1:21" ht="12" customHeight="1">
      <c r="A364" s="327">
        <v>3</v>
      </c>
      <c r="B364" s="159" t="s">
        <v>314</v>
      </c>
      <c r="C364" s="68" t="s">
        <v>95</v>
      </c>
      <c r="D364" s="68" t="s">
        <v>307</v>
      </c>
      <c r="E364" s="321">
        <v>4</v>
      </c>
      <c r="F364" s="322">
        <v>1008</v>
      </c>
      <c r="G364" s="322">
        <v>524</v>
      </c>
      <c r="H364" s="322">
        <v>101</v>
      </c>
      <c r="I364" s="322">
        <v>57</v>
      </c>
      <c r="J364" s="322">
        <v>11</v>
      </c>
      <c r="K364" s="322">
        <v>2</v>
      </c>
      <c r="L364" s="322">
        <v>0</v>
      </c>
      <c r="M364" s="322">
        <v>0</v>
      </c>
      <c r="N364" s="322">
        <v>0</v>
      </c>
      <c r="O364" s="322">
        <v>0</v>
      </c>
      <c r="P364" s="322">
        <v>0</v>
      </c>
      <c r="Q364" s="322">
        <v>0</v>
      </c>
      <c r="R364" s="322">
        <v>16</v>
      </c>
      <c r="S364" s="9">
        <v>0</v>
      </c>
      <c r="T364" s="9">
        <f t="shared" si="5"/>
        <v>0</v>
      </c>
      <c r="U364" s="321" t="s">
        <v>970</v>
      </c>
    </row>
    <row r="365" spans="1:21" ht="12" customHeight="1">
      <c r="A365" s="327">
        <v>3</v>
      </c>
      <c r="B365" s="159" t="s">
        <v>314</v>
      </c>
      <c r="C365" s="68" t="s">
        <v>95</v>
      </c>
      <c r="D365" s="68" t="s">
        <v>307</v>
      </c>
      <c r="E365" s="321">
        <v>5</v>
      </c>
      <c r="F365" s="322">
        <v>1012</v>
      </c>
      <c r="G365" s="322">
        <v>524</v>
      </c>
      <c r="H365" s="322">
        <v>111</v>
      </c>
      <c r="I365" s="322">
        <v>62</v>
      </c>
      <c r="J365" s="322">
        <v>14</v>
      </c>
      <c r="K365" s="322">
        <v>0</v>
      </c>
      <c r="L365" s="322">
        <v>0</v>
      </c>
      <c r="M365" s="322">
        <v>0</v>
      </c>
      <c r="N365" s="322">
        <v>0</v>
      </c>
      <c r="O365" s="322">
        <v>0</v>
      </c>
      <c r="P365" s="322">
        <v>0</v>
      </c>
      <c r="Q365" s="322">
        <v>0</v>
      </c>
      <c r="R365" s="322">
        <v>19.3</v>
      </c>
      <c r="S365" s="9">
        <v>0</v>
      </c>
      <c r="T365" s="9">
        <f t="shared" si="5"/>
        <v>0</v>
      </c>
      <c r="U365" s="321" t="s">
        <v>971</v>
      </c>
    </row>
    <row r="366" spans="1:21" ht="12" customHeight="1">
      <c r="A366" s="328">
        <v>3</v>
      </c>
      <c r="B366" s="159" t="s">
        <v>316</v>
      </c>
      <c r="C366" s="68" t="s">
        <v>96</v>
      </c>
      <c r="D366" s="68" t="s">
        <v>308</v>
      </c>
      <c r="E366" s="323">
        <v>1</v>
      </c>
      <c r="F366" s="324">
        <v>590</v>
      </c>
      <c r="G366" s="324">
        <v>218</v>
      </c>
      <c r="H366" s="324">
        <v>7</v>
      </c>
      <c r="I366" s="324">
        <v>3</v>
      </c>
      <c r="J366" s="324">
        <v>0</v>
      </c>
      <c r="K366" s="324">
        <v>0</v>
      </c>
      <c r="L366" s="324">
        <v>0</v>
      </c>
      <c r="M366" s="324">
        <v>0</v>
      </c>
      <c r="N366" s="324">
        <v>0</v>
      </c>
      <c r="O366" s="324">
        <v>0</v>
      </c>
      <c r="P366" s="324">
        <v>0</v>
      </c>
      <c r="Q366" s="324">
        <v>0</v>
      </c>
      <c r="R366" s="324">
        <v>0.3</v>
      </c>
      <c r="S366" s="9">
        <v>1.5093682811302096E-7</v>
      </c>
      <c r="T366" s="9">
        <f t="shared" si="5"/>
        <v>4.5281048433906288E-8</v>
      </c>
      <c r="U366" s="323" t="s">
        <v>1267</v>
      </c>
    </row>
    <row r="367" spans="1:21" ht="12" customHeight="1">
      <c r="A367" s="328">
        <v>3</v>
      </c>
      <c r="B367" s="159" t="s">
        <v>316</v>
      </c>
      <c r="C367" s="68" t="s">
        <v>96</v>
      </c>
      <c r="D367" s="68" t="s">
        <v>308</v>
      </c>
      <c r="E367" s="323">
        <v>2</v>
      </c>
      <c r="F367" s="324">
        <v>646</v>
      </c>
      <c r="G367" s="324">
        <v>218</v>
      </c>
      <c r="H367" s="324">
        <v>9</v>
      </c>
      <c r="I367" s="324">
        <v>9</v>
      </c>
      <c r="J367" s="324">
        <v>5</v>
      </c>
      <c r="K367" s="324">
        <v>0</v>
      </c>
      <c r="L367" s="324">
        <v>0</v>
      </c>
      <c r="M367" s="324">
        <v>0</v>
      </c>
      <c r="N367" s="324">
        <v>0</v>
      </c>
      <c r="O367" s="324">
        <v>0</v>
      </c>
      <c r="P367" s="324">
        <v>0</v>
      </c>
      <c r="Q367" s="324">
        <v>0</v>
      </c>
      <c r="R367" s="324">
        <v>5.4</v>
      </c>
      <c r="S367" s="9">
        <v>1.5093682811302096E-7</v>
      </c>
      <c r="T367" s="9">
        <f t="shared" si="5"/>
        <v>8.1505887181031325E-7</v>
      </c>
      <c r="U367" s="323" t="s">
        <v>1268</v>
      </c>
    </row>
    <row r="368" spans="1:21" ht="12" customHeight="1">
      <c r="A368" s="328">
        <v>3</v>
      </c>
      <c r="B368" s="159" t="s">
        <v>316</v>
      </c>
      <c r="C368" s="68" t="s">
        <v>96</v>
      </c>
      <c r="D368" s="68" t="s">
        <v>308</v>
      </c>
      <c r="E368" s="323">
        <v>3</v>
      </c>
      <c r="F368" s="324">
        <v>628</v>
      </c>
      <c r="G368" s="324">
        <v>218</v>
      </c>
      <c r="H368" s="324">
        <v>7</v>
      </c>
      <c r="I368" s="324">
        <v>6</v>
      </c>
      <c r="J368" s="324">
        <v>1</v>
      </c>
      <c r="K368" s="324">
        <v>0</v>
      </c>
      <c r="L368" s="324">
        <v>0</v>
      </c>
      <c r="M368" s="324">
        <v>0</v>
      </c>
      <c r="N368" s="324">
        <v>0</v>
      </c>
      <c r="O368" s="324">
        <v>0</v>
      </c>
      <c r="P368" s="324">
        <v>0</v>
      </c>
      <c r="Q368" s="324">
        <v>0</v>
      </c>
      <c r="R368" s="324">
        <v>1.5</v>
      </c>
      <c r="S368" s="9">
        <v>1.5093682811302096E-7</v>
      </c>
      <c r="T368" s="9">
        <f t="shared" si="5"/>
        <v>2.2640524216953145E-7</v>
      </c>
      <c r="U368" s="323" t="s">
        <v>1269</v>
      </c>
    </row>
    <row r="369" spans="1:21" ht="12" customHeight="1">
      <c r="A369" s="328">
        <v>3</v>
      </c>
      <c r="B369" s="159" t="s">
        <v>316</v>
      </c>
      <c r="C369" s="68" t="s">
        <v>96</v>
      </c>
      <c r="D369" s="68" t="s">
        <v>308</v>
      </c>
      <c r="E369" s="323">
        <v>4</v>
      </c>
      <c r="F369" s="324">
        <v>698</v>
      </c>
      <c r="G369" s="324">
        <v>214</v>
      </c>
      <c r="H369" s="324">
        <v>16</v>
      </c>
      <c r="I369" s="324">
        <v>8</v>
      </c>
      <c r="J369" s="324">
        <v>3</v>
      </c>
      <c r="K369" s="324">
        <v>2</v>
      </c>
      <c r="L369" s="324">
        <v>0</v>
      </c>
      <c r="M369" s="324">
        <v>0</v>
      </c>
      <c r="N369" s="324">
        <v>0</v>
      </c>
      <c r="O369" s="324">
        <v>0</v>
      </c>
      <c r="P369" s="324">
        <v>0</v>
      </c>
      <c r="Q369" s="324">
        <v>0</v>
      </c>
      <c r="R369" s="324">
        <v>3.6</v>
      </c>
      <c r="S369" s="9">
        <v>1.5093682811302096E-7</v>
      </c>
      <c r="T369" s="9">
        <f t="shared" si="5"/>
        <v>5.4337258120687554E-7</v>
      </c>
      <c r="U369" s="323" t="s">
        <v>1270</v>
      </c>
    </row>
    <row r="370" spans="1:21" ht="12" customHeight="1">
      <c r="A370" s="328">
        <v>3</v>
      </c>
      <c r="B370" s="159" t="s">
        <v>316</v>
      </c>
      <c r="C370" s="68" t="s">
        <v>96</v>
      </c>
      <c r="D370" s="68" t="s">
        <v>308</v>
      </c>
      <c r="E370" s="323">
        <v>5</v>
      </c>
      <c r="F370" s="324">
        <v>650</v>
      </c>
      <c r="G370" s="324">
        <v>219</v>
      </c>
      <c r="H370" s="324">
        <v>8</v>
      </c>
      <c r="I370" s="324">
        <v>5</v>
      </c>
      <c r="J370" s="324">
        <v>4</v>
      </c>
      <c r="K370" s="324">
        <v>0</v>
      </c>
      <c r="L370" s="324">
        <v>0</v>
      </c>
      <c r="M370" s="324">
        <v>0</v>
      </c>
      <c r="N370" s="324">
        <v>0</v>
      </c>
      <c r="O370" s="324">
        <v>0</v>
      </c>
      <c r="P370" s="324">
        <v>0</v>
      </c>
      <c r="Q370" s="324">
        <v>0</v>
      </c>
      <c r="R370" s="324">
        <v>4.0999999999999996</v>
      </c>
      <c r="S370" s="9">
        <v>1.5093682811302096E-7</v>
      </c>
      <c r="T370" s="9">
        <f t="shared" si="5"/>
        <v>6.1884099526338591E-7</v>
      </c>
      <c r="U370" s="323" t="s">
        <v>1271</v>
      </c>
    </row>
    <row r="371" spans="1:21" ht="12" customHeight="1">
      <c r="A371" s="328">
        <v>3</v>
      </c>
      <c r="B371" s="159" t="s">
        <v>316</v>
      </c>
      <c r="C371" s="68" t="s">
        <v>96</v>
      </c>
      <c r="D371" s="68" t="s">
        <v>310</v>
      </c>
      <c r="E371" s="323">
        <v>1</v>
      </c>
      <c r="F371" s="324">
        <v>756</v>
      </c>
      <c r="G371" s="324">
        <v>218</v>
      </c>
      <c r="H371" s="324">
        <v>5</v>
      </c>
      <c r="I371" s="324">
        <v>5</v>
      </c>
      <c r="J371" s="324">
        <v>4</v>
      </c>
      <c r="K371" s="324">
        <v>1</v>
      </c>
      <c r="L371" s="324">
        <v>1</v>
      </c>
      <c r="M371" s="324">
        <v>1</v>
      </c>
      <c r="N371" s="324">
        <v>1</v>
      </c>
      <c r="O371" s="324">
        <v>0</v>
      </c>
      <c r="P371" s="324">
        <v>0</v>
      </c>
      <c r="Q371" s="324">
        <v>0</v>
      </c>
      <c r="R371" s="324">
        <v>4.0999999999999996</v>
      </c>
      <c r="S371" s="9">
        <v>1.5093546968020952E-7</v>
      </c>
      <c r="T371" s="9">
        <f t="shared" si="5"/>
        <v>6.1883542568885894E-7</v>
      </c>
      <c r="U371" s="323" t="s">
        <v>1297</v>
      </c>
    </row>
    <row r="372" spans="1:21" ht="12" customHeight="1">
      <c r="A372" s="328">
        <v>3</v>
      </c>
      <c r="B372" s="159" t="s">
        <v>316</v>
      </c>
      <c r="C372" s="68" t="s">
        <v>96</v>
      </c>
      <c r="D372" s="68" t="s">
        <v>310</v>
      </c>
      <c r="E372" s="323">
        <v>2</v>
      </c>
      <c r="F372" s="324">
        <v>738</v>
      </c>
      <c r="G372" s="324">
        <v>218</v>
      </c>
      <c r="H372" s="324">
        <v>37</v>
      </c>
      <c r="I372" s="324">
        <v>26</v>
      </c>
      <c r="J372" s="324">
        <v>10</v>
      </c>
      <c r="K372" s="324">
        <v>7</v>
      </c>
      <c r="L372" s="324">
        <v>3</v>
      </c>
      <c r="M372" s="324">
        <v>3</v>
      </c>
      <c r="N372" s="324">
        <v>2</v>
      </c>
      <c r="O372" s="324">
        <v>0</v>
      </c>
      <c r="P372" s="324">
        <v>0</v>
      </c>
      <c r="Q372" s="324">
        <v>0</v>
      </c>
      <c r="R372" s="324">
        <v>11.7</v>
      </c>
      <c r="S372" s="9">
        <v>1.5093546968020952E-7</v>
      </c>
      <c r="T372" s="9">
        <f t="shared" si="5"/>
        <v>1.7659449952584513E-6</v>
      </c>
      <c r="U372" s="323" t="s">
        <v>1298</v>
      </c>
    </row>
    <row r="373" spans="1:21" ht="12" customHeight="1">
      <c r="A373" s="328">
        <v>3</v>
      </c>
      <c r="B373" s="159" t="s">
        <v>316</v>
      </c>
      <c r="C373" s="68" t="s">
        <v>96</v>
      </c>
      <c r="D373" s="68" t="s">
        <v>310</v>
      </c>
      <c r="E373" s="323">
        <v>3</v>
      </c>
      <c r="F373" s="324">
        <v>638</v>
      </c>
      <c r="G373" s="324">
        <v>194</v>
      </c>
      <c r="H373" s="324">
        <v>12</v>
      </c>
      <c r="I373" s="324">
        <v>5</v>
      </c>
      <c r="J373" s="324">
        <v>5</v>
      </c>
      <c r="K373" s="324">
        <v>3</v>
      </c>
      <c r="L373" s="324">
        <v>0</v>
      </c>
      <c r="M373" s="324">
        <v>0</v>
      </c>
      <c r="N373" s="324">
        <v>0</v>
      </c>
      <c r="O373" s="324">
        <v>0</v>
      </c>
      <c r="P373" s="324">
        <v>0</v>
      </c>
      <c r="Q373" s="324">
        <v>0</v>
      </c>
      <c r="R373" s="324">
        <v>5.0999999999999996</v>
      </c>
      <c r="S373" s="9">
        <v>1.5093546968020952E-7</v>
      </c>
      <c r="T373" s="9">
        <f t="shared" si="5"/>
        <v>7.6977089536906846E-7</v>
      </c>
      <c r="U373" s="323" t="s">
        <v>1299</v>
      </c>
    </row>
    <row r="374" spans="1:21" ht="12" customHeight="1">
      <c r="A374" s="328">
        <v>3</v>
      </c>
      <c r="B374" s="159" t="s">
        <v>316</v>
      </c>
      <c r="C374" s="68" t="s">
        <v>96</v>
      </c>
      <c r="D374" s="68" t="s">
        <v>310</v>
      </c>
      <c r="E374" s="323">
        <v>4</v>
      </c>
      <c r="F374" s="324">
        <v>768</v>
      </c>
      <c r="G374" s="324">
        <v>221</v>
      </c>
      <c r="H374" s="324">
        <v>23</v>
      </c>
      <c r="I374" s="324">
        <v>17</v>
      </c>
      <c r="J374" s="324">
        <v>14</v>
      </c>
      <c r="K374" s="324">
        <v>10</v>
      </c>
      <c r="L374" s="324">
        <v>8</v>
      </c>
      <c r="M374" s="324">
        <v>6</v>
      </c>
      <c r="N374" s="324">
        <v>2</v>
      </c>
      <c r="O374" s="324">
        <v>0</v>
      </c>
      <c r="P374" s="324">
        <v>0</v>
      </c>
      <c r="Q374" s="324">
        <v>0</v>
      </c>
      <c r="R374" s="324">
        <v>14.4</v>
      </c>
      <c r="S374" s="9">
        <v>1.5093546968020952E-7</v>
      </c>
      <c r="T374" s="9">
        <f t="shared" si="5"/>
        <v>2.1734707633950172E-6</v>
      </c>
      <c r="U374" s="323" t="s">
        <v>1300</v>
      </c>
    </row>
    <row r="375" spans="1:21" ht="12" customHeight="1">
      <c r="A375" s="328">
        <v>3</v>
      </c>
      <c r="B375" s="159" t="s">
        <v>316</v>
      </c>
      <c r="C375" s="68" t="s">
        <v>96</v>
      </c>
      <c r="D375" s="68" t="s">
        <v>310</v>
      </c>
      <c r="E375" s="323">
        <v>5</v>
      </c>
      <c r="F375" s="324">
        <v>574</v>
      </c>
      <c r="G375" s="324">
        <v>219</v>
      </c>
      <c r="H375" s="324">
        <v>7</v>
      </c>
      <c r="I375" s="324">
        <v>4</v>
      </c>
      <c r="J375" s="324">
        <v>2</v>
      </c>
      <c r="K375" s="324">
        <v>0</v>
      </c>
      <c r="L375" s="324">
        <v>0</v>
      </c>
      <c r="M375" s="324">
        <v>0</v>
      </c>
      <c r="N375" s="324">
        <v>0</v>
      </c>
      <c r="O375" s="324">
        <v>0</v>
      </c>
      <c r="P375" s="324">
        <v>0</v>
      </c>
      <c r="Q375" s="324">
        <v>0</v>
      </c>
      <c r="R375" s="324">
        <v>2.2000000000000002</v>
      </c>
      <c r="S375" s="9">
        <v>1.5093546968020952E-7</v>
      </c>
      <c r="T375" s="9">
        <f t="shared" si="5"/>
        <v>3.3205803329646098E-7</v>
      </c>
      <c r="U375" s="323" t="s">
        <v>1301</v>
      </c>
    </row>
    <row r="376" spans="1:21" ht="12" customHeight="1">
      <c r="A376" s="328">
        <v>3</v>
      </c>
      <c r="B376" s="159" t="s">
        <v>316</v>
      </c>
      <c r="C376" s="68" t="s">
        <v>96</v>
      </c>
      <c r="D376" s="68" t="s">
        <v>309</v>
      </c>
      <c r="E376" s="323">
        <v>1</v>
      </c>
      <c r="F376" s="324">
        <v>624</v>
      </c>
      <c r="G376" s="324">
        <v>218</v>
      </c>
      <c r="H376" s="324">
        <v>5</v>
      </c>
      <c r="I376" s="324">
        <v>2</v>
      </c>
      <c r="J376" s="324">
        <v>0</v>
      </c>
      <c r="K376" s="324">
        <v>0</v>
      </c>
      <c r="L376" s="324">
        <v>0</v>
      </c>
      <c r="M376" s="324">
        <v>0</v>
      </c>
      <c r="N376" s="324">
        <v>0</v>
      </c>
      <c r="O376" s="324">
        <v>0</v>
      </c>
      <c r="P376" s="324">
        <v>0</v>
      </c>
      <c r="Q376" s="324">
        <v>0</v>
      </c>
      <c r="R376" s="324">
        <v>0.2</v>
      </c>
      <c r="S376" s="9">
        <v>1.5093682811302096E-7</v>
      </c>
      <c r="T376" s="9">
        <f t="shared" si="5"/>
        <v>3.0187365622604194E-8</v>
      </c>
      <c r="U376" s="323" t="s">
        <v>1327</v>
      </c>
    </row>
    <row r="377" spans="1:21" ht="12" customHeight="1">
      <c r="A377" s="328">
        <v>3</v>
      </c>
      <c r="B377" s="159" t="s">
        <v>316</v>
      </c>
      <c r="C377" s="68" t="s">
        <v>96</v>
      </c>
      <c r="D377" s="68" t="s">
        <v>309</v>
      </c>
      <c r="E377" s="323">
        <v>2</v>
      </c>
      <c r="F377" s="324">
        <v>648</v>
      </c>
      <c r="G377" s="324">
        <v>218</v>
      </c>
      <c r="H377" s="324">
        <v>1</v>
      </c>
      <c r="I377" s="324">
        <v>1</v>
      </c>
      <c r="J377" s="324">
        <v>1</v>
      </c>
      <c r="K377" s="324">
        <v>0</v>
      </c>
      <c r="L377" s="324">
        <v>0</v>
      </c>
      <c r="M377" s="324">
        <v>0</v>
      </c>
      <c r="N377" s="324">
        <v>0</v>
      </c>
      <c r="O377" s="324">
        <v>0</v>
      </c>
      <c r="P377" s="324">
        <v>0</v>
      </c>
      <c r="Q377" s="324">
        <v>0</v>
      </c>
      <c r="R377" s="324">
        <v>1</v>
      </c>
      <c r="S377" s="9">
        <v>1.5093682811302096E-7</v>
      </c>
      <c r="T377" s="9">
        <f t="shared" si="5"/>
        <v>1.5093682811302096E-7</v>
      </c>
      <c r="U377" s="323" t="s">
        <v>1328</v>
      </c>
    </row>
    <row r="378" spans="1:21" ht="12" customHeight="1">
      <c r="A378" s="328">
        <v>3</v>
      </c>
      <c r="B378" s="159" t="s">
        <v>316</v>
      </c>
      <c r="C378" s="68" t="s">
        <v>96</v>
      </c>
      <c r="D378" s="68" t="s">
        <v>309</v>
      </c>
      <c r="E378" s="323">
        <v>3</v>
      </c>
      <c r="F378" s="324">
        <v>602</v>
      </c>
      <c r="G378" s="324">
        <v>191</v>
      </c>
      <c r="H378" s="324">
        <v>1</v>
      </c>
      <c r="I378" s="324">
        <v>1</v>
      </c>
      <c r="J378" s="324">
        <v>0</v>
      </c>
      <c r="K378" s="324">
        <v>0</v>
      </c>
      <c r="L378" s="324">
        <v>0</v>
      </c>
      <c r="M378" s="324">
        <v>0</v>
      </c>
      <c r="N378" s="324">
        <v>0</v>
      </c>
      <c r="O378" s="324">
        <v>0</v>
      </c>
      <c r="P378" s="324">
        <v>0</v>
      </c>
      <c r="Q378" s="324">
        <v>0</v>
      </c>
      <c r="R378" s="324">
        <v>0.1</v>
      </c>
      <c r="S378" s="9">
        <v>1.5093682811302096E-7</v>
      </c>
      <c r="T378" s="9">
        <f t="shared" si="5"/>
        <v>1.5093682811302097E-8</v>
      </c>
      <c r="U378" s="323" t="s">
        <v>1329</v>
      </c>
    </row>
    <row r="379" spans="1:21" ht="12" customHeight="1">
      <c r="A379" s="328">
        <v>3</v>
      </c>
      <c r="B379" s="159" t="s">
        <v>316</v>
      </c>
      <c r="C379" s="68" t="s">
        <v>96</v>
      </c>
      <c r="D379" s="68" t="s">
        <v>309</v>
      </c>
      <c r="E379" s="323">
        <v>4</v>
      </c>
      <c r="F379" s="324">
        <v>804</v>
      </c>
      <c r="G379" s="324">
        <v>213</v>
      </c>
      <c r="H379" s="324">
        <v>2</v>
      </c>
      <c r="I379" s="324">
        <v>1</v>
      </c>
      <c r="J379" s="324">
        <v>1</v>
      </c>
      <c r="K379" s="324">
        <v>1</v>
      </c>
      <c r="L379" s="324">
        <v>1</v>
      </c>
      <c r="M379" s="324">
        <v>1</v>
      </c>
      <c r="N379" s="324">
        <v>0</v>
      </c>
      <c r="O379" s="324">
        <v>0</v>
      </c>
      <c r="P379" s="324">
        <v>0</v>
      </c>
      <c r="Q379" s="324">
        <v>0</v>
      </c>
      <c r="R379" s="324">
        <v>1</v>
      </c>
      <c r="S379" s="9">
        <v>1.5093682811302096E-7</v>
      </c>
      <c r="T379" s="9">
        <f t="shared" si="5"/>
        <v>1.5093682811302096E-7</v>
      </c>
      <c r="U379" s="323" t="s">
        <v>1330</v>
      </c>
    </row>
    <row r="380" spans="1:21" ht="12" customHeight="1">
      <c r="A380" s="328">
        <v>3</v>
      </c>
      <c r="B380" s="159" t="s">
        <v>316</v>
      </c>
      <c r="C380" s="68" t="s">
        <v>96</v>
      </c>
      <c r="D380" s="68" t="s">
        <v>309</v>
      </c>
      <c r="E380" s="323">
        <v>5</v>
      </c>
      <c r="F380" s="324">
        <v>442</v>
      </c>
      <c r="G380" s="324">
        <v>220</v>
      </c>
      <c r="H380" s="324">
        <v>0</v>
      </c>
      <c r="I380" s="324">
        <v>0</v>
      </c>
      <c r="J380" s="324">
        <v>0</v>
      </c>
      <c r="K380" s="324">
        <v>0</v>
      </c>
      <c r="L380" s="324">
        <v>0</v>
      </c>
      <c r="M380" s="324">
        <v>0</v>
      </c>
      <c r="N380" s="324">
        <v>0</v>
      </c>
      <c r="O380" s="324">
        <v>0</v>
      </c>
      <c r="P380" s="324">
        <v>0</v>
      </c>
      <c r="Q380" s="324">
        <v>0</v>
      </c>
      <c r="R380" s="324">
        <v>0</v>
      </c>
      <c r="S380" s="9">
        <v>1.5093682811302096E-7</v>
      </c>
      <c r="T380" s="9">
        <f t="shared" si="5"/>
        <v>0</v>
      </c>
      <c r="U380" s="323" t="s">
        <v>1331</v>
      </c>
    </row>
    <row r="381" spans="1:21" ht="12" customHeight="1">
      <c r="A381" s="328">
        <v>3</v>
      </c>
      <c r="B381" s="159" t="s">
        <v>316</v>
      </c>
      <c r="C381" s="68" t="s">
        <v>96</v>
      </c>
      <c r="D381" s="68" t="s">
        <v>307</v>
      </c>
      <c r="E381" s="323">
        <v>1</v>
      </c>
      <c r="F381" s="324">
        <v>452</v>
      </c>
      <c r="G381" s="324">
        <v>221</v>
      </c>
      <c r="H381" s="324">
        <v>0</v>
      </c>
      <c r="I381" s="324">
        <v>0</v>
      </c>
      <c r="J381" s="324">
        <v>0</v>
      </c>
      <c r="K381" s="324">
        <v>0</v>
      </c>
      <c r="L381" s="324">
        <v>0</v>
      </c>
      <c r="M381" s="324">
        <v>0</v>
      </c>
      <c r="N381" s="324">
        <v>0</v>
      </c>
      <c r="O381" s="324">
        <v>0</v>
      </c>
      <c r="P381" s="324">
        <v>0</v>
      </c>
      <c r="Q381" s="324">
        <v>0</v>
      </c>
      <c r="R381" s="324">
        <v>0</v>
      </c>
      <c r="S381" s="9">
        <v>4.0752984343500006E-6</v>
      </c>
      <c r="T381" s="9">
        <f t="shared" si="5"/>
        <v>0</v>
      </c>
      <c r="U381" s="323" t="s">
        <v>1357</v>
      </c>
    </row>
    <row r="382" spans="1:21" ht="12" customHeight="1">
      <c r="A382" s="328">
        <v>3</v>
      </c>
      <c r="B382" s="159" t="s">
        <v>316</v>
      </c>
      <c r="C382" s="68" t="s">
        <v>96</v>
      </c>
      <c r="D382" s="68" t="s">
        <v>307</v>
      </c>
      <c r="E382" s="323">
        <v>2</v>
      </c>
      <c r="F382" s="324">
        <v>456</v>
      </c>
      <c r="G382" s="324">
        <v>219</v>
      </c>
      <c r="H382" s="324">
        <v>0</v>
      </c>
      <c r="I382" s="324">
        <v>0</v>
      </c>
      <c r="J382" s="324">
        <v>0</v>
      </c>
      <c r="K382" s="324">
        <v>0</v>
      </c>
      <c r="L382" s="324">
        <v>0</v>
      </c>
      <c r="M382" s="324">
        <v>0</v>
      </c>
      <c r="N382" s="324">
        <v>0</v>
      </c>
      <c r="O382" s="324">
        <v>0</v>
      </c>
      <c r="P382" s="324">
        <v>0</v>
      </c>
      <c r="Q382" s="324">
        <v>0</v>
      </c>
      <c r="R382" s="324">
        <v>0</v>
      </c>
      <c r="S382" s="9">
        <v>4.0752984343500006E-6</v>
      </c>
      <c r="T382" s="9">
        <f t="shared" si="5"/>
        <v>0</v>
      </c>
      <c r="U382" s="323" t="s">
        <v>1358</v>
      </c>
    </row>
    <row r="383" spans="1:21" ht="12" customHeight="1">
      <c r="A383" s="328">
        <v>3</v>
      </c>
      <c r="B383" s="159" t="s">
        <v>316</v>
      </c>
      <c r="C383" s="68" t="s">
        <v>96</v>
      </c>
      <c r="D383" s="68" t="s">
        <v>307</v>
      </c>
      <c r="E383" s="323">
        <v>3</v>
      </c>
      <c r="F383" s="324">
        <v>446</v>
      </c>
      <c r="G383" s="324">
        <v>218</v>
      </c>
      <c r="H383" s="324">
        <v>0</v>
      </c>
      <c r="I383" s="324">
        <v>0</v>
      </c>
      <c r="J383" s="324">
        <v>0</v>
      </c>
      <c r="K383" s="324">
        <v>0</v>
      </c>
      <c r="L383" s="324">
        <v>0</v>
      </c>
      <c r="M383" s="324">
        <v>0</v>
      </c>
      <c r="N383" s="324">
        <v>0</v>
      </c>
      <c r="O383" s="324">
        <v>0</v>
      </c>
      <c r="P383" s="324">
        <v>0</v>
      </c>
      <c r="Q383" s="324">
        <v>0</v>
      </c>
      <c r="R383" s="324">
        <v>0</v>
      </c>
      <c r="S383" s="9">
        <v>4.0752984343500006E-6</v>
      </c>
      <c r="T383" s="9">
        <f t="shared" si="5"/>
        <v>0</v>
      </c>
      <c r="U383" s="323" t="s">
        <v>1359</v>
      </c>
    </row>
    <row r="384" spans="1:21" ht="12" customHeight="1">
      <c r="A384" s="328">
        <v>3</v>
      </c>
      <c r="B384" s="159" t="s">
        <v>316</v>
      </c>
      <c r="C384" s="68" t="s">
        <v>96</v>
      </c>
      <c r="D384" s="68" t="s">
        <v>307</v>
      </c>
      <c r="E384" s="323">
        <v>4</v>
      </c>
      <c r="F384" s="324">
        <v>510</v>
      </c>
      <c r="G384" s="324">
        <v>218</v>
      </c>
      <c r="H384" s="324">
        <v>0</v>
      </c>
      <c r="I384" s="324">
        <v>0</v>
      </c>
      <c r="J384" s="324">
        <v>0</v>
      </c>
      <c r="K384" s="324">
        <v>0</v>
      </c>
      <c r="L384" s="324">
        <v>0</v>
      </c>
      <c r="M384" s="324">
        <v>0</v>
      </c>
      <c r="N384" s="324">
        <v>0</v>
      </c>
      <c r="O384" s="324">
        <v>0</v>
      </c>
      <c r="P384" s="324">
        <v>0</v>
      </c>
      <c r="Q384" s="324">
        <v>0</v>
      </c>
      <c r="R384" s="324">
        <v>0</v>
      </c>
      <c r="S384" s="9">
        <v>4.0752984343500006E-6</v>
      </c>
      <c r="T384" s="9">
        <f t="shared" si="5"/>
        <v>0</v>
      </c>
      <c r="U384" s="323" t="s">
        <v>1360</v>
      </c>
    </row>
    <row r="385" spans="1:21" ht="12" customHeight="1">
      <c r="A385" s="328">
        <v>3</v>
      </c>
      <c r="B385" s="159" t="s">
        <v>316</v>
      </c>
      <c r="C385" s="68" t="s">
        <v>96</v>
      </c>
      <c r="D385" s="68" t="s">
        <v>307</v>
      </c>
      <c r="E385" s="323">
        <v>5</v>
      </c>
      <c r="F385" s="324">
        <v>494</v>
      </c>
      <c r="G385" s="324">
        <v>218</v>
      </c>
      <c r="H385" s="324">
        <v>0</v>
      </c>
      <c r="I385" s="324">
        <v>0</v>
      </c>
      <c r="J385" s="324">
        <v>0</v>
      </c>
      <c r="K385" s="324">
        <v>0</v>
      </c>
      <c r="L385" s="324">
        <v>0</v>
      </c>
      <c r="M385" s="324">
        <v>0</v>
      </c>
      <c r="N385" s="324">
        <v>0</v>
      </c>
      <c r="O385" s="324">
        <v>0</v>
      </c>
      <c r="P385" s="324">
        <v>0</v>
      </c>
      <c r="Q385" s="324">
        <v>0</v>
      </c>
      <c r="R385" s="324">
        <v>0</v>
      </c>
      <c r="S385" s="9">
        <v>4.0752984343500006E-6</v>
      </c>
      <c r="T385" s="9">
        <f t="shared" si="5"/>
        <v>0</v>
      </c>
      <c r="U385" s="323" t="s">
        <v>1361</v>
      </c>
    </row>
    <row r="386" spans="1:21" ht="12" customHeight="1">
      <c r="A386" s="329">
        <v>3</v>
      </c>
      <c r="B386" s="159" t="s">
        <v>316</v>
      </c>
      <c r="C386" s="68" t="s">
        <v>95</v>
      </c>
      <c r="D386" s="68" t="s">
        <v>308</v>
      </c>
      <c r="E386" s="330">
        <v>1</v>
      </c>
      <c r="F386" s="326">
        <v>742</v>
      </c>
      <c r="G386" s="326">
        <v>524</v>
      </c>
      <c r="H386" s="326">
        <v>15</v>
      </c>
      <c r="I386" s="326">
        <v>7</v>
      </c>
      <c r="J386" s="326">
        <v>0</v>
      </c>
      <c r="K386" s="326">
        <v>0</v>
      </c>
      <c r="L386" s="326">
        <v>0</v>
      </c>
      <c r="M386" s="326">
        <v>0</v>
      </c>
      <c r="N386" s="326">
        <v>0</v>
      </c>
      <c r="O386" s="326">
        <v>0</v>
      </c>
      <c r="P386" s="326">
        <v>0</v>
      </c>
      <c r="Q386" s="326">
        <v>0</v>
      </c>
      <c r="R386" s="326">
        <v>0.8</v>
      </c>
      <c r="S386" s="9">
        <v>1.5246144253840504E-9</v>
      </c>
      <c r="T386" s="9">
        <f t="shared" si="5"/>
        <v>1.2196915403072403E-9</v>
      </c>
      <c r="U386" s="325" t="s">
        <v>1117</v>
      </c>
    </row>
    <row r="387" spans="1:21" ht="12" customHeight="1">
      <c r="A387" s="329">
        <v>3</v>
      </c>
      <c r="B387" s="159" t="s">
        <v>316</v>
      </c>
      <c r="C387" s="68" t="s">
        <v>95</v>
      </c>
      <c r="D387" s="68" t="s">
        <v>308</v>
      </c>
      <c r="E387" s="330">
        <v>2</v>
      </c>
      <c r="F387" s="326">
        <v>746</v>
      </c>
      <c r="G387" s="326">
        <v>524</v>
      </c>
      <c r="H387" s="326">
        <v>33</v>
      </c>
      <c r="I387" s="326">
        <v>16</v>
      </c>
      <c r="J387" s="326">
        <v>3</v>
      </c>
      <c r="K387" s="326">
        <v>0</v>
      </c>
      <c r="L387" s="326">
        <v>0</v>
      </c>
      <c r="M387" s="326">
        <v>0</v>
      </c>
      <c r="N387" s="326">
        <v>0</v>
      </c>
      <c r="O387" s="326">
        <v>0</v>
      </c>
      <c r="P387" s="326">
        <v>0</v>
      </c>
      <c r="Q387" s="326">
        <v>0</v>
      </c>
      <c r="R387" s="326">
        <v>4.5</v>
      </c>
      <c r="S387" s="9">
        <v>1.5246144253840504E-9</v>
      </c>
      <c r="T387" s="9">
        <f t="shared" si="5"/>
        <v>6.8607649142282267E-9</v>
      </c>
      <c r="U387" s="325" t="s">
        <v>1118</v>
      </c>
    </row>
    <row r="388" spans="1:21" ht="12" customHeight="1">
      <c r="A388" s="329">
        <v>3</v>
      </c>
      <c r="B388" s="159" t="s">
        <v>316</v>
      </c>
      <c r="C388" s="68" t="s">
        <v>95</v>
      </c>
      <c r="D388" s="68" t="s">
        <v>308</v>
      </c>
      <c r="E388" s="330">
        <v>3</v>
      </c>
      <c r="F388" s="326">
        <v>754</v>
      </c>
      <c r="G388" s="326">
        <v>524</v>
      </c>
      <c r="H388" s="326">
        <v>18</v>
      </c>
      <c r="I388" s="326">
        <v>4</v>
      </c>
      <c r="J388" s="326">
        <v>0</v>
      </c>
      <c r="K388" s="326">
        <v>0</v>
      </c>
      <c r="L388" s="326">
        <v>0</v>
      </c>
      <c r="M388" s="326">
        <v>0</v>
      </c>
      <c r="N388" s="326">
        <v>0</v>
      </c>
      <c r="O388" s="326">
        <v>0</v>
      </c>
      <c r="P388" s="326">
        <v>0</v>
      </c>
      <c r="Q388" s="326">
        <v>0</v>
      </c>
      <c r="R388" s="326">
        <v>0.5</v>
      </c>
      <c r="S388" s="9">
        <v>1.5246144253840504E-9</v>
      </c>
      <c r="T388" s="9">
        <f t="shared" si="5"/>
        <v>7.6230721269202519E-10</v>
      </c>
      <c r="U388" s="325" t="s">
        <v>1119</v>
      </c>
    </row>
    <row r="389" spans="1:21" ht="12" customHeight="1">
      <c r="A389" s="329">
        <v>3</v>
      </c>
      <c r="B389" s="159" t="s">
        <v>316</v>
      </c>
      <c r="C389" s="68" t="s">
        <v>95</v>
      </c>
      <c r="D389" s="68" t="s">
        <v>308</v>
      </c>
      <c r="E389" s="330">
        <v>4</v>
      </c>
      <c r="F389" s="326">
        <v>828</v>
      </c>
      <c r="G389" s="326">
        <v>524</v>
      </c>
      <c r="H389" s="326">
        <v>35</v>
      </c>
      <c r="I389" s="326">
        <v>7</v>
      </c>
      <c r="J389" s="326">
        <v>1</v>
      </c>
      <c r="K389" s="326">
        <v>0</v>
      </c>
      <c r="L389" s="326">
        <v>0</v>
      </c>
      <c r="M389" s="326">
        <v>0</v>
      </c>
      <c r="N389" s="326">
        <v>0</v>
      </c>
      <c r="O389" s="326">
        <v>0</v>
      </c>
      <c r="P389" s="326">
        <v>0</v>
      </c>
      <c r="Q389" s="326">
        <v>0</v>
      </c>
      <c r="R389" s="326">
        <v>1.9</v>
      </c>
      <c r="S389" s="9">
        <v>1.5246144253840504E-9</v>
      </c>
      <c r="T389" s="9">
        <f t="shared" si="5"/>
        <v>2.8967674082296957E-9</v>
      </c>
      <c r="U389" s="325" t="s">
        <v>1120</v>
      </c>
    </row>
    <row r="390" spans="1:21" ht="12" customHeight="1">
      <c r="A390" s="329">
        <v>3</v>
      </c>
      <c r="B390" s="159" t="s">
        <v>316</v>
      </c>
      <c r="C390" s="68" t="s">
        <v>95</v>
      </c>
      <c r="D390" s="68" t="s">
        <v>308</v>
      </c>
      <c r="E390" s="330">
        <v>5</v>
      </c>
      <c r="F390" s="326">
        <v>710</v>
      </c>
      <c r="G390" s="326">
        <v>525</v>
      </c>
      <c r="H390" s="326">
        <v>30</v>
      </c>
      <c r="I390" s="326">
        <v>11</v>
      </c>
      <c r="J390" s="326">
        <v>1</v>
      </c>
      <c r="K390" s="326">
        <v>0</v>
      </c>
      <c r="L390" s="326">
        <v>0</v>
      </c>
      <c r="M390" s="326">
        <v>0</v>
      </c>
      <c r="N390" s="326">
        <v>0</v>
      </c>
      <c r="O390" s="326">
        <v>0</v>
      </c>
      <c r="P390" s="326">
        <v>0</v>
      </c>
      <c r="Q390" s="326">
        <v>0</v>
      </c>
      <c r="R390" s="326">
        <v>2.2000000000000002</v>
      </c>
      <c r="S390" s="9">
        <v>1.5246144253840504E-9</v>
      </c>
      <c r="T390" s="9">
        <f t="shared" ref="T390:T453" si="6">S390*R390</f>
        <v>3.3541517358449112E-9</v>
      </c>
      <c r="U390" s="325" t="s">
        <v>1121</v>
      </c>
    </row>
    <row r="391" spans="1:21" ht="12" customHeight="1">
      <c r="A391" s="329">
        <v>3</v>
      </c>
      <c r="B391" s="159" t="s">
        <v>316</v>
      </c>
      <c r="C391" s="68" t="s">
        <v>95</v>
      </c>
      <c r="D391" s="68" t="s">
        <v>310</v>
      </c>
      <c r="E391" s="330">
        <v>1</v>
      </c>
      <c r="F391" s="326">
        <v>856</v>
      </c>
      <c r="G391" s="326">
        <v>519</v>
      </c>
      <c r="H391" s="326">
        <v>80</v>
      </c>
      <c r="I391" s="326">
        <v>52</v>
      </c>
      <c r="J391" s="326">
        <v>32</v>
      </c>
      <c r="K391" s="326">
        <v>26</v>
      </c>
      <c r="L391" s="326">
        <v>24</v>
      </c>
      <c r="M391" s="326">
        <v>19</v>
      </c>
      <c r="N391" s="326">
        <v>10</v>
      </c>
      <c r="O391" s="326">
        <v>9</v>
      </c>
      <c r="P391" s="326">
        <v>6</v>
      </c>
      <c r="Q391" s="326">
        <v>5</v>
      </c>
      <c r="R391" s="326">
        <v>34.299999999999997</v>
      </c>
      <c r="S391" s="9">
        <v>1.5246007038405004E-9</v>
      </c>
      <c r="T391" s="9">
        <f t="shared" si="6"/>
        <v>5.2293804141729161E-8</v>
      </c>
      <c r="U391" s="325" t="s">
        <v>1147</v>
      </c>
    </row>
    <row r="392" spans="1:21" ht="12" customHeight="1">
      <c r="A392" s="329">
        <v>3</v>
      </c>
      <c r="B392" s="159" t="s">
        <v>316</v>
      </c>
      <c r="C392" s="68" t="s">
        <v>95</v>
      </c>
      <c r="D392" s="68" t="s">
        <v>310</v>
      </c>
      <c r="E392" s="330">
        <v>2</v>
      </c>
      <c r="F392" s="326">
        <v>874</v>
      </c>
      <c r="G392" s="326">
        <v>525</v>
      </c>
      <c r="H392" s="326">
        <v>151</v>
      </c>
      <c r="I392" s="326">
        <v>124</v>
      </c>
      <c r="J392" s="326">
        <v>96</v>
      </c>
      <c r="K392" s="326">
        <v>76</v>
      </c>
      <c r="L392" s="326">
        <v>51</v>
      </c>
      <c r="M392" s="326">
        <v>30</v>
      </c>
      <c r="N392" s="326">
        <v>20</v>
      </c>
      <c r="O392" s="326">
        <v>11</v>
      </c>
      <c r="P392" s="326">
        <v>7</v>
      </c>
      <c r="Q392" s="326">
        <v>3</v>
      </c>
      <c r="R392" s="326">
        <v>99.1</v>
      </c>
      <c r="S392" s="9">
        <v>1.5246007038405004E-9</v>
      </c>
      <c r="T392" s="9">
        <f t="shared" si="6"/>
        <v>1.5108792975059358E-7</v>
      </c>
      <c r="U392" s="325" t="s">
        <v>1148</v>
      </c>
    </row>
    <row r="393" spans="1:21" ht="12" customHeight="1">
      <c r="A393" s="329">
        <v>3</v>
      </c>
      <c r="B393" s="159" t="s">
        <v>316</v>
      </c>
      <c r="C393" s="68" t="s">
        <v>95</v>
      </c>
      <c r="D393" s="68" t="s">
        <v>310</v>
      </c>
      <c r="E393" s="330">
        <v>3</v>
      </c>
      <c r="F393" s="326">
        <v>872</v>
      </c>
      <c r="G393" s="326">
        <v>524</v>
      </c>
      <c r="H393" s="326">
        <v>176</v>
      </c>
      <c r="I393" s="326">
        <v>141</v>
      </c>
      <c r="J393" s="326">
        <v>112</v>
      </c>
      <c r="K393" s="326">
        <v>73</v>
      </c>
      <c r="L393" s="326">
        <v>40</v>
      </c>
      <c r="M393" s="326">
        <v>19</v>
      </c>
      <c r="N393" s="326">
        <v>13</v>
      </c>
      <c r="O393" s="326">
        <v>8</v>
      </c>
      <c r="P393" s="326">
        <v>6</v>
      </c>
      <c r="Q393" s="326">
        <v>2</v>
      </c>
      <c r="R393" s="326">
        <v>115.3</v>
      </c>
      <c r="S393" s="9">
        <v>1.5246007038405004E-9</v>
      </c>
      <c r="T393" s="9">
        <f t="shared" si="6"/>
        <v>1.7578646115280971E-7</v>
      </c>
      <c r="U393" s="325" t="s">
        <v>1149</v>
      </c>
    </row>
    <row r="394" spans="1:21" ht="12" customHeight="1">
      <c r="A394" s="329">
        <v>3</v>
      </c>
      <c r="B394" s="159" t="s">
        <v>316</v>
      </c>
      <c r="C394" s="68" t="s">
        <v>95</v>
      </c>
      <c r="D394" s="68" t="s">
        <v>310</v>
      </c>
      <c r="E394" s="330">
        <v>4</v>
      </c>
      <c r="F394" s="326">
        <v>866</v>
      </c>
      <c r="G394" s="326">
        <v>524</v>
      </c>
      <c r="H394" s="326">
        <v>103</v>
      </c>
      <c r="I394" s="326">
        <v>82</v>
      </c>
      <c r="J394" s="326">
        <v>68</v>
      </c>
      <c r="K394" s="326">
        <v>55</v>
      </c>
      <c r="L394" s="326">
        <v>44</v>
      </c>
      <c r="M394" s="326">
        <v>39</v>
      </c>
      <c r="N394" s="326">
        <v>30</v>
      </c>
      <c r="O394" s="326">
        <v>21</v>
      </c>
      <c r="P394" s="326">
        <v>17</v>
      </c>
      <c r="Q394" s="326">
        <v>13</v>
      </c>
      <c r="R394" s="326">
        <v>69.599999999999994</v>
      </c>
      <c r="S394" s="9">
        <v>1.5246007038405004E-9</v>
      </c>
      <c r="T394" s="9">
        <f t="shared" si="6"/>
        <v>1.0611220898729882E-7</v>
      </c>
      <c r="U394" s="325" t="s">
        <v>1150</v>
      </c>
    </row>
    <row r="395" spans="1:21" ht="12" customHeight="1">
      <c r="A395" s="329">
        <v>3</v>
      </c>
      <c r="B395" s="159" t="s">
        <v>316</v>
      </c>
      <c r="C395" s="68" t="s">
        <v>95</v>
      </c>
      <c r="D395" s="68" t="s">
        <v>310</v>
      </c>
      <c r="E395" s="330">
        <v>5</v>
      </c>
      <c r="F395" s="326">
        <v>872</v>
      </c>
      <c r="G395" s="326">
        <v>501</v>
      </c>
      <c r="H395" s="326">
        <v>141</v>
      </c>
      <c r="I395" s="326">
        <v>128</v>
      </c>
      <c r="J395" s="326">
        <v>115</v>
      </c>
      <c r="K395" s="326">
        <v>101</v>
      </c>
      <c r="L395" s="326">
        <v>71</v>
      </c>
      <c r="M395" s="326">
        <v>54</v>
      </c>
      <c r="N395" s="326">
        <v>40</v>
      </c>
      <c r="O395" s="326">
        <v>32</v>
      </c>
      <c r="P395" s="326">
        <v>26</v>
      </c>
      <c r="Q395" s="326">
        <v>7</v>
      </c>
      <c r="R395" s="326">
        <v>116.4</v>
      </c>
      <c r="S395" s="9">
        <v>1.5246007038405004E-9</v>
      </c>
      <c r="T395" s="9">
        <f t="shared" si="6"/>
        <v>1.7746352192703425E-7</v>
      </c>
      <c r="U395" s="325" t="s">
        <v>1151</v>
      </c>
    </row>
    <row r="396" spans="1:21" ht="12" customHeight="1">
      <c r="A396" s="329">
        <v>3</v>
      </c>
      <c r="B396" s="159" t="s">
        <v>316</v>
      </c>
      <c r="C396" s="68" t="s">
        <v>95</v>
      </c>
      <c r="D396" s="68" t="s">
        <v>309</v>
      </c>
      <c r="E396" s="330">
        <v>1</v>
      </c>
      <c r="F396" s="326">
        <v>912</v>
      </c>
      <c r="G396" s="326">
        <v>524</v>
      </c>
      <c r="H396" s="326">
        <v>204</v>
      </c>
      <c r="I396" s="326">
        <v>188</v>
      </c>
      <c r="J396" s="326">
        <v>168</v>
      </c>
      <c r="K396" s="326">
        <v>141</v>
      </c>
      <c r="L396" s="326">
        <v>138</v>
      </c>
      <c r="M396" s="326">
        <v>131</v>
      </c>
      <c r="N396" s="326">
        <v>109</v>
      </c>
      <c r="O396" s="326">
        <v>60</v>
      </c>
      <c r="P396" s="326">
        <v>49</v>
      </c>
      <c r="Q396" s="326">
        <v>43</v>
      </c>
      <c r="R396" s="326">
        <v>170.2</v>
      </c>
      <c r="S396" s="9">
        <v>1.5246144253840504E-9</v>
      </c>
      <c r="T396" s="9">
        <f t="shared" si="6"/>
        <v>2.5948937520036534E-7</v>
      </c>
      <c r="U396" s="325" t="s">
        <v>1177</v>
      </c>
    </row>
    <row r="397" spans="1:21" ht="12" customHeight="1">
      <c r="A397" s="329">
        <v>3</v>
      </c>
      <c r="B397" s="159" t="s">
        <v>316</v>
      </c>
      <c r="C397" s="68" t="s">
        <v>95</v>
      </c>
      <c r="D397" s="68" t="s">
        <v>309</v>
      </c>
      <c r="E397" s="330">
        <v>2</v>
      </c>
      <c r="F397" s="326">
        <v>914</v>
      </c>
      <c r="G397" s="326">
        <v>525</v>
      </c>
      <c r="H397" s="326">
        <v>126</v>
      </c>
      <c r="I397" s="326">
        <v>113</v>
      </c>
      <c r="J397" s="326">
        <v>101</v>
      </c>
      <c r="K397" s="326">
        <v>89</v>
      </c>
      <c r="L397" s="326">
        <v>84</v>
      </c>
      <c r="M397" s="326">
        <v>78</v>
      </c>
      <c r="N397" s="326">
        <v>65</v>
      </c>
      <c r="O397" s="326">
        <v>51</v>
      </c>
      <c r="P397" s="326">
        <v>49</v>
      </c>
      <c r="Q397" s="326">
        <v>35</v>
      </c>
      <c r="R397" s="326">
        <v>102.3</v>
      </c>
      <c r="S397" s="9">
        <v>1.5246144253840504E-9</v>
      </c>
      <c r="T397" s="9">
        <f t="shared" si="6"/>
        <v>1.5596805571678834E-7</v>
      </c>
      <c r="U397" s="325" t="s">
        <v>1178</v>
      </c>
    </row>
    <row r="398" spans="1:21" ht="12" customHeight="1">
      <c r="A398" s="329">
        <v>3</v>
      </c>
      <c r="B398" s="159" t="s">
        <v>316</v>
      </c>
      <c r="C398" s="68" t="s">
        <v>95</v>
      </c>
      <c r="D398" s="68" t="s">
        <v>309</v>
      </c>
      <c r="E398" s="330">
        <v>3</v>
      </c>
      <c r="F398" s="326">
        <v>906</v>
      </c>
      <c r="G398" s="326">
        <v>524</v>
      </c>
      <c r="H398" s="326">
        <v>164</v>
      </c>
      <c r="I398" s="326">
        <v>138</v>
      </c>
      <c r="J398" s="326">
        <v>124</v>
      </c>
      <c r="K398" s="326">
        <v>109</v>
      </c>
      <c r="L398" s="326">
        <v>95</v>
      </c>
      <c r="M398" s="326">
        <v>76</v>
      </c>
      <c r="N398" s="326">
        <v>68</v>
      </c>
      <c r="O398" s="326">
        <v>57</v>
      </c>
      <c r="P398" s="326">
        <v>47</v>
      </c>
      <c r="Q398" s="326">
        <v>44</v>
      </c>
      <c r="R398" s="326">
        <v>125.7</v>
      </c>
      <c r="S398" s="9">
        <v>1.5246144253840504E-9</v>
      </c>
      <c r="T398" s="9">
        <f t="shared" si="6"/>
        <v>1.9164403327077513E-7</v>
      </c>
      <c r="U398" s="325" t="s">
        <v>1179</v>
      </c>
    </row>
    <row r="399" spans="1:21" ht="12" customHeight="1">
      <c r="A399" s="329">
        <v>3</v>
      </c>
      <c r="B399" s="159" t="s">
        <v>316</v>
      </c>
      <c r="C399" s="68" t="s">
        <v>95</v>
      </c>
      <c r="D399" s="68" t="s">
        <v>309</v>
      </c>
      <c r="E399" s="330">
        <v>4</v>
      </c>
      <c r="F399" s="326">
        <v>912</v>
      </c>
      <c r="G399" s="326">
        <v>519</v>
      </c>
      <c r="H399" s="326">
        <v>114</v>
      </c>
      <c r="I399" s="326">
        <v>100</v>
      </c>
      <c r="J399" s="326">
        <v>94</v>
      </c>
      <c r="K399" s="326">
        <v>90</v>
      </c>
      <c r="L399" s="326">
        <v>83</v>
      </c>
      <c r="M399" s="326">
        <v>76</v>
      </c>
      <c r="N399" s="326">
        <v>71</v>
      </c>
      <c r="O399" s="326">
        <v>58</v>
      </c>
      <c r="P399" s="326">
        <v>50</v>
      </c>
      <c r="Q399" s="326">
        <v>48</v>
      </c>
      <c r="R399" s="326">
        <v>94.7</v>
      </c>
      <c r="S399" s="9">
        <v>1.5246144253840504E-9</v>
      </c>
      <c r="T399" s="9">
        <f t="shared" si="6"/>
        <v>1.4438098608386958E-7</v>
      </c>
      <c r="U399" s="325" t="s">
        <v>1180</v>
      </c>
    </row>
    <row r="400" spans="1:21" ht="12" customHeight="1">
      <c r="A400" s="329">
        <v>3</v>
      </c>
      <c r="B400" s="159" t="s">
        <v>316</v>
      </c>
      <c r="C400" s="68" t="s">
        <v>95</v>
      </c>
      <c r="D400" s="68" t="s">
        <v>309</v>
      </c>
      <c r="E400" s="330">
        <v>5</v>
      </c>
      <c r="F400" s="326">
        <v>908</v>
      </c>
      <c r="G400" s="326">
        <v>524</v>
      </c>
      <c r="H400" s="326">
        <v>169</v>
      </c>
      <c r="I400" s="326">
        <v>150</v>
      </c>
      <c r="J400" s="326">
        <v>137</v>
      </c>
      <c r="K400" s="326">
        <v>131</v>
      </c>
      <c r="L400" s="326">
        <v>116</v>
      </c>
      <c r="M400" s="326">
        <v>83</v>
      </c>
      <c r="N400" s="326">
        <v>65</v>
      </c>
      <c r="O400" s="326">
        <v>57</v>
      </c>
      <c r="P400" s="326">
        <v>44</v>
      </c>
      <c r="Q400" s="326">
        <v>36</v>
      </c>
      <c r="R400" s="326">
        <v>138.5</v>
      </c>
      <c r="S400" s="9">
        <v>1.5246144253840504E-9</v>
      </c>
      <c r="T400" s="9">
        <f t="shared" si="6"/>
        <v>2.1115909791569098E-7</v>
      </c>
      <c r="U400" s="325" t="s">
        <v>1181</v>
      </c>
    </row>
    <row r="401" spans="1:21" ht="12" customHeight="1">
      <c r="A401" s="329">
        <v>3</v>
      </c>
      <c r="B401" s="159" t="s">
        <v>316</v>
      </c>
      <c r="C401" s="68" t="s">
        <v>95</v>
      </c>
      <c r="D401" s="68" t="s">
        <v>311</v>
      </c>
      <c r="E401" s="330">
        <v>1</v>
      </c>
      <c r="F401" s="326">
        <v>838</v>
      </c>
      <c r="G401" s="326">
        <v>524</v>
      </c>
      <c r="H401" s="326">
        <v>116</v>
      </c>
      <c r="I401" s="326">
        <v>94</v>
      </c>
      <c r="J401" s="326">
        <v>78</v>
      </c>
      <c r="K401" s="326">
        <v>50</v>
      </c>
      <c r="L401" s="326">
        <v>34</v>
      </c>
      <c r="M401" s="326">
        <v>23</v>
      </c>
      <c r="N401" s="326">
        <v>9</v>
      </c>
      <c r="O401" s="326">
        <v>5</v>
      </c>
      <c r="P401" s="326">
        <v>1</v>
      </c>
      <c r="Q401" s="326">
        <v>0</v>
      </c>
      <c r="R401" s="326">
        <v>79.8</v>
      </c>
      <c r="S401" s="9">
        <v>4.1164630650000014E-8</v>
      </c>
      <c r="T401" s="9">
        <f t="shared" si="6"/>
        <v>3.2849375258700008E-6</v>
      </c>
      <c r="U401" s="325" t="s">
        <v>1207</v>
      </c>
    </row>
    <row r="402" spans="1:21" ht="12" customHeight="1">
      <c r="A402" s="329">
        <v>3</v>
      </c>
      <c r="B402" s="159" t="s">
        <v>316</v>
      </c>
      <c r="C402" s="68" t="s">
        <v>95</v>
      </c>
      <c r="D402" s="68" t="s">
        <v>311</v>
      </c>
      <c r="E402" s="330">
        <v>2</v>
      </c>
      <c r="F402" s="326">
        <v>866</v>
      </c>
      <c r="G402" s="326">
        <v>524</v>
      </c>
      <c r="H402" s="326">
        <v>66</v>
      </c>
      <c r="I402" s="326">
        <v>49</v>
      </c>
      <c r="J402" s="326">
        <v>33</v>
      </c>
      <c r="K402" s="326">
        <v>23</v>
      </c>
      <c r="L402" s="326">
        <v>18</v>
      </c>
      <c r="M402" s="326">
        <v>12</v>
      </c>
      <c r="N402" s="326">
        <v>7</v>
      </c>
      <c r="O402" s="326">
        <v>6</v>
      </c>
      <c r="P402" s="326">
        <v>3</v>
      </c>
      <c r="Q402" s="326">
        <v>2</v>
      </c>
      <c r="R402" s="326">
        <v>34.799999999999997</v>
      </c>
      <c r="S402" s="9">
        <v>4.1164630650000014E-8</v>
      </c>
      <c r="T402" s="9">
        <f t="shared" si="6"/>
        <v>1.4325291466200003E-6</v>
      </c>
      <c r="U402" s="325" t="s">
        <v>1208</v>
      </c>
    </row>
    <row r="403" spans="1:21" ht="12" customHeight="1">
      <c r="A403" s="329">
        <v>3</v>
      </c>
      <c r="B403" s="159" t="s">
        <v>316</v>
      </c>
      <c r="C403" s="68" t="s">
        <v>95</v>
      </c>
      <c r="D403" s="68" t="s">
        <v>311</v>
      </c>
      <c r="E403" s="330">
        <v>3</v>
      </c>
      <c r="F403" s="326">
        <v>854</v>
      </c>
      <c r="G403" s="326">
        <v>500</v>
      </c>
      <c r="H403" s="326">
        <v>133</v>
      </c>
      <c r="I403" s="326">
        <v>113</v>
      </c>
      <c r="J403" s="326">
        <v>94</v>
      </c>
      <c r="K403" s="326">
        <v>72</v>
      </c>
      <c r="L403" s="326">
        <v>62</v>
      </c>
      <c r="M403" s="326">
        <v>47</v>
      </c>
      <c r="N403" s="326">
        <v>40</v>
      </c>
      <c r="O403" s="326">
        <v>32</v>
      </c>
      <c r="P403" s="326">
        <v>28</v>
      </c>
      <c r="Q403" s="326">
        <v>24</v>
      </c>
      <c r="R403" s="326">
        <v>96.1</v>
      </c>
      <c r="S403" s="9">
        <v>4.1164630650000014E-8</v>
      </c>
      <c r="T403" s="9">
        <f t="shared" si="6"/>
        <v>3.9559210054650011E-6</v>
      </c>
      <c r="U403" s="325" t="s">
        <v>1209</v>
      </c>
    </row>
    <row r="404" spans="1:21" ht="12" customHeight="1">
      <c r="A404" s="329">
        <v>3</v>
      </c>
      <c r="B404" s="159" t="s">
        <v>316</v>
      </c>
      <c r="C404" s="68" t="s">
        <v>95</v>
      </c>
      <c r="D404" s="68" t="s">
        <v>311</v>
      </c>
      <c r="E404" s="330">
        <v>4</v>
      </c>
      <c r="F404" s="326">
        <v>868</v>
      </c>
      <c r="G404" s="326">
        <v>524</v>
      </c>
      <c r="H404" s="326">
        <v>122</v>
      </c>
      <c r="I404" s="326">
        <v>82</v>
      </c>
      <c r="J404" s="326">
        <v>63</v>
      </c>
      <c r="K404" s="326">
        <v>39</v>
      </c>
      <c r="L404" s="326">
        <v>25</v>
      </c>
      <c r="M404" s="326">
        <v>8</v>
      </c>
      <c r="N404" s="326">
        <v>8</v>
      </c>
      <c r="O404" s="326">
        <v>5</v>
      </c>
      <c r="P404" s="326">
        <v>5</v>
      </c>
      <c r="Q404" s="326">
        <v>2</v>
      </c>
      <c r="R404" s="326">
        <v>65.3</v>
      </c>
      <c r="S404" s="9">
        <v>4.1164630650000014E-8</v>
      </c>
      <c r="T404" s="9">
        <f t="shared" si="6"/>
        <v>2.6880503814450007E-6</v>
      </c>
      <c r="U404" s="325" t="s">
        <v>1210</v>
      </c>
    </row>
    <row r="405" spans="1:21" ht="12" customHeight="1">
      <c r="A405" s="329">
        <v>3</v>
      </c>
      <c r="B405" s="159" t="s">
        <v>316</v>
      </c>
      <c r="C405" s="68" t="s">
        <v>95</v>
      </c>
      <c r="D405" s="68" t="s">
        <v>311</v>
      </c>
      <c r="E405" s="330">
        <v>5</v>
      </c>
      <c r="F405" s="326">
        <v>872</v>
      </c>
      <c r="G405" s="326">
        <v>524</v>
      </c>
      <c r="H405" s="326">
        <v>167</v>
      </c>
      <c r="I405" s="326">
        <v>138</v>
      </c>
      <c r="J405" s="326">
        <v>116</v>
      </c>
      <c r="K405" s="326">
        <v>100</v>
      </c>
      <c r="L405" s="326">
        <v>75</v>
      </c>
      <c r="M405" s="326">
        <v>53</v>
      </c>
      <c r="N405" s="326">
        <v>31</v>
      </c>
      <c r="O405" s="326">
        <v>26</v>
      </c>
      <c r="P405" s="326">
        <v>17</v>
      </c>
      <c r="Q405" s="326">
        <v>12</v>
      </c>
      <c r="R405" s="326">
        <v>118.5</v>
      </c>
      <c r="S405" s="9">
        <v>4.1164630650000014E-8</v>
      </c>
      <c r="T405" s="9">
        <f t="shared" si="6"/>
        <v>4.8780087320250015E-6</v>
      </c>
      <c r="U405" s="325" t="s">
        <v>1211</v>
      </c>
    </row>
    <row r="406" spans="1:21" ht="12" customHeight="1">
      <c r="A406" s="329">
        <v>3</v>
      </c>
      <c r="B406" s="159" t="s">
        <v>316</v>
      </c>
      <c r="C406" s="68" t="s">
        <v>95</v>
      </c>
      <c r="D406" s="68" t="s">
        <v>307</v>
      </c>
      <c r="E406" s="330">
        <v>1</v>
      </c>
      <c r="F406" s="326">
        <v>916</v>
      </c>
      <c r="G406" s="326">
        <v>515</v>
      </c>
      <c r="H406" s="326">
        <v>210</v>
      </c>
      <c r="I406" s="326">
        <v>191</v>
      </c>
      <c r="J406" s="326">
        <v>183</v>
      </c>
      <c r="K406" s="326">
        <v>168</v>
      </c>
      <c r="L406" s="326">
        <v>151</v>
      </c>
      <c r="M406" s="326">
        <v>140</v>
      </c>
      <c r="N406" s="326">
        <v>127</v>
      </c>
      <c r="O406" s="326">
        <v>91</v>
      </c>
      <c r="P406" s="326">
        <v>78</v>
      </c>
      <c r="Q406" s="326">
        <v>75</v>
      </c>
      <c r="R406" s="326">
        <v>184</v>
      </c>
      <c r="S406" s="9">
        <v>0</v>
      </c>
      <c r="T406" s="9">
        <f t="shared" si="6"/>
        <v>0</v>
      </c>
      <c r="U406" s="325" t="s">
        <v>1237</v>
      </c>
    </row>
    <row r="407" spans="1:21" ht="12" customHeight="1">
      <c r="A407" s="329">
        <v>3</v>
      </c>
      <c r="B407" s="159" t="s">
        <v>316</v>
      </c>
      <c r="C407" s="68" t="s">
        <v>95</v>
      </c>
      <c r="D407" s="68" t="s">
        <v>307</v>
      </c>
      <c r="E407" s="330">
        <v>2</v>
      </c>
      <c r="F407" s="326">
        <v>918</v>
      </c>
      <c r="G407" s="326">
        <v>499</v>
      </c>
      <c r="H407" s="326">
        <v>203</v>
      </c>
      <c r="I407" s="326">
        <v>186</v>
      </c>
      <c r="J407" s="326">
        <v>168</v>
      </c>
      <c r="K407" s="326">
        <v>157</v>
      </c>
      <c r="L407" s="326">
        <v>147</v>
      </c>
      <c r="M407" s="326">
        <v>126</v>
      </c>
      <c r="N407" s="326">
        <v>96</v>
      </c>
      <c r="O407" s="326">
        <v>87</v>
      </c>
      <c r="P407" s="326">
        <v>79</v>
      </c>
      <c r="Q407" s="326">
        <v>55</v>
      </c>
      <c r="R407" s="326">
        <v>170</v>
      </c>
      <c r="S407" s="9">
        <v>0</v>
      </c>
      <c r="T407" s="9">
        <f t="shared" si="6"/>
        <v>0</v>
      </c>
      <c r="U407" s="325" t="s">
        <v>1238</v>
      </c>
    </row>
    <row r="408" spans="1:21" ht="12" customHeight="1">
      <c r="A408" s="329">
        <v>3</v>
      </c>
      <c r="B408" s="159" t="s">
        <v>316</v>
      </c>
      <c r="C408" s="68" t="s">
        <v>95</v>
      </c>
      <c r="D408" s="68" t="s">
        <v>307</v>
      </c>
      <c r="E408" s="330">
        <v>3</v>
      </c>
      <c r="F408" s="326">
        <v>914</v>
      </c>
      <c r="G408" s="326">
        <v>527</v>
      </c>
      <c r="H408" s="326">
        <v>184</v>
      </c>
      <c r="I408" s="326">
        <v>169</v>
      </c>
      <c r="J408" s="326">
        <v>150</v>
      </c>
      <c r="K408" s="326">
        <v>127</v>
      </c>
      <c r="L408" s="326">
        <v>117</v>
      </c>
      <c r="M408" s="326">
        <v>95</v>
      </c>
      <c r="N408" s="326">
        <v>86</v>
      </c>
      <c r="O408" s="326">
        <v>77</v>
      </c>
      <c r="P408" s="326">
        <v>65</v>
      </c>
      <c r="Q408" s="326">
        <v>59</v>
      </c>
      <c r="R408" s="326">
        <v>152.1</v>
      </c>
      <c r="S408" s="9">
        <v>0</v>
      </c>
      <c r="T408" s="9">
        <f t="shared" si="6"/>
        <v>0</v>
      </c>
      <c r="U408" s="325" t="s">
        <v>1239</v>
      </c>
    </row>
    <row r="409" spans="1:21" ht="12" customHeight="1">
      <c r="A409" s="329">
        <v>3</v>
      </c>
      <c r="B409" s="159" t="s">
        <v>316</v>
      </c>
      <c r="C409" s="68" t="s">
        <v>95</v>
      </c>
      <c r="D409" s="68" t="s">
        <v>307</v>
      </c>
      <c r="E409" s="330">
        <v>4</v>
      </c>
      <c r="F409" s="326">
        <v>918</v>
      </c>
      <c r="G409" s="326">
        <v>524</v>
      </c>
      <c r="H409" s="326">
        <v>188</v>
      </c>
      <c r="I409" s="326">
        <v>181</v>
      </c>
      <c r="J409" s="326">
        <v>166</v>
      </c>
      <c r="K409" s="326">
        <v>150</v>
      </c>
      <c r="L409" s="326">
        <v>124</v>
      </c>
      <c r="M409" s="326">
        <v>94</v>
      </c>
      <c r="N409" s="326">
        <v>74</v>
      </c>
      <c r="O409" s="326">
        <v>66</v>
      </c>
      <c r="P409" s="326">
        <v>58</v>
      </c>
      <c r="Q409" s="326">
        <v>49</v>
      </c>
      <c r="R409" s="326">
        <v>167.6</v>
      </c>
      <c r="S409" s="9">
        <v>0</v>
      </c>
      <c r="T409" s="9">
        <f t="shared" si="6"/>
        <v>0</v>
      </c>
      <c r="U409" s="325" t="s">
        <v>1240</v>
      </c>
    </row>
    <row r="410" spans="1:21" ht="12" customHeight="1">
      <c r="A410" s="329">
        <v>3</v>
      </c>
      <c r="B410" s="159" t="s">
        <v>316</v>
      </c>
      <c r="C410" s="68" t="s">
        <v>95</v>
      </c>
      <c r="D410" s="68" t="s">
        <v>307</v>
      </c>
      <c r="E410" s="330">
        <v>5</v>
      </c>
      <c r="F410" s="326">
        <v>918</v>
      </c>
      <c r="G410" s="326">
        <v>524</v>
      </c>
      <c r="H410" s="326">
        <v>234</v>
      </c>
      <c r="I410" s="326">
        <v>200</v>
      </c>
      <c r="J410" s="326">
        <v>191</v>
      </c>
      <c r="K410" s="326">
        <v>170</v>
      </c>
      <c r="L410" s="326">
        <v>126</v>
      </c>
      <c r="M410" s="326">
        <v>113</v>
      </c>
      <c r="N410" s="326">
        <v>104</v>
      </c>
      <c r="O410" s="326">
        <v>93</v>
      </c>
      <c r="P410" s="326">
        <v>61</v>
      </c>
      <c r="Q410" s="326">
        <v>44</v>
      </c>
      <c r="R410" s="326">
        <v>192.2</v>
      </c>
      <c r="S410" s="9">
        <v>0</v>
      </c>
      <c r="T410" s="9">
        <f t="shared" si="6"/>
        <v>0</v>
      </c>
      <c r="U410" s="325" t="s">
        <v>1241</v>
      </c>
    </row>
    <row r="411" spans="1:21" ht="12" customHeight="1">
      <c r="A411" s="327">
        <v>4</v>
      </c>
      <c r="B411" s="159" t="s">
        <v>312</v>
      </c>
      <c r="C411" s="68" t="s">
        <v>96</v>
      </c>
      <c r="D411" s="68" t="s">
        <v>308</v>
      </c>
      <c r="E411" s="321">
        <v>1</v>
      </c>
      <c r="F411" s="322">
        <v>792</v>
      </c>
      <c r="G411" s="322">
        <v>296</v>
      </c>
      <c r="H411" s="322">
        <v>0</v>
      </c>
      <c r="I411" s="322">
        <v>0</v>
      </c>
      <c r="J411" s="322">
        <v>0</v>
      </c>
      <c r="K411" s="322">
        <v>0</v>
      </c>
      <c r="L411" s="322">
        <v>0</v>
      </c>
      <c r="M411" s="322">
        <v>0</v>
      </c>
      <c r="N411" s="322">
        <v>0</v>
      </c>
      <c r="O411" s="322">
        <v>0</v>
      </c>
      <c r="P411" s="322">
        <v>0</v>
      </c>
      <c r="Q411" s="322">
        <v>0</v>
      </c>
      <c r="R411" s="322">
        <v>0</v>
      </c>
      <c r="S411" s="9">
        <v>2.225365578577196E-5</v>
      </c>
      <c r="T411" s="9">
        <f t="shared" si="6"/>
        <v>0</v>
      </c>
      <c r="U411" s="321" t="s">
        <v>732</v>
      </c>
    </row>
    <row r="412" spans="1:21" ht="12" customHeight="1">
      <c r="A412" s="327">
        <v>4</v>
      </c>
      <c r="B412" s="159" t="s">
        <v>312</v>
      </c>
      <c r="C412" s="68" t="s">
        <v>96</v>
      </c>
      <c r="D412" s="68" t="s">
        <v>308</v>
      </c>
      <c r="E412" s="321">
        <v>2</v>
      </c>
      <c r="F412" s="322">
        <v>812</v>
      </c>
      <c r="G412" s="322">
        <v>296</v>
      </c>
      <c r="H412" s="322">
        <v>0</v>
      </c>
      <c r="I412" s="322">
        <v>0</v>
      </c>
      <c r="J412" s="322">
        <v>0</v>
      </c>
      <c r="K412" s="322">
        <v>0</v>
      </c>
      <c r="L412" s="322">
        <v>0</v>
      </c>
      <c r="M412" s="322">
        <v>0</v>
      </c>
      <c r="N412" s="322">
        <v>0</v>
      </c>
      <c r="O412" s="322">
        <v>0</v>
      </c>
      <c r="P412" s="322">
        <v>0</v>
      </c>
      <c r="Q412" s="322">
        <v>0</v>
      </c>
      <c r="R412" s="322">
        <v>0</v>
      </c>
      <c r="S412" s="9">
        <v>2.225365578577196E-5</v>
      </c>
      <c r="T412" s="9">
        <f t="shared" si="6"/>
        <v>0</v>
      </c>
      <c r="U412" s="321" t="s">
        <v>733</v>
      </c>
    </row>
    <row r="413" spans="1:21" ht="12" customHeight="1">
      <c r="A413" s="327">
        <v>4</v>
      </c>
      <c r="B413" s="159" t="s">
        <v>312</v>
      </c>
      <c r="C413" s="68" t="s">
        <v>96</v>
      </c>
      <c r="D413" s="68" t="s">
        <v>308</v>
      </c>
      <c r="E413" s="321">
        <v>3</v>
      </c>
      <c r="F413" s="322">
        <v>760</v>
      </c>
      <c r="G413" s="322">
        <v>297</v>
      </c>
      <c r="H413" s="322">
        <v>0</v>
      </c>
      <c r="I413" s="322">
        <v>0</v>
      </c>
      <c r="J413" s="322">
        <v>0</v>
      </c>
      <c r="K413" s="322">
        <v>0</v>
      </c>
      <c r="L413" s="322">
        <v>0</v>
      </c>
      <c r="M413" s="322">
        <v>0</v>
      </c>
      <c r="N413" s="322">
        <v>0</v>
      </c>
      <c r="O413" s="322">
        <v>0</v>
      </c>
      <c r="P413" s="322">
        <v>0</v>
      </c>
      <c r="Q413" s="322">
        <v>0</v>
      </c>
      <c r="R413" s="322">
        <v>0</v>
      </c>
      <c r="S413" s="9">
        <v>2.225365578577196E-5</v>
      </c>
      <c r="T413" s="9">
        <f t="shared" si="6"/>
        <v>0</v>
      </c>
      <c r="U413" s="321" t="s">
        <v>734</v>
      </c>
    </row>
    <row r="414" spans="1:21" ht="12" customHeight="1">
      <c r="A414" s="327">
        <v>4</v>
      </c>
      <c r="B414" s="159" t="s">
        <v>312</v>
      </c>
      <c r="C414" s="68" t="s">
        <v>96</v>
      </c>
      <c r="D414" s="68" t="s">
        <v>308</v>
      </c>
      <c r="E414" s="321">
        <v>4</v>
      </c>
      <c r="F414" s="322">
        <v>838</v>
      </c>
      <c r="G414" s="322">
        <v>297</v>
      </c>
      <c r="H414" s="322">
        <v>0</v>
      </c>
      <c r="I414" s="322">
        <v>0</v>
      </c>
      <c r="J414" s="322">
        <v>0</v>
      </c>
      <c r="K414" s="322">
        <v>0</v>
      </c>
      <c r="L414" s="322">
        <v>0</v>
      </c>
      <c r="M414" s="322">
        <v>0</v>
      </c>
      <c r="N414" s="322">
        <v>0</v>
      </c>
      <c r="O414" s="322">
        <v>0</v>
      </c>
      <c r="P414" s="322">
        <v>0</v>
      </c>
      <c r="Q414" s="322">
        <v>0</v>
      </c>
      <c r="R414" s="322">
        <v>0</v>
      </c>
      <c r="S414" s="9">
        <v>2.225365578577196E-5</v>
      </c>
      <c r="T414" s="9">
        <f t="shared" si="6"/>
        <v>0</v>
      </c>
      <c r="U414" s="321" t="s">
        <v>735</v>
      </c>
    </row>
    <row r="415" spans="1:21" ht="12" customHeight="1">
      <c r="A415" s="327">
        <v>4</v>
      </c>
      <c r="B415" s="159" t="s">
        <v>312</v>
      </c>
      <c r="C415" s="68" t="s">
        <v>96</v>
      </c>
      <c r="D415" s="68" t="s">
        <v>308</v>
      </c>
      <c r="E415" s="321">
        <v>5</v>
      </c>
      <c r="F415" s="322">
        <v>890</v>
      </c>
      <c r="G415" s="322">
        <v>292</v>
      </c>
      <c r="H415" s="322">
        <v>0</v>
      </c>
      <c r="I415" s="322">
        <v>0</v>
      </c>
      <c r="J415" s="322">
        <v>0</v>
      </c>
      <c r="K415" s="322">
        <v>0</v>
      </c>
      <c r="L415" s="322">
        <v>0</v>
      </c>
      <c r="M415" s="322">
        <v>0</v>
      </c>
      <c r="N415" s="322">
        <v>0</v>
      </c>
      <c r="O415" s="322">
        <v>0</v>
      </c>
      <c r="P415" s="322">
        <v>0</v>
      </c>
      <c r="Q415" s="322">
        <v>0</v>
      </c>
      <c r="R415" s="322">
        <v>0</v>
      </c>
      <c r="S415" s="9">
        <v>2.225365578577196E-5</v>
      </c>
      <c r="T415" s="9">
        <f t="shared" si="6"/>
        <v>0</v>
      </c>
      <c r="U415" s="321" t="s">
        <v>736</v>
      </c>
    </row>
    <row r="416" spans="1:21" ht="12" customHeight="1">
      <c r="A416" s="327">
        <v>4</v>
      </c>
      <c r="B416" s="159" t="s">
        <v>312</v>
      </c>
      <c r="C416" s="68" t="s">
        <v>96</v>
      </c>
      <c r="D416" s="68" t="s">
        <v>310</v>
      </c>
      <c r="E416" s="321">
        <v>1</v>
      </c>
      <c r="F416" s="322">
        <v>862</v>
      </c>
      <c r="G416" s="322">
        <v>297</v>
      </c>
      <c r="H416" s="322">
        <v>9</v>
      </c>
      <c r="I416" s="322">
        <v>0</v>
      </c>
      <c r="J416" s="322">
        <v>0</v>
      </c>
      <c r="K416" s="322">
        <v>0</v>
      </c>
      <c r="L416" s="322">
        <v>0</v>
      </c>
      <c r="M416" s="322">
        <v>0</v>
      </c>
      <c r="N416" s="322">
        <v>0</v>
      </c>
      <c r="O416" s="322">
        <v>0</v>
      </c>
      <c r="P416" s="322">
        <v>0</v>
      </c>
      <c r="Q416" s="322">
        <v>0</v>
      </c>
      <c r="R416" s="322">
        <v>0.1</v>
      </c>
      <c r="S416" s="9">
        <v>2.2253455502669612E-5</v>
      </c>
      <c r="T416" s="9">
        <f t="shared" si="6"/>
        <v>2.2253455502669614E-6</v>
      </c>
      <c r="U416" s="321" t="s">
        <v>762</v>
      </c>
    </row>
    <row r="417" spans="1:21" ht="12" customHeight="1">
      <c r="A417" s="327">
        <v>4</v>
      </c>
      <c r="B417" s="159" t="s">
        <v>312</v>
      </c>
      <c r="C417" s="68" t="s">
        <v>96</v>
      </c>
      <c r="D417" s="68" t="s">
        <v>310</v>
      </c>
      <c r="E417" s="321">
        <v>2</v>
      </c>
      <c r="F417" s="322">
        <v>1012</v>
      </c>
      <c r="G417" s="322">
        <v>291</v>
      </c>
      <c r="H417" s="322">
        <v>7</v>
      </c>
      <c r="I417" s="322">
        <v>4</v>
      </c>
      <c r="J417" s="322">
        <v>0</v>
      </c>
      <c r="K417" s="322">
        <v>0</v>
      </c>
      <c r="L417" s="322">
        <v>0</v>
      </c>
      <c r="M417" s="322">
        <v>0</v>
      </c>
      <c r="N417" s="322">
        <v>0</v>
      </c>
      <c r="O417" s="322">
        <v>0</v>
      </c>
      <c r="P417" s="322">
        <v>0</v>
      </c>
      <c r="Q417" s="322">
        <v>0</v>
      </c>
      <c r="R417" s="322">
        <v>0.4</v>
      </c>
      <c r="S417" s="9">
        <v>2.2253455502669612E-5</v>
      </c>
      <c r="T417" s="9">
        <f t="shared" si="6"/>
        <v>8.9013822010678458E-6</v>
      </c>
      <c r="U417" s="321" t="s">
        <v>763</v>
      </c>
    </row>
    <row r="418" spans="1:21" ht="12" customHeight="1">
      <c r="A418" s="327">
        <v>4</v>
      </c>
      <c r="B418" s="159" t="s">
        <v>312</v>
      </c>
      <c r="C418" s="68" t="s">
        <v>96</v>
      </c>
      <c r="D418" s="68" t="s">
        <v>310</v>
      </c>
      <c r="E418" s="321">
        <v>3</v>
      </c>
      <c r="F418" s="322">
        <v>916</v>
      </c>
      <c r="G418" s="322">
        <v>297</v>
      </c>
      <c r="H418" s="322">
        <v>7</v>
      </c>
      <c r="I418" s="322">
        <v>1</v>
      </c>
      <c r="J418" s="322">
        <v>0</v>
      </c>
      <c r="K418" s="322">
        <v>0</v>
      </c>
      <c r="L418" s="322">
        <v>0</v>
      </c>
      <c r="M418" s="322">
        <v>0</v>
      </c>
      <c r="N418" s="322">
        <v>0</v>
      </c>
      <c r="O418" s="322">
        <v>0</v>
      </c>
      <c r="P418" s="322">
        <v>0</v>
      </c>
      <c r="Q418" s="322">
        <v>0</v>
      </c>
      <c r="R418" s="322">
        <v>0.2</v>
      </c>
      <c r="S418" s="9">
        <v>2.2253455502669612E-5</v>
      </c>
      <c r="T418" s="9">
        <f t="shared" si="6"/>
        <v>4.4506911005339229E-6</v>
      </c>
      <c r="U418" s="321" t="s">
        <v>764</v>
      </c>
    </row>
    <row r="419" spans="1:21" ht="12" customHeight="1">
      <c r="A419" s="327">
        <v>4</v>
      </c>
      <c r="B419" s="159" t="s">
        <v>312</v>
      </c>
      <c r="C419" s="68" t="s">
        <v>96</v>
      </c>
      <c r="D419" s="68" t="s">
        <v>310</v>
      </c>
      <c r="E419" s="321">
        <v>4</v>
      </c>
      <c r="F419" s="322">
        <v>884</v>
      </c>
      <c r="G419" s="322">
        <v>291</v>
      </c>
      <c r="H419" s="322">
        <v>8</v>
      </c>
      <c r="I419" s="322">
        <v>2</v>
      </c>
      <c r="J419" s="322">
        <v>0</v>
      </c>
      <c r="K419" s="322">
        <v>0</v>
      </c>
      <c r="L419" s="322">
        <v>0</v>
      </c>
      <c r="M419" s="322">
        <v>0</v>
      </c>
      <c r="N419" s="322">
        <v>0</v>
      </c>
      <c r="O419" s="322">
        <v>0</v>
      </c>
      <c r="P419" s="322">
        <v>0</v>
      </c>
      <c r="Q419" s="322">
        <v>0</v>
      </c>
      <c r="R419" s="322">
        <v>0.3</v>
      </c>
      <c r="S419" s="9">
        <v>2.2253455502669612E-5</v>
      </c>
      <c r="T419" s="9">
        <f t="shared" si="6"/>
        <v>6.6760366508008831E-6</v>
      </c>
      <c r="U419" s="321" t="s">
        <v>765</v>
      </c>
    </row>
    <row r="420" spans="1:21" ht="12" customHeight="1">
      <c r="A420" s="327">
        <v>4</v>
      </c>
      <c r="B420" s="159" t="s">
        <v>312</v>
      </c>
      <c r="C420" s="68" t="s">
        <v>96</v>
      </c>
      <c r="D420" s="68" t="s">
        <v>310</v>
      </c>
      <c r="E420" s="321">
        <v>5</v>
      </c>
      <c r="F420" s="322">
        <v>934</v>
      </c>
      <c r="G420" s="322">
        <v>296</v>
      </c>
      <c r="H420" s="322">
        <v>10</v>
      </c>
      <c r="I420" s="322">
        <v>3</v>
      </c>
      <c r="J420" s="322">
        <v>0</v>
      </c>
      <c r="K420" s="322">
        <v>0</v>
      </c>
      <c r="L420" s="322">
        <v>0</v>
      </c>
      <c r="M420" s="322">
        <v>0</v>
      </c>
      <c r="N420" s="322">
        <v>0</v>
      </c>
      <c r="O420" s="322">
        <v>0</v>
      </c>
      <c r="P420" s="322">
        <v>0</v>
      </c>
      <c r="Q420" s="322">
        <v>0</v>
      </c>
      <c r="R420" s="322">
        <v>0.4</v>
      </c>
      <c r="S420" s="9">
        <v>2.2253455502669612E-5</v>
      </c>
      <c r="T420" s="9">
        <f t="shared" si="6"/>
        <v>8.9013822010678458E-6</v>
      </c>
      <c r="U420" s="321" t="s">
        <v>766</v>
      </c>
    </row>
    <row r="421" spans="1:21" ht="12" customHeight="1">
      <c r="A421" s="327">
        <v>4</v>
      </c>
      <c r="B421" s="159" t="s">
        <v>312</v>
      </c>
      <c r="C421" s="68" t="s">
        <v>96</v>
      </c>
      <c r="D421" s="68" t="s">
        <v>309</v>
      </c>
      <c r="E421" s="321">
        <v>1</v>
      </c>
      <c r="F421" s="322">
        <v>564</v>
      </c>
      <c r="G421" s="322">
        <v>296</v>
      </c>
      <c r="H421" s="322">
        <v>0</v>
      </c>
      <c r="I421" s="322">
        <v>0</v>
      </c>
      <c r="J421" s="322">
        <v>0</v>
      </c>
      <c r="K421" s="322">
        <v>0</v>
      </c>
      <c r="L421" s="322">
        <v>0</v>
      </c>
      <c r="M421" s="322">
        <v>0</v>
      </c>
      <c r="N421" s="322">
        <v>0</v>
      </c>
      <c r="O421" s="322">
        <v>0</v>
      </c>
      <c r="P421" s="322">
        <v>0</v>
      </c>
      <c r="Q421" s="322">
        <v>0</v>
      </c>
      <c r="R421" s="322">
        <v>0</v>
      </c>
      <c r="S421" s="9">
        <v>2.225365578577196E-5</v>
      </c>
      <c r="T421" s="9">
        <f t="shared" si="6"/>
        <v>0</v>
      </c>
      <c r="U421" s="321" t="s">
        <v>792</v>
      </c>
    </row>
    <row r="422" spans="1:21" ht="12" customHeight="1">
      <c r="A422" s="327">
        <v>4</v>
      </c>
      <c r="B422" s="159" t="s">
        <v>312</v>
      </c>
      <c r="C422" s="68" t="s">
        <v>96</v>
      </c>
      <c r="D422" s="68" t="s">
        <v>309</v>
      </c>
      <c r="E422" s="321">
        <v>2</v>
      </c>
      <c r="F422" s="322">
        <v>604</v>
      </c>
      <c r="G422" s="322">
        <v>291</v>
      </c>
      <c r="H422" s="322">
        <v>0</v>
      </c>
      <c r="I422" s="322">
        <v>0</v>
      </c>
      <c r="J422" s="322">
        <v>0</v>
      </c>
      <c r="K422" s="322">
        <v>0</v>
      </c>
      <c r="L422" s="322">
        <v>0</v>
      </c>
      <c r="M422" s="322">
        <v>0</v>
      </c>
      <c r="N422" s="322">
        <v>0</v>
      </c>
      <c r="O422" s="322">
        <v>0</v>
      </c>
      <c r="P422" s="322">
        <v>0</v>
      </c>
      <c r="Q422" s="322">
        <v>0</v>
      </c>
      <c r="R422" s="322">
        <v>0</v>
      </c>
      <c r="S422" s="9">
        <v>2.225365578577196E-5</v>
      </c>
      <c r="T422" s="9">
        <f t="shared" si="6"/>
        <v>0</v>
      </c>
      <c r="U422" s="321" t="s">
        <v>793</v>
      </c>
    </row>
    <row r="423" spans="1:21" ht="12" customHeight="1">
      <c r="A423" s="327">
        <v>4</v>
      </c>
      <c r="B423" s="159" t="s">
        <v>312</v>
      </c>
      <c r="C423" s="68" t="s">
        <v>96</v>
      </c>
      <c r="D423" s="68" t="s">
        <v>309</v>
      </c>
      <c r="E423" s="321">
        <v>3</v>
      </c>
      <c r="F423" s="322">
        <v>614</v>
      </c>
      <c r="G423" s="322">
        <v>296</v>
      </c>
      <c r="H423" s="322">
        <v>0</v>
      </c>
      <c r="I423" s="322">
        <v>0</v>
      </c>
      <c r="J423" s="322">
        <v>0</v>
      </c>
      <c r="K423" s="322">
        <v>0</v>
      </c>
      <c r="L423" s="322">
        <v>0</v>
      </c>
      <c r="M423" s="322">
        <v>0</v>
      </c>
      <c r="N423" s="322">
        <v>0</v>
      </c>
      <c r="O423" s="322">
        <v>0</v>
      </c>
      <c r="P423" s="322">
        <v>0</v>
      </c>
      <c r="Q423" s="322">
        <v>0</v>
      </c>
      <c r="R423" s="322">
        <v>0</v>
      </c>
      <c r="S423" s="9">
        <v>2.225365578577196E-5</v>
      </c>
      <c r="T423" s="9">
        <f t="shared" si="6"/>
        <v>0</v>
      </c>
      <c r="U423" s="321" t="s">
        <v>794</v>
      </c>
    </row>
    <row r="424" spans="1:21" ht="12" customHeight="1">
      <c r="A424" s="327">
        <v>4</v>
      </c>
      <c r="B424" s="159" t="s">
        <v>312</v>
      </c>
      <c r="C424" s="68" t="s">
        <v>96</v>
      </c>
      <c r="D424" s="68" t="s">
        <v>309</v>
      </c>
      <c r="E424" s="321">
        <v>4</v>
      </c>
      <c r="F424" s="322">
        <v>606</v>
      </c>
      <c r="G424" s="322">
        <v>298</v>
      </c>
      <c r="H424" s="322">
        <v>0</v>
      </c>
      <c r="I424" s="322">
        <v>0</v>
      </c>
      <c r="J424" s="322">
        <v>0</v>
      </c>
      <c r="K424" s="322">
        <v>0</v>
      </c>
      <c r="L424" s="322">
        <v>0</v>
      </c>
      <c r="M424" s="322">
        <v>0</v>
      </c>
      <c r="N424" s="322">
        <v>0</v>
      </c>
      <c r="O424" s="322">
        <v>0</v>
      </c>
      <c r="P424" s="322">
        <v>0</v>
      </c>
      <c r="Q424" s="322">
        <v>0</v>
      </c>
      <c r="R424" s="322">
        <v>0</v>
      </c>
      <c r="S424" s="9">
        <v>2.225365578577196E-5</v>
      </c>
      <c r="T424" s="9">
        <f t="shared" si="6"/>
        <v>0</v>
      </c>
      <c r="U424" s="321" t="s">
        <v>795</v>
      </c>
    </row>
    <row r="425" spans="1:21" ht="12" customHeight="1">
      <c r="A425" s="327">
        <v>4</v>
      </c>
      <c r="B425" s="159" t="s">
        <v>312</v>
      </c>
      <c r="C425" s="68" t="s">
        <v>96</v>
      </c>
      <c r="D425" s="68" t="s">
        <v>309</v>
      </c>
      <c r="E425" s="321">
        <v>5</v>
      </c>
      <c r="F425" s="322">
        <v>638</v>
      </c>
      <c r="G425" s="322">
        <v>272</v>
      </c>
      <c r="H425" s="322">
        <v>0</v>
      </c>
      <c r="I425" s="322">
        <v>0</v>
      </c>
      <c r="J425" s="322">
        <v>0</v>
      </c>
      <c r="K425" s="322">
        <v>0</v>
      </c>
      <c r="L425" s="322">
        <v>0</v>
      </c>
      <c r="M425" s="322">
        <v>0</v>
      </c>
      <c r="N425" s="322">
        <v>0</v>
      </c>
      <c r="O425" s="322">
        <v>0</v>
      </c>
      <c r="P425" s="322">
        <v>0</v>
      </c>
      <c r="Q425" s="322">
        <v>0</v>
      </c>
      <c r="R425" s="322">
        <v>0</v>
      </c>
      <c r="S425" s="9">
        <v>2.225365578577196E-5</v>
      </c>
      <c r="T425" s="9">
        <f t="shared" si="6"/>
        <v>0</v>
      </c>
      <c r="U425" s="321" t="s">
        <v>796</v>
      </c>
    </row>
    <row r="426" spans="1:21" ht="12" customHeight="1">
      <c r="A426" s="327">
        <v>4</v>
      </c>
      <c r="B426" s="159" t="s">
        <v>312</v>
      </c>
      <c r="C426" s="68" t="s">
        <v>96</v>
      </c>
      <c r="D426" s="68" t="s">
        <v>307</v>
      </c>
      <c r="E426" s="321">
        <v>1</v>
      </c>
      <c r="F426" s="322">
        <v>618</v>
      </c>
      <c r="G426" s="322">
        <v>292</v>
      </c>
      <c r="H426" s="322">
        <v>0</v>
      </c>
      <c r="I426" s="322">
        <v>0</v>
      </c>
      <c r="J426" s="322">
        <v>0</v>
      </c>
      <c r="K426" s="322">
        <v>0</v>
      </c>
      <c r="L426" s="322">
        <v>0</v>
      </c>
      <c r="M426" s="322">
        <v>0</v>
      </c>
      <c r="N426" s="322">
        <v>0</v>
      </c>
      <c r="O426" s="322">
        <v>0</v>
      </c>
      <c r="P426" s="322">
        <v>0</v>
      </c>
      <c r="Q426" s="322">
        <v>0</v>
      </c>
      <c r="R426" s="322">
        <v>0</v>
      </c>
      <c r="S426" s="9">
        <v>6.0084930706515009E-4</v>
      </c>
      <c r="T426" s="9">
        <f t="shared" si="6"/>
        <v>0</v>
      </c>
      <c r="U426" s="321" t="s">
        <v>822</v>
      </c>
    </row>
    <row r="427" spans="1:21" ht="12" customHeight="1">
      <c r="A427" s="327">
        <v>4</v>
      </c>
      <c r="B427" s="159" t="s">
        <v>312</v>
      </c>
      <c r="C427" s="68" t="s">
        <v>96</v>
      </c>
      <c r="D427" s="68" t="s">
        <v>307</v>
      </c>
      <c r="E427" s="321">
        <v>2</v>
      </c>
      <c r="F427" s="322">
        <v>602</v>
      </c>
      <c r="G427" s="322">
        <v>297</v>
      </c>
      <c r="H427" s="322">
        <v>0</v>
      </c>
      <c r="I427" s="322">
        <v>0</v>
      </c>
      <c r="J427" s="322">
        <v>0</v>
      </c>
      <c r="K427" s="322">
        <v>0</v>
      </c>
      <c r="L427" s="322">
        <v>0</v>
      </c>
      <c r="M427" s="322">
        <v>0</v>
      </c>
      <c r="N427" s="322">
        <v>0</v>
      </c>
      <c r="O427" s="322">
        <v>0</v>
      </c>
      <c r="P427" s="322">
        <v>0</v>
      </c>
      <c r="Q427" s="322">
        <v>0</v>
      </c>
      <c r="R427" s="322">
        <v>0</v>
      </c>
      <c r="S427" s="9">
        <v>6.0084930706515009E-4</v>
      </c>
      <c r="T427" s="9">
        <f t="shared" si="6"/>
        <v>0</v>
      </c>
      <c r="U427" s="321" t="s">
        <v>823</v>
      </c>
    </row>
    <row r="428" spans="1:21" ht="12" customHeight="1">
      <c r="A428" s="327">
        <v>4</v>
      </c>
      <c r="B428" s="159" t="s">
        <v>312</v>
      </c>
      <c r="C428" s="68" t="s">
        <v>96</v>
      </c>
      <c r="D428" s="68" t="s">
        <v>307</v>
      </c>
      <c r="E428" s="321">
        <v>3</v>
      </c>
      <c r="F428" s="322">
        <v>622</v>
      </c>
      <c r="G428" s="322">
        <v>274</v>
      </c>
      <c r="H428" s="322">
        <v>0</v>
      </c>
      <c r="I428" s="322">
        <v>0</v>
      </c>
      <c r="J428" s="322">
        <v>0</v>
      </c>
      <c r="K428" s="322">
        <v>0</v>
      </c>
      <c r="L428" s="322">
        <v>0</v>
      </c>
      <c r="M428" s="322">
        <v>0</v>
      </c>
      <c r="N428" s="322">
        <v>0</v>
      </c>
      <c r="O428" s="322">
        <v>0</v>
      </c>
      <c r="P428" s="322">
        <v>0</v>
      </c>
      <c r="Q428" s="322">
        <v>0</v>
      </c>
      <c r="R428" s="322">
        <v>0</v>
      </c>
      <c r="S428" s="9">
        <v>6.0084930706515009E-4</v>
      </c>
      <c r="T428" s="9">
        <f t="shared" si="6"/>
        <v>0</v>
      </c>
      <c r="U428" s="321" t="s">
        <v>824</v>
      </c>
    </row>
    <row r="429" spans="1:21" ht="12" customHeight="1">
      <c r="A429" s="327">
        <v>4</v>
      </c>
      <c r="B429" s="159" t="s">
        <v>312</v>
      </c>
      <c r="C429" s="68" t="s">
        <v>96</v>
      </c>
      <c r="D429" s="68" t="s">
        <v>307</v>
      </c>
      <c r="E429" s="321">
        <v>4</v>
      </c>
      <c r="F429" s="322">
        <v>596</v>
      </c>
      <c r="G429" s="322">
        <v>296</v>
      </c>
      <c r="H429" s="322">
        <v>0</v>
      </c>
      <c r="I429" s="322">
        <v>0</v>
      </c>
      <c r="J429" s="322">
        <v>0</v>
      </c>
      <c r="K429" s="322">
        <v>0</v>
      </c>
      <c r="L429" s="322">
        <v>0</v>
      </c>
      <c r="M429" s="322">
        <v>0</v>
      </c>
      <c r="N429" s="322">
        <v>0</v>
      </c>
      <c r="O429" s="322">
        <v>0</v>
      </c>
      <c r="P429" s="322">
        <v>0</v>
      </c>
      <c r="Q429" s="322">
        <v>0</v>
      </c>
      <c r="R429" s="322">
        <v>0</v>
      </c>
      <c r="S429" s="9">
        <v>6.0084930706515009E-4</v>
      </c>
      <c r="T429" s="9">
        <f t="shared" si="6"/>
        <v>0</v>
      </c>
      <c r="U429" s="321" t="s">
        <v>825</v>
      </c>
    </row>
    <row r="430" spans="1:21" ht="12" customHeight="1">
      <c r="A430" s="327">
        <v>4</v>
      </c>
      <c r="B430" s="159" t="s">
        <v>312</v>
      </c>
      <c r="C430" s="68" t="s">
        <v>96</v>
      </c>
      <c r="D430" s="68" t="s">
        <v>307</v>
      </c>
      <c r="E430" s="321">
        <v>5</v>
      </c>
      <c r="F430" s="322">
        <v>646</v>
      </c>
      <c r="G430" s="322">
        <v>296</v>
      </c>
      <c r="H430" s="322">
        <v>0</v>
      </c>
      <c r="I430" s="322">
        <v>0</v>
      </c>
      <c r="J430" s="322">
        <v>0</v>
      </c>
      <c r="K430" s="322">
        <v>0</v>
      </c>
      <c r="L430" s="322">
        <v>0</v>
      </c>
      <c r="M430" s="322">
        <v>0</v>
      </c>
      <c r="N430" s="322">
        <v>0</v>
      </c>
      <c r="O430" s="322">
        <v>0</v>
      </c>
      <c r="P430" s="322">
        <v>0</v>
      </c>
      <c r="Q430" s="322">
        <v>0</v>
      </c>
      <c r="R430" s="322">
        <v>0</v>
      </c>
      <c r="S430" s="9">
        <v>6.0084930706515009E-4</v>
      </c>
      <c r="T430" s="9">
        <f t="shared" si="6"/>
        <v>0</v>
      </c>
      <c r="U430" s="321" t="s">
        <v>826</v>
      </c>
    </row>
    <row r="431" spans="1:21" ht="12" customHeight="1">
      <c r="A431" s="327">
        <v>4</v>
      </c>
      <c r="B431" s="159" t="s">
        <v>312</v>
      </c>
      <c r="C431" s="68" t="s">
        <v>95</v>
      </c>
      <c r="D431" s="68" t="s">
        <v>308</v>
      </c>
      <c r="E431" s="321">
        <v>1</v>
      </c>
      <c r="F431" s="322">
        <v>866</v>
      </c>
      <c r="G431" s="322">
        <v>519</v>
      </c>
      <c r="H431" s="322">
        <v>0</v>
      </c>
      <c r="I431" s="322">
        <v>0</v>
      </c>
      <c r="J431" s="322">
        <v>0</v>
      </c>
      <c r="K431" s="322">
        <v>0</v>
      </c>
      <c r="L431" s="322">
        <v>0</v>
      </c>
      <c r="M431" s="322">
        <v>0</v>
      </c>
      <c r="N431" s="322">
        <v>0</v>
      </c>
      <c r="O431" s="322">
        <v>0</v>
      </c>
      <c r="P431" s="322">
        <v>0</v>
      </c>
      <c r="Q431" s="322">
        <v>0</v>
      </c>
      <c r="R431" s="322">
        <v>0</v>
      </c>
      <c r="S431" s="9">
        <v>2.247844018764845E-7</v>
      </c>
      <c r="T431" s="9">
        <f t="shared" si="6"/>
        <v>0</v>
      </c>
      <c r="U431" s="321" t="s">
        <v>582</v>
      </c>
    </row>
    <row r="432" spans="1:21" ht="12" customHeight="1">
      <c r="A432" s="327">
        <v>4</v>
      </c>
      <c r="B432" s="159" t="s">
        <v>312</v>
      </c>
      <c r="C432" s="68" t="s">
        <v>95</v>
      </c>
      <c r="D432" s="68" t="s">
        <v>308</v>
      </c>
      <c r="E432" s="321">
        <v>2</v>
      </c>
      <c r="F432" s="322">
        <v>858</v>
      </c>
      <c r="G432" s="322">
        <v>519</v>
      </c>
      <c r="H432" s="322">
        <v>0</v>
      </c>
      <c r="I432" s="322">
        <v>0</v>
      </c>
      <c r="J432" s="322">
        <v>0</v>
      </c>
      <c r="K432" s="322">
        <v>0</v>
      </c>
      <c r="L432" s="322">
        <v>0</v>
      </c>
      <c r="M432" s="322">
        <v>0</v>
      </c>
      <c r="N432" s="322">
        <v>0</v>
      </c>
      <c r="O432" s="322">
        <v>0</v>
      </c>
      <c r="P432" s="322">
        <v>0</v>
      </c>
      <c r="Q432" s="322">
        <v>0</v>
      </c>
      <c r="R432" s="322">
        <v>0</v>
      </c>
      <c r="S432" s="9">
        <v>2.247844018764845E-7</v>
      </c>
      <c r="T432" s="9">
        <f t="shared" si="6"/>
        <v>0</v>
      </c>
      <c r="U432" s="321" t="s">
        <v>583</v>
      </c>
    </row>
    <row r="433" spans="1:21" ht="12" customHeight="1">
      <c r="A433" s="327">
        <v>4</v>
      </c>
      <c r="B433" s="159" t="s">
        <v>312</v>
      </c>
      <c r="C433" s="68" t="s">
        <v>95</v>
      </c>
      <c r="D433" s="68" t="s">
        <v>308</v>
      </c>
      <c r="E433" s="321">
        <v>3</v>
      </c>
      <c r="F433" s="322">
        <v>864</v>
      </c>
      <c r="G433" s="322">
        <v>524</v>
      </c>
      <c r="H433" s="322">
        <v>0</v>
      </c>
      <c r="I433" s="322">
        <v>0</v>
      </c>
      <c r="J433" s="322">
        <v>0</v>
      </c>
      <c r="K433" s="322">
        <v>0</v>
      </c>
      <c r="L433" s="322">
        <v>0</v>
      </c>
      <c r="M433" s="322">
        <v>0</v>
      </c>
      <c r="N433" s="322">
        <v>0</v>
      </c>
      <c r="O433" s="322">
        <v>0</v>
      </c>
      <c r="P433" s="322">
        <v>0</v>
      </c>
      <c r="Q433" s="322">
        <v>0</v>
      </c>
      <c r="R433" s="322">
        <v>0</v>
      </c>
      <c r="S433" s="9">
        <v>2.247844018764845E-7</v>
      </c>
      <c r="T433" s="9">
        <f t="shared" si="6"/>
        <v>0</v>
      </c>
      <c r="U433" s="321" t="s">
        <v>584</v>
      </c>
    </row>
    <row r="434" spans="1:21" ht="12" customHeight="1">
      <c r="A434" s="327">
        <v>4</v>
      </c>
      <c r="B434" s="159" t="s">
        <v>312</v>
      </c>
      <c r="C434" s="68" t="s">
        <v>95</v>
      </c>
      <c r="D434" s="68" t="s">
        <v>308</v>
      </c>
      <c r="E434" s="321">
        <v>4</v>
      </c>
      <c r="F434" s="322">
        <v>818</v>
      </c>
      <c r="G434" s="322">
        <v>525</v>
      </c>
      <c r="H434" s="322">
        <v>0</v>
      </c>
      <c r="I434" s="322">
        <v>0</v>
      </c>
      <c r="J434" s="322">
        <v>0</v>
      </c>
      <c r="K434" s="322">
        <v>0</v>
      </c>
      <c r="L434" s="322">
        <v>0</v>
      </c>
      <c r="M434" s="322">
        <v>0</v>
      </c>
      <c r="N434" s="322">
        <v>0</v>
      </c>
      <c r="O434" s="322">
        <v>0</v>
      </c>
      <c r="P434" s="322">
        <v>0</v>
      </c>
      <c r="Q434" s="322">
        <v>0</v>
      </c>
      <c r="R434" s="322">
        <v>0</v>
      </c>
      <c r="S434" s="9">
        <v>2.247844018764845E-7</v>
      </c>
      <c r="T434" s="9">
        <f t="shared" si="6"/>
        <v>0</v>
      </c>
      <c r="U434" s="321" t="s">
        <v>585</v>
      </c>
    </row>
    <row r="435" spans="1:21" ht="12" customHeight="1">
      <c r="A435" s="327">
        <v>4</v>
      </c>
      <c r="B435" s="159" t="s">
        <v>312</v>
      </c>
      <c r="C435" s="68" t="s">
        <v>95</v>
      </c>
      <c r="D435" s="68" t="s">
        <v>308</v>
      </c>
      <c r="E435" s="321">
        <v>5</v>
      </c>
      <c r="F435" s="322">
        <v>862</v>
      </c>
      <c r="G435" s="322">
        <v>524</v>
      </c>
      <c r="H435" s="322">
        <v>0</v>
      </c>
      <c r="I435" s="322">
        <v>0</v>
      </c>
      <c r="J435" s="322">
        <v>0</v>
      </c>
      <c r="K435" s="322">
        <v>0</v>
      </c>
      <c r="L435" s="322">
        <v>0</v>
      </c>
      <c r="M435" s="322">
        <v>0</v>
      </c>
      <c r="N435" s="322">
        <v>0</v>
      </c>
      <c r="O435" s="322">
        <v>0</v>
      </c>
      <c r="P435" s="322">
        <v>0</v>
      </c>
      <c r="Q435" s="322">
        <v>0</v>
      </c>
      <c r="R435" s="322">
        <v>0</v>
      </c>
      <c r="S435" s="9">
        <v>2.247844018764845E-7</v>
      </c>
      <c r="T435" s="9">
        <f t="shared" si="6"/>
        <v>0</v>
      </c>
      <c r="U435" s="321" t="s">
        <v>586</v>
      </c>
    </row>
    <row r="436" spans="1:21" ht="12" customHeight="1">
      <c r="A436" s="327">
        <v>4</v>
      </c>
      <c r="B436" s="159" t="s">
        <v>312</v>
      </c>
      <c r="C436" s="68" t="s">
        <v>95</v>
      </c>
      <c r="D436" s="68" t="s">
        <v>310</v>
      </c>
      <c r="E436" s="321">
        <v>1</v>
      </c>
      <c r="F436" s="322">
        <v>990</v>
      </c>
      <c r="G436" s="322">
        <v>524</v>
      </c>
      <c r="H436" s="322">
        <v>46</v>
      </c>
      <c r="I436" s="322">
        <v>14</v>
      </c>
      <c r="J436" s="322">
        <v>0</v>
      </c>
      <c r="K436" s="322">
        <v>0</v>
      </c>
      <c r="L436" s="322">
        <v>0</v>
      </c>
      <c r="M436" s="322">
        <v>0</v>
      </c>
      <c r="N436" s="322">
        <v>0</v>
      </c>
      <c r="O436" s="322">
        <v>0</v>
      </c>
      <c r="P436" s="322">
        <v>0</v>
      </c>
      <c r="Q436" s="322">
        <v>0</v>
      </c>
      <c r="R436" s="322">
        <v>1.7</v>
      </c>
      <c r="S436" s="9">
        <v>2.2478237881484456E-7</v>
      </c>
      <c r="T436" s="9">
        <f t="shared" si="6"/>
        <v>3.8213004398523573E-7</v>
      </c>
      <c r="U436" s="321" t="s">
        <v>612</v>
      </c>
    </row>
    <row r="437" spans="1:21" ht="12" customHeight="1">
      <c r="A437" s="327">
        <v>4</v>
      </c>
      <c r="B437" s="159" t="s">
        <v>312</v>
      </c>
      <c r="C437" s="68" t="s">
        <v>95</v>
      </c>
      <c r="D437" s="68" t="s">
        <v>310</v>
      </c>
      <c r="E437" s="321">
        <v>2</v>
      </c>
      <c r="F437" s="322">
        <v>902</v>
      </c>
      <c r="G437" s="322">
        <v>524</v>
      </c>
      <c r="H437" s="322">
        <v>33</v>
      </c>
      <c r="I437" s="322">
        <v>9</v>
      </c>
      <c r="J437" s="322">
        <v>0</v>
      </c>
      <c r="K437" s="322">
        <v>0</v>
      </c>
      <c r="L437" s="322">
        <v>0</v>
      </c>
      <c r="M437" s="322">
        <v>0</v>
      </c>
      <c r="N437" s="322">
        <v>0</v>
      </c>
      <c r="O437" s="322">
        <v>0</v>
      </c>
      <c r="P437" s="322">
        <v>0</v>
      </c>
      <c r="Q437" s="322">
        <v>0</v>
      </c>
      <c r="R437" s="322">
        <v>1.1000000000000001</v>
      </c>
      <c r="S437" s="9">
        <v>2.2478237881484456E-7</v>
      </c>
      <c r="T437" s="9">
        <f t="shared" si="6"/>
        <v>2.4726061669632902E-7</v>
      </c>
      <c r="U437" s="321" t="s">
        <v>613</v>
      </c>
    </row>
    <row r="438" spans="1:21" ht="12" customHeight="1">
      <c r="A438" s="327">
        <v>4</v>
      </c>
      <c r="B438" s="159" t="s">
        <v>312</v>
      </c>
      <c r="C438" s="68" t="s">
        <v>95</v>
      </c>
      <c r="D438" s="68" t="s">
        <v>310</v>
      </c>
      <c r="E438" s="321">
        <v>3</v>
      </c>
      <c r="F438" s="322">
        <v>922</v>
      </c>
      <c r="G438" s="322">
        <v>525</v>
      </c>
      <c r="H438" s="322">
        <v>33</v>
      </c>
      <c r="I438" s="322">
        <v>9</v>
      </c>
      <c r="J438" s="322">
        <v>0</v>
      </c>
      <c r="K438" s="322">
        <v>0</v>
      </c>
      <c r="L438" s="322">
        <v>0</v>
      </c>
      <c r="M438" s="322">
        <v>0</v>
      </c>
      <c r="N438" s="322">
        <v>0</v>
      </c>
      <c r="O438" s="322">
        <v>0</v>
      </c>
      <c r="P438" s="322">
        <v>0</v>
      </c>
      <c r="Q438" s="322">
        <v>0</v>
      </c>
      <c r="R438" s="322">
        <v>1.1000000000000001</v>
      </c>
      <c r="S438" s="9">
        <v>2.2478237881484456E-7</v>
      </c>
      <c r="T438" s="9">
        <f t="shared" si="6"/>
        <v>2.4726061669632902E-7</v>
      </c>
      <c r="U438" s="321" t="s">
        <v>614</v>
      </c>
    </row>
    <row r="439" spans="1:21" ht="12" customHeight="1">
      <c r="A439" s="327">
        <v>4</v>
      </c>
      <c r="B439" s="159" t="s">
        <v>312</v>
      </c>
      <c r="C439" s="68" t="s">
        <v>95</v>
      </c>
      <c r="D439" s="68" t="s">
        <v>310</v>
      </c>
      <c r="E439" s="321">
        <v>4</v>
      </c>
      <c r="F439" s="322">
        <v>1140</v>
      </c>
      <c r="G439" s="322">
        <v>519</v>
      </c>
      <c r="H439" s="322">
        <v>110</v>
      </c>
      <c r="I439" s="322">
        <v>86</v>
      </c>
      <c r="J439" s="322">
        <v>26</v>
      </c>
      <c r="K439" s="322">
        <v>2</v>
      </c>
      <c r="L439" s="322">
        <v>0</v>
      </c>
      <c r="M439" s="322">
        <v>0</v>
      </c>
      <c r="N439" s="322">
        <v>0</v>
      </c>
      <c r="O439" s="322">
        <v>0</v>
      </c>
      <c r="P439" s="322">
        <v>0</v>
      </c>
      <c r="Q439" s="322">
        <v>0</v>
      </c>
      <c r="R439" s="322">
        <v>32.200000000000003</v>
      </c>
      <c r="S439" s="9">
        <v>2.2478237881484456E-7</v>
      </c>
      <c r="T439" s="9">
        <f t="shared" si="6"/>
        <v>7.2379925978379952E-6</v>
      </c>
      <c r="U439" s="321" t="s">
        <v>615</v>
      </c>
    </row>
    <row r="440" spans="1:21" ht="12" customHeight="1">
      <c r="A440" s="327">
        <v>4</v>
      </c>
      <c r="B440" s="159" t="s">
        <v>312</v>
      </c>
      <c r="C440" s="68" t="s">
        <v>95</v>
      </c>
      <c r="D440" s="68" t="s">
        <v>310</v>
      </c>
      <c r="E440" s="321">
        <v>5</v>
      </c>
      <c r="F440" s="322">
        <v>924</v>
      </c>
      <c r="G440" s="322">
        <v>500</v>
      </c>
      <c r="H440" s="322">
        <v>43</v>
      </c>
      <c r="I440" s="322">
        <v>6</v>
      </c>
      <c r="J440" s="322">
        <v>0</v>
      </c>
      <c r="K440" s="322">
        <v>0</v>
      </c>
      <c r="L440" s="322">
        <v>0</v>
      </c>
      <c r="M440" s="322">
        <v>0</v>
      </c>
      <c r="N440" s="322">
        <v>0</v>
      </c>
      <c r="O440" s="322">
        <v>0</v>
      </c>
      <c r="P440" s="322">
        <v>0</v>
      </c>
      <c r="Q440" s="322">
        <v>0</v>
      </c>
      <c r="R440" s="322">
        <v>1</v>
      </c>
      <c r="S440" s="9">
        <v>2.2478237881484456E-7</v>
      </c>
      <c r="T440" s="9">
        <f t="shared" si="6"/>
        <v>2.2478237881484456E-7</v>
      </c>
      <c r="U440" s="321" t="s">
        <v>616</v>
      </c>
    </row>
    <row r="441" spans="1:21" ht="12" customHeight="1">
      <c r="A441" s="327">
        <v>4</v>
      </c>
      <c r="B441" s="159" t="s">
        <v>312</v>
      </c>
      <c r="C441" s="68" t="s">
        <v>95</v>
      </c>
      <c r="D441" s="68" t="s">
        <v>309</v>
      </c>
      <c r="E441" s="321">
        <v>1</v>
      </c>
      <c r="F441" s="322">
        <v>632</v>
      </c>
      <c r="G441" s="322">
        <v>525</v>
      </c>
      <c r="H441" s="322">
        <v>0</v>
      </c>
      <c r="I441" s="322">
        <v>0</v>
      </c>
      <c r="J441" s="322">
        <v>0</v>
      </c>
      <c r="K441" s="322">
        <v>0</v>
      </c>
      <c r="L441" s="322">
        <v>0</v>
      </c>
      <c r="M441" s="322">
        <v>0</v>
      </c>
      <c r="N441" s="322">
        <v>0</v>
      </c>
      <c r="O441" s="322">
        <v>0</v>
      </c>
      <c r="P441" s="322">
        <v>0</v>
      </c>
      <c r="Q441" s="322">
        <v>0</v>
      </c>
      <c r="R441" s="322">
        <v>0</v>
      </c>
      <c r="S441" s="9">
        <v>2.247844018764845E-7</v>
      </c>
      <c r="T441" s="9">
        <f t="shared" si="6"/>
        <v>0</v>
      </c>
      <c r="U441" s="321" t="s">
        <v>642</v>
      </c>
    </row>
    <row r="442" spans="1:21" ht="12" customHeight="1">
      <c r="A442" s="327">
        <v>4</v>
      </c>
      <c r="B442" s="159" t="s">
        <v>312</v>
      </c>
      <c r="C442" s="68" t="s">
        <v>95</v>
      </c>
      <c r="D442" s="68" t="s">
        <v>309</v>
      </c>
      <c r="E442" s="321">
        <v>2</v>
      </c>
      <c r="F442" s="322">
        <v>636</v>
      </c>
      <c r="G442" s="322">
        <v>524</v>
      </c>
      <c r="H442" s="322">
        <v>0</v>
      </c>
      <c r="I442" s="322">
        <v>0</v>
      </c>
      <c r="J442" s="322">
        <v>0</v>
      </c>
      <c r="K442" s="322">
        <v>0</v>
      </c>
      <c r="L442" s="322">
        <v>0</v>
      </c>
      <c r="M442" s="322">
        <v>0</v>
      </c>
      <c r="N442" s="322">
        <v>0</v>
      </c>
      <c r="O442" s="322">
        <v>0</v>
      </c>
      <c r="P442" s="322">
        <v>0</v>
      </c>
      <c r="Q442" s="322">
        <v>0</v>
      </c>
      <c r="R442" s="322">
        <v>0</v>
      </c>
      <c r="S442" s="9">
        <v>2.247844018764845E-7</v>
      </c>
      <c r="T442" s="9">
        <f t="shared" si="6"/>
        <v>0</v>
      </c>
      <c r="U442" s="321" t="s">
        <v>643</v>
      </c>
    </row>
    <row r="443" spans="1:21" ht="12" customHeight="1">
      <c r="A443" s="327">
        <v>4</v>
      </c>
      <c r="B443" s="159" t="s">
        <v>312</v>
      </c>
      <c r="C443" s="68" t="s">
        <v>95</v>
      </c>
      <c r="D443" s="68" t="s">
        <v>309</v>
      </c>
      <c r="E443" s="321">
        <v>3</v>
      </c>
      <c r="F443" s="322">
        <v>650</v>
      </c>
      <c r="G443" s="322">
        <v>524</v>
      </c>
      <c r="H443" s="322">
        <v>0</v>
      </c>
      <c r="I443" s="322">
        <v>0</v>
      </c>
      <c r="J443" s="322">
        <v>0</v>
      </c>
      <c r="K443" s="322">
        <v>0</v>
      </c>
      <c r="L443" s="322">
        <v>0</v>
      </c>
      <c r="M443" s="322">
        <v>0</v>
      </c>
      <c r="N443" s="322">
        <v>0</v>
      </c>
      <c r="O443" s="322">
        <v>0</v>
      </c>
      <c r="P443" s="322">
        <v>0</v>
      </c>
      <c r="Q443" s="322">
        <v>0</v>
      </c>
      <c r="R443" s="322">
        <v>0</v>
      </c>
      <c r="S443" s="9">
        <v>2.247844018764845E-7</v>
      </c>
      <c r="T443" s="9">
        <f t="shared" si="6"/>
        <v>0</v>
      </c>
      <c r="U443" s="321" t="s">
        <v>644</v>
      </c>
    </row>
    <row r="444" spans="1:21" ht="12" customHeight="1">
      <c r="A444" s="327">
        <v>4</v>
      </c>
      <c r="B444" s="159" t="s">
        <v>312</v>
      </c>
      <c r="C444" s="68" t="s">
        <v>95</v>
      </c>
      <c r="D444" s="68" t="s">
        <v>309</v>
      </c>
      <c r="E444" s="321">
        <v>4</v>
      </c>
      <c r="F444" s="322">
        <v>646</v>
      </c>
      <c r="G444" s="322">
        <v>524</v>
      </c>
      <c r="H444" s="322">
        <v>0</v>
      </c>
      <c r="I444" s="322">
        <v>0</v>
      </c>
      <c r="J444" s="322">
        <v>0</v>
      </c>
      <c r="K444" s="322">
        <v>0</v>
      </c>
      <c r="L444" s="322">
        <v>0</v>
      </c>
      <c r="M444" s="322">
        <v>0</v>
      </c>
      <c r="N444" s="322">
        <v>0</v>
      </c>
      <c r="O444" s="322">
        <v>0</v>
      </c>
      <c r="P444" s="322">
        <v>0</v>
      </c>
      <c r="Q444" s="322">
        <v>0</v>
      </c>
      <c r="R444" s="322">
        <v>0</v>
      </c>
      <c r="S444" s="9">
        <v>2.247844018764845E-7</v>
      </c>
      <c r="T444" s="9">
        <f t="shared" si="6"/>
        <v>0</v>
      </c>
      <c r="U444" s="321" t="s">
        <v>645</v>
      </c>
    </row>
    <row r="445" spans="1:21" ht="12" customHeight="1">
      <c r="A445" s="327">
        <v>4</v>
      </c>
      <c r="B445" s="159" t="s">
        <v>312</v>
      </c>
      <c r="C445" s="68" t="s">
        <v>95</v>
      </c>
      <c r="D445" s="68" t="s">
        <v>309</v>
      </c>
      <c r="E445" s="321">
        <v>5</v>
      </c>
      <c r="F445" s="322">
        <v>622</v>
      </c>
      <c r="G445" s="322">
        <v>524</v>
      </c>
      <c r="H445" s="322">
        <v>0</v>
      </c>
      <c r="I445" s="322">
        <v>0</v>
      </c>
      <c r="J445" s="322">
        <v>0</v>
      </c>
      <c r="K445" s="322">
        <v>0</v>
      </c>
      <c r="L445" s="322">
        <v>0</v>
      </c>
      <c r="M445" s="322">
        <v>0</v>
      </c>
      <c r="N445" s="322">
        <v>0</v>
      </c>
      <c r="O445" s="322">
        <v>0</v>
      </c>
      <c r="P445" s="322">
        <v>0</v>
      </c>
      <c r="Q445" s="322">
        <v>0</v>
      </c>
      <c r="R445" s="322">
        <v>0</v>
      </c>
      <c r="S445" s="9">
        <v>2.247844018764845E-7</v>
      </c>
      <c r="T445" s="9">
        <f t="shared" si="6"/>
        <v>0</v>
      </c>
      <c r="U445" s="321" t="s">
        <v>646</v>
      </c>
    </row>
    <row r="446" spans="1:21" ht="12" customHeight="1">
      <c r="A446" s="327">
        <v>4</v>
      </c>
      <c r="B446" s="159" t="s">
        <v>312</v>
      </c>
      <c r="C446" s="68" t="s">
        <v>95</v>
      </c>
      <c r="D446" s="68" t="s">
        <v>311</v>
      </c>
      <c r="E446" s="321">
        <v>1</v>
      </c>
      <c r="F446" s="322">
        <v>890</v>
      </c>
      <c r="G446" s="322">
        <v>524</v>
      </c>
      <c r="H446" s="322">
        <v>3</v>
      </c>
      <c r="I446" s="322">
        <v>0</v>
      </c>
      <c r="J446" s="322">
        <v>0</v>
      </c>
      <c r="K446" s="322">
        <v>0</v>
      </c>
      <c r="L446" s="322">
        <v>0</v>
      </c>
      <c r="M446" s="322">
        <v>0</v>
      </c>
      <c r="N446" s="322">
        <v>0</v>
      </c>
      <c r="O446" s="322">
        <v>0</v>
      </c>
      <c r="P446" s="322">
        <v>0</v>
      </c>
      <c r="Q446" s="322">
        <v>0</v>
      </c>
      <c r="R446" s="322">
        <v>0</v>
      </c>
      <c r="S446" s="9">
        <v>6.0691849198500013E-6</v>
      </c>
      <c r="T446" s="9">
        <f t="shared" si="6"/>
        <v>0</v>
      </c>
      <c r="U446" s="321" t="s">
        <v>672</v>
      </c>
    </row>
    <row r="447" spans="1:21" ht="12" customHeight="1">
      <c r="A447" s="327">
        <v>4</v>
      </c>
      <c r="B447" s="159" t="s">
        <v>312</v>
      </c>
      <c r="C447" s="68" t="s">
        <v>95</v>
      </c>
      <c r="D447" s="68" t="s">
        <v>311</v>
      </c>
      <c r="E447" s="321">
        <v>2</v>
      </c>
      <c r="F447" s="322">
        <v>806</v>
      </c>
      <c r="G447" s="322">
        <v>524</v>
      </c>
      <c r="H447" s="322">
        <v>0</v>
      </c>
      <c r="I447" s="322">
        <v>0</v>
      </c>
      <c r="J447" s="322">
        <v>0</v>
      </c>
      <c r="K447" s="322">
        <v>0</v>
      </c>
      <c r="L447" s="322">
        <v>0</v>
      </c>
      <c r="M447" s="322">
        <v>0</v>
      </c>
      <c r="N447" s="322">
        <v>0</v>
      </c>
      <c r="O447" s="322">
        <v>0</v>
      </c>
      <c r="P447" s="322">
        <v>0</v>
      </c>
      <c r="Q447" s="322">
        <v>0</v>
      </c>
      <c r="R447" s="322">
        <v>0</v>
      </c>
      <c r="S447" s="9">
        <v>6.0691849198500013E-6</v>
      </c>
      <c r="T447" s="9">
        <f t="shared" si="6"/>
        <v>0</v>
      </c>
      <c r="U447" s="321" t="s">
        <v>673</v>
      </c>
    </row>
    <row r="448" spans="1:21" ht="12" customHeight="1">
      <c r="A448" s="327">
        <v>4</v>
      </c>
      <c r="B448" s="159" t="s">
        <v>312</v>
      </c>
      <c r="C448" s="68" t="s">
        <v>95</v>
      </c>
      <c r="D448" s="68" t="s">
        <v>311</v>
      </c>
      <c r="E448" s="321">
        <v>3</v>
      </c>
      <c r="F448" s="322">
        <v>784</v>
      </c>
      <c r="G448" s="322">
        <v>524</v>
      </c>
      <c r="H448" s="322">
        <v>0</v>
      </c>
      <c r="I448" s="322">
        <v>0</v>
      </c>
      <c r="J448" s="322">
        <v>0</v>
      </c>
      <c r="K448" s="322">
        <v>0</v>
      </c>
      <c r="L448" s="322">
        <v>0</v>
      </c>
      <c r="M448" s="322">
        <v>0</v>
      </c>
      <c r="N448" s="322">
        <v>0</v>
      </c>
      <c r="O448" s="322">
        <v>0</v>
      </c>
      <c r="P448" s="322">
        <v>0</v>
      </c>
      <c r="Q448" s="322">
        <v>0</v>
      </c>
      <c r="R448" s="322">
        <v>0</v>
      </c>
      <c r="S448" s="9">
        <v>6.0691849198500013E-6</v>
      </c>
      <c r="T448" s="9">
        <f t="shared" si="6"/>
        <v>0</v>
      </c>
      <c r="U448" s="321" t="s">
        <v>674</v>
      </c>
    </row>
    <row r="449" spans="1:21" ht="12" customHeight="1">
      <c r="A449" s="327">
        <v>4</v>
      </c>
      <c r="B449" s="159" t="s">
        <v>312</v>
      </c>
      <c r="C449" s="68" t="s">
        <v>95</v>
      </c>
      <c r="D449" s="68" t="s">
        <v>311</v>
      </c>
      <c r="E449" s="321">
        <v>4</v>
      </c>
      <c r="F449" s="322">
        <v>814</v>
      </c>
      <c r="G449" s="322">
        <v>525</v>
      </c>
      <c r="H449" s="322">
        <v>0</v>
      </c>
      <c r="I449" s="322">
        <v>0</v>
      </c>
      <c r="J449" s="322">
        <v>0</v>
      </c>
      <c r="K449" s="322">
        <v>0</v>
      </c>
      <c r="L449" s="322">
        <v>0</v>
      </c>
      <c r="M449" s="322">
        <v>0</v>
      </c>
      <c r="N449" s="322">
        <v>0</v>
      </c>
      <c r="O449" s="322">
        <v>0</v>
      </c>
      <c r="P449" s="322">
        <v>0</v>
      </c>
      <c r="Q449" s="322">
        <v>0</v>
      </c>
      <c r="R449" s="322">
        <v>0</v>
      </c>
      <c r="S449" s="9">
        <v>6.0691849198500013E-6</v>
      </c>
      <c r="T449" s="9">
        <f t="shared" si="6"/>
        <v>0</v>
      </c>
      <c r="U449" s="321" t="s">
        <v>675</v>
      </c>
    </row>
    <row r="450" spans="1:21" ht="12" customHeight="1">
      <c r="A450" s="327">
        <v>4</v>
      </c>
      <c r="B450" s="159" t="s">
        <v>312</v>
      </c>
      <c r="C450" s="68" t="s">
        <v>95</v>
      </c>
      <c r="D450" s="68" t="s">
        <v>311</v>
      </c>
      <c r="E450" s="321">
        <v>5</v>
      </c>
      <c r="F450" s="322">
        <v>860</v>
      </c>
      <c r="G450" s="322">
        <v>524</v>
      </c>
      <c r="H450" s="322">
        <v>1</v>
      </c>
      <c r="I450" s="322">
        <v>0</v>
      </c>
      <c r="J450" s="322">
        <v>0</v>
      </c>
      <c r="K450" s="322">
        <v>0</v>
      </c>
      <c r="L450" s="322">
        <v>0</v>
      </c>
      <c r="M450" s="322">
        <v>0</v>
      </c>
      <c r="N450" s="322">
        <v>0</v>
      </c>
      <c r="O450" s="322">
        <v>0</v>
      </c>
      <c r="P450" s="322">
        <v>0</v>
      </c>
      <c r="Q450" s="322">
        <v>0</v>
      </c>
      <c r="R450" s="322">
        <v>0</v>
      </c>
      <c r="S450" s="9">
        <v>6.0691849198500013E-6</v>
      </c>
      <c r="T450" s="9">
        <f t="shared" si="6"/>
        <v>0</v>
      </c>
      <c r="U450" s="321" t="s">
        <v>676</v>
      </c>
    </row>
    <row r="451" spans="1:21" ht="12" customHeight="1">
      <c r="A451" s="327">
        <v>4</v>
      </c>
      <c r="B451" s="159" t="s">
        <v>312</v>
      </c>
      <c r="C451" s="68" t="s">
        <v>95</v>
      </c>
      <c r="D451" s="68" t="s">
        <v>307</v>
      </c>
      <c r="E451" s="321">
        <v>1</v>
      </c>
      <c r="F451" s="322">
        <v>654</v>
      </c>
      <c r="G451" s="322">
        <v>525</v>
      </c>
      <c r="H451" s="322">
        <v>9</v>
      </c>
      <c r="I451" s="322">
        <v>0</v>
      </c>
      <c r="J451" s="322">
        <v>0</v>
      </c>
      <c r="K451" s="322">
        <v>0</v>
      </c>
      <c r="L451" s="322">
        <v>0</v>
      </c>
      <c r="M451" s="322">
        <v>0</v>
      </c>
      <c r="N451" s="322">
        <v>0</v>
      </c>
      <c r="O451" s="322">
        <v>0</v>
      </c>
      <c r="P451" s="322">
        <v>0</v>
      </c>
      <c r="Q451" s="322">
        <v>0</v>
      </c>
      <c r="R451" s="322">
        <v>0.1</v>
      </c>
      <c r="S451" s="9">
        <v>0</v>
      </c>
      <c r="T451" s="9">
        <f t="shared" si="6"/>
        <v>0</v>
      </c>
      <c r="U451" s="321" t="s">
        <v>702</v>
      </c>
    </row>
    <row r="452" spans="1:21" ht="12" customHeight="1">
      <c r="A452" s="327">
        <v>4</v>
      </c>
      <c r="B452" s="159" t="s">
        <v>312</v>
      </c>
      <c r="C452" s="68" t="s">
        <v>95</v>
      </c>
      <c r="D452" s="68" t="s">
        <v>307</v>
      </c>
      <c r="E452" s="321">
        <v>2</v>
      </c>
      <c r="F452" s="322">
        <v>638</v>
      </c>
      <c r="G452" s="322">
        <v>526</v>
      </c>
      <c r="H452" s="322">
        <v>1</v>
      </c>
      <c r="I452" s="322">
        <v>0</v>
      </c>
      <c r="J452" s="322">
        <v>0</v>
      </c>
      <c r="K452" s="322">
        <v>0</v>
      </c>
      <c r="L452" s="322">
        <v>0</v>
      </c>
      <c r="M452" s="322">
        <v>0</v>
      </c>
      <c r="N452" s="322">
        <v>0</v>
      </c>
      <c r="O452" s="322">
        <v>0</v>
      </c>
      <c r="P452" s="322">
        <v>0</v>
      </c>
      <c r="Q452" s="322">
        <v>0</v>
      </c>
      <c r="R452" s="322">
        <v>0</v>
      </c>
      <c r="S452" s="9">
        <v>0</v>
      </c>
      <c r="T452" s="9">
        <f t="shared" si="6"/>
        <v>0</v>
      </c>
      <c r="U452" s="321" t="s">
        <v>703</v>
      </c>
    </row>
    <row r="453" spans="1:21" ht="12" customHeight="1">
      <c r="A453" s="327">
        <v>4</v>
      </c>
      <c r="B453" s="159" t="s">
        <v>312</v>
      </c>
      <c r="C453" s="68" t="s">
        <v>95</v>
      </c>
      <c r="D453" s="68" t="s">
        <v>307</v>
      </c>
      <c r="E453" s="321">
        <v>3</v>
      </c>
      <c r="F453" s="322">
        <v>642</v>
      </c>
      <c r="G453" s="322">
        <v>525</v>
      </c>
      <c r="H453" s="322">
        <v>4</v>
      </c>
      <c r="I453" s="322">
        <v>0</v>
      </c>
      <c r="J453" s="322">
        <v>0</v>
      </c>
      <c r="K453" s="322">
        <v>0</v>
      </c>
      <c r="L453" s="322">
        <v>0</v>
      </c>
      <c r="M453" s="322">
        <v>0</v>
      </c>
      <c r="N453" s="322">
        <v>0</v>
      </c>
      <c r="O453" s="322">
        <v>0</v>
      </c>
      <c r="P453" s="322">
        <v>0</v>
      </c>
      <c r="Q453" s="322">
        <v>0</v>
      </c>
      <c r="R453" s="322">
        <v>0</v>
      </c>
      <c r="S453" s="9">
        <v>0</v>
      </c>
      <c r="T453" s="9">
        <f t="shared" si="6"/>
        <v>0</v>
      </c>
      <c r="U453" s="321" t="s">
        <v>704</v>
      </c>
    </row>
    <row r="454" spans="1:21" ht="12" customHeight="1">
      <c r="A454" s="327">
        <v>4</v>
      </c>
      <c r="B454" s="159" t="s">
        <v>312</v>
      </c>
      <c r="C454" s="68" t="s">
        <v>95</v>
      </c>
      <c r="D454" s="68" t="s">
        <v>307</v>
      </c>
      <c r="E454" s="321">
        <v>4</v>
      </c>
      <c r="F454" s="322">
        <v>624</v>
      </c>
      <c r="G454" s="322">
        <v>524</v>
      </c>
      <c r="H454" s="322">
        <v>1</v>
      </c>
      <c r="I454" s="322">
        <v>0</v>
      </c>
      <c r="J454" s="322">
        <v>0</v>
      </c>
      <c r="K454" s="322">
        <v>0</v>
      </c>
      <c r="L454" s="322">
        <v>0</v>
      </c>
      <c r="M454" s="322">
        <v>0</v>
      </c>
      <c r="N454" s="322">
        <v>0</v>
      </c>
      <c r="O454" s="322">
        <v>0</v>
      </c>
      <c r="P454" s="322">
        <v>0</v>
      </c>
      <c r="Q454" s="322">
        <v>0</v>
      </c>
      <c r="R454" s="322">
        <v>0</v>
      </c>
      <c r="S454" s="9">
        <v>0</v>
      </c>
      <c r="T454" s="9">
        <f t="shared" ref="T454:T517" si="7">S454*R454</f>
        <v>0</v>
      </c>
      <c r="U454" s="321" t="s">
        <v>705</v>
      </c>
    </row>
    <row r="455" spans="1:21" ht="12" customHeight="1">
      <c r="A455" s="327">
        <v>4</v>
      </c>
      <c r="B455" s="159" t="s">
        <v>312</v>
      </c>
      <c r="C455" s="68" t="s">
        <v>95</v>
      </c>
      <c r="D455" s="68" t="s">
        <v>307</v>
      </c>
      <c r="E455" s="321">
        <v>5</v>
      </c>
      <c r="F455" s="322">
        <v>662</v>
      </c>
      <c r="G455" s="322">
        <v>524</v>
      </c>
      <c r="H455" s="322">
        <v>4</v>
      </c>
      <c r="I455" s="322">
        <v>0</v>
      </c>
      <c r="J455" s="322">
        <v>0</v>
      </c>
      <c r="K455" s="322">
        <v>0</v>
      </c>
      <c r="L455" s="322">
        <v>0</v>
      </c>
      <c r="M455" s="322">
        <v>0</v>
      </c>
      <c r="N455" s="322">
        <v>0</v>
      </c>
      <c r="O455" s="322">
        <v>0</v>
      </c>
      <c r="P455" s="322">
        <v>0</v>
      </c>
      <c r="Q455" s="322">
        <v>0</v>
      </c>
      <c r="R455" s="322">
        <v>0</v>
      </c>
      <c r="S455" s="9">
        <v>0</v>
      </c>
      <c r="T455" s="9">
        <f t="shared" si="7"/>
        <v>0</v>
      </c>
      <c r="U455" s="321" t="s">
        <v>706</v>
      </c>
    </row>
    <row r="456" spans="1:21" ht="12" customHeight="1">
      <c r="A456" s="327">
        <v>4</v>
      </c>
      <c r="B456" s="159" t="s">
        <v>314</v>
      </c>
      <c r="C456" s="68" t="s">
        <v>96</v>
      </c>
      <c r="D456" s="68" t="s">
        <v>308</v>
      </c>
      <c r="E456" s="321">
        <v>1</v>
      </c>
      <c r="F456" s="322">
        <v>844</v>
      </c>
      <c r="G456" s="322">
        <v>296</v>
      </c>
      <c r="H456" s="322">
        <v>2</v>
      </c>
      <c r="I456" s="322">
        <v>0</v>
      </c>
      <c r="J456" s="322">
        <v>0</v>
      </c>
      <c r="K456" s="322">
        <v>0</v>
      </c>
      <c r="L456" s="322">
        <v>0</v>
      </c>
      <c r="M456" s="322">
        <v>0</v>
      </c>
      <c r="N456" s="322">
        <v>0</v>
      </c>
      <c r="O456" s="322">
        <v>0</v>
      </c>
      <c r="P456" s="322">
        <v>0</v>
      </c>
      <c r="Q456" s="322">
        <v>0</v>
      </c>
      <c r="R456" s="322">
        <v>0</v>
      </c>
      <c r="S456" s="9">
        <v>4.413146514749072E-6</v>
      </c>
      <c r="T456" s="9">
        <f t="shared" si="7"/>
        <v>0</v>
      </c>
      <c r="U456" s="321" t="s">
        <v>1002</v>
      </c>
    </row>
    <row r="457" spans="1:21" ht="12" customHeight="1">
      <c r="A457" s="327">
        <v>4</v>
      </c>
      <c r="B457" s="159" t="s">
        <v>314</v>
      </c>
      <c r="C457" s="68" t="s">
        <v>96</v>
      </c>
      <c r="D457" s="68" t="s">
        <v>308</v>
      </c>
      <c r="E457" s="321">
        <v>2</v>
      </c>
      <c r="F457" s="322">
        <v>866</v>
      </c>
      <c r="G457" s="322">
        <v>296</v>
      </c>
      <c r="H457" s="322">
        <v>1</v>
      </c>
      <c r="I457" s="322">
        <v>0</v>
      </c>
      <c r="J457" s="322">
        <v>0</v>
      </c>
      <c r="K457" s="322">
        <v>0</v>
      </c>
      <c r="L457" s="322">
        <v>0</v>
      </c>
      <c r="M457" s="322">
        <v>0</v>
      </c>
      <c r="N457" s="322">
        <v>0</v>
      </c>
      <c r="O457" s="322">
        <v>0</v>
      </c>
      <c r="P457" s="322">
        <v>0</v>
      </c>
      <c r="Q457" s="322">
        <v>0</v>
      </c>
      <c r="R457" s="322">
        <v>0</v>
      </c>
      <c r="S457" s="9">
        <v>4.413146514749072E-6</v>
      </c>
      <c r="T457" s="9">
        <f t="shared" si="7"/>
        <v>0</v>
      </c>
      <c r="U457" s="321" t="s">
        <v>1003</v>
      </c>
    </row>
    <row r="458" spans="1:21" ht="12" customHeight="1">
      <c r="A458" s="327">
        <v>4</v>
      </c>
      <c r="B458" s="159" t="s">
        <v>314</v>
      </c>
      <c r="C458" s="68" t="s">
        <v>96</v>
      </c>
      <c r="D458" s="68" t="s">
        <v>308</v>
      </c>
      <c r="E458" s="321">
        <v>3</v>
      </c>
      <c r="F458" s="322">
        <v>950</v>
      </c>
      <c r="G458" s="322">
        <v>297</v>
      </c>
      <c r="H458" s="322">
        <v>3</v>
      </c>
      <c r="I458" s="322">
        <v>1</v>
      </c>
      <c r="J458" s="322">
        <v>0</v>
      </c>
      <c r="K458" s="322">
        <v>0</v>
      </c>
      <c r="L458" s="322">
        <v>0</v>
      </c>
      <c r="M458" s="322">
        <v>0</v>
      </c>
      <c r="N458" s="322">
        <v>0</v>
      </c>
      <c r="O458" s="322">
        <v>0</v>
      </c>
      <c r="P458" s="322">
        <v>0</v>
      </c>
      <c r="Q458" s="322">
        <v>0</v>
      </c>
      <c r="R458" s="322">
        <v>0.1</v>
      </c>
      <c r="S458" s="9">
        <v>4.413146514749072E-6</v>
      </c>
      <c r="T458" s="9">
        <f t="shared" si="7"/>
        <v>4.4131465147490724E-7</v>
      </c>
      <c r="U458" s="321" t="s">
        <v>1004</v>
      </c>
    </row>
    <row r="459" spans="1:21" ht="12" customHeight="1">
      <c r="A459" s="327">
        <v>4</v>
      </c>
      <c r="B459" s="159" t="s">
        <v>314</v>
      </c>
      <c r="C459" s="68" t="s">
        <v>96</v>
      </c>
      <c r="D459" s="68" t="s">
        <v>308</v>
      </c>
      <c r="E459" s="321">
        <v>4</v>
      </c>
      <c r="F459" s="322">
        <v>890</v>
      </c>
      <c r="G459" s="322">
        <v>297</v>
      </c>
      <c r="H459" s="322">
        <v>3</v>
      </c>
      <c r="I459" s="322">
        <v>0</v>
      </c>
      <c r="J459" s="322">
        <v>0</v>
      </c>
      <c r="K459" s="322">
        <v>0</v>
      </c>
      <c r="L459" s="322">
        <v>0</v>
      </c>
      <c r="M459" s="322">
        <v>0</v>
      </c>
      <c r="N459" s="322">
        <v>0</v>
      </c>
      <c r="O459" s="322">
        <v>0</v>
      </c>
      <c r="P459" s="322">
        <v>0</v>
      </c>
      <c r="Q459" s="322">
        <v>0</v>
      </c>
      <c r="R459" s="322">
        <v>0</v>
      </c>
      <c r="S459" s="9">
        <v>4.413146514749072E-6</v>
      </c>
      <c r="T459" s="9">
        <f t="shared" si="7"/>
        <v>0</v>
      </c>
      <c r="U459" s="321" t="s">
        <v>1005</v>
      </c>
    </row>
    <row r="460" spans="1:21" ht="12" customHeight="1">
      <c r="A460" s="327">
        <v>4</v>
      </c>
      <c r="B460" s="159" t="s">
        <v>314</v>
      </c>
      <c r="C460" s="68" t="s">
        <v>96</v>
      </c>
      <c r="D460" s="68" t="s">
        <v>308</v>
      </c>
      <c r="E460" s="321">
        <v>5</v>
      </c>
      <c r="F460" s="322">
        <v>950</v>
      </c>
      <c r="G460" s="322">
        <v>292</v>
      </c>
      <c r="H460" s="322">
        <v>2</v>
      </c>
      <c r="I460" s="322">
        <v>1</v>
      </c>
      <c r="J460" s="322">
        <v>0</v>
      </c>
      <c r="K460" s="322">
        <v>0</v>
      </c>
      <c r="L460" s="322">
        <v>0</v>
      </c>
      <c r="M460" s="322">
        <v>0</v>
      </c>
      <c r="N460" s="322">
        <v>0</v>
      </c>
      <c r="O460" s="322">
        <v>0</v>
      </c>
      <c r="P460" s="322">
        <v>0</v>
      </c>
      <c r="Q460" s="322">
        <v>0</v>
      </c>
      <c r="R460" s="322">
        <v>0.1</v>
      </c>
      <c r="S460" s="9">
        <v>4.413146514749072E-6</v>
      </c>
      <c r="T460" s="9">
        <f t="shared" si="7"/>
        <v>4.4131465147490724E-7</v>
      </c>
      <c r="U460" s="321" t="s">
        <v>1006</v>
      </c>
    </row>
    <row r="461" spans="1:21" ht="12" customHeight="1">
      <c r="A461" s="327">
        <v>4</v>
      </c>
      <c r="B461" s="159" t="s">
        <v>314</v>
      </c>
      <c r="C461" s="68" t="s">
        <v>96</v>
      </c>
      <c r="D461" s="68" t="s">
        <v>310</v>
      </c>
      <c r="E461" s="321">
        <v>1</v>
      </c>
      <c r="F461" s="322">
        <v>930</v>
      </c>
      <c r="G461" s="322">
        <v>297</v>
      </c>
      <c r="H461" s="322">
        <v>15</v>
      </c>
      <c r="I461" s="322">
        <v>7</v>
      </c>
      <c r="J461" s="322">
        <v>0</v>
      </c>
      <c r="K461" s="322">
        <v>0</v>
      </c>
      <c r="L461" s="322">
        <v>0</v>
      </c>
      <c r="M461" s="322">
        <v>0</v>
      </c>
      <c r="N461" s="322">
        <v>0</v>
      </c>
      <c r="O461" s="322">
        <v>0</v>
      </c>
      <c r="P461" s="322">
        <v>0</v>
      </c>
      <c r="Q461" s="322">
        <v>0</v>
      </c>
      <c r="R461" s="322">
        <v>0.8</v>
      </c>
      <c r="S461" s="9">
        <v>4.4131067963907217E-6</v>
      </c>
      <c r="T461" s="9">
        <f t="shared" si="7"/>
        <v>3.5304854371125774E-6</v>
      </c>
      <c r="U461" s="321" t="s">
        <v>1032</v>
      </c>
    </row>
    <row r="462" spans="1:21" ht="12" customHeight="1">
      <c r="A462" s="327">
        <v>4</v>
      </c>
      <c r="B462" s="159" t="s">
        <v>314</v>
      </c>
      <c r="C462" s="68" t="s">
        <v>96</v>
      </c>
      <c r="D462" s="68" t="s">
        <v>310</v>
      </c>
      <c r="E462" s="321">
        <v>2</v>
      </c>
      <c r="F462" s="322">
        <v>1030</v>
      </c>
      <c r="G462" s="322">
        <v>291</v>
      </c>
      <c r="H462" s="322">
        <v>18</v>
      </c>
      <c r="I462" s="322">
        <v>7</v>
      </c>
      <c r="J462" s="322">
        <v>4</v>
      </c>
      <c r="K462" s="322">
        <v>0</v>
      </c>
      <c r="L462" s="322">
        <v>0</v>
      </c>
      <c r="M462" s="322">
        <v>0</v>
      </c>
      <c r="N462" s="322">
        <v>0</v>
      </c>
      <c r="O462" s="322">
        <v>0</v>
      </c>
      <c r="P462" s="322">
        <v>0</v>
      </c>
      <c r="Q462" s="322">
        <v>0</v>
      </c>
      <c r="R462" s="322">
        <v>4.4000000000000004</v>
      </c>
      <c r="S462" s="9">
        <v>4.4131067963907217E-6</v>
      </c>
      <c r="T462" s="9">
        <f t="shared" si="7"/>
        <v>1.9417669904119177E-5</v>
      </c>
      <c r="U462" s="321" t="s">
        <v>1033</v>
      </c>
    </row>
    <row r="463" spans="1:21" ht="12" customHeight="1">
      <c r="A463" s="327">
        <v>4</v>
      </c>
      <c r="B463" s="159" t="s">
        <v>314</v>
      </c>
      <c r="C463" s="68" t="s">
        <v>96</v>
      </c>
      <c r="D463" s="68" t="s">
        <v>310</v>
      </c>
      <c r="E463" s="321">
        <v>3</v>
      </c>
      <c r="F463" s="322">
        <v>892</v>
      </c>
      <c r="G463" s="322">
        <v>297</v>
      </c>
      <c r="H463" s="322">
        <v>10</v>
      </c>
      <c r="I463" s="322">
        <v>6</v>
      </c>
      <c r="J463" s="322">
        <v>1</v>
      </c>
      <c r="K463" s="322">
        <v>0</v>
      </c>
      <c r="L463" s="322">
        <v>0</v>
      </c>
      <c r="M463" s="322">
        <v>0</v>
      </c>
      <c r="N463" s="322">
        <v>0</v>
      </c>
      <c r="O463" s="322">
        <v>0</v>
      </c>
      <c r="P463" s="322">
        <v>0</v>
      </c>
      <c r="Q463" s="322">
        <v>0</v>
      </c>
      <c r="R463" s="322">
        <v>1.5</v>
      </c>
      <c r="S463" s="9">
        <v>4.4131067963907217E-6</v>
      </c>
      <c r="T463" s="9">
        <f t="shared" si="7"/>
        <v>6.619660194586083E-6</v>
      </c>
      <c r="U463" s="321" t="s">
        <v>1034</v>
      </c>
    </row>
    <row r="464" spans="1:21" ht="12" customHeight="1">
      <c r="A464" s="327">
        <v>4</v>
      </c>
      <c r="B464" s="159" t="s">
        <v>314</v>
      </c>
      <c r="C464" s="68" t="s">
        <v>96</v>
      </c>
      <c r="D464" s="68" t="s">
        <v>310</v>
      </c>
      <c r="E464" s="321">
        <v>4</v>
      </c>
      <c r="F464" s="322">
        <v>892</v>
      </c>
      <c r="G464" s="322">
        <v>291</v>
      </c>
      <c r="H464" s="322">
        <v>12</v>
      </c>
      <c r="I464" s="322">
        <v>7</v>
      </c>
      <c r="J464" s="322">
        <v>1</v>
      </c>
      <c r="K464" s="322">
        <v>0</v>
      </c>
      <c r="L464" s="322">
        <v>0</v>
      </c>
      <c r="M464" s="322">
        <v>0</v>
      </c>
      <c r="N464" s="322">
        <v>0</v>
      </c>
      <c r="O464" s="322">
        <v>0</v>
      </c>
      <c r="P464" s="322">
        <v>0</v>
      </c>
      <c r="Q464" s="322">
        <v>0</v>
      </c>
      <c r="R464" s="322">
        <v>1.7</v>
      </c>
      <c r="S464" s="9">
        <v>4.4131067963907217E-6</v>
      </c>
      <c r="T464" s="9">
        <f t="shared" si="7"/>
        <v>7.5022815538642265E-6</v>
      </c>
      <c r="U464" s="321" t="s">
        <v>1035</v>
      </c>
    </row>
    <row r="465" spans="1:21" ht="12" customHeight="1">
      <c r="A465" s="327">
        <v>4</v>
      </c>
      <c r="B465" s="159" t="s">
        <v>314</v>
      </c>
      <c r="C465" s="68" t="s">
        <v>96</v>
      </c>
      <c r="D465" s="68" t="s">
        <v>310</v>
      </c>
      <c r="E465" s="321">
        <v>5</v>
      </c>
      <c r="F465" s="322">
        <v>966</v>
      </c>
      <c r="G465" s="322">
        <v>296</v>
      </c>
      <c r="H465" s="322">
        <v>16</v>
      </c>
      <c r="I465" s="322">
        <v>8</v>
      </c>
      <c r="J465" s="322">
        <v>1</v>
      </c>
      <c r="K465" s="322">
        <v>0</v>
      </c>
      <c r="L465" s="322">
        <v>0</v>
      </c>
      <c r="M465" s="322">
        <v>0</v>
      </c>
      <c r="N465" s="322">
        <v>0</v>
      </c>
      <c r="O465" s="322">
        <v>0</v>
      </c>
      <c r="P465" s="322">
        <v>0</v>
      </c>
      <c r="Q465" s="322">
        <v>0</v>
      </c>
      <c r="R465" s="322">
        <v>1.8</v>
      </c>
      <c r="S465" s="9">
        <v>4.4131067963907217E-6</v>
      </c>
      <c r="T465" s="9">
        <f t="shared" si="7"/>
        <v>7.9435922335032999E-6</v>
      </c>
      <c r="U465" s="321" t="s">
        <v>1036</v>
      </c>
    </row>
    <row r="466" spans="1:21" ht="12" customHeight="1">
      <c r="A466" s="327">
        <v>4</v>
      </c>
      <c r="B466" s="159" t="s">
        <v>314</v>
      </c>
      <c r="C466" s="68" t="s">
        <v>96</v>
      </c>
      <c r="D466" s="68" t="s">
        <v>309</v>
      </c>
      <c r="E466" s="321">
        <v>1</v>
      </c>
      <c r="F466" s="322">
        <v>564</v>
      </c>
      <c r="G466" s="322">
        <v>296</v>
      </c>
      <c r="H466" s="322">
        <v>0</v>
      </c>
      <c r="I466" s="322">
        <v>0</v>
      </c>
      <c r="J466" s="322">
        <v>0</v>
      </c>
      <c r="K466" s="322">
        <v>0</v>
      </c>
      <c r="L466" s="322">
        <v>0</v>
      </c>
      <c r="M466" s="322">
        <v>0</v>
      </c>
      <c r="N466" s="322">
        <v>0</v>
      </c>
      <c r="O466" s="322">
        <v>0</v>
      </c>
      <c r="P466" s="322">
        <v>0</v>
      </c>
      <c r="Q466" s="322">
        <v>0</v>
      </c>
      <c r="R466" s="322">
        <v>0</v>
      </c>
      <c r="S466" s="9">
        <v>4.413146514749072E-6</v>
      </c>
      <c r="T466" s="9">
        <f t="shared" si="7"/>
        <v>0</v>
      </c>
      <c r="U466" s="321" t="s">
        <v>1062</v>
      </c>
    </row>
    <row r="467" spans="1:21" ht="12" customHeight="1">
      <c r="A467" s="327">
        <v>4</v>
      </c>
      <c r="B467" s="159" t="s">
        <v>314</v>
      </c>
      <c r="C467" s="68" t="s">
        <v>96</v>
      </c>
      <c r="D467" s="68" t="s">
        <v>309</v>
      </c>
      <c r="E467" s="321">
        <v>2</v>
      </c>
      <c r="F467" s="322">
        <v>604</v>
      </c>
      <c r="G467" s="322">
        <v>291</v>
      </c>
      <c r="H467" s="322">
        <v>0</v>
      </c>
      <c r="I467" s="322">
        <v>0</v>
      </c>
      <c r="J467" s="322">
        <v>0</v>
      </c>
      <c r="K467" s="322">
        <v>0</v>
      </c>
      <c r="L467" s="322">
        <v>0</v>
      </c>
      <c r="M467" s="322">
        <v>0</v>
      </c>
      <c r="N467" s="322">
        <v>0</v>
      </c>
      <c r="O467" s="322">
        <v>0</v>
      </c>
      <c r="P467" s="322">
        <v>0</v>
      </c>
      <c r="Q467" s="322">
        <v>0</v>
      </c>
      <c r="R467" s="322">
        <v>0</v>
      </c>
      <c r="S467" s="9">
        <v>4.413146514749072E-6</v>
      </c>
      <c r="T467" s="9">
        <f t="shared" si="7"/>
        <v>0</v>
      </c>
      <c r="U467" s="321" t="s">
        <v>1063</v>
      </c>
    </row>
    <row r="468" spans="1:21" ht="12" customHeight="1">
      <c r="A468" s="327">
        <v>4</v>
      </c>
      <c r="B468" s="159" t="s">
        <v>314</v>
      </c>
      <c r="C468" s="68" t="s">
        <v>96</v>
      </c>
      <c r="D468" s="68" t="s">
        <v>309</v>
      </c>
      <c r="E468" s="321">
        <v>3</v>
      </c>
      <c r="F468" s="322">
        <v>614</v>
      </c>
      <c r="G468" s="322">
        <v>296</v>
      </c>
      <c r="H468" s="322">
        <v>0</v>
      </c>
      <c r="I468" s="322">
        <v>0</v>
      </c>
      <c r="J468" s="322">
        <v>0</v>
      </c>
      <c r="K468" s="322">
        <v>0</v>
      </c>
      <c r="L468" s="322">
        <v>0</v>
      </c>
      <c r="M468" s="322">
        <v>0</v>
      </c>
      <c r="N468" s="322">
        <v>0</v>
      </c>
      <c r="O468" s="322">
        <v>0</v>
      </c>
      <c r="P468" s="322">
        <v>0</v>
      </c>
      <c r="Q468" s="322">
        <v>0</v>
      </c>
      <c r="R468" s="322">
        <v>0</v>
      </c>
      <c r="S468" s="9">
        <v>4.413146514749072E-6</v>
      </c>
      <c r="T468" s="9">
        <f t="shared" si="7"/>
        <v>0</v>
      </c>
      <c r="U468" s="321" t="s">
        <v>1064</v>
      </c>
    </row>
    <row r="469" spans="1:21" ht="12" customHeight="1">
      <c r="A469" s="327">
        <v>4</v>
      </c>
      <c r="B469" s="159" t="s">
        <v>314</v>
      </c>
      <c r="C469" s="68" t="s">
        <v>96</v>
      </c>
      <c r="D469" s="68" t="s">
        <v>309</v>
      </c>
      <c r="E469" s="321">
        <v>4</v>
      </c>
      <c r="F469" s="322">
        <v>606</v>
      </c>
      <c r="G469" s="322">
        <v>298</v>
      </c>
      <c r="H469" s="322">
        <v>0</v>
      </c>
      <c r="I469" s="322">
        <v>0</v>
      </c>
      <c r="J469" s="322">
        <v>0</v>
      </c>
      <c r="K469" s="322">
        <v>0</v>
      </c>
      <c r="L469" s="322">
        <v>0</v>
      </c>
      <c r="M469" s="322">
        <v>0</v>
      </c>
      <c r="N469" s="322">
        <v>0</v>
      </c>
      <c r="O469" s="322">
        <v>0</v>
      </c>
      <c r="P469" s="322">
        <v>0</v>
      </c>
      <c r="Q469" s="322">
        <v>0</v>
      </c>
      <c r="R469" s="322">
        <v>0</v>
      </c>
      <c r="S469" s="9">
        <v>4.413146514749072E-6</v>
      </c>
      <c r="T469" s="9">
        <f t="shared" si="7"/>
        <v>0</v>
      </c>
      <c r="U469" s="321" t="s">
        <v>1065</v>
      </c>
    </row>
    <row r="470" spans="1:21" ht="12" customHeight="1">
      <c r="A470" s="327">
        <v>4</v>
      </c>
      <c r="B470" s="159" t="s">
        <v>314</v>
      </c>
      <c r="C470" s="68" t="s">
        <v>96</v>
      </c>
      <c r="D470" s="68" t="s">
        <v>309</v>
      </c>
      <c r="E470" s="321">
        <v>5</v>
      </c>
      <c r="F470" s="322">
        <v>638</v>
      </c>
      <c r="G470" s="322">
        <v>272</v>
      </c>
      <c r="H470" s="322">
        <v>0</v>
      </c>
      <c r="I470" s="322">
        <v>0</v>
      </c>
      <c r="J470" s="322">
        <v>0</v>
      </c>
      <c r="K470" s="322">
        <v>0</v>
      </c>
      <c r="L470" s="322">
        <v>0</v>
      </c>
      <c r="M470" s="322">
        <v>0</v>
      </c>
      <c r="N470" s="322">
        <v>0</v>
      </c>
      <c r="O470" s="322">
        <v>0</v>
      </c>
      <c r="P470" s="322">
        <v>0</v>
      </c>
      <c r="Q470" s="322">
        <v>0</v>
      </c>
      <c r="R470" s="322">
        <v>0</v>
      </c>
      <c r="S470" s="9">
        <v>4.413146514749072E-6</v>
      </c>
      <c r="T470" s="9">
        <f t="shared" si="7"/>
        <v>0</v>
      </c>
      <c r="U470" s="321" t="s">
        <v>1066</v>
      </c>
    </row>
    <row r="471" spans="1:21" ht="12" customHeight="1">
      <c r="A471" s="327">
        <v>4</v>
      </c>
      <c r="B471" s="159" t="s">
        <v>314</v>
      </c>
      <c r="C471" s="68" t="s">
        <v>96</v>
      </c>
      <c r="D471" s="68" t="s">
        <v>307</v>
      </c>
      <c r="E471" s="321">
        <v>1</v>
      </c>
      <c r="F471" s="322">
        <v>618</v>
      </c>
      <c r="G471" s="322">
        <v>292</v>
      </c>
      <c r="H471" s="322">
        <v>0</v>
      </c>
      <c r="I471" s="322">
        <v>0</v>
      </c>
      <c r="J471" s="322">
        <v>0</v>
      </c>
      <c r="K471" s="322">
        <v>0</v>
      </c>
      <c r="L471" s="322">
        <v>0</v>
      </c>
      <c r="M471" s="322">
        <v>0</v>
      </c>
      <c r="N471" s="322">
        <v>0</v>
      </c>
      <c r="O471" s="322">
        <v>0</v>
      </c>
      <c r="P471" s="322">
        <v>0</v>
      </c>
      <c r="Q471" s="322">
        <v>0</v>
      </c>
      <c r="R471" s="322">
        <v>0</v>
      </c>
      <c r="S471" s="9">
        <v>1.1915507505329999E-4</v>
      </c>
      <c r="T471" s="9">
        <f t="shared" si="7"/>
        <v>0</v>
      </c>
      <c r="U471" s="321" t="s">
        <v>1092</v>
      </c>
    </row>
    <row r="472" spans="1:21" ht="12" customHeight="1">
      <c r="A472" s="327">
        <v>4</v>
      </c>
      <c r="B472" s="159" t="s">
        <v>314</v>
      </c>
      <c r="C472" s="68" t="s">
        <v>96</v>
      </c>
      <c r="D472" s="68" t="s">
        <v>307</v>
      </c>
      <c r="E472" s="321">
        <v>2</v>
      </c>
      <c r="F472" s="322">
        <v>602</v>
      </c>
      <c r="G472" s="322">
        <v>297</v>
      </c>
      <c r="H472" s="322">
        <v>0</v>
      </c>
      <c r="I472" s="322">
        <v>0</v>
      </c>
      <c r="J472" s="322">
        <v>0</v>
      </c>
      <c r="K472" s="322">
        <v>0</v>
      </c>
      <c r="L472" s="322">
        <v>0</v>
      </c>
      <c r="M472" s="322">
        <v>0</v>
      </c>
      <c r="N472" s="322">
        <v>0</v>
      </c>
      <c r="O472" s="322">
        <v>0</v>
      </c>
      <c r="P472" s="322">
        <v>0</v>
      </c>
      <c r="Q472" s="322">
        <v>0</v>
      </c>
      <c r="R472" s="322">
        <v>0</v>
      </c>
      <c r="S472" s="9">
        <v>1.1915507505329999E-4</v>
      </c>
      <c r="T472" s="9">
        <f t="shared" si="7"/>
        <v>0</v>
      </c>
      <c r="U472" s="321" t="s">
        <v>1093</v>
      </c>
    </row>
    <row r="473" spans="1:21" ht="12" customHeight="1">
      <c r="A473" s="327">
        <v>4</v>
      </c>
      <c r="B473" s="159" t="s">
        <v>314</v>
      </c>
      <c r="C473" s="68" t="s">
        <v>96</v>
      </c>
      <c r="D473" s="68" t="s">
        <v>307</v>
      </c>
      <c r="E473" s="321">
        <v>3</v>
      </c>
      <c r="F473" s="322">
        <v>622</v>
      </c>
      <c r="G473" s="322">
        <v>274</v>
      </c>
      <c r="H473" s="322">
        <v>0</v>
      </c>
      <c r="I473" s="322">
        <v>0</v>
      </c>
      <c r="J473" s="322">
        <v>0</v>
      </c>
      <c r="K473" s="322">
        <v>0</v>
      </c>
      <c r="L473" s="322">
        <v>0</v>
      </c>
      <c r="M473" s="322">
        <v>0</v>
      </c>
      <c r="N473" s="322">
        <v>0</v>
      </c>
      <c r="O473" s="322">
        <v>0</v>
      </c>
      <c r="P473" s="322">
        <v>0</v>
      </c>
      <c r="Q473" s="322">
        <v>0</v>
      </c>
      <c r="R473" s="322">
        <v>0</v>
      </c>
      <c r="S473" s="9">
        <v>1.1915507505329999E-4</v>
      </c>
      <c r="T473" s="9">
        <f t="shared" si="7"/>
        <v>0</v>
      </c>
      <c r="U473" s="321" t="s">
        <v>1094</v>
      </c>
    </row>
    <row r="474" spans="1:21" ht="12" customHeight="1">
      <c r="A474" s="327">
        <v>4</v>
      </c>
      <c r="B474" s="159" t="s">
        <v>314</v>
      </c>
      <c r="C474" s="68" t="s">
        <v>96</v>
      </c>
      <c r="D474" s="68" t="s">
        <v>307</v>
      </c>
      <c r="E474" s="321">
        <v>4</v>
      </c>
      <c r="F474" s="322">
        <v>596</v>
      </c>
      <c r="G474" s="322">
        <v>296</v>
      </c>
      <c r="H474" s="322">
        <v>0</v>
      </c>
      <c r="I474" s="322">
        <v>0</v>
      </c>
      <c r="J474" s="322">
        <v>0</v>
      </c>
      <c r="K474" s="322">
        <v>0</v>
      </c>
      <c r="L474" s="322">
        <v>0</v>
      </c>
      <c r="M474" s="322">
        <v>0</v>
      </c>
      <c r="N474" s="322">
        <v>0</v>
      </c>
      <c r="O474" s="322">
        <v>0</v>
      </c>
      <c r="P474" s="322">
        <v>0</v>
      </c>
      <c r="Q474" s="322">
        <v>0</v>
      </c>
      <c r="R474" s="322">
        <v>0</v>
      </c>
      <c r="S474" s="9">
        <v>1.1915507505329999E-4</v>
      </c>
      <c r="T474" s="9">
        <f t="shared" si="7"/>
        <v>0</v>
      </c>
      <c r="U474" s="321" t="s">
        <v>1095</v>
      </c>
    </row>
    <row r="475" spans="1:21" ht="12" customHeight="1">
      <c r="A475" s="327">
        <v>4</v>
      </c>
      <c r="B475" s="159" t="s">
        <v>314</v>
      </c>
      <c r="C475" s="68" t="s">
        <v>96</v>
      </c>
      <c r="D475" s="68" t="s">
        <v>307</v>
      </c>
      <c r="E475" s="321">
        <v>5</v>
      </c>
      <c r="F475" s="322">
        <v>646</v>
      </c>
      <c r="G475" s="322">
        <v>296</v>
      </c>
      <c r="H475" s="322">
        <v>0</v>
      </c>
      <c r="I475" s="322">
        <v>0</v>
      </c>
      <c r="J475" s="322">
        <v>0</v>
      </c>
      <c r="K475" s="322">
        <v>0</v>
      </c>
      <c r="L475" s="322">
        <v>0</v>
      </c>
      <c r="M475" s="322">
        <v>0</v>
      </c>
      <c r="N475" s="322">
        <v>0</v>
      </c>
      <c r="O475" s="322">
        <v>0</v>
      </c>
      <c r="P475" s="322">
        <v>0</v>
      </c>
      <c r="Q475" s="322">
        <v>0</v>
      </c>
      <c r="R475" s="322">
        <v>0</v>
      </c>
      <c r="S475" s="9">
        <v>1.1915507505329999E-4</v>
      </c>
      <c r="T475" s="9">
        <f t="shared" si="7"/>
        <v>0</v>
      </c>
      <c r="U475" s="321" t="s">
        <v>1096</v>
      </c>
    </row>
    <row r="476" spans="1:21" ht="12" customHeight="1">
      <c r="A476" s="327">
        <v>4</v>
      </c>
      <c r="B476" s="159" t="s">
        <v>314</v>
      </c>
      <c r="C476" s="68" t="s">
        <v>95</v>
      </c>
      <c r="D476" s="68" t="s">
        <v>308</v>
      </c>
      <c r="E476" s="321">
        <v>1</v>
      </c>
      <c r="F476" s="322">
        <v>868</v>
      </c>
      <c r="G476" s="322">
        <v>519</v>
      </c>
      <c r="H476" s="322">
        <v>10</v>
      </c>
      <c r="I476" s="322">
        <v>0</v>
      </c>
      <c r="J476" s="322">
        <v>0</v>
      </c>
      <c r="K476" s="322">
        <v>0</v>
      </c>
      <c r="L476" s="322">
        <v>0</v>
      </c>
      <c r="M476" s="322">
        <v>0</v>
      </c>
      <c r="N476" s="322">
        <v>0</v>
      </c>
      <c r="O476" s="322">
        <v>0</v>
      </c>
      <c r="P476" s="322">
        <v>0</v>
      </c>
      <c r="Q476" s="322">
        <v>0</v>
      </c>
      <c r="R476" s="322">
        <v>0.1</v>
      </c>
      <c r="S476" s="9">
        <v>4.4577237522717891E-8</v>
      </c>
      <c r="T476" s="9">
        <f t="shared" si="7"/>
        <v>4.4577237522717892E-9</v>
      </c>
      <c r="U476" s="321" t="s">
        <v>852</v>
      </c>
    </row>
    <row r="477" spans="1:21" ht="12" customHeight="1">
      <c r="A477" s="327">
        <v>4</v>
      </c>
      <c r="B477" s="159" t="s">
        <v>314</v>
      </c>
      <c r="C477" s="68" t="s">
        <v>95</v>
      </c>
      <c r="D477" s="68" t="s">
        <v>308</v>
      </c>
      <c r="E477" s="321">
        <v>2</v>
      </c>
      <c r="F477" s="322">
        <v>868</v>
      </c>
      <c r="G477" s="322">
        <v>519</v>
      </c>
      <c r="H477" s="322">
        <v>9</v>
      </c>
      <c r="I477" s="322">
        <v>0</v>
      </c>
      <c r="J477" s="322">
        <v>0</v>
      </c>
      <c r="K477" s="322">
        <v>0</v>
      </c>
      <c r="L477" s="322">
        <v>0</v>
      </c>
      <c r="M477" s="322">
        <v>0</v>
      </c>
      <c r="N477" s="322">
        <v>0</v>
      </c>
      <c r="O477" s="322">
        <v>0</v>
      </c>
      <c r="P477" s="322">
        <v>0</v>
      </c>
      <c r="Q477" s="322">
        <v>0</v>
      </c>
      <c r="R477" s="322">
        <v>0.1</v>
      </c>
      <c r="S477" s="9">
        <v>4.4577237522717891E-8</v>
      </c>
      <c r="T477" s="9">
        <f t="shared" si="7"/>
        <v>4.4577237522717892E-9</v>
      </c>
      <c r="U477" s="321" t="s">
        <v>853</v>
      </c>
    </row>
    <row r="478" spans="1:21" ht="12" customHeight="1">
      <c r="A478" s="327">
        <v>4</v>
      </c>
      <c r="B478" s="159" t="s">
        <v>314</v>
      </c>
      <c r="C478" s="68" t="s">
        <v>95</v>
      </c>
      <c r="D478" s="68" t="s">
        <v>308</v>
      </c>
      <c r="E478" s="321">
        <v>3</v>
      </c>
      <c r="F478" s="322">
        <v>866</v>
      </c>
      <c r="G478" s="322">
        <v>524</v>
      </c>
      <c r="H478" s="322">
        <v>5</v>
      </c>
      <c r="I478" s="322">
        <v>0</v>
      </c>
      <c r="J478" s="322">
        <v>0</v>
      </c>
      <c r="K478" s="322">
        <v>0</v>
      </c>
      <c r="L478" s="322">
        <v>0</v>
      </c>
      <c r="M478" s="322">
        <v>0</v>
      </c>
      <c r="N478" s="322">
        <v>0</v>
      </c>
      <c r="O478" s="322">
        <v>0</v>
      </c>
      <c r="P478" s="322">
        <v>0</v>
      </c>
      <c r="Q478" s="322">
        <v>0</v>
      </c>
      <c r="R478" s="322">
        <v>0.1</v>
      </c>
      <c r="S478" s="9">
        <v>4.4577237522717891E-8</v>
      </c>
      <c r="T478" s="9">
        <f t="shared" si="7"/>
        <v>4.4577237522717892E-9</v>
      </c>
      <c r="U478" s="321" t="s">
        <v>854</v>
      </c>
    </row>
    <row r="479" spans="1:21" ht="12" customHeight="1">
      <c r="A479" s="327">
        <v>4</v>
      </c>
      <c r="B479" s="159" t="s">
        <v>314</v>
      </c>
      <c r="C479" s="68" t="s">
        <v>95</v>
      </c>
      <c r="D479" s="68" t="s">
        <v>308</v>
      </c>
      <c r="E479" s="321">
        <v>4</v>
      </c>
      <c r="F479" s="322">
        <v>854</v>
      </c>
      <c r="G479" s="322">
        <v>525</v>
      </c>
      <c r="H479" s="322">
        <v>6</v>
      </c>
      <c r="I479" s="322">
        <v>0</v>
      </c>
      <c r="J479" s="322">
        <v>0</v>
      </c>
      <c r="K479" s="322">
        <v>0</v>
      </c>
      <c r="L479" s="322">
        <v>0</v>
      </c>
      <c r="M479" s="322">
        <v>0</v>
      </c>
      <c r="N479" s="322">
        <v>0</v>
      </c>
      <c r="O479" s="322">
        <v>0</v>
      </c>
      <c r="P479" s="322">
        <v>0</v>
      </c>
      <c r="Q479" s="322">
        <v>0</v>
      </c>
      <c r="R479" s="322">
        <v>0.1</v>
      </c>
      <c r="S479" s="9">
        <v>4.4577237522717891E-8</v>
      </c>
      <c r="T479" s="9">
        <f t="shared" si="7"/>
        <v>4.4577237522717892E-9</v>
      </c>
      <c r="U479" s="321" t="s">
        <v>855</v>
      </c>
    </row>
    <row r="480" spans="1:21" ht="12" customHeight="1">
      <c r="A480" s="327">
        <v>4</v>
      </c>
      <c r="B480" s="159" t="s">
        <v>314</v>
      </c>
      <c r="C480" s="68" t="s">
        <v>95</v>
      </c>
      <c r="D480" s="68" t="s">
        <v>308</v>
      </c>
      <c r="E480" s="321">
        <v>5</v>
      </c>
      <c r="F480" s="322">
        <v>868</v>
      </c>
      <c r="G480" s="322">
        <v>524</v>
      </c>
      <c r="H480" s="322">
        <v>8</v>
      </c>
      <c r="I480" s="322">
        <v>0</v>
      </c>
      <c r="J480" s="322">
        <v>0</v>
      </c>
      <c r="K480" s="322">
        <v>0</v>
      </c>
      <c r="L480" s="322">
        <v>0</v>
      </c>
      <c r="M480" s="322">
        <v>0</v>
      </c>
      <c r="N480" s="322">
        <v>0</v>
      </c>
      <c r="O480" s="322">
        <v>0</v>
      </c>
      <c r="P480" s="322">
        <v>0</v>
      </c>
      <c r="Q480" s="322">
        <v>0</v>
      </c>
      <c r="R480" s="322">
        <v>0.1</v>
      </c>
      <c r="S480" s="9">
        <v>4.4577237522717891E-8</v>
      </c>
      <c r="T480" s="9">
        <f t="shared" si="7"/>
        <v>4.4577237522717892E-9</v>
      </c>
      <c r="U480" s="321" t="s">
        <v>856</v>
      </c>
    </row>
    <row r="481" spans="1:21" ht="12" customHeight="1">
      <c r="A481" s="327">
        <v>4</v>
      </c>
      <c r="B481" s="159" t="s">
        <v>314</v>
      </c>
      <c r="C481" s="68" t="s">
        <v>95</v>
      </c>
      <c r="D481" s="68" t="s">
        <v>310</v>
      </c>
      <c r="E481" s="321">
        <v>1</v>
      </c>
      <c r="F481" s="322">
        <v>1084</v>
      </c>
      <c r="G481" s="322">
        <v>524</v>
      </c>
      <c r="H481" s="322">
        <v>91</v>
      </c>
      <c r="I481" s="322">
        <v>42</v>
      </c>
      <c r="J481" s="322">
        <v>15</v>
      </c>
      <c r="K481" s="322">
        <v>5</v>
      </c>
      <c r="L481" s="322">
        <v>0</v>
      </c>
      <c r="M481" s="322">
        <v>0</v>
      </c>
      <c r="N481" s="322">
        <v>0</v>
      </c>
      <c r="O481" s="322">
        <v>0</v>
      </c>
      <c r="P481" s="322">
        <v>0</v>
      </c>
      <c r="Q481" s="322">
        <v>0</v>
      </c>
      <c r="R481" s="322">
        <v>18.2</v>
      </c>
      <c r="S481" s="9">
        <v>4.4576836327178993E-8</v>
      </c>
      <c r="T481" s="9">
        <f t="shared" si="7"/>
        <v>8.1129842115465769E-7</v>
      </c>
      <c r="U481" s="321" t="s">
        <v>882</v>
      </c>
    </row>
    <row r="482" spans="1:21" ht="12" customHeight="1">
      <c r="A482" s="327">
        <v>4</v>
      </c>
      <c r="B482" s="159" t="s">
        <v>314</v>
      </c>
      <c r="C482" s="68" t="s">
        <v>95</v>
      </c>
      <c r="D482" s="68" t="s">
        <v>310</v>
      </c>
      <c r="E482" s="321">
        <v>2</v>
      </c>
      <c r="F482" s="322">
        <v>998</v>
      </c>
      <c r="G482" s="322">
        <v>524</v>
      </c>
      <c r="H482" s="322">
        <v>66</v>
      </c>
      <c r="I482" s="322">
        <v>30</v>
      </c>
      <c r="J482" s="322">
        <v>10</v>
      </c>
      <c r="K482" s="322">
        <v>1</v>
      </c>
      <c r="L482" s="322">
        <v>0</v>
      </c>
      <c r="M482" s="322">
        <v>0</v>
      </c>
      <c r="N482" s="322">
        <v>0</v>
      </c>
      <c r="O482" s="322">
        <v>0</v>
      </c>
      <c r="P482" s="322">
        <v>0</v>
      </c>
      <c r="Q482" s="322">
        <v>0</v>
      </c>
      <c r="R482" s="322">
        <v>12.4</v>
      </c>
      <c r="S482" s="9">
        <v>4.4576836327178993E-8</v>
      </c>
      <c r="T482" s="9">
        <f t="shared" si="7"/>
        <v>5.527527704570195E-7</v>
      </c>
      <c r="U482" s="321" t="s">
        <v>883</v>
      </c>
    </row>
    <row r="483" spans="1:21" ht="12" customHeight="1">
      <c r="A483" s="327">
        <v>4</v>
      </c>
      <c r="B483" s="159" t="s">
        <v>314</v>
      </c>
      <c r="C483" s="68" t="s">
        <v>95</v>
      </c>
      <c r="D483" s="68" t="s">
        <v>310</v>
      </c>
      <c r="E483" s="321">
        <v>3</v>
      </c>
      <c r="F483" s="322">
        <v>980</v>
      </c>
      <c r="G483" s="322">
        <v>525</v>
      </c>
      <c r="H483" s="322">
        <v>65</v>
      </c>
      <c r="I483" s="322">
        <v>31</v>
      </c>
      <c r="J483" s="322">
        <v>12</v>
      </c>
      <c r="K483" s="322">
        <v>0</v>
      </c>
      <c r="L483" s="322">
        <v>0</v>
      </c>
      <c r="M483" s="322">
        <v>0</v>
      </c>
      <c r="N483" s="322">
        <v>0</v>
      </c>
      <c r="O483" s="322">
        <v>0</v>
      </c>
      <c r="P483" s="322">
        <v>0</v>
      </c>
      <c r="Q483" s="322">
        <v>0</v>
      </c>
      <c r="R483" s="322">
        <v>14.2</v>
      </c>
      <c r="S483" s="9">
        <v>4.4576836327178993E-8</v>
      </c>
      <c r="T483" s="9">
        <f t="shared" si="7"/>
        <v>6.3299107584594169E-7</v>
      </c>
      <c r="U483" s="321" t="s">
        <v>884</v>
      </c>
    </row>
    <row r="484" spans="1:21" ht="12" customHeight="1">
      <c r="A484" s="327">
        <v>4</v>
      </c>
      <c r="B484" s="159" t="s">
        <v>314</v>
      </c>
      <c r="C484" s="68" t="s">
        <v>95</v>
      </c>
      <c r="D484" s="68" t="s">
        <v>310</v>
      </c>
      <c r="E484" s="321">
        <v>4</v>
      </c>
      <c r="F484" s="322">
        <v>1112</v>
      </c>
      <c r="G484" s="322">
        <v>519</v>
      </c>
      <c r="H484" s="322">
        <v>128</v>
      </c>
      <c r="I484" s="322">
        <v>107</v>
      </c>
      <c r="J484" s="322">
        <v>89</v>
      </c>
      <c r="K484" s="322">
        <v>62</v>
      </c>
      <c r="L484" s="322">
        <v>1</v>
      </c>
      <c r="M484" s="322">
        <v>0</v>
      </c>
      <c r="N484" s="322">
        <v>0</v>
      </c>
      <c r="O484" s="322">
        <v>0</v>
      </c>
      <c r="P484" s="322">
        <v>0</v>
      </c>
      <c r="Q484" s="322">
        <v>0</v>
      </c>
      <c r="R484" s="322">
        <v>91</v>
      </c>
      <c r="S484" s="9">
        <v>4.4576836327178993E-8</v>
      </c>
      <c r="T484" s="9">
        <f t="shared" si="7"/>
        <v>4.0564921057732882E-6</v>
      </c>
      <c r="U484" s="321" t="s">
        <v>885</v>
      </c>
    </row>
    <row r="485" spans="1:21" ht="12" customHeight="1">
      <c r="A485" s="327">
        <v>4</v>
      </c>
      <c r="B485" s="159" t="s">
        <v>314</v>
      </c>
      <c r="C485" s="68" t="s">
        <v>95</v>
      </c>
      <c r="D485" s="68" t="s">
        <v>310</v>
      </c>
      <c r="E485" s="321">
        <v>5</v>
      </c>
      <c r="F485" s="322">
        <v>1008</v>
      </c>
      <c r="G485" s="322">
        <v>500</v>
      </c>
      <c r="H485" s="322">
        <v>70</v>
      </c>
      <c r="I485" s="322">
        <v>46</v>
      </c>
      <c r="J485" s="322">
        <v>16</v>
      </c>
      <c r="K485" s="322">
        <v>3</v>
      </c>
      <c r="L485" s="322">
        <v>0</v>
      </c>
      <c r="M485" s="322">
        <v>0</v>
      </c>
      <c r="N485" s="322">
        <v>0</v>
      </c>
      <c r="O485" s="322">
        <v>0</v>
      </c>
      <c r="P485" s="322">
        <v>0</v>
      </c>
      <c r="Q485" s="322">
        <v>0</v>
      </c>
      <c r="R485" s="322">
        <v>19.2</v>
      </c>
      <c r="S485" s="9">
        <v>4.4576836327178993E-8</v>
      </c>
      <c r="T485" s="9">
        <f t="shared" si="7"/>
        <v>8.5587525748183666E-7</v>
      </c>
      <c r="U485" s="321" t="s">
        <v>886</v>
      </c>
    </row>
    <row r="486" spans="1:21" ht="12" customHeight="1">
      <c r="A486" s="327">
        <v>4</v>
      </c>
      <c r="B486" s="159" t="s">
        <v>314</v>
      </c>
      <c r="C486" s="68" t="s">
        <v>95</v>
      </c>
      <c r="D486" s="68" t="s">
        <v>309</v>
      </c>
      <c r="E486" s="321">
        <v>1</v>
      </c>
      <c r="F486" s="322">
        <v>742</v>
      </c>
      <c r="G486" s="322">
        <v>525</v>
      </c>
      <c r="H486" s="322">
        <v>2</v>
      </c>
      <c r="I486" s="322">
        <v>0</v>
      </c>
      <c r="J486" s="322">
        <v>0</v>
      </c>
      <c r="K486" s="322">
        <v>0</v>
      </c>
      <c r="L486" s="322">
        <v>0</v>
      </c>
      <c r="M486" s="322">
        <v>0</v>
      </c>
      <c r="N486" s="322">
        <v>0</v>
      </c>
      <c r="O486" s="322">
        <v>0</v>
      </c>
      <c r="P486" s="322">
        <v>0</v>
      </c>
      <c r="Q486" s="322">
        <v>0</v>
      </c>
      <c r="R486" s="322">
        <v>0</v>
      </c>
      <c r="S486" s="9">
        <v>4.4577237522717891E-8</v>
      </c>
      <c r="T486" s="9">
        <f t="shared" si="7"/>
        <v>0</v>
      </c>
      <c r="U486" s="321" t="s">
        <v>912</v>
      </c>
    </row>
    <row r="487" spans="1:21" ht="12" customHeight="1">
      <c r="A487" s="327">
        <v>4</v>
      </c>
      <c r="B487" s="159" t="s">
        <v>314</v>
      </c>
      <c r="C487" s="68" t="s">
        <v>95</v>
      </c>
      <c r="D487" s="68" t="s">
        <v>309</v>
      </c>
      <c r="E487" s="321">
        <v>2</v>
      </c>
      <c r="F487" s="322">
        <v>718</v>
      </c>
      <c r="G487" s="322">
        <v>524</v>
      </c>
      <c r="H487" s="322">
        <v>1</v>
      </c>
      <c r="I487" s="322">
        <v>0</v>
      </c>
      <c r="J487" s="322">
        <v>0</v>
      </c>
      <c r="K487" s="322">
        <v>0</v>
      </c>
      <c r="L487" s="322">
        <v>0</v>
      </c>
      <c r="M487" s="322">
        <v>0</v>
      </c>
      <c r="N487" s="322">
        <v>0</v>
      </c>
      <c r="O487" s="322">
        <v>0</v>
      </c>
      <c r="P487" s="322">
        <v>0</v>
      </c>
      <c r="Q487" s="322">
        <v>0</v>
      </c>
      <c r="R487" s="322">
        <v>0</v>
      </c>
      <c r="S487" s="9">
        <v>4.4577237522717891E-8</v>
      </c>
      <c r="T487" s="9">
        <f t="shared" si="7"/>
        <v>0</v>
      </c>
      <c r="U487" s="321" t="s">
        <v>913</v>
      </c>
    </row>
    <row r="488" spans="1:21" ht="12" customHeight="1">
      <c r="A488" s="327">
        <v>4</v>
      </c>
      <c r="B488" s="159" t="s">
        <v>314</v>
      </c>
      <c r="C488" s="68" t="s">
        <v>95</v>
      </c>
      <c r="D488" s="68" t="s">
        <v>309</v>
      </c>
      <c r="E488" s="321">
        <v>3</v>
      </c>
      <c r="F488" s="322">
        <v>652</v>
      </c>
      <c r="G488" s="322">
        <v>524</v>
      </c>
      <c r="H488" s="322">
        <v>0</v>
      </c>
      <c r="I488" s="322">
        <v>0</v>
      </c>
      <c r="J488" s="322">
        <v>0</v>
      </c>
      <c r="K488" s="322">
        <v>0</v>
      </c>
      <c r="L488" s="322">
        <v>0</v>
      </c>
      <c r="M488" s="322">
        <v>0</v>
      </c>
      <c r="N488" s="322">
        <v>0</v>
      </c>
      <c r="O488" s="322">
        <v>0</v>
      </c>
      <c r="P488" s="322">
        <v>0</v>
      </c>
      <c r="Q488" s="322">
        <v>0</v>
      </c>
      <c r="R488" s="322">
        <v>0</v>
      </c>
      <c r="S488" s="9">
        <v>4.4577237522717891E-8</v>
      </c>
      <c r="T488" s="9">
        <f t="shared" si="7"/>
        <v>0</v>
      </c>
      <c r="U488" s="321" t="s">
        <v>914</v>
      </c>
    </row>
    <row r="489" spans="1:21" ht="12" customHeight="1">
      <c r="A489" s="327">
        <v>4</v>
      </c>
      <c r="B489" s="159" t="s">
        <v>314</v>
      </c>
      <c r="C489" s="68" t="s">
        <v>95</v>
      </c>
      <c r="D489" s="68" t="s">
        <v>309</v>
      </c>
      <c r="E489" s="321">
        <v>4</v>
      </c>
      <c r="F489" s="322">
        <v>796</v>
      </c>
      <c r="G489" s="322">
        <v>524</v>
      </c>
      <c r="H489" s="322">
        <v>3</v>
      </c>
      <c r="I489" s="322">
        <v>0</v>
      </c>
      <c r="J489" s="322">
        <v>0</v>
      </c>
      <c r="K489" s="322">
        <v>0</v>
      </c>
      <c r="L489" s="322">
        <v>0</v>
      </c>
      <c r="M489" s="322">
        <v>0</v>
      </c>
      <c r="N489" s="322">
        <v>0</v>
      </c>
      <c r="O489" s="322">
        <v>0</v>
      </c>
      <c r="P489" s="322">
        <v>0</v>
      </c>
      <c r="Q489" s="322">
        <v>0</v>
      </c>
      <c r="R489" s="322">
        <v>0</v>
      </c>
      <c r="S489" s="9">
        <v>4.4577237522717891E-8</v>
      </c>
      <c r="T489" s="9">
        <f t="shared" si="7"/>
        <v>0</v>
      </c>
      <c r="U489" s="321" t="s">
        <v>915</v>
      </c>
    </row>
    <row r="490" spans="1:21" ht="12" customHeight="1">
      <c r="A490" s="327">
        <v>4</v>
      </c>
      <c r="B490" s="159" t="s">
        <v>314</v>
      </c>
      <c r="C490" s="68" t="s">
        <v>95</v>
      </c>
      <c r="D490" s="68" t="s">
        <v>309</v>
      </c>
      <c r="E490" s="321">
        <v>5</v>
      </c>
      <c r="F490" s="322">
        <v>644</v>
      </c>
      <c r="G490" s="322">
        <v>524</v>
      </c>
      <c r="H490" s="322">
        <v>0</v>
      </c>
      <c r="I490" s="322">
        <v>0</v>
      </c>
      <c r="J490" s="322">
        <v>0</v>
      </c>
      <c r="K490" s="322">
        <v>0</v>
      </c>
      <c r="L490" s="322">
        <v>0</v>
      </c>
      <c r="M490" s="322">
        <v>0</v>
      </c>
      <c r="N490" s="322">
        <v>0</v>
      </c>
      <c r="O490" s="322">
        <v>0</v>
      </c>
      <c r="P490" s="322">
        <v>0</v>
      </c>
      <c r="Q490" s="322">
        <v>0</v>
      </c>
      <c r="R490" s="322">
        <v>0</v>
      </c>
      <c r="S490" s="9">
        <v>4.4577237522717891E-8</v>
      </c>
      <c r="T490" s="9">
        <f t="shared" si="7"/>
        <v>0</v>
      </c>
      <c r="U490" s="321" t="s">
        <v>916</v>
      </c>
    </row>
    <row r="491" spans="1:21" ht="12" customHeight="1">
      <c r="A491" s="327">
        <v>4</v>
      </c>
      <c r="B491" s="159" t="s">
        <v>314</v>
      </c>
      <c r="C491" s="68" t="s">
        <v>95</v>
      </c>
      <c r="D491" s="68" t="s">
        <v>311</v>
      </c>
      <c r="E491" s="321">
        <v>1</v>
      </c>
      <c r="F491" s="322">
        <v>932</v>
      </c>
      <c r="G491" s="322">
        <v>524</v>
      </c>
      <c r="H491" s="322">
        <v>11</v>
      </c>
      <c r="I491" s="322">
        <v>2</v>
      </c>
      <c r="J491" s="322">
        <v>0</v>
      </c>
      <c r="K491" s="322">
        <v>0</v>
      </c>
      <c r="L491" s="322">
        <v>0</v>
      </c>
      <c r="M491" s="322">
        <v>0</v>
      </c>
      <c r="N491" s="322">
        <v>0</v>
      </c>
      <c r="O491" s="322">
        <v>0</v>
      </c>
      <c r="P491" s="322">
        <v>0</v>
      </c>
      <c r="Q491" s="322">
        <v>0</v>
      </c>
      <c r="R491" s="322">
        <v>0.3</v>
      </c>
      <c r="S491" s="9">
        <v>1.2035866167E-6</v>
      </c>
      <c r="T491" s="9">
        <f t="shared" si="7"/>
        <v>3.6107598501000001E-7</v>
      </c>
      <c r="U491" s="321" t="s">
        <v>942</v>
      </c>
    </row>
    <row r="492" spans="1:21" ht="12" customHeight="1">
      <c r="A492" s="327">
        <v>4</v>
      </c>
      <c r="B492" s="159" t="s">
        <v>314</v>
      </c>
      <c r="C492" s="68" t="s">
        <v>95</v>
      </c>
      <c r="D492" s="68" t="s">
        <v>311</v>
      </c>
      <c r="E492" s="321">
        <v>2</v>
      </c>
      <c r="F492" s="322">
        <v>856</v>
      </c>
      <c r="G492" s="322">
        <v>524</v>
      </c>
      <c r="H492" s="322">
        <v>2</v>
      </c>
      <c r="I492" s="322">
        <v>0</v>
      </c>
      <c r="J492" s="322">
        <v>0</v>
      </c>
      <c r="K492" s="322">
        <v>0</v>
      </c>
      <c r="L492" s="322">
        <v>0</v>
      </c>
      <c r="M492" s="322">
        <v>0</v>
      </c>
      <c r="N492" s="322">
        <v>0</v>
      </c>
      <c r="O492" s="322">
        <v>0</v>
      </c>
      <c r="P492" s="322">
        <v>0</v>
      </c>
      <c r="Q492" s="322">
        <v>0</v>
      </c>
      <c r="R492" s="322">
        <v>0</v>
      </c>
      <c r="S492" s="9">
        <v>1.2035866167E-6</v>
      </c>
      <c r="T492" s="9">
        <f t="shared" si="7"/>
        <v>0</v>
      </c>
      <c r="U492" s="321" t="s">
        <v>943</v>
      </c>
    </row>
    <row r="493" spans="1:21" ht="12" customHeight="1">
      <c r="A493" s="327">
        <v>4</v>
      </c>
      <c r="B493" s="159" t="s">
        <v>314</v>
      </c>
      <c r="C493" s="68" t="s">
        <v>95</v>
      </c>
      <c r="D493" s="68" t="s">
        <v>311</v>
      </c>
      <c r="E493" s="321">
        <v>3</v>
      </c>
      <c r="F493" s="322">
        <v>836</v>
      </c>
      <c r="G493" s="322">
        <v>524</v>
      </c>
      <c r="H493" s="322">
        <v>7</v>
      </c>
      <c r="I493" s="322">
        <v>0</v>
      </c>
      <c r="J493" s="322">
        <v>0</v>
      </c>
      <c r="K493" s="322">
        <v>0</v>
      </c>
      <c r="L493" s="322">
        <v>0</v>
      </c>
      <c r="M493" s="322">
        <v>0</v>
      </c>
      <c r="N493" s="322">
        <v>0</v>
      </c>
      <c r="O493" s="322">
        <v>0</v>
      </c>
      <c r="P493" s="322">
        <v>0</v>
      </c>
      <c r="Q493" s="322">
        <v>0</v>
      </c>
      <c r="R493" s="322">
        <v>0.1</v>
      </c>
      <c r="S493" s="9">
        <v>1.2035866167E-6</v>
      </c>
      <c r="T493" s="9">
        <f t="shared" si="7"/>
        <v>1.2035866167E-7</v>
      </c>
      <c r="U493" s="321" t="s">
        <v>944</v>
      </c>
    </row>
    <row r="494" spans="1:21" ht="12" customHeight="1">
      <c r="A494" s="327">
        <v>4</v>
      </c>
      <c r="B494" s="159" t="s">
        <v>314</v>
      </c>
      <c r="C494" s="68" t="s">
        <v>95</v>
      </c>
      <c r="D494" s="68" t="s">
        <v>311</v>
      </c>
      <c r="E494" s="321">
        <v>4</v>
      </c>
      <c r="F494" s="322">
        <v>864</v>
      </c>
      <c r="G494" s="322">
        <v>525</v>
      </c>
      <c r="H494" s="322">
        <v>9</v>
      </c>
      <c r="I494" s="322">
        <v>0</v>
      </c>
      <c r="J494" s="322">
        <v>0</v>
      </c>
      <c r="K494" s="322">
        <v>0</v>
      </c>
      <c r="L494" s="322">
        <v>0</v>
      </c>
      <c r="M494" s="322">
        <v>0</v>
      </c>
      <c r="N494" s="322">
        <v>0</v>
      </c>
      <c r="O494" s="322">
        <v>0</v>
      </c>
      <c r="P494" s="322">
        <v>0</v>
      </c>
      <c r="Q494" s="322">
        <v>0</v>
      </c>
      <c r="R494" s="322">
        <v>0.1</v>
      </c>
      <c r="S494" s="9">
        <v>1.2035866167E-6</v>
      </c>
      <c r="T494" s="9">
        <f t="shared" si="7"/>
        <v>1.2035866167E-7</v>
      </c>
      <c r="U494" s="321" t="s">
        <v>945</v>
      </c>
    </row>
    <row r="495" spans="1:21" ht="12" customHeight="1">
      <c r="A495" s="327">
        <v>4</v>
      </c>
      <c r="B495" s="159" t="s">
        <v>314</v>
      </c>
      <c r="C495" s="68" t="s">
        <v>95</v>
      </c>
      <c r="D495" s="68" t="s">
        <v>311</v>
      </c>
      <c r="E495" s="321">
        <v>5</v>
      </c>
      <c r="F495" s="322">
        <v>906</v>
      </c>
      <c r="G495" s="322">
        <v>524</v>
      </c>
      <c r="H495" s="322">
        <v>8</v>
      </c>
      <c r="I495" s="322">
        <v>1</v>
      </c>
      <c r="J495" s="322">
        <v>0</v>
      </c>
      <c r="K495" s="322">
        <v>0</v>
      </c>
      <c r="L495" s="322">
        <v>0</v>
      </c>
      <c r="M495" s="322">
        <v>0</v>
      </c>
      <c r="N495" s="322">
        <v>0</v>
      </c>
      <c r="O495" s="322">
        <v>0</v>
      </c>
      <c r="P495" s="322">
        <v>0</v>
      </c>
      <c r="Q495" s="322">
        <v>0</v>
      </c>
      <c r="R495" s="322">
        <v>0.2</v>
      </c>
      <c r="S495" s="9">
        <v>1.2035866167E-6</v>
      </c>
      <c r="T495" s="9">
        <f t="shared" si="7"/>
        <v>2.4071732334000001E-7</v>
      </c>
      <c r="U495" s="321" t="s">
        <v>946</v>
      </c>
    </row>
    <row r="496" spans="1:21" ht="12" customHeight="1">
      <c r="A496" s="327">
        <v>4</v>
      </c>
      <c r="B496" s="159" t="s">
        <v>314</v>
      </c>
      <c r="C496" s="68" t="s">
        <v>95</v>
      </c>
      <c r="D496" s="68" t="s">
        <v>307</v>
      </c>
      <c r="E496" s="321">
        <v>1</v>
      </c>
      <c r="F496" s="322">
        <v>734</v>
      </c>
      <c r="G496" s="322">
        <v>525</v>
      </c>
      <c r="H496" s="322">
        <v>57</v>
      </c>
      <c r="I496" s="322">
        <v>12</v>
      </c>
      <c r="J496" s="322">
        <v>0</v>
      </c>
      <c r="K496" s="322">
        <v>0</v>
      </c>
      <c r="L496" s="322">
        <v>0</v>
      </c>
      <c r="M496" s="322">
        <v>0</v>
      </c>
      <c r="N496" s="322">
        <v>0</v>
      </c>
      <c r="O496" s="322">
        <v>0</v>
      </c>
      <c r="P496" s="322">
        <v>0</v>
      </c>
      <c r="Q496" s="322">
        <v>0</v>
      </c>
      <c r="R496" s="322">
        <v>1.7</v>
      </c>
      <c r="S496" s="9">
        <v>0</v>
      </c>
      <c r="T496" s="9">
        <f t="shared" si="7"/>
        <v>0</v>
      </c>
      <c r="U496" s="321" t="s">
        <v>972</v>
      </c>
    </row>
    <row r="497" spans="1:21" ht="12" customHeight="1">
      <c r="A497" s="327">
        <v>4</v>
      </c>
      <c r="B497" s="159" t="s">
        <v>314</v>
      </c>
      <c r="C497" s="68" t="s">
        <v>95</v>
      </c>
      <c r="D497" s="68" t="s">
        <v>307</v>
      </c>
      <c r="E497" s="321">
        <v>2</v>
      </c>
      <c r="F497" s="322">
        <v>688</v>
      </c>
      <c r="G497" s="322">
        <v>526</v>
      </c>
      <c r="H497" s="322">
        <v>32</v>
      </c>
      <c r="I497" s="322">
        <v>2</v>
      </c>
      <c r="J497" s="322">
        <v>0</v>
      </c>
      <c r="K497" s="322">
        <v>0</v>
      </c>
      <c r="L497" s="322">
        <v>0</v>
      </c>
      <c r="M497" s="322">
        <v>0</v>
      </c>
      <c r="N497" s="322">
        <v>0</v>
      </c>
      <c r="O497" s="322">
        <v>0</v>
      </c>
      <c r="P497" s="322">
        <v>0</v>
      </c>
      <c r="Q497" s="322">
        <v>0</v>
      </c>
      <c r="R497" s="322">
        <v>0.5</v>
      </c>
      <c r="S497" s="9">
        <v>0</v>
      </c>
      <c r="T497" s="9">
        <f t="shared" si="7"/>
        <v>0</v>
      </c>
      <c r="U497" s="321" t="s">
        <v>973</v>
      </c>
    </row>
    <row r="498" spans="1:21" ht="12" customHeight="1">
      <c r="A498" s="327">
        <v>4</v>
      </c>
      <c r="B498" s="159" t="s">
        <v>314</v>
      </c>
      <c r="C498" s="68" t="s">
        <v>95</v>
      </c>
      <c r="D498" s="68" t="s">
        <v>307</v>
      </c>
      <c r="E498" s="321">
        <v>3</v>
      </c>
      <c r="F498" s="322">
        <v>660</v>
      </c>
      <c r="G498" s="322">
        <v>525</v>
      </c>
      <c r="H498" s="322">
        <v>31</v>
      </c>
      <c r="I498" s="322">
        <v>5</v>
      </c>
      <c r="J498" s="322">
        <v>0</v>
      </c>
      <c r="K498" s="322">
        <v>0</v>
      </c>
      <c r="L498" s="322">
        <v>0</v>
      </c>
      <c r="M498" s="322">
        <v>0</v>
      </c>
      <c r="N498" s="322">
        <v>0</v>
      </c>
      <c r="O498" s="322">
        <v>0</v>
      </c>
      <c r="P498" s="322">
        <v>0</v>
      </c>
      <c r="Q498" s="322">
        <v>0</v>
      </c>
      <c r="R498" s="322">
        <v>0.8</v>
      </c>
      <c r="S498" s="9">
        <v>0</v>
      </c>
      <c r="T498" s="9">
        <f t="shared" si="7"/>
        <v>0</v>
      </c>
      <c r="U498" s="321" t="s">
        <v>974</v>
      </c>
    </row>
    <row r="499" spans="1:21" ht="12" customHeight="1">
      <c r="A499" s="327">
        <v>4</v>
      </c>
      <c r="B499" s="159" t="s">
        <v>314</v>
      </c>
      <c r="C499" s="68" t="s">
        <v>95</v>
      </c>
      <c r="D499" s="68" t="s">
        <v>307</v>
      </c>
      <c r="E499" s="321">
        <v>4</v>
      </c>
      <c r="F499" s="322">
        <v>674</v>
      </c>
      <c r="G499" s="322">
        <v>524</v>
      </c>
      <c r="H499" s="322">
        <v>28</v>
      </c>
      <c r="I499" s="322">
        <v>4</v>
      </c>
      <c r="J499" s="322">
        <v>0</v>
      </c>
      <c r="K499" s="322">
        <v>0</v>
      </c>
      <c r="L499" s="322">
        <v>0</v>
      </c>
      <c r="M499" s="322">
        <v>0</v>
      </c>
      <c r="N499" s="322">
        <v>0</v>
      </c>
      <c r="O499" s="322">
        <v>0</v>
      </c>
      <c r="P499" s="322">
        <v>0</v>
      </c>
      <c r="Q499" s="322">
        <v>0</v>
      </c>
      <c r="R499" s="322">
        <v>0.6</v>
      </c>
      <c r="S499" s="9">
        <v>0</v>
      </c>
      <c r="T499" s="9">
        <f t="shared" si="7"/>
        <v>0</v>
      </c>
      <c r="U499" s="321" t="s">
        <v>975</v>
      </c>
    </row>
    <row r="500" spans="1:21" ht="12" customHeight="1">
      <c r="A500" s="327">
        <v>4</v>
      </c>
      <c r="B500" s="159" t="s">
        <v>314</v>
      </c>
      <c r="C500" s="68" t="s">
        <v>95</v>
      </c>
      <c r="D500" s="68" t="s">
        <v>307</v>
      </c>
      <c r="E500" s="321">
        <v>5</v>
      </c>
      <c r="F500" s="322">
        <v>772</v>
      </c>
      <c r="G500" s="322">
        <v>524</v>
      </c>
      <c r="H500" s="322">
        <v>41</v>
      </c>
      <c r="I500" s="322">
        <v>4</v>
      </c>
      <c r="J500" s="322">
        <v>1</v>
      </c>
      <c r="K500" s="322">
        <v>0</v>
      </c>
      <c r="L500" s="322">
        <v>0</v>
      </c>
      <c r="M500" s="322">
        <v>0</v>
      </c>
      <c r="N500" s="322">
        <v>0</v>
      </c>
      <c r="O500" s="322">
        <v>0</v>
      </c>
      <c r="P500" s="322">
        <v>0</v>
      </c>
      <c r="Q500" s="322">
        <v>0</v>
      </c>
      <c r="R500" s="322">
        <v>1.7</v>
      </c>
      <c r="S500" s="9">
        <v>0</v>
      </c>
      <c r="T500" s="9">
        <f t="shared" si="7"/>
        <v>0</v>
      </c>
      <c r="U500" s="321" t="s">
        <v>976</v>
      </c>
    </row>
    <row r="501" spans="1:21" ht="12" customHeight="1">
      <c r="A501" s="328">
        <v>4</v>
      </c>
      <c r="B501" s="159" t="s">
        <v>316</v>
      </c>
      <c r="C501" s="68" t="s">
        <v>96</v>
      </c>
      <c r="D501" s="68" t="s">
        <v>308</v>
      </c>
      <c r="E501" s="323">
        <v>1</v>
      </c>
      <c r="F501" s="324">
        <v>946</v>
      </c>
      <c r="G501" s="324">
        <v>296</v>
      </c>
      <c r="H501" s="324">
        <v>26</v>
      </c>
      <c r="I501" s="324">
        <v>21</v>
      </c>
      <c r="J501" s="324">
        <v>18</v>
      </c>
      <c r="K501" s="324">
        <v>13</v>
      </c>
      <c r="L501" s="324">
        <v>13</v>
      </c>
      <c r="M501" s="324">
        <v>9</v>
      </c>
      <c r="N501" s="324">
        <v>7</v>
      </c>
      <c r="O501" s="324">
        <v>5</v>
      </c>
      <c r="P501" s="324">
        <v>2</v>
      </c>
      <c r="Q501" s="324">
        <v>0</v>
      </c>
      <c r="R501" s="324">
        <v>18.399999999999999</v>
      </c>
      <c r="S501" s="9">
        <v>1.5093682811302096E-7</v>
      </c>
      <c r="T501" s="9">
        <f t="shared" si="7"/>
        <v>2.7772376372795856E-6</v>
      </c>
      <c r="U501" s="323" t="s">
        <v>1272</v>
      </c>
    </row>
    <row r="502" spans="1:21" ht="12" customHeight="1">
      <c r="A502" s="328">
        <v>4</v>
      </c>
      <c r="B502" s="159" t="s">
        <v>316</v>
      </c>
      <c r="C502" s="68" t="s">
        <v>96</v>
      </c>
      <c r="D502" s="68" t="s">
        <v>308</v>
      </c>
      <c r="E502" s="323">
        <v>2</v>
      </c>
      <c r="F502" s="324">
        <v>882</v>
      </c>
      <c r="G502" s="324">
        <v>296</v>
      </c>
      <c r="H502" s="324">
        <v>19</v>
      </c>
      <c r="I502" s="324">
        <v>15</v>
      </c>
      <c r="J502" s="324">
        <v>10</v>
      </c>
      <c r="K502" s="324">
        <v>7</v>
      </c>
      <c r="L502" s="324">
        <v>4</v>
      </c>
      <c r="M502" s="324">
        <v>4</v>
      </c>
      <c r="N502" s="324">
        <v>3</v>
      </c>
      <c r="O502" s="324">
        <v>2</v>
      </c>
      <c r="P502" s="324">
        <v>0</v>
      </c>
      <c r="Q502" s="324">
        <v>0</v>
      </c>
      <c r="R502" s="324">
        <v>10.5</v>
      </c>
      <c r="S502" s="9">
        <v>1.5093682811302096E-7</v>
      </c>
      <c r="T502" s="9">
        <f t="shared" si="7"/>
        <v>1.5848366951867202E-6</v>
      </c>
      <c r="U502" s="323" t="s">
        <v>1273</v>
      </c>
    </row>
    <row r="503" spans="1:21" ht="12" customHeight="1">
      <c r="A503" s="328">
        <v>4</v>
      </c>
      <c r="B503" s="159" t="s">
        <v>316</v>
      </c>
      <c r="C503" s="68" t="s">
        <v>96</v>
      </c>
      <c r="D503" s="68" t="s">
        <v>308</v>
      </c>
      <c r="E503" s="323">
        <v>3</v>
      </c>
      <c r="F503" s="324">
        <v>930</v>
      </c>
      <c r="G503" s="324">
        <v>297</v>
      </c>
      <c r="H503" s="324">
        <v>30</v>
      </c>
      <c r="I503" s="324">
        <v>20</v>
      </c>
      <c r="J503" s="324">
        <v>16</v>
      </c>
      <c r="K503" s="324">
        <v>12</v>
      </c>
      <c r="L503" s="324">
        <v>11</v>
      </c>
      <c r="M503" s="324">
        <v>8</v>
      </c>
      <c r="N503" s="324">
        <v>7</v>
      </c>
      <c r="O503" s="324">
        <v>6</v>
      </c>
      <c r="P503" s="324">
        <v>3</v>
      </c>
      <c r="Q503" s="324">
        <v>1</v>
      </c>
      <c r="R503" s="324">
        <v>16.5</v>
      </c>
      <c r="S503" s="9">
        <v>1.5093682811302096E-7</v>
      </c>
      <c r="T503" s="9">
        <f t="shared" si="7"/>
        <v>2.490457663864846E-6</v>
      </c>
      <c r="U503" s="323" t="s">
        <v>1274</v>
      </c>
    </row>
    <row r="504" spans="1:21" ht="12" customHeight="1">
      <c r="A504" s="328">
        <v>4</v>
      </c>
      <c r="B504" s="159" t="s">
        <v>316</v>
      </c>
      <c r="C504" s="68" t="s">
        <v>96</v>
      </c>
      <c r="D504" s="68" t="s">
        <v>308</v>
      </c>
      <c r="E504" s="323">
        <v>4</v>
      </c>
      <c r="F504" s="324">
        <v>936</v>
      </c>
      <c r="G504" s="324">
        <v>297</v>
      </c>
      <c r="H504" s="324">
        <v>52</v>
      </c>
      <c r="I504" s="324">
        <v>41</v>
      </c>
      <c r="J504" s="324">
        <v>35</v>
      </c>
      <c r="K504" s="324">
        <v>29</v>
      </c>
      <c r="L504" s="324">
        <v>25</v>
      </c>
      <c r="M504" s="324">
        <v>21</v>
      </c>
      <c r="N504" s="324">
        <v>18</v>
      </c>
      <c r="O504" s="324">
        <v>12</v>
      </c>
      <c r="P504" s="324">
        <v>5</v>
      </c>
      <c r="Q504" s="324">
        <v>0</v>
      </c>
      <c r="R504" s="324">
        <v>35.700000000000003</v>
      </c>
      <c r="S504" s="9">
        <v>1.5093682811302096E-7</v>
      </c>
      <c r="T504" s="9">
        <f t="shared" si="7"/>
        <v>5.3884447636348484E-6</v>
      </c>
      <c r="U504" s="323" t="s">
        <v>1275</v>
      </c>
    </row>
    <row r="505" spans="1:21" ht="12" customHeight="1">
      <c r="A505" s="328">
        <v>4</v>
      </c>
      <c r="B505" s="159" t="s">
        <v>316</v>
      </c>
      <c r="C505" s="68" t="s">
        <v>96</v>
      </c>
      <c r="D505" s="68" t="s">
        <v>308</v>
      </c>
      <c r="E505" s="323">
        <v>5</v>
      </c>
      <c r="F505" s="324">
        <v>940</v>
      </c>
      <c r="G505" s="324">
        <v>292</v>
      </c>
      <c r="H505" s="324">
        <v>37</v>
      </c>
      <c r="I505" s="324">
        <v>19</v>
      </c>
      <c r="J505" s="324">
        <v>13</v>
      </c>
      <c r="K505" s="324">
        <v>11</v>
      </c>
      <c r="L505" s="324">
        <v>10</v>
      </c>
      <c r="M505" s="324">
        <v>10</v>
      </c>
      <c r="N505" s="324">
        <v>5</v>
      </c>
      <c r="O505" s="324">
        <v>3</v>
      </c>
      <c r="P505" s="324">
        <v>2</v>
      </c>
      <c r="Q505" s="324">
        <v>1</v>
      </c>
      <c r="R505" s="324">
        <v>13.8</v>
      </c>
      <c r="S505" s="9">
        <v>1.5093682811302096E-7</v>
      </c>
      <c r="T505" s="9">
        <f t="shared" si="7"/>
        <v>2.0829282279596896E-6</v>
      </c>
      <c r="U505" s="323" t="s">
        <v>1276</v>
      </c>
    </row>
    <row r="506" spans="1:21" ht="12" customHeight="1">
      <c r="A506" s="328">
        <v>4</v>
      </c>
      <c r="B506" s="159" t="s">
        <v>316</v>
      </c>
      <c r="C506" s="68" t="s">
        <v>96</v>
      </c>
      <c r="D506" s="68" t="s">
        <v>310</v>
      </c>
      <c r="E506" s="323">
        <v>1</v>
      </c>
      <c r="F506" s="324">
        <v>918</v>
      </c>
      <c r="G506" s="324">
        <v>297</v>
      </c>
      <c r="H506" s="324">
        <v>69</v>
      </c>
      <c r="I506" s="324">
        <v>44</v>
      </c>
      <c r="J506" s="324">
        <v>23</v>
      </c>
      <c r="K506" s="324">
        <v>20</v>
      </c>
      <c r="L506" s="324">
        <v>18</v>
      </c>
      <c r="M506" s="324">
        <v>11</v>
      </c>
      <c r="N506" s="324">
        <v>9</v>
      </c>
      <c r="O506" s="324">
        <v>6</v>
      </c>
      <c r="P506" s="324">
        <v>4</v>
      </c>
      <c r="Q506" s="324">
        <v>3</v>
      </c>
      <c r="R506" s="324">
        <v>25.4</v>
      </c>
      <c r="S506" s="9">
        <v>1.5093546968020952E-7</v>
      </c>
      <c r="T506" s="9">
        <f t="shared" si="7"/>
        <v>3.8337609298773217E-6</v>
      </c>
      <c r="U506" s="323" t="s">
        <v>1302</v>
      </c>
    </row>
    <row r="507" spans="1:21" ht="12" customHeight="1">
      <c r="A507" s="328">
        <v>4</v>
      </c>
      <c r="B507" s="159" t="s">
        <v>316</v>
      </c>
      <c r="C507" s="68" t="s">
        <v>96</v>
      </c>
      <c r="D507" s="68" t="s">
        <v>310</v>
      </c>
      <c r="E507" s="323">
        <v>2</v>
      </c>
      <c r="F507" s="324">
        <v>940</v>
      </c>
      <c r="G507" s="324">
        <v>291</v>
      </c>
      <c r="H507" s="324">
        <v>83</v>
      </c>
      <c r="I507" s="324">
        <v>55</v>
      </c>
      <c r="J507" s="324">
        <v>28</v>
      </c>
      <c r="K507" s="324">
        <v>13</v>
      </c>
      <c r="L507" s="324">
        <v>10</v>
      </c>
      <c r="M507" s="324">
        <v>8</v>
      </c>
      <c r="N507" s="324">
        <v>6</v>
      </c>
      <c r="O507" s="324">
        <v>6</v>
      </c>
      <c r="P507" s="324">
        <v>4</v>
      </c>
      <c r="Q507" s="324">
        <v>0</v>
      </c>
      <c r="R507" s="324">
        <v>31</v>
      </c>
      <c r="S507" s="9">
        <v>1.5093546968020952E-7</v>
      </c>
      <c r="T507" s="9">
        <f t="shared" si="7"/>
        <v>4.6789995600864953E-6</v>
      </c>
      <c r="U507" s="323" t="s">
        <v>1303</v>
      </c>
    </row>
    <row r="508" spans="1:21" ht="12" customHeight="1">
      <c r="A508" s="328">
        <v>4</v>
      </c>
      <c r="B508" s="159" t="s">
        <v>316</v>
      </c>
      <c r="C508" s="68" t="s">
        <v>96</v>
      </c>
      <c r="D508" s="68" t="s">
        <v>310</v>
      </c>
      <c r="E508" s="323">
        <v>3</v>
      </c>
      <c r="F508" s="324">
        <v>910</v>
      </c>
      <c r="G508" s="324">
        <v>297</v>
      </c>
      <c r="H508" s="324">
        <v>81</v>
      </c>
      <c r="I508" s="324">
        <v>41</v>
      </c>
      <c r="J508" s="324">
        <v>13</v>
      </c>
      <c r="K508" s="324">
        <v>12</v>
      </c>
      <c r="L508" s="324">
        <v>10</v>
      </c>
      <c r="M508" s="324">
        <v>10</v>
      </c>
      <c r="N508" s="324">
        <v>7</v>
      </c>
      <c r="O508" s="324">
        <v>6</v>
      </c>
      <c r="P508" s="324">
        <v>2</v>
      </c>
      <c r="Q508" s="324">
        <v>0</v>
      </c>
      <c r="R508" s="324">
        <v>16.2</v>
      </c>
      <c r="S508" s="9">
        <v>1.5093546968020952E-7</v>
      </c>
      <c r="T508" s="9">
        <f t="shared" si="7"/>
        <v>2.4451546088193942E-6</v>
      </c>
      <c r="U508" s="323" t="s">
        <v>1304</v>
      </c>
    </row>
    <row r="509" spans="1:21" ht="12" customHeight="1">
      <c r="A509" s="328">
        <v>4</v>
      </c>
      <c r="B509" s="159" t="s">
        <v>316</v>
      </c>
      <c r="C509" s="68" t="s">
        <v>96</v>
      </c>
      <c r="D509" s="68" t="s">
        <v>310</v>
      </c>
      <c r="E509" s="323">
        <v>4</v>
      </c>
      <c r="F509" s="324">
        <v>900</v>
      </c>
      <c r="G509" s="324">
        <v>291</v>
      </c>
      <c r="H509" s="324">
        <v>94</v>
      </c>
      <c r="I509" s="324">
        <v>37</v>
      </c>
      <c r="J509" s="324">
        <v>20</v>
      </c>
      <c r="K509" s="324">
        <v>13</v>
      </c>
      <c r="L509" s="324">
        <v>12</v>
      </c>
      <c r="M509" s="324">
        <v>12</v>
      </c>
      <c r="N509" s="324">
        <v>8</v>
      </c>
      <c r="O509" s="324">
        <v>7</v>
      </c>
      <c r="P509" s="324">
        <v>1</v>
      </c>
      <c r="Q509" s="324">
        <v>0</v>
      </c>
      <c r="R509" s="324">
        <v>22.3</v>
      </c>
      <c r="S509" s="9">
        <v>1.5093546968020952E-7</v>
      </c>
      <c r="T509" s="9">
        <f t="shared" si="7"/>
        <v>3.3658609738686725E-6</v>
      </c>
      <c r="U509" s="323" t="s">
        <v>1305</v>
      </c>
    </row>
    <row r="510" spans="1:21" ht="12" customHeight="1">
      <c r="A510" s="328">
        <v>4</v>
      </c>
      <c r="B510" s="159" t="s">
        <v>316</v>
      </c>
      <c r="C510" s="68" t="s">
        <v>96</v>
      </c>
      <c r="D510" s="68" t="s">
        <v>310</v>
      </c>
      <c r="E510" s="323">
        <v>5</v>
      </c>
      <c r="F510" s="324">
        <v>952</v>
      </c>
      <c r="G510" s="324">
        <v>296</v>
      </c>
      <c r="H510" s="324">
        <v>115</v>
      </c>
      <c r="I510" s="324">
        <v>82</v>
      </c>
      <c r="J510" s="324">
        <v>45</v>
      </c>
      <c r="K510" s="324">
        <v>31</v>
      </c>
      <c r="L510" s="324">
        <v>25</v>
      </c>
      <c r="M510" s="324">
        <v>17</v>
      </c>
      <c r="N510" s="324">
        <v>10</v>
      </c>
      <c r="O510" s="324">
        <v>8</v>
      </c>
      <c r="P510" s="324">
        <v>4</v>
      </c>
      <c r="Q510" s="324">
        <v>2</v>
      </c>
      <c r="R510" s="324">
        <v>49</v>
      </c>
      <c r="S510" s="9">
        <v>1.5093546968020952E-7</v>
      </c>
      <c r="T510" s="9">
        <f t="shared" si="7"/>
        <v>7.3958380143302662E-6</v>
      </c>
      <c r="U510" s="323" t="s">
        <v>1306</v>
      </c>
    </row>
    <row r="511" spans="1:21" ht="12" customHeight="1">
      <c r="A511" s="328">
        <v>4</v>
      </c>
      <c r="B511" s="159" t="s">
        <v>316</v>
      </c>
      <c r="C511" s="68" t="s">
        <v>96</v>
      </c>
      <c r="D511" s="68" t="s">
        <v>309</v>
      </c>
      <c r="E511" s="323">
        <v>1</v>
      </c>
      <c r="F511" s="324">
        <v>722</v>
      </c>
      <c r="G511" s="324">
        <v>296</v>
      </c>
      <c r="H511" s="324">
        <v>7</v>
      </c>
      <c r="I511" s="324">
        <v>4</v>
      </c>
      <c r="J511" s="324">
        <v>0</v>
      </c>
      <c r="K511" s="324">
        <v>0</v>
      </c>
      <c r="L511" s="324">
        <v>0</v>
      </c>
      <c r="M511" s="324">
        <v>0</v>
      </c>
      <c r="N511" s="324">
        <v>0</v>
      </c>
      <c r="O511" s="324">
        <v>0</v>
      </c>
      <c r="P511" s="324">
        <v>0</v>
      </c>
      <c r="Q511" s="324">
        <v>0</v>
      </c>
      <c r="R511" s="324">
        <v>0.4</v>
      </c>
      <c r="S511" s="9">
        <v>1.5093682811302096E-7</v>
      </c>
      <c r="T511" s="9">
        <f t="shared" si="7"/>
        <v>6.0374731245208388E-8</v>
      </c>
      <c r="U511" s="323" t="s">
        <v>1332</v>
      </c>
    </row>
    <row r="512" spans="1:21" ht="12" customHeight="1">
      <c r="A512" s="328">
        <v>4</v>
      </c>
      <c r="B512" s="159" t="s">
        <v>316</v>
      </c>
      <c r="C512" s="68" t="s">
        <v>96</v>
      </c>
      <c r="D512" s="68" t="s">
        <v>309</v>
      </c>
      <c r="E512" s="323">
        <v>2</v>
      </c>
      <c r="F512" s="324">
        <v>838</v>
      </c>
      <c r="G512" s="324">
        <v>291</v>
      </c>
      <c r="H512" s="324">
        <v>7</v>
      </c>
      <c r="I512" s="324">
        <v>5</v>
      </c>
      <c r="J512" s="324">
        <v>3</v>
      </c>
      <c r="K512" s="324">
        <v>2</v>
      </c>
      <c r="L512" s="324">
        <v>2</v>
      </c>
      <c r="M512" s="324">
        <v>2</v>
      </c>
      <c r="N512" s="324">
        <v>1</v>
      </c>
      <c r="O512" s="324">
        <v>0</v>
      </c>
      <c r="P512" s="324">
        <v>0</v>
      </c>
      <c r="Q512" s="324">
        <v>0</v>
      </c>
      <c r="R512" s="324">
        <v>3.2</v>
      </c>
      <c r="S512" s="9">
        <v>1.5093682811302096E-7</v>
      </c>
      <c r="T512" s="9">
        <f t="shared" si="7"/>
        <v>4.8299784996166711E-7</v>
      </c>
      <c r="U512" s="323" t="s">
        <v>1333</v>
      </c>
    </row>
    <row r="513" spans="1:21" ht="12" customHeight="1">
      <c r="A513" s="328">
        <v>4</v>
      </c>
      <c r="B513" s="159" t="s">
        <v>316</v>
      </c>
      <c r="C513" s="68" t="s">
        <v>96</v>
      </c>
      <c r="D513" s="68" t="s">
        <v>309</v>
      </c>
      <c r="E513" s="323">
        <v>3</v>
      </c>
      <c r="F513" s="324">
        <v>828</v>
      </c>
      <c r="G513" s="324">
        <v>296</v>
      </c>
      <c r="H513" s="324">
        <v>6</v>
      </c>
      <c r="I513" s="324">
        <v>5</v>
      </c>
      <c r="J513" s="324">
        <v>5</v>
      </c>
      <c r="K513" s="324">
        <v>3</v>
      </c>
      <c r="L513" s="324">
        <v>3</v>
      </c>
      <c r="M513" s="324">
        <v>3</v>
      </c>
      <c r="N513" s="324">
        <v>0</v>
      </c>
      <c r="O513" s="324">
        <v>0</v>
      </c>
      <c r="P513" s="324">
        <v>0</v>
      </c>
      <c r="Q513" s="324">
        <v>0</v>
      </c>
      <c r="R513" s="324">
        <v>5</v>
      </c>
      <c r="S513" s="9">
        <v>1.5093682811302096E-7</v>
      </c>
      <c r="T513" s="9">
        <f t="shared" si="7"/>
        <v>7.5468414056510482E-7</v>
      </c>
      <c r="U513" s="323" t="s">
        <v>1334</v>
      </c>
    </row>
    <row r="514" spans="1:21" ht="12" customHeight="1">
      <c r="A514" s="328">
        <v>4</v>
      </c>
      <c r="B514" s="159" t="s">
        <v>316</v>
      </c>
      <c r="C514" s="68" t="s">
        <v>96</v>
      </c>
      <c r="D514" s="68" t="s">
        <v>309</v>
      </c>
      <c r="E514" s="323">
        <v>4</v>
      </c>
      <c r="F514" s="324">
        <v>812</v>
      </c>
      <c r="G514" s="324">
        <v>298</v>
      </c>
      <c r="H514" s="324">
        <v>5</v>
      </c>
      <c r="I514" s="324">
        <v>4</v>
      </c>
      <c r="J514" s="324">
        <v>4</v>
      </c>
      <c r="K514" s="324">
        <v>2</v>
      </c>
      <c r="L514" s="324">
        <v>2</v>
      </c>
      <c r="M514" s="324">
        <v>2</v>
      </c>
      <c r="N514" s="324">
        <v>0</v>
      </c>
      <c r="O514" s="324">
        <v>0</v>
      </c>
      <c r="P514" s="324">
        <v>0</v>
      </c>
      <c r="Q514" s="324">
        <v>0</v>
      </c>
      <c r="R514" s="324">
        <v>4</v>
      </c>
      <c r="S514" s="9">
        <v>1.5093682811302096E-7</v>
      </c>
      <c r="T514" s="9">
        <f t="shared" si="7"/>
        <v>6.0374731245208386E-7</v>
      </c>
      <c r="U514" s="323" t="s">
        <v>1335</v>
      </c>
    </row>
    <row r="515" spans="1:21" ht="12" customHeight="1">
      <c r="A515" s="328">
        <v>4</v>
      </c>
      <c r="B515" s="159" t="s">
        <v>316</v>
      </c>
      <c r="C515" s="68" t="s">
        <v>96</v>
      </c>
      <c r="D515" s="68" t="s">
        <v>309</v>
      </c>
      <c r="E515" s="323">
        <v>5</v>
      </c>
      <c r="F515" s="324">
        <v>878</v>
      </c>
      <c r="G515" s="324">
        <v>272</v>
      </c>
      <c r="H515" s="324">
        <v>6</v>
      </c>
      <c r="I515" s="324">
        <v>5</v>
      </c>
      <c r="J515" s="324">
        <v>4</v>
      </c>
      <c r="K515" s="324">
        <v>3</v>
      </c>
      <c r="L515" s="324">
        <v>3</v>
      </c>
      <c r="M515" s="324">
        <v>2</v>
      </c>
      <c r="N515" s="324">
        <v>2</v>
      </c>
      <c r="O515" s="324">
        <v>1</v>
      </c>
      <c r="P515" s="324">
        <v>1</v>
      </c>
      <c r="Q515" s="324">
        <v>0</v>
      </c>
      <c r="R515" s="324">
        <v>4.0999999999999996</v>
      </c>
      <c r="S515" s="9">
        <v>1.5093682811302096E-7</v>
      </c>
      <c r="T515" s="9">
        <f t="shared" si="7"/>
        <v>6.1884099526338591E-7</v>
      </c>
      <c r="U515" s="323" t="s">
        <v>1336</v>
      </c>
    </row>
    <row r="516" spans="1:21" ht="12" customHeight="1">
      <c r="A516" s="328">
        <v>4</v>
      </c>
      <c r="B516" s="159" t="s">
        <v>316</v>
      </c>
      <c r="C516" s="68" t="s">
        <v>96</v>
      </c>
      <c r="D516" s="68" t="s">
        <v>307</v>
      </c>
      <c r="E516" s="323">
        <v>1</v>
      </c>
      <c r="F516" s="324">
        <v>618</v>
      </c>
      <c r="G516" s="324">
        <v>292</v>
      </c>
      <c r="H516" s="324">
        <v>0</v>
      </c>
      <c r="I516" s="324">
        <v>0</v>
      </c>
      <c r="J516" s="324">
        <v>0</v>
      </c>
      <c r="K516" s="324">
        <v>0</v>
      </c>
      <c r="L516" s="324">
        <v>0</v>
      </c>
      <c r="M516" s="324">
        <v>0</v>
      </c>
      <c r="N516" s="324">
        <v>0</v>
      </c>
      <c r="O516" s="324">
        <v>0</v>
      </c>
      <c r="P516" s="324">
        <v>0</v>
      </c>
      <c r="Q516" s="324">
        <v>0</v>
      </c>
      <c r="R516" s="324">
        <v>0</v>
      </c>
      <c r="S516" s="9">
        <v>4.0752984343500006E-6</v>
      </c>
      <c r="T516" s="9">
        <f t="shared" si="7"/>
        <v>0</v>
      </c>
      <c r="U516" s="323" t="s">
        <v>1362</v>
      </c>
    </row>
    <row r="517" spans="1:21" ht="12" customHeight="1">
      <c r="A517" s="328">
        <v>4</v>
      </c>
      <c r="B517" s="159" t="s">
        <v>316</v>
      </c>
      <c r="C517" s="68" t="s">
        <v>96</v>
      </c>
      <c r="D517" s="68" t="s">
        <v>307</v>
      </c>
      <c r="E517" s="323">
        <v>2</v>
      </c>
      <c r="F517" s="324">
        <v>598</v>
      </c>
      <c r="G517" s="324">
        <v>297</v>
      </c>
      <c r="H517" s="324">
        <v>0</v>
      </c>
      <c r="I517" s="324">
        <v>0</v>
      </c>
      <c r="J517" s="324">
        <v>0</v>
      </c>
      <c r="K517" s="324">
        <v>0</v>
      </c>
      <c r="L517" s="324">
        <v>0</v>
      </c>
      <c r="M517" s="324">
        <v>0</v>
      </c>
      <c r="N517" s="324">
        <v>0</v>
      </c>
      <c r="O517" s="324">
        <v>0</v>
      </c>
      <c r="P517" s="324">
        <v>0</v>
      </c>
      <c r="Q517" s="324">
        <v>0</v>
      </c>
      <c r="R517" s="324">
        <v>0</v>
      </c>
      <c r="S517" s="9">
        <v>4.0752984343500006E-6</v>
      </c>
      <c r="T517" s="9">
        <f t="shared" si="7"/>
        <v>0</v>
      </c>
      <c r="U517" s="323" t="s">
        <v>1363</v>
      </c>
    </row>
    <row r="518" spans="1:21" ht="12" customHeight="1">
      <c r="A518" s="328">
        <v>4</v>
      </c>
      <c r="B518" s="159" t="s">
        <v>316</v>
      </c>
      <c r="C518" s="68" t="s">
        <v>96</v>
      </c>
      <c r="D518" s="68" t="s">
        <v>307</v>
      </c>
      <c r="E518" s="323">
        <v>3</v>
      </c>
      <c r="F518" s="324">
        <v>620</v>
      </c>
      <c r="G518" s="324">
        <v>274</v>
      </c>
      <c r="H518" s="324">
        <v>0</v>
      </c>
      <c r="I518" s="324">
        <v>0</v>
      </c>
      <c r="J518" s="324">
        <v>0</v>
      </c>
      <c r="K518" s="324">
        <v>0</v>
      </c>
      <c r="L518" s="324">
        <v>0</v>
      </c>
      <c r="M518" s="324">
        <v>0</v>
      </c>
      <c r="N518" s="324">
        <v>0</v>
      </c>
      <c r="O518" s="324">
        <v>0</v>
      </c>
      <c r="P518" s="324">
        <v>0</v>
      </c>
      <c r="Q518" s="324">
        <v>0</v>
      </c>
      <c r="R518" s="324">
        <v>0</v>
      </c>
      <c r="S518" s="9">
        <v>4.0752984343500006E-6</v>
      </c>
      <c r="T518" s="9">
        <f t="shared" ref="T518:T581" si="8">S518*R518</f>
        <v>0</v>
      </c>
      <c r="U518" s="323" t="s">
        <v>1364</v>
      </c>
    </row>
    <row r="519" spans="1:21" ht="12" customHeight="1">
      <c r="A519" s="328">
        <v>4</v>
      </c>
      <c r="B519" s="159" t="s">
        <v>316</v>
      </c>
      <c r="C519" s="68" t="s">
        <v>96</v>
      </c>
      <c r="D519" s="68" t="s">
        <v>307</v>
      </c>
      <c r="E519" s="323">
        <v>4</v>
      </c>
      <c r="F519" s="324">
        <v>588</v>
      </c>
      <c r="G519" s="324">
        <v>296</v>
      </c>
      <c r="H519" s="324">
        <v>0</v>
      </c>
      <c r="I519" s="324">
        <v>0</v>
      </c>
      <c r="J519" s="324">
        <v>0</v>
      </c>
      <c r="K519" s="324">
        <v>0</v>
      </c>
      <c r="L519" s="324">
        <v>0</v>
      </c>
      <c r="M519" s="324">
        <v>0</v>
      </c>
      <c r="N519" s="324">
        <v>0</v>
      </c>
      <c r="O519" s="324">
        <v>0</v>
      </c>
      <c r="P519" s="324">
        <v>0</v>
      </c>
      <c r="Q519" s="324">
        <v>0</v>
      </c>
      <c r="R519" s="324">
        <v>0</v>
      </c>
      <c r="S519" s="9">
        <v>4.0752984343500006E-6</v>
      </c>
      <c r="T519" s="9">
        <f t="shared" si="8"/>
        <v>0</v>
      </c>
      <c r="U519" s="323" t="s">
        <v>1365</v>
      </c>
    </row>
    <row r="520" spans="1:21" ht="12" customHeight="1">
      <c r="A520" s="328">
        <v>4</v>
      </c>
      <c r="B520" s="159" t="s">
        <v>316</v>
      </c>
      <c r="C520" s="68" t="s">
        <v>96</v>
      </c>
      <c r="D520" s="68" t="s">
        <v>307</v>
      </c>
      <c r="E520" s="323">
        <v>5</v>
      </c>
      <c r="F520" s="324">
        <v>646</v>
      </c>
      <c r="G520" s="324">
        <v>296</v>
      </c>
      <c r="H520" s="324">
        <v>0</v>
      </c>
      <c r="I520" s="324">
        <v>0</v>
      </c>
      <c r="J520" s="324">
        <v>0</v>
      </c>
      <c r="K520" s="324">
        <v>0</v>
      </c>
      <c r="L520" s="324">
        <v>0</v>
      </c>
      <c r="M520" s="324">
        <v>0</v>
      </c>
      <c r="N520" s="324">
        <v>0</v>
      </c>
      <c r="O520" s="324">
        <v>0</v>
      </c>
      <c r="P520" s="324">
        <v>0</v>
      </c>
      <c r="Q520" s="324">
        <v>0</v>
      </c>
      <c r="R520" s="324">
        <v>0</v>
      </c>
      <c r="S520" s="9">
        <v>4.0752984343500006E-6</v>
      </c>
      <c r="T520" s="9">
        <f t="shared" si="8"/>
        <v>0</v>
      </c>
      <c r="U520" s="323" t="s">
        <v>1366</v>
      </c>
    </row>
    <row r="521" spans="1:21" ht="12" customHeight="1">
      <c r="A521" s="329">
        <v>4</v>
      </c>
      <c r="B521" s="159" t="s">
        <v>316</v>
      </c>
      <c r="C521" s="68" t="s">
        <v>95</v>
      </c>
      <c r="D521" s="68" t="s">
        <v>308</v>
      </c>
      <c r="E521" s="330">
        <v>1</v>
      </c>
      <c r="F521" s="326">
        <v>928</v>
      </c>
      <c r="G521" s="326">
        <v>519</v>
      </c>
      <c r="H521" s="326">
        <v>102</v>
      </c>
      <c r="I521" s="326">
        <v>79</v>
      </c>
      <c r="J521" s="326">
        <v>60</v>
      </c>
      <c r="K521" s="326">
        <v>43</v>
      </c>
      <c r="L521" s="326">
        <v>36</v>
      </c>
      <c r="M521" s="326">
        <v>28</v>
      </c>
      <c r="N521" s="326">
        <v>20</v>
      </c>
      <c r="O521" s="326">
        <v>9</v>
      </c>
      <c r="P521" s="326">
        <v>3</v>
      </c>
      <c r="Q521" s="326">
        <v>0</v>
      </c>
      <c r="R521" s="326">
        <v>62.1</v>
      </c>
      <c r="S521" s="9">
        <v>1.5246144253840504E-9</v>
      </c>
      <c r="T521" s="9">
        <f t="shared" si="8"/>
        <v>9.4678555816349533E-8</v>
      </c>
      <c r="U521" s="325" t="s">
        <v>1122</v>
      </c>
    </row>
    <row r="522" spans="1:21" ht="12" customHeight="1">
      <c r="A522" s="329">
        <v>4</v>
      </c>
      <c r="B522" s="159" t="s">
        <v>316</v>
      </c>
      <c r="C522" s="68" t="s">
        <v>95</v>
      </c>
      <c r="D522" s="68" t="s">
        <v>308</v>
      </c>
      <c r="E522" s="330">
        <v>2</v>
      </c>
      <c r="F522" s="326">
        <v>934</v>
      </c>
      <c r="G522" s="326">
        <v>519</v>
      </c>
      <c r="H522" s="326">
        <v>96</v>
      </c>
      <c r="I522" s="326">
        <v>73</v>
      </c>
      <c r="J522" s="326">
        <v>55</v>
      </c>
      <c r="K522" s="326">
        <v>46</v>
      </c>
      <c r="L522" s="326">
        <v>38</v>
      </c>
      <c r="M522" s="326">
        <v>31</v>
      </c>
      <c r="N522" s="326">
        <v>26</v>
      </c>
      <c r="O522" s="326">
        <v>20</v>
      </c>
      <c r="P522" s="326">
        <v>8</v>
      </c>
      <c r="Q522" s="326">
        <v>0</v>
      </c>
      <c r="R522" s="326">
        <v>57</v>
      </c>
      <c r="S522" s="9">
        <v>1.5246144253840504E-9</v>
      </c>
      <c r="T522" s="9">
        <f t="shared" si="8"/>
        <v>8.6903022246890868E-8</v>
      </c>
      <c r="U522" s="325" t="s">
        <v>1123</v>
      </c>
    </row>
    <row r="523" spans="1:21" ht="12" customHeight="1">
      <c r="A523" s="329">
        <v>4</v>
      </c>
      <c r="B523" s="159" t="s">
        <v>316</v>
      </c>
      <c r="C523" s="68" t="s">
        <v>95</v>
      </c>
      <c r="D523" s="68" t="s">
        <v>308</v>
      </c>
      <c r="E523" s="330">
        <v>3</v>
      </c>
      <c r="F523" s="326">
        <v>916</v>
      </c>
      <c r="G523" s="326">
        <v>524</v>
      </c>
      <c r="H523" s="326">
        <v>56</v>
      </c>
      <c r="I523" s="326">
        <v>28</v>
      </c>
      <c r="J523" s="326">
        <v>15</v>
      </c>
      <c r="K523" s="326">
        <v>14</v>
      </c>
      <c r="L523" s="326">
        <v>12</v>
      </c>
      <c r="M523" s="326">
        <v>8</v>
      </c>
      <c r="N523" s="326">
        <v>7</v>
      </c>
      <c r="O523" s="326">
        <v>6</v>
      </c>
      <c r="P523" s="326">
        <v>1</v>
      </c>
      <c r="Q523" s="326">
        <v>0</v>
      </c>
      <c r="R523" s="326">
        <v>16.600000000000001</v>
      </c>
      <c r="S523" s="9">
        <v>1.5246144253840504E-9</v>
      </c>
      <c r="T523" s="9">
        <f t="shared" si="8"/>
        <v>2.530859946137524E-8</v>
      </c>
      <c r="U523" s="325" t="s">
        <v>1124</v>
      </c>
    </row>
    <row r="524" spans="1:21" ht="12" customHeight="1">
      <c r="A524" s="329">
        <v>4</v>
      </c>
      <c r="B524" s="159" t="s">
        <v>316</v>
      </c>
      <c r="C524" s="68" t="s">
        <v>95</v>
      </c>
      <c r="D524" s="68" t="s">
        <v>308</v>
      </c>
      <c r="E524" s="330">
        <v>4</v>
      </c>
      <c r="F524" s="326">
        <v>928</v>
      </c>
      <c r="G524" s="326">
        <v>525</v>
      </c>
      <c r="H524" s="326">
        <v>103</v>
      </c>
      <c r="I524" s="326">
        <v>77</v>
      </c>
      <c r="J524" s="326">
        <v>59</v>
      </c>
      <c r="K524" s="326">
        <v>47</v>
      </c>
      <c r="L524" s="326">
        <v>35</v>
      </c>
      <c r="M524" s="326">
        <v>24</v>
      </c>
      <c r="N524" s="326">
        <v>20</v>
      </c>
      <c r="O524" s="326">
        <v>14</v>
      </c>
      <c r="P524" s="326">
        <v>1</v>
      </c>
      <c r="Q524" s="326">
        <v>0</v>
      </c>
      <c r="R524" s="326">
        <v>61.1</v>
      </c>
      <c r="S524" s="9">
        <v>1.5246144253840504E-9</v>
      </c>
      <c r="T524" s="9">
        <f t="shared" si="8"/>
        <v>9.3153941390965486E-8</v>
      </c>
      <c r="U524" s="325" t="s">
        <v>1125</v>
      </c>
    </row>
    <row r="525" spans="1:21" ht="12" customHeight="1">
      <c r="A525" s="329">
        <v>4</v>
      </c>
      <c r="B525" s="159" t="s">
        <v>316</v>
      </c>
      <c r="C525" s="68" t="s">
        <v>95</v>
      </c>
      <c r="D525" s="68" t="s">
        <v>308</v>
      </c>
      <c r="E525" s="330">
        <v>5</v>
      </c>
      <c r="F525" s="326">
        <v>936</v>
      </c>
      <c r="G525" s="326">
        <v>524</v>
      </c>
      <c r="H525" s="326">
        <v>85</v>
      </c>
      <c r="I525" s="326">
        <v>72</v>
      </c>
      <c r="J525" s="326">
        <v>47</v>
      </c>
      <c r="K525" s="326">
        <v>40</v>
      </c>
      <c r="L525" s="326">
        <v>37</v>
      </c>
      <c r="M525" s="326">
        <v>32</v>
      </c>
      <c r="N525" s="326">
        <v>24</v>
      </c>
      <c r="O525" s="326">
        <v>21</v>
      </c>
      <c r="P525" s="326">
        <v>12</v>
      </c>
      <c r="Q525" s="326">
        <v>0</v>
      </c>
      <c r="R525" s="326">
        <v>49.6</v>
      </c>
      <c r="S525" s="9">
        <v>1.5246144253840504E-9</v>
      </c>
      <c r="T525" s="9">
        <f t="shared" si="8"/>
        <v>7.5620875499048899E-8</v>
      </c>
      <c r="U525" s="325" t="s">
        <v>1126</v>
      </c>
    </row>
    <row r="526" spans="1:21" ht="12" customHeight="1">
      <c r="A526" s="329">
        <v>4</v>
      </c>
      <c r="B526" s="159" t="s">
        <v>316</v>
      </c>
      <c r="C526" s="68" t="s">
        <v>95</v>
      </c>
      <c r="D526" s="68" t="s">
        <v>310</v>
      </c>
      <c r="E526" s="330">
        <v>1</v>
      </c>
      <c r="F526" s="326">
        <v>860</v>
      </c>
      <c r="G526" s="326">
        <v>524</v>
      </c>
      <c r="H526" s="326">
        <v>114</v>
      </c>
      <c r="I526" s="326">
        <v>92</v>
      </c>
      <c r="J526" s="326">
        <v>75</v>
      </c>
      <c r="K526" s="326">
        <v>58</v>
      </c>
      <c r="L526" s="326">
        <v>47</v>
      </c>
      <c r="M526" s="326">
        <v>25</v>
      </c>
      <c r="N526" s="326">
        <v>14</v>
      </c>
      <c r="O526" s="326">
        <v>13</v>
      </c>
      <c r="P526" s="326">
        <v>9</v>
      </c>
      <c r="Q526" s="326">
        <v>7</v>
      </c>
      <c r="R526" s="326">
        <v>76.900000000000006</v>
      </c>
      <c r="S526" s="9">
        <v>1.5246007038405004E-9</v>
      </c>
      <c r="T526" s="9">
        <f t="shared" si="8"/>
        <v>1.1724179412533449E-7</v>
      </c>
      <c r="U526" s="325" t="s">
        <v>1152</v>
      </c>
    </row>
    <row r="527" spans="1:21" ht="12" customHeight="1">
      <c r="A527" s="329">
        <v>4</v>
      </c>
      <c r="B527" s="159" t="s">
        <v>316</v>
      </c>
      <c r="C527" s="68" t="s">
        <v>95</v>
      </c>
      <c r="D527" s="68" t="s">
        <v>310</v>
      </c>
      <c r="E527" s="330">
        <v>2</v>
      </c>
      <c r="F527" s="326">
        <v>862</v>
      </c>
      <c r="G527" s="326">
        <v>524</v>
      </c>
      <c r="H527" s="326">
        <v>130</v>
      </c>
      <c r="I527" s="326">
        <v>89</v>
      </c>
      <c r="J527" s="326">
        <v>57</v>
      </c>
      <c r="K527" s="326">
        <v>35</v>
      </c>
      <c r="L527" s="326">
        <v>28</v>
      </c>
      <c r="M527" s="326">
        <v>19</v>
      </c>
      <c r="N527" s="326">
        <v>10</v>
      </c>
      <c r="O527" s="326">
        <v>9</v>
      </c>
      <c r="P527" s="326">
        <v>9</v>
      </c>
      <c r="Q527" s="326">
        <v>5</v>
      </c>
      <c r="R527" s="326">
        <v>60.6</v>
      </c>
      <c r="S527" s="9">
        <v>1.5246007038405004E-9</v>
      </c>
      <c r="T527" s="9">
        <f t="shared" si="8"/>
        <v>9.2390802652734329E-8</v>
      </c>
      <c r="U527" s="325" t="s">
        <v>1153</v>
      </c>
    </row>
    <row r="528" spans="1:21" ht="12" customHeight="1">
      <c r="A528" s="329">
        <v>4</v>
      </c>
      <c r="B528" s="159" t="s">
        <v>316</v>
      </c>
      <c r="C528" s="68" t="s">
        <v>95</v>
      </c>
      <c r="D528" s="68" t="s">
        <v>310</v>
      </c>
      <c r="E528" s="330">
        <v>3</v>
      </c>
      <c r="F528" s="326">
        <v>868</v>
      </c>
      <c r="G528" s="326">
        <v>525</v>
      </c>
      <c r="H528" s="326">
        <v>104</v>
      </c>
      <c r="I528" s="326">
        <v>85</v>
      </c>
      <c r="J528" s="326">
        <v>60</v>
      </c>
      <c r="K528" s="326">
        <v>48</v>
      </c>
      <c r="L528" s="326">
        <v>30</v>
      </c>
      <c r="M528" s="326">
        <v>22</v>
      </c>
      <c r="N528" s="326">
        <v>14</v>
      </c>
      <c r="O528" s="326">
        <v>11</v>
      </c>
      <c r="P528" s="326">
        <v>8</v>
      </c>
      <c r="Q528" s="326">
        <v>7</v>
      </c>
      <c r="R528" s="326">
        <v>62.7</v>
      </c>
      <c r="S528" s="9">
        <v>1.5246007038405004E-9</v>
      </c>
      <c r="T528" s="9">
        <f t="shared" si="8"/>
        <v>9.5592464130799386E-8</v>
      </c>
      <c r="U528" s="325" t="s">
        <v>1154</v>
      </c>
    </row>
    <row r="529" spans="1:21" ht="12" customHeight="1">
      <c r="A529" s="329">
        <v>4</v>
      </c>
      <c r="B529" s="159" t="s">
        <v>316</v>
      </c>
      <c r="C529" s="68" t="s">
        <v>95</v>
      </c>
      <c r="D529" s="68" t="s">
        <v>310</v>
      </c>
      <c r="E529" s="330">
        <v>4</v>
      </c>
      <c r="F529" s="326">
        <v>870</v>
      </c>
      <c r="G529" s="326">
        <v>519</v>
      </c>
      <c r="H529" s="326">
        <v>137</v>
      </c>
      <c r="I529" s="326">
        <v>117</v>
      </c>
      <c r="J529" s="326">
        <v>106</v>
      </c>
      <c r="K529" s="326">
        <v>95</v>
      </c>
      <c r="L529" s="326">
        <v>84</v>
      </c>
      <c r="M529" s="326">
        <v>69</v>
      </c>
      <c r="N529" s="326">
        <v>57</v>
      </c>
      <c r="O529" s="326">
        <v>51</v>
      </c>
      <c r="P529" s="326">
        <v>46</v>
      </c>
      <c r="Q529" s="326">
        <v>40</v>
      </c>
      <c r="R529" s="326">
        <v>107.3</v>
      </c>
      <c r="S529" s="9">
        <v>1.5246007038405004E-9</v>
      </c>
      <c r="T529" s="9">
        <f t="shared" si="8"/>
        <v>1.6358965552208569E-7</v>
      </c>
      <c r="U529" s="325" t="s">
        <v>1155</v>
      </c>
    </row>
    <row r="530" spans="1:21" ht="12" customHeight="1">
      <c r="A530" s="329">
        <v>4</v>
      </c>
      <c r="B530" s="159" t="s">
        <v>316</v>
      </c>
      <c r="C530" s="68" t="s">
        <v>95</v>
      </c>
      <c r="D530" s="68" t="s">
        <v>310</v>
      </c>
      <c r="E530" s="330">
        <v>5</v>
      </c>
      <c r="F530" s="326">
        <v>874</v>
      </c>
      <c r="G530" s="326">
        <v>500</v>
      </c>
      <c r="H530" s="326">
        <v>118</v>
      </c>
      <c r="I530" s="326">
        <v>96</v>
      </c>
      <c r="J530" s="326">
        <v>73</v>
      </c>
      <c r="K530" s="326">
        <v>52</v>
      </c>
      <c r="L530" s="326">
        <v>28</v>
      </c>
      <c r="M530" s="326">
        <v>16</v>
      </c>
      <c r="N530" s="326">
        <v>8</v>
      </c>
      <c r="O530" s="326">
        <v>8</v>
      </c>
      <c r="P530" s="326">
        <v>4</v>
      </c>
      <c r="Q530" s="326">
        <v>3</v>
      </c>
      <c r="R530" s="326">
        <v>75.5</v>
      </c>
      <c r="S530" s="9">
        <v>1.5246007038405004E-9</v>
      </c>
      <c r="T530" s="9">
        <f t="shared" si="8"/>
        <v>1.1510735313995778E-7</v>
      </c>
      <c r="U530" s="325" t="s">
        <v>1156</v>
      </c>
    </row>
    <row r="531" spans="1:21" ht="12" customHeight="1">
      <c r="A531" s="329">
        <v>4</v>
      </c>
      <c r="B531" s="159" t="s">
        <v>316</v>
      </c>
      <c r="C531" s="68" t="s">
        <v>95</v>
      </c>
      <c r="D531" s="68" t="s">
        <v>309</v>
      </c>
      <c r="E531" s="330">
        <v>1</v>
      </c>
      <c r="F531" s="326">
        <v>776</v>
      </c>
      <c r="G531" s="326">
        <v>525</v>
      </c>
      <c r="H531" s="326">
        <v>115</v>
      </c>
      <c r="I531" s="326">
        <v>93</v>
      </c>
      <c r="J531" s="326">
        <v>82</v>
      </c>
      <c r="K531" s="326">
        <v>63</v>
      </c>
      <c r="L531" s="326">
        <v>54</v>
      </c>
      <c r="M531" s="326">
        <v>46</v>
      </c>
      <c r="N531" s="326">
        <v>37</v>
      </c>
      <c r="O531" s="326">
        <v>16</v>
      </c>
      <c r="P531" s="326">
        <v>3</v>
      </c>
      <c r="Q531" s="326">
        <v>0</v>
      </c>
      <c r="R531" s="326">
        <v>83.3</v>
      </c>
      <c r="S531" s="9">
        <v>1.5246144253840504E-9</v>
      </c>
      <c r="T531" s="9">
        <f t="shared" si="8"/>
        <v>1.2700038163449138E-7</v>
      </c>
      <c r="U531" s="325" t="s">
        <v>1182</v>
      </c>
    </row>
    <row r="532" spans="1:21" ht="12" customHeight="1">
      <c r="A532" s="329">
        <v>4</v>
      </c>
      <c r="B532" s="159" t="s">
        <v>316</v>
      </c>
      <c r="C532" s="68" t="s">
        <v>95</v>
      </c>
      <c r="D532" s="68" t="s">
        <v>309</v>
      </c>
      <c r="E532" s="330">
        <v>2</v>
      </c>
      <c r="F532" s="326">
        <v>810</v>
      </c>
      <c r="G532" s="326">
        <v>524</v>
      </c>
      <c r="H532" s="326">
        <v>108</v>
      </c>
      <c r="I532" s="326">
        <v>88</v>
      </c>
      <c r="J532" s="326">
        <v>67</v>
      </c>
      <c r="K532" s="326">
        <v>58</v>
      </c>
      <c r="L532" s="326">
        <v>51</v>
      </c>
      <c r="M532" s="326">
        <v>43</v>
      </c>
      <c r="N532" s="326">
        <v>38</v>
      </c>
      <c r="O532" s="326">
        <v>22</v>
      </c>
      <c r="P532" s="326">
        <v>4</v>
      </c>
      <c r="Q532" s="326">
        <v>0</v>
      </c>
      <c r="R532" s="326">
        <v>69.3</v>
      </c>
      <c r="S532" s="9">
        <v>1.5246144253840504E-9</v>
      </c>
      <c r="T532" s="9">
        <f t="shared" si="8"/>
        <v>1.0565577967911468E-7</v>
      </c>
      <c r="U532" s="325" t="s">
        <v>1183</v>
      </c>
    </row>
    <row r="533" spans="1:21" ht="12" customHeight="1">
      <c r="A533" s="329">
        <v>4</v>
      </c>
      <c r="B533" s="159" t="s">
        <v>316</v>
      </c>
      <c r="C533" s="68" t="s">
        <v>95</v>
      </c>
      <c r="D533" s="68" t="s">
        <v>309</v>
      </c>
      <c r="E533" s="330">
        <v>3</v>
      </c>
      <c r="F533" s="326">
        <v>870</v>
      </c>
      <c r="G533" s="326">
        <v>524</v>
      </c>
      <c r="H533" s="326">
        <v>107</v>
      </c>
      <c r="I533" s="326">
        <v>79</v>
      </c>
      <c r="J533" s="326">
        <v>63</v>
      </c>
      <c r="K533" s="326">
        <v>48</v>
      </c>
      <c r="L533" s="326">
        <v>40</v>
      </c>
      <c r="M533" s="326">
        <v>34</v>
      </c>
      <c r="N533" s="326">
        <v>28</v>
      </c>
      <c r="O533" s="326">
        <v>18</v>
      </c>
      <c r="P533" s="326">
        <v>2</v>
      </c>
      <c r="Q533" s="326">
        <v>0</v>
      </c>
      <c r="R533" s="326">
        <v>64.900000000000006</v>
      </c>
      <c r="S533" s="9">
        <v>1.5246144253840504E-9</v>
      </c>
      <c r="T533" s="9">
        <f t="shared" si="8"/>
        <v>9.8947476207424881E-8</v>
      </c>
      <c r="U533" s="325" t="s">
        <v>1184</v>
      </c>
    </row>
    <row r="534" spans="1:21" ht="12" customHeight="1">
      <c r="A534" s="329">
        <v>4</v>
      </c>
      <c r="B534" s="159" t="s">
        <v>316</v>
      </c>
      <c r="C534" s="68" t="s">
        <v>95</v>
      </c>
      <c r="D534" s="68" t="s">
        <v>309</v>
      </c>
      <c r="E534" s="330">
        <v>4</v>
      </c>
      <c r="F534" s="326">
        <v>818</v>
      </c>
      <c r="G534" s="326">
        <v>524</v>
      </c>
      <c r="H534" s="326">
        <v>126</v>
      </c>
      <c r="I534" s="326">
        <v>105</v>
      </c>
      <c r="J534" s="326">
        <v>88</v>
      </c>
      <c r="K534" s="326">
        <v>80</v>
      </c>
      <c r="L534" s="326">
        <v>72</v>
      </c>
      <c r="M534" s="326">
        <v>62</v>
      </c>
      <c r="N534" s="326">
        <v>36</v>
      </c>
      <c r="O534" s="326">
        <v>13</v>
      </c>
      <c r="P534" s="326">
        <v>1</v>
      </c>
      <c r="Q534" s="326">
        <v>0</v>
      </c>
      <c r="R534" s="326">
        <v>89.9</v>
      </c>
      <c r="S534" s="9">
        <v>1.5246144253840504E-9</v>
      </c>
      <c r="T534" s="9">
        <f t="shared" si="8"/>
        <v>1.3706283684202614E-7</v>
      </c>
      <c r="U534" s="325" t="s">
        <v>1185</v>
      </c>
    </row>
    <row r="535" spans="1:21" ht="12" customHeight="1">
      <c r="A535" s="329">
        <v>4</v>
      </c>
      <c r="B535" s="159" t="s">
        <v>316</v>
      </c>
      <c r="C535" s="68" t="s">
        <v>95</v>
      </c>
      <c r="D535" s="68" t="s">
        <v>309</v>
      </c>
      <c r="E535" s="330">
        <v>5</v>
      </c>
      <c r="F535" s="326">
        <v>826</v>
      </c>
      <c r="G535" s="326">
        <v>524</v>
      </c>
      <c r="H535" s="326">
        <v>88</v>
      </c>
      <c r="I535" s="326">
        <v>72</v>
      </c>
      <c r="J535" s="326">
        <v>61</v>
      </c>
      <c r="K535" s="326">
        <v>57</v>
      </c>
      <c r="L535" s="326">
        <v>39</v>
      </c>
      <c r="M535" s="326">
        <v>34</v>
      </c>
      <c r="N535" s="326">
        <v>19</v>
      </c>
      <c r="O535" s="326">
        <v>9</v>
      </c>
      <c r="P535" s="326">
        <v>2</v>
      </c>
      <c r="Q535" s="326">
        <v>0</v>
      </c>
      <c r="R535" s="326">
        <v>62.3</v>
      </c>
      <c r="S535" s="9">
        <v>1.5246144253840504E-9</v>
      </c>
      <c r="T535" s="9">
        <f t="shared" si="8"/>
        <v>9.498347870142634E-8</v>
      </c>
      <c r="U535" s="325" t="s">
        <v>1186</v>
      </c>
    </row>
    <row r="536" spans="1:21" ht="12" customHeight="1">
      <c r="A536" s="329">
        <v>4</v>
      </c>
      <c r="B536" s="159" t="s">
        <v>316</v>
      </c>
      <c r="C536" s="68" t="s">
        <v>95</v>
      </c>
      <c r="D536" s="68" t="s">
        <v>311</v>
      </c>
      <c r="E536" s="330">
        <v>1</v>
      </c>
      <c r="F536" s="326">
        <v>850</v>
      </c>
      <c r="G536" s="326">
        <v>524</v>
      </c>
      <c r="H536" s="326">
        <v>147</v>
      </c>
      <c r="I536" s="326">
        <v>123</v>
      </c>
      <c r="J536" s="326">
        <v>106</v>
      </c>
      <c r="K536" s="326">
        <v>88</v>
      </c>
      <c r="L536" s="326">
        <v>64</v>
      </c>
      <c r="M536" s="326">
        <v>57</v>
      </c>
      <c r="N536" s="326">
        <v>50</v>
      </c>
      <c r="O536" s="326">
        <v>38</v>
      </c>
      <c r="P536" s="326">
        <v>32</v>
      </c>
      <c r="Q536" s="326">
        <v>25</v>
      </c>
      <c r="R536" s="326">
        <v>107.9</v>
      </c>
      <c r="S536" s="9">
        <v>4.1164630650000014E-8</v>
      </c>
      <c r="T536" s="9">
        <f t="shared" si="8"/>
        <v>4.4416636471350019E-6</v>
      </c>
      <c r="U536" s="325" t="s">
        <v>1212</v>
      </c>
    </row>
    <row r="537" spans="1:21" ht="12" customHeight="1">
      <c r="A537" s="329">
        <v>4</v>
      </c>
      <c r="B537" s="159" t="s">
        <v>316</v>
      </c>
      <c r="C537" s="68" t="s">
        <v>95</v>
      </c>
      <c r="D537" s="68" t="s">
        <v>311</v>
      </c>
      <c r="E537" s="330">
        <v>2</v>
      </c>
      <c r="F537" s="326">
        <v>838</v>
      </c>
      <c r="G537" s="326">
        <v>524</v>
      </c>
      <c r="H537" s="326">
        <v>113</v>
      </c>
      <c r="I537" s="326">
        <v>72</v>
      </c>
      <c r="J537" s="326">
        <v>46</v>
      </c>
      <c r="K537" s="326">
        <v>23</v>
      </c>
      <c r="L537" s="326">
        <v>9</v>
      </c>
      <c r="M537" s="326">
        <v>7</v>
      </c>
      <c r="N537" s="326">
        <v>7</v>
      </c>
      <c r="O537" s="326">
        <v>5</v>
      </c>
      <c r="P537" s="326">
        <v>4</v>
      </c>
      <c r="Q537" s="326">
        <v>2</v>
      </c>
      <c r="R537" s="326">
        <v>49</v>
      </c>
      <c r="S537" s="9">
        <v>4.1164630650000014E-8</v>
      </c>
      <c r="T537" s="9">
        <f t="shared" si="8"/>
        <v>2.0170669018500008E-6</v>
      </c>
      <c r="U537" s="325" t="s">
        <v>1213</v>
      </c>
    </row>
    <row r="538" spans="1:21" ht="12" customHeight="1">
      <c r="A538" s="329">
        <v>4</v>
      </c>
      <c r="B538" s="159" t="s">
        <v>316</v>
      </c>
      <c r="C538" s="68" t="s">
        <v>95</v>
      </c>
      <c r="D538" s="68" t="s">
        <v>311</v>
      </c>
      <c r="E538" s="330">
        <v>3</v>
      </c>
      <c r="F538" s="326">
        <v>852</v>
      </c>
      <c r="G538" s="326">
        <v>524</v>
      </c>
      <c r="H538" s="326">
        <v>113</v>
      </c>
      <c r="I538" s="326">
        <v>78</v>
      </c>
      <c r="J538" s="326">
        <v>60</v>
      </c>
      <c r="K538" s="326">
        <v>46</v>
      </c>
      <c r="L538" s="326">
        <v>37</v>
      </c>
      <c r="M538" s="326">
        <v>27</v>
      </c>
      <c r="N538" s="326">
        <v>23</v>
      </c>
      <c r="O538" s="326">
        <v>16</v>
      </c>
      <c r="P538" s="326">
        <v>11</v>
      </c>
      <c r="Q538" s="326">
        <v>7</v>
      </c>
      <c r="R538" s="326">
        <v>62.2</v>
      </c>
      <c r="S538" s="9">
        <v>4.1164630650000014E-8</v>
      </c>
      <c r="T538" s="9">
        <f t="shared" si="8"/>
        <v>2.5604400264300012E-6</v>
      </c>
      <c r="U538" s="325" t="s">
        <v>1214</v>
      </c>
    </row>
    <row r="539" spans="1:21" ht="12" customHeight="1">
      <c r="A539" s="329">
        <v>4</v>
      </c>
      <c r="B539" s="159" t="s">
        <v>316</v>
      </c>
      <c r="C539" s="68" t="s">
        <v>95</v>
      </c>
      <c r="D539" s="68" t="s">
        <v>311</v>
      </c>
      <c r="E539" s="330">
        <v>4</v>
      </c>
      <c r="F539" s="326">
        <v>836</v>
      </c>
      <c r="G539" s="326">
        <v>525</v>
      </c>
      <c r="H539" s="326">
        <v>129</v>
      </c>
      <c r="I539" s="326">
        <v>93</v>
      </c>
      <c r="J539" s="326">
        <v>81</v>
      </c>
      <c r="K539" s="326">
        <v>69</v>
      </c>
      <c r="L539" s="326">
        <v>54</v>
      </c>
      <c r="M539" s="326">
        <v>38</v>
      </c>
      <c r="N539" s="326">
        <v>26</v>
      </c>
      <c r="O539" s="326">
        <v>16</v>
      </c>
      <c r="P539" s="326">
        <v>9</v>
      </c>
      <c r="Q539" s="326">
        <v>7</v>
      </c>
      <c r="R539" s="326">
        <v>82.6</v>
      </c>
      <c r="S539" s="9">
        <v>4.1164630650000014E-8</v>
      </c>
      <c r="T539" s="9">
        <f t="shared" si="8"/>
        <v>3.4001984916900009E-6</v>
      </c>
      <c r="U539" s="325" t="s">
        <v>1215</v>
      </c>
    </row>
    <row r="540" spans="1:21" ht="12" customHeight="1">
      <c r="A540" s="329">
        <v>4</v>
      </c>
      <c r="B540" s="159" t="s">
        <v>316</v>
      </c>
      <c r="C540" s="68" t="s">
        <v>95</v>
      </c>
      <c r="D540" s="68" t="s">
        <v>311</v>
      </c>
      <c r="E540" s="330">
        <v>5</v>
      </c>
      <c r="F540" s="326">
        <v>848</v>
      </c>
      <c r="G540" s="326">
        <v>524</v>
      </c>
      <c r="H540" s="326">
        <v>124</v>
      </c>
      <c r="I540" s="326">
        <v>92</v>
      </c>
      <c r="J540" s="326">
        <v>74</v>
      </c>
      <c r="K540" s="326">
        <v>61</v>
      </c>
      <c r="L540" s="326">
        <v>53</v>
      </c>
      <c r="M540" s="326">
        <v>42</v>
      </c>
      <c r="N540" s="326">
        <v>33</v>
      </c>
      <c r="O540" s="326">
        <v>31</v>
      </c>
      <c r="P540" s="326">
        <v>28</v>
      </c>
      <c r="Q540" s="326">
        <v>22</v>
      </c>
      <c r="R540" s="326">
        <v>76.099999999999994</v>
      </c>
      <c r="S540" s="9">
        <v>4.1164630650000014E-8</v>
      </c>
      <c r="T540" s="9">
        <f t="shared" si="8"/>
        <v>3.1326283924650007E-6</v>
      </c>
      <c r="U540" s="325" t="s">
        <v>1216</v>
      </c>
    </row>
    <row r="541" spans="1:21" ht="12" customHeight="1">
      <c r="A541" s="329">
        <v>4</v>
      </c>
      <c r="B541" s="159" t="s">
        <v>316</v>
      </c>
      <c r="C541" s="68" t="s">
        <v>95</v>
      </c>
      <c r="D541" s="68" t="s">
        <v>307</v>
      </c>
      <c r="E541" s="330">
        <v>1</v>
      </c>
      <c r="F541" s="326">
        <v>766</v>
      </c>
      <c r="G541" s="326">
        <v>525</v>
      </c>
      <c r="H541" s="326">
        <v>150</v>
      </c>
      <c r="I541" s="326">
        <v>137</v>
      </c>
      <c r="J541" s="326">
        <v>96</v>
      </c>
      <c r="K541" s="326">
        <v>84</v>
      </c>
      <c r="L541" s="326">
        <v>73</v>
      </c>
      <c r="M541" s="326">
        <v>26</v>
      </c>
      <c r="N541" s="326">
        <v>19</v>
      </c>
      <c r="O541" s="326">
        <v>0</v>
      </c>
      <c r="P541" s="326">
        <v>0</v>
      </c>
      <c r="Q541" s="326">
        <v>0</v>
      </c>
      <c r="R541" s="326">
        <v>100.2</v>
      </c>
      <c r="S541" s="9">
        <v>0</v>
      </c>
      <c r="T541" s="9">
        <f t="shared" si="8"/>
        <v>0</v>
      </c>
      <c r="U541" s="325" t="s">
        <v>1242</v>
      </c>
    </row>
    <row r="542" spans="1:21" ht="12" customHeight="1">
      <c r="A542" s="329">
        <v>4</v>
      </c>
      <c r="B542" s="159" t="s">
        <v>316</v>
      </c>
      <c r="C542" s="68" t="s">
        <v>95</v>
      </c>
      <c r="D542" s="68" t="s">
        <v>307</v>
      </c>
      <c r="E542" s="330">
        <v>2</v>
      </c>
      <c r="F542" s="326">
        <v>776</v>
      </c>
      <c r="G542" s="326">
        <v>526</v>
      </c>
      <c r="H542" s="326">
        <v>103</v>
      </c>
      <c r="I542" s="326">
        <v>82</v>
      </c>
      <c r="J542" s="326">
        <v>75</v>
      </c>
      <c r="K542" s="326">
        <v>62</v>
      </c>
      <c r="L542" s="326">
        <v>41</v>
      </c>
      <c r="M542" s="326">
        <v>26</v>
      </c>
      <c r="N542" s="326">
        <v>19</v>
      </c>
      <c r="O542" s="326">
        <v>0</v>
      </c>
      <c r="P542" s="326">
        <v>0</v>
      </c>
      <c r="Q542" s="326">
        <v>0</v>
      </c>
      <c r="R542" s="326">
        <v>75.900000000000006</v>
      </c>
      <c r="S542" s="9">
        <v>0</v>
      </c>
      <c r="T542" s="9">
        <f t="shared" si="8"/>
        <v>0</v>
      </c>
      <c r="U542" s="325" t="s">
        <v>1243</v>
      </c>
    </row>
    <row r="543" spans="1:21" ht="12" customHeight="1">
      <c r="A543" s="329">
        <v>4</v>
      </c>
      <c r="B543" s="159" t="s">
        <v>316</v>
      </c>
      <c r="C543" s="68" t="s">
        <v>95</v>
      </c>
      <c r="D543" s="68" t="s">
        <v>307</v>
      </c>
      <c r="E543" s="330">
        <v>3</v>
      </c>
      <c r="F543" s="326">
        <v>770</v>
      </c>
      <c r="G543" s="326">
        <v>525</v>
      </c>
      <c r="H543" s="326">
        <v>155</v>
      </c>
      <c r="I543" s="326">
        <v>114</v>
      </c>
      <c r="J543" s="326">
        <v>90</v>
      </c>
      <c r="K543" s="326">
        <v>48</v>
      </c>
      <c r="L543" s="326">
        <v>32</v>
      </c>
      <c r="M543" s="326">
        <v>18</v>
      </c>
      <c r="N543" s="326">
        <v>10</v>
      </c>
      <c r="O543" s="326">
        <v>0</v>
      </c>
      <c r="P543" s="326">
        <v>0</v>
      </c>
      <c r="Q543" s="326">
        <v>0</v>
      </c>
      <c r="R543" s="326">
        <v>92.8</v>
      </c>
      <c r="S543" s="9">
        <v>0</v>
      </c>
      <c r="T543" s="9">
        <f t="shared" si="8"/>
        <v>0</v>
      </c>
      <c r="U543" s="325" t="s">
        <v>1244</v>
      </c>
    </row>
    <row r="544" spans="1:21" ht="12" customHeight="1">
      <c r="A544" s="329">
        <v>4</v>
      </c>
      <c r="B544" s="159" t="s">
        <v>316</v>
      </c>
      <c r="C544" s="68" t="s">
        <v>95</v>
      </c>
      <c r="D544" s="68" t="s">
        <v>307</v>
      </c>
      <c r="E544" s="330">
        <v>4</v>
      </c>
      <c r="F544" s="326">
        <v>774</v>
      </c>
      <c r="G544" s="326">
        <v>524</v>
      </c>
      <c r="H544" s="326">
        <v>117</v>
      </c>
      <c r="I544" s="326">
        <v>98</v>
      </c>
      <c r="J544" s="326">
        <v>79</v>
      </c>
      <c r="K544" s="326">
        <v>58</v>
      </c>
      <c r="L544" s="326">
        <v>42</v>
      </c>
      <c r="M544" s="326">
        <v>21</v>
      </c>
      <c r="N544" s="326">
        <v>10</v>
      </c>
      <c r="O544" s="326">
        <v>0</v>
      </c>
      <c r="P544" s="326">
        <v>0</v>
      </c>
      <c r="Q544" s="326">
        <v>0</v>
      </c>
      <c r="R544" s="326">
        <v>81.099999999999994</v>
      </c>
      <c r="S544" s="9">
        <v>0</v>
      </c>
      <c r="T544" s="9">
        <f t="shared" si="8"/>
        <v>0</v>
      </c>
      <c r="U544" s="325" t="s">
        <v>1245</v>
      </c>
    </row>
    <row r="545" spans="1:21" ht="12" customHeight="1">
      <c r="A545" s="329">
        <v>4</v>
      </c>
      <c r="B545" s="159" t="s">
        <v>316</v>
      </c>
      <c r="C545" s="68" t="s">
        <v>95</v>
      </c>
      <c r="D545" s="68" t="s">
        <v>307</v>
      </c>
      <c r="E545" s="330">
        <v>5</v>
      </c>
      <c r="F545" s="326">
        <v>778</v>
      </c>
      <c r="G545" s="326">
        <v>524</v>
      </c>
      <c r="H545" s="326">
        <v>110</v>
      </c>
      <c r="I545" s="326">
        <v>90</v>
      </c>
      <c r="J545" s="326">
        <v>83</v>
      </c>
      <c r="K545" s="326">
        <v>53</v>
      </c>
      <c r="L545" s="326">
        <v>32</v>
      </c>
      <c r="M545" s="326">
        <v>19</v>
      </c>
      <c r="N545" s="326">
        <v>12</v>
      </c>
      <c r="O545" s="326">
        <v>0</v>
      </c>
      <c r="P545" s="326">
        <v>0</v>
      </c>
      <c r="Q545" s="326">
        <v>0</v>
      </c>
      <c r="R545" s="326">
        <v>83.9</v>
      </c>
      <c r="S545" s="9">
        <v>0</v>
      </c>
      <c r="T545" s="9">
        <f t="shared" si="8"/>
        <v>0</v>
      </c>
      <c r="U545" s="325" t="s">
        <v>1246</v>
      </c>
    </row>
    <row r="546" spans="1:21" ht="12" customHeight="1">
      <c r="A546" s="327">
        <v>5</v>
      </c>
      <c r="B546" s="159" t="s">
        <v>312</v>
      </c>
      <c r="C546" s="68" t="s">
        <v>96</v>
      </c>
      <c r="D546" s="68" t="s">
        <v>308</v>
      </c>
      <c r="E546" s="321">
        <v>1</v>
      </c>
      <c r="F546" s="322">
        <v>1090</v>
      </c>
      <c r="G546" s="322">
        <v>387</v>
      </c>
      <c r="H546" s="322">
        <v>5</v>
      </c>
      <c r="I546" s="322">
        <v>0</v>
      </c>
      <c r="J546" s="322">
        <v>0</v>
      </c>
      <c r="K546" s="322">
        <v>0</v>
      </c>
      <c r="L546" s="322">
        <v>0</v>
      </c>
      <c r="M546" s="322">
        <v>0</v>
      </c>
      <c r="N546" s="322">
        <v>0</v>
      </c>
      <c r="O546" s="322">
        <v>0</v>
      </c>
      <c r="P546" s="322">
        <v>0</v>
      </c>
      <c r="Q546" s="322">
        <v>0</v>
      </c>
      <c r="R546" s="322">
        <v>0.1</v>
      </c>
      <c r="S546" s="9">
        <v>2.225365578577196E-5</v>
      </c>
      <c r="T546" s="9">
        <f t="shared" si="8"/>
        <v>2.225365578577196E-6</v>
      </c>
      <c r="U546" s="321" t="s">
        <v>737</v>
      </c>
    </row>
    <row r="547" spans="1:21" ht="12" customHeight="1">
      <c r="A547" s="327">
        <v>5</v>
      </c>
      <c r="B547" s="159" t="s">
        <v>312</v>
      </c>
      <c r="C547" s="68" t="s">
        <v>96</v>
      </c>
      <c r="D547" s="68" t="s">
        <v>308</v>
      </c>
      <c r="E547" s="321">
        <v>2</v>
      </c>
      <c r="F547" s="322">
        <v>1110</v>
      </c>
      <c r="G547" s="322">
        <v>389</v>
      </c>
      <c r="H547" s="322">
        <v>3</v>
      </c>
      <c r="I547" s="322">
        <v>0</v>
      </c>
      <c r="J547" s="322">
        <v>0</v>
      </c>
      <c r="K547" s="322">
        <v>0</v>
      </c>
      <c r="L547" s="322">
        <v>0</v>
      </c>
      <c r="M547" s="322">
        <v>0</v>
      </c>
      <c r="N547" s="322">
        <v>0</v>
      </c>
      <c r="O547" s="322">
        <v>0</v>
      </c>
      <c r="P547" s="322">
        <v>0</v>
      </c>
      <c r="Q547" s="322">
        <v>0</v>
      </c>
      <c r="R547" s="322">
        <v>0</v>
      </c>
      <c r="S547" s="9">
        <v>2.225365578577196E-5</v>
      </c>
      <c r="T547" s="9">
        <f t="shared" si="8"/>
        <v>0</v>
      </c>
      <c r="U547" s="321" t="s">
        <v>738</v>
      </c>
    </row>
    <row r="548" spans="1:21" ht="12" customHeight="1">
      <c r="A548" s="327">
        <v>5</v>
      </c>
      <c r="B548" s="159" t="s">
        <v>312</v>
      </c>
      <c r="C548" s="68" t="s">
        <v>96</v>
      </c>
      <c r="D548" s="68" t="s">
        <v>308</v>
      </c>
      <c r="E548" s="321">
        <v>3</v>
      </c>
      <c r="F548" s="322">
        <v>1194</v>
      </c>
      <c r="G548" s="322">
        <v>391</v>
      </c>
      <c r="H548" s="322">
        <v>12</v>
      </c>
      <c r="I548" s="322">
        <v>0</v>
      </c>
      <c r="J548" s="322">
        <v>0</v>
      </c>
      <c r="K548" s="322">
        <v>0</v>
      </c>
      <c r="L548" s="322">
        <v>0</v>
      </c>
      <c r="M548" s="322">
        <v>0</v>
      </c>
      <c r="N548" s="322">
        <v>0</v>
      </c>
      <c r="O548" s="322">
        <v>0</v>
      </c>
      <c r="P548" s="322">
        <v>0</v>
      </c>
      <c r="Q548" s="322">
        <v>0</v>
      </c>
      <c r="R548" s="322">
        <v>0.1</v>
      </c>
      <c r="S548" s="9">
        <v>2.225365578577196E-5</v>
      </c>
      <c r="T548" s="9">
        <f t="shared" si="8"/>
        <v>2.225365578577196E-6</v>
      </c>
      <c r="U548" s="321" t="s">
        <v>739</v>
      </c>
    </row>
    <row r="549" spans="1:21" ht="12" customHeight="1">
      <c r="A549" s="327">
        <v>5</v>
      </c>
      <c r="B549" s="159" t="s">
        <v>312</v>
      </c>
      <c r="C549" s="68" t="s">
        <v>96</v>
      </c>
      <c r="D549" s="68" t="s">
        <v>308</v>
      </c>
      <c r="E549" s="321">
        <v>4</v>
      </c>
      <c r="F549" s="322">
        <v>1106</v>
      </c>
      <c r="G549" s="322">
        <v>388</v>
      </c>
      <c r="H549" s="322">
        <v>7</v>
      </c>
      <c r="I549" s="322">
        <v>0</v>
      </c>
      <c r="J549" s="322">
        <v>0</v>
      </c>
      <c r="K549" s="322">
        <v>0</v>
      </c>
      <c r="L549" s="322">
        <v>0</v>
      </c>
      <c r="M549" s="322">
        <v>0</v>
      </c>
      <c r="N549" s="322">
        <v>0</v>
      </c>
      <c r="O549" s="322">
        <v>0</v>
      </c>
      <c r="P549" s="322">
        <v>0</v>
      </c>
      <c r="Q549" s="322">
        <v>0</v>
      </c>
      <c r="R549" s="322">
        <v>0.1</v>
      </c>
      <c r="S549" s="9">
        <v>2.225365578577196E-5</v>
      </c>
      <c r="T549" s="9">
        <f t="shared" si="8"/>
        <v>2.225365578577196E-6</v>
      </c>
      <c r="U549" s="321" t="s">
        <v>740</v>
      </c>
    </row>
    <row r="550" spans="1:21" ht="12" customHeight="1">
      <c r="A550" s="327">
        <v>5</v>
      </c>
      <c r="B550" s="159" t="s">
        <v>312</v>
      </c>
      <c r="C550" s="68" t="s">
        <v>96</v>
      </c>
      <c r="D550" s="68" t="s">
        <v>308</v>
      </c>
      <c r="E550" s="321">
        <v>5</v>
      </c>
      <c r="F550" s="322">
        <v>1148</v>
      </c>
      <c r="G550" s="322">
        <v>387</v>
      </c>
      <c r="H550" s="322">
        <v>7</v>
      </c>
      <c r="I550" s="322">
        <v>0</v>
      </c>
      <c r="J550" s="322">
        <v>0</v>
      </c>
      <c r="K550" s="322">
        <v>0</v>
      </c>
      <c r="L550" s="322">
        <v>0</v>
      </c>
      <c r="M550" s="322">
        <v>0</v>
      </c>
      <c r="N550" s="322">
        <v>0</v>
      </c>
      <c r="O550" s="322">
        <v>0</v>
      </c>
      <c r="P550" s="322">
        <v>0</v>
      </c>
      <c r="Q550" s="322">
        <v>0</v>
      </c>
      <c r="R550" s="322">
        <v>0.1</v>
      </c>
      <c r="S550" s="9">
        <v>2.225365578577196E-5</v>
      </c>
      <c r="T550" s="9">
        <f t="shared" si="8"/>
        <v>2.225365578577196E-6</v>
      </c>
      <c r="U550" s="321" t="s">
        <v>741</v>
      </c>
    </row>
    <row r="551" spans="1:21" ht="12" customHeight="1">
      <c r="A551" s="327">
        <v>5</v>
      </c>
      <c r="B551" s="159" t="s">
        <v>312</v>
      </c>
      <c r="C551" s="68" t="s">
        <v>96</v>
      </c>
      <c r="D551" s="68" t="s">
        <v>310</v>
      </c>
      <c r="E551" s="321">
        <v>1</v>
      </c>
      <c r="F551" s="322">
        <v>1334</v>
      </c>
      <c r="G551" s="322">
        <v>389</v>
      </c>
      <c r="H551" s="322">
        <v>28</v>
      </c>
      <c r="I551" s="322">
        <v>15</v>
      </c>
      <c r="J551" s="322">
        <v>6</v>
      </c>
      <c r="K551" s="322">
        <v>1</v>
      </c>
      <c r="L551" s="322">
        <v>0</v>
      </c>
      <c r="M551" s="322">
        <v>0</v>
      </c>
      <c r="N551" s="322">
        <v>0</v>
      </c>
      <c r="O551" s="322">
        <v>0</v>
      </c>
      <c r="P551" s="322">
        <v>0</v>
      </c>
      <c r="Q551" s="322">
        <v>0</v>
      </c>
      <c r="R551" s="322">
        <v>7</v>
      </c>
      <c r="S551" s="9">
        <v>2.2253455502669612E-5</v>
      </c>
      <c r="T551" s="9">
        <f t="shared" si="8"/>
        <v>1.5577418851868728E-4</v>
      </c>
      <c r="U551" s="321" t="s">
        <v>767</v>
      </c>
    </row>
    <row r="552" spans="1:21" ht="12" customHeight="1">
      <c r="A552" s="327">
        <v>5</v>
      </c>
      <c r="B552" s="159" t="s">
        <v>312</v>
      </c>
      <c r="C552" s="68" t="s">
        <v>96</v>
      </c>
      <c r="D552" s="68" t="s">
        <v>310</v>
      </c>
      <c r="E552" s="321">
        <v>2</v>
      </c>
      <c r="F552" s="322">
        <v>1232</v>
      </c>
      <c r="G552" s="322">
        <v>389</v>
      </c>
      <c r="H552" s="322">
        <v>15</v>
      </c>
      <c r="I552" s="322">
        <v>9</v>
      </c>
      <c r="J552" s="322">
        <v>5</v>
      </c>
      <c r="K552" s="322">
        <v>0</v>
      </c>
      <c r="L552" s="322">
        <v>0</v>
      </c>
      <c r="M552" s="322">
        <v>0</v>
      </c>
      <c r="N552" s="322">
        <v>0</v>
      </c>
      <c r="O552" s="322">
        <v>0</v>
      </c>
      <c r="P552" s="322">
        <v>0</v>
      </c>
      <c r="Q552" s="322">
        <v>0</v>
      </c>
      <c r="R552" s="322">
        <v>5.5</v>
      </c>
      <c r="S552" s="9">
        <v>2.2253455502669612E-5</v>
      </c>
      <c r="T552" s="9">
        <f t="shared" si="8"/>
        <v>1.2239400526468288E-4</v>
      </c>
      <c r="U552" s="321" t="s">
        <v>768</v>
      </c>
    </row>
    <row r="553" spans="1:21" ht="12" customHeight="1">
      <c r="A553" s="327">
        <v>5</v>
      </c>
      <c r="B553" s="159" t="s">
        <v>312</v>
      </c>
      <c r="C553" s="68" t="s">
        <v>96</v>
      </c>
      <c r="D553" s="68" t="s">
        <v>310</v>
      </c>
      <c r="E553" s="321">
        <v>3</v>
      </c>
      <c r="F553" s="322">
        <v>1074</v>
      </c>
      <c r="G553" s="322">
        <v>388</v>
      </c>
      <c r="H553" s="322">
        <v>18</v>
      </c>
      <c r="I553" s="322">
        <v>4</v>
      </c>
      <c r="J553" s="322">
        <v>0</v>
      </c>
      <c r="K553" s="322">
        <v>0</v>
      </c>
      <c r="L553" s="322">
        <v>0</v>
      </c>
      <c r="M553" s="322">
        <v>0</v>
      </c>
      <c r="N553" s="322">
        <v>0</v>
      </c>
      <c r="O553" s="322">
        <v>0</v>
      </c>
      <c r="P553" s="322">
        <v>0</v>
      </c>
      <c r="Q553" s="322">
        <v>0</v>
      </c>
      <c r="R553" s="322">
        <v>0.5</v>
      </c>
      <c r="S553" s="9">
        <v>2.2253455502669612E-5</v>
      </c>
      <c r="T553" s="9">
        <f t="shared" si="8"/>
        <v>1.1126727751334806E-5</v>
      </c>
      <c r="U553" s="321" t="s">
        <v>769</v>
      </c>
    </row>
    <row r="554" spans="1:21" ht="12" customHeight="1">
      <c r="A554" s="327">
        <v>5</v>
      </c>
      <c r="B554" s="159" t="s">
        <v>312</v>
      </c>
      <c r="C554" s="68" t="s">
        <v>96</v>
      </c>
      <c r="D554" s="68" t="s">
        <v>310</v>
      </c>
      <c r="E554" s="321">
        <v>4</v>
      </c>
      <c r="F554" s="322">
        <v>1218</v>
      </c>
      <c r="G554" s="322">
        <v>388</v>
      </c>
      <c r="H554" s="322">
        <v>15</v>
      </c>
      <c r="I554" s="322">
        <v>7</v>
      </c>
      <c r="J554" s="322">
        <v>1</v>
      </c>
      <c r="K554" s="322">
        <v>0</v>
      </c>
      <c r="L554" s="322">
        <v>0</v>
      </c>
      <c r="M554" s="322">
        <v>0</v>
      </c>
      <c r="N554" s="322">
        <v>0</v>
      </c>
      <c r="O554" s="322">
        <v>0</v>
      </c>
      <c r="P554" s="322">
        <v>0</v>
      </c>
      <c r="Q554" s="322">
        <v>0</v>
      </c>
      <c r="R554" s="322">
        <v>1.7</v>
      </c>
      <c r="S554" s="9">
        <v>2.2253455502669612E-5</v>
      </c>
      <c r="T554" s="9">
        <f t="shared" si="8"/>
        <v>3.7830874354538338E-5</v>
      </c>
      <c r="U554" s="321" t="s">
        <v>770</v>
      </c>
    </row>
    <row r="555" spans="1:21" ht="12" customHeight="1">
      <c r="A555" s="327">
        <v>5</v>
      </c>
      <c r="B555" s="159" t="s">
        <v>312</v>
      </c>
      <c r="C555" s="68" t="s">
        <v>96</v>
      </c>
      <c r="D555" s="68" t="s">
        <v>310</v>
      </c>
      <c r="E555" s="321">
        <v>5</v>
      </c>
      <c r="F555" s="322">
        <v>1272</v>
      </c>
      <c r="G555" s="322">
        <v>391</v>
      </c>
      <c r="H555" s="322">
        <v>9</v>
      </c>
      <c r="I555" s="322">
        <v>4</v>
      </c>
      <c r="J555" s="322">
        <v>4</v>
      </c>
      <c r="K555" s="322">
        <v>0</v>
      </c>
      <c r="L555" s="322">
        <v>0</v>
      </c>
      <c r="M555" s="322">
        <v>0</v>
      </c>
      <c r="N555" s="322">
        <v>0</v>
      </c>
      <c r="O555" s="322">
        <v>0</v>
      </c>
      <c r="P555" s="322">
        <v>0</v>
      </c>
      <c r="Q555" s="322">
        <v>0</v>
      </c>
      <c r="R555" s="322">
        <v>4.0999999999999996</v>
      </c>
      <c r="S555" s="9">
        <v>2.2253455502669612E-5</v>
      </c>
      <c r="T555" s="9">
        <f t="shared" si="8"/>
        <v>9.1239167560945396E-5</v>
      </c>
      <c r="U555" s="321" t="s">
        <v>771</v>
      </c>
    </row>
    <row r="556" spans="1:21" ht="12" customHeight="1">
      <c r="A556" s="327">
        <v>5</v>
      </c>
      <c r="B556" s="159" t="s">
        <v>312</v>
      </c>
      <c r="C556" s="68" t="s">
        <v>96</v>
      </c>
      <c r="D556" s="68" t="s">
        <v>309</v>
      </c>
      <c r="E556" s="321">
        <v>1</v>
      </c>
      <c r="F556" s="322">
        <v>802</v>
      </c>
      <c r="G556" s="322">
        <v>390</v>
      </c>
      <c r="H556" s="322">
        <v>0</v>
      </c>
      <c r="I556" s="322">
        <v>0</v>
      </c>
      <c r="J556" s="322">
        <v>0</v>
      </c>
      <c r="K556" s="322">
        <v>0</v>
      </c>
      <c r="L556" s="322">
        <v>0</v>
      </c>
      <c r="M556" s="322">
        <v>0</v>
      </c>
      <c r="N556" s="322">
        <v>0</v>
      </c>
      <c r="O556" s="322">
        <v>0</v>
      </c>
      <c r="P556" s="322">
        <v>0</v>
      </c>
      <c r="Q556" s="322">
        <v>0</v>
      </c>
      <c r="R556" s="322">
        <v>0</v>
      </c>
      <c r="S556" s="9">
        <v>2.225365578577196E-5</v>
      </c>
      <c r="T556" s="9">
        <f t="shared" si="8"/>
        <v>0</v>
      </c>
      <c r="U556" s="321" t="s">
        <v>797</v>
      </c>
    </row>
    <row r="557" spans="1:21" ht="12" customHeight="1">
      <c r="A557" s="327">
        <v>5</v>
      </c>
      <c r="B557" s="159" t="s">
        <v>312</v>
      </c>
      <c r="C557" s="68" t="s">
        <v>96</v>
      </c>
      <c r="D557" s="68" t="s">
        <v>309</v>
      </c>
      <c r="E557" s="321">
        <v>2</v>
      </c>
      <c r="F557" s="322">
        <v>730</v>
      </c>
      <c r="G557" s="322">
        <v>388</v>
      </c>
      <c r="H557" s="322">
        <v>0</v>
      </c>
      <c r="I557" s="322">
        <v>0</v>
      </c>
      <c r="J557" s="322">
        <v>0</v>
      </c>
      <c r="K557" s="322">
        <v>0</v>
      </c>
      <c r="L557" s="322">
        <v>0</v>
      </c>
      <c r="M557" s="322">
        <v>0</v>
      </c>
      <c r="N557" s="322">
        <v>0</v>
      </c>
      <c r="O557" s="322">
        <v>0</v>
      </c>
      <c r="P557" s="322">
        <v>0</v>
      </c>
      <c r="Q557" s="322">
        <v>0</v>
      </c>
      <c r="R557" s="322">
        <v>0</v>
      </c>
      <c r="S557" s="9">
        <v>2.225365578577196E-5</v>
      </c>
      <c r="T557" s="9">
        <f t="shared" si="8"/>
        <v>0</v>
      </c>
      <c r="U557" s="321" t="s">
        <v>798</v>
      </c>
    </row>
    <row r="558" spans="1:21" ht="12" customHeight="1">
      <c r="A558" s="327">
        <v>5</v>
      </c>
      <c r="B558" s="159" t="s">
        <v>312</v>
      </c>
      <c r="C558" s="68" t="s">
        <v>96</v>
      </c>
      <c r="D558" s="68" t="s">
        <v>309</v>
      </c>
      <c r="E558" s="321">
        <v>3</v>
      </c>
      <c r="F558" s="322">
        <v>756</v>
      </c>
      <c r="G558" s="322">
        <v>387</v>
      </c>
      <c r="H558" s="322">
        <v>0</v>
      </c>
      <c r="I558" s="322">
        <v>0</v>
      </c>
      <c r="J558" s="322">
        <v>0</v>
      </c>
      <c r="K558" s="322">
        <v>0</v>
      </c>
      <c r="L558" s="322">
        <v>0</v>
      </c>
      <c r="M558" s="322">
        <v>0</v>
      </c>
      <c r="N558" s="322">
        <v>0</v>
      </c>
      <c r="O558" s="322">
        <v>0</v>
      </c>
      <c r="P558" s="322">
        <v>0</v>
      </c>
      <c r="Q558" s="322">
        <v>0</v>
      </c>
      <c r="R558" s="322">
        <v>0</v>
      </c>
      <c r="S558" s="9">
        <v>2.225365578577196E-5</v>
      </c>
      <c r="T558" s="9">
        <f t="shared" si="8"/>
        <v>0</v>
      </c>
      <c r="U558" s="321" t="s">
        <v>799</v>
      </c>
    </row>
    <row r="559" spans="1:21" ht="12" customHeight="1">
      <c r="A559" s="327">
        <v>5</v>
      </c>
      <c r="B559" s="159" t="s">
        <v>312</v>
      </c>
      <c r="C559" s="68" t="s">
        <v>96</v>
      </c>
      <c r="D559" s="68" t="s">
        <v>309</v>
      </c>
      <c r="E559" s="321">
        <v>4</v>
      </c>
      <c r="F559" s="322">
        <v>760</v>
      </c>
      <c r="G559" s="322">
        <v>387</v>
      </c>
      <c r="H559" s="322">
        <v>0</v>
      </c>
      <c r="I559" s="322">
        <v>0</v>
      </c>
      <c r="J559" s="322">
        <v>0</v>
      </c>
      <c r="K559" s="322">
        <v>0</v>
      </c>
      <c r="L559" s="322">
        <v>0</v>
      </c>
      <c r="M559" s="322">
        <v>0</v>
      </c>
      <c r="N559" s="322">
        <v>0</v>
      </c>
      <c r="O559" s="322">
        <v>0</v>
      </c>
      <c r="P559" s="322">
        <v>0</v>
      </c>
      <c r="Q559" s="322">
        <v>0</v>
      </c>
      <c r="R559" s="322">
        <v>0</v>
      </c>
      <c r="S559" s="9">
        <v>2.225365578577196E-5</v>
      </c>
      <c r="T559" s="9">
        <f t="shared" si="8"/>
        <v>0</v>
      </c>
      <c r="U559" s="321" t="s">
        <v>800</v>
      </c>
    </row>
    <row r="560" spans="1:21" ht="12" customHeight="1">
      <c r="A560" s="327">
        <v>5</v>
      </c>
      <c r="B560" s="159" t="s">
        <v>312</v>
      </c>
      <c r="C560" s="68" t="s">
        <v>96</v>
      </c>
      <c r="D560" s="68" t="s">
        <v>309</v>
      </c>
      <c r="E560" s="321">
        <v>5</v>
      </c>
      <c r="F560" s="322">
        <v>764</v>
      </c>
      <c r="G560" s="322">
        <v>387</v>
      </c>
      <c r="H560" s="322">
        <v>0</v>
      </c>
      <c r="I560" s="322">
        <v>0</v>
      </c>
      <c r="J560" s="322">
        <v>0</v>
      </c>
      <c r="K560" s="322">
        <v>0</v>
      </c>
      <c r="L560" s="322">
        <v>0</v>
      </c>
      <c r="M560" s="322">
        <v>0</v>
      </c>
      <c r="N560" s="322">
        <v>0</v>
      </c>
      <c r="O560" s="322">
        <v>0</v>
      </c>
      <c r="P560" s="322">
        <v>0</v>
      </c>
      <c r="Q560" s="322">
        <v>0</v>
      </c>
      <c r="R560" s="322">
        <v>0</v>
      </c>
      <c r="S560" s="9">
        <v>2.225365578577196E-5</v>
      </c>
      <c r="T560" s="9">
        <f t="shared" si="8"/>
        <v>0</v>
      </c>
      <c r="U560" s="321" t="s">
        <v>801</v>
      </c>
    </row>
    <row r="561" spans="1:21" ht="12" customHeight="1">
      <c r="A561" s="327">
        <v>5</v>
      </c>
      <c r="B561" s="159" t="s">
        <v>312</v>
      </c>
      <c r="C561" s="68" t="s">
        <v>96</v>
      </c>
      <c r="D561" s="68" t="s">
        <v>307</v>
      </c>
      <c r="E561" s="321">
        <v>1</v>
      </c>
      <c r="F561" s="322">
        <v>776</v>
      </c>
      <c r="G561" s="322">
        <v>392</v>
      </c>
      <c r="H561" s="322">
        <v>0</v>
      </c>
      <c r="I561" s="322">
        <v>0</v>
      </c>
      <c r="J561" s="322">
        <v>0</v>
      </c>
      <c r="K561" s="322">
        <v>0</v>
      </c>
      <c r="L561" s="322">
        <v>0</v>
      </c>
      <c r="M561" s="322">
        <v>0</v>
      </c>
      <c r="N561" s="322">
        <v>0</v>
      </c>
      <c r="O561" s="322">
        <v>0</v>
      </c>
      <c r="P561" s="322">
        <v>0</v>
      </c>
      <c r="Q561" s="322">
        <v>0</v>
      </c>
      <c r="R561" s="322">
        <v>0</v>
      </c>
      <c r="S561" s="9">
        <v>6.0084930706515009E-4</v>
      </c>
      <c r="T561" s="9">
        <f t="shared" si="8"/>
        <v>0</v>
      </c>
      <c r="U561" s="321" t="s">
        <v>827</v>
      </c>
    </row>
    <row r="562" spans="1:21" ht="12" customHeight="1">
      <c r="A562" s="327">
        <v>5</v>
      </c>
      <c r="B562" s="159" t="s">
        <v>312</v>
      </c>
      <c r="C562" s="68" t="s">
        <v>96</v>
      </c>
      <c r="D562" s="68" t="s">
        <v>307</v>
      </c>
      <c r="E562" s="321">
        <v>2</v>
      </c>
      <c r="F562" s="322">
        <v>744</v>
      </c>
      <c r="G562" s="322">
        <v>388</v>
      </c>
      <c r="H562" s="322">
        <v>0</v>
      </c>
      <c r="I562" s="322">
        <v>0</v>
      </c>
      <c r="J562" s="322">
        <v>0</v>
      </c>
      <c r="K562" s="322">
        <v>0</v>
      </c>
      <c r="L562" s="322">
        <v>0</v>
      </c>
      <c r="M562" s="322">
        <v>0</v>
      </c>
      <c r="N562" s="322">
        <v>0</v>
      </c>
      <c r="O562" s="322">
        <v>0</v>
      </c>
      <c r="P562" s="322">
        <v>0</v>
      </c>
      <c r="Q562" s="322">
        <v>0</v>
      </c>
      <c r="R562" s="322">
        <v>0</v>
      </c>
      <c r="S562" s="9">
        <v>6.0084930706515009E-4</v>
      </c>
      <c r="T562" s="9">
        <f t="shared" si="8"/>
        <v>0</v>
      </c>
      <c r="U562" s="321" t="s">
        <v>828</v>
      </c>
    </row>
    <row r="563" spans="1:21" ht="12" customHeight="1">
      <c r="A563" s="327">
        <v>5</v>
      </c>
      <c r="B563" s="159" t="s">
        <v>312</v>
      </c>
      <c r="C563" s="68" t="s">
        <v>96</v>
      </c>
      <c r="D563" s="68" t="s">
        <v>307</v>
      </c>
      <c r="E563" s="321">
        <v>3</v>
      </c>
      <c r="F563" s="322">
        <v>900</v>
      </c>
      <c r="G563" s="322">
        <v>363</v>
      </c>
      <c r="H563" s="322">
        <v>0</v>
      </c>
      <c r="I563" s="322">
        <v>0</v>
      </c>
      <c r="J563" s="322">
        <v>0</v>
      </c>
      <c r="K563" s="322">
        <v>0</v>
      </c>
      <c r="L563" s="322">
        <v>0</v>
      </c>
      <c r="M563" s="322">
        <v>0</v>
      </c>
      <c r="N563" s="322">
        <v>0</v>
      </c>
      <c r="O563" s="322">
        <v>0</v>
      </c>
      <c r="P563" s="322">
        <v>0</v>
      </c>
      <c r="Q563" s="322">
        <v>0</v>
      </c>
      <c r="R563" s="322">
        <v>0</v>
      </c>
      <c r="S563" s="9">
        <v>6.0084930706515009E-4</v>
      </c>
      <c r="T563" s="9">
        <f t="shared" si="8"/>
        <v>0</v>
      </c>
      <c r="U563" s="321" t="s">
        <v>829</v>
      </c>
    </row>
    <row r="564" spans="1:21" ht="12" customHeight="1">
      <c r="A564" s="327">
        <v>5</v>
      </c>
      <c r="B564" s="159" t="s">
        <v>312</v>
      </c>
      <c r="C564" s="68" t="s">
        <v>96</v>
      </c>
      <c r="D564" s="68" t="s">
        <v>307</v>
      </c>
      <c r="E564" s="321">
        <v>4</v>
      </c>
      <c r="F564" s="322">
        <v>790</v>
      </c>
      <c r="G564" s="322">
        <v>390</v>
      </c>
      <c r="H564" s="322">
        <v>0</v>
      </c>
      <c r="I564" s="322">
        <v>0</v>
      </c>
      <c r="J564" s="322">
        <v>0</v>
      </c>
      <c r="K564" s="322">
        <v>0</v>
      </c>
      <c r="L564" s="322">
        <v>0</v>
      </c>
      <c r="M564" s="322">
        <v>0</v>
      </c>
      <c r="N564" s="322">
        <v>0</v>
      </c>
      <c r="O564" s="322">
        <v>0</v>
      </c>
      <c r="P564" s="322">
        <v>0</v>
      </c>
      <c r="Q564" s="322">
        <v>0</v>
      </c>
      <c r="R564" s="322">
        <v>0</v>
      </c>
      <c r="S564" s="9">
        <v>6.0084930706515009E-4</v>
      </c>
      <c r="T564" s="9">
        <f t="shared" si="8"/>
        <v>0</v>
      </c>
      <c r="U564" s="321" t="s">
        <v>830</v>
      </c>
    </row>
    <row r="565" spans="1:21" ht="12" customHeight="1">
      <c r="A565" s="327">
        <v>5</v>
      </c>
      <c r="B565" s="159" t="s">
        <v>312</v>
      </c>
      <c r="C565" s="68" t="s">
        <v>96</v>
      </c>
      <c r="D565" s="68" t="s">
        <v>307</v>
      </c>
      <c r="E565" s="321">
        <v>5</v>
      </c>
      <c r="F565" s="322">
        <v>754</v>
      </c>
      <c r="G565" s="322">
        <v>391</v>
      </c>
      <c r="H565" s="322">
        <v>0</v>
      </c>
      <c r="I565" s="322">
        <v>0</v>
      </c>
      <c r="J565" s="322">
        <v>0</v>
      </c>
      <c r="K565" s="322">
        <v>0</v>
      </c>
      <c r="L565" s="322">
        <v>0</v>
      </c>
      <c r="M565" s="322">
        <v>0</v>
      </c>
      <c r="N565" s="322">
        <v>0</v>
      </c>
      <c r="O565" s="322">
        <v>0</v>
      </c>
      <c r="P565" s="322">
        <v>0</v>
      </c>
      <c r="Q565" s="322">
        <v>0</v>
      </c>
      <c r="R565" s="322">
        <v>0</v>
      </c>
      <c r="S565" s="9">
        <v>6.0084930706515009E-4</v>
      </c>
      <c r="T565" s="9">
        <f t="shared" si="8"/>
        <v>0</v>
      </c>
      <c r="U565" s="321" t="s">
        <v>831</v>
      </c>
    </row>
    <row r="566" spans="1:21" ht="12" customHeight="1">
      <c r="A566" s="327">
        <v>5</v>
      </c>
      <c r="B566" s="159" t="s">
        <v>312</v>
      </c>
      <c r="C566" s="68" t="s">
        <v>95</v>
      </c>
      <c r="D566" s="68" t="s">
        <v>308</v>
      </c>
      <c r="E566" s="321">
        <v>1</v>
      </c>
      <c r="F566" s="322">
        <v>1166</v>
      </c>
      <c r="G566" s="322">
        <v>525</v>
      </c>
      <c r="H566" s="322">
        <v>10</v>
      </c>
      <c r="I566" s="322">
        <v>0</v>
      </c>
      <c r="J566" s="322">
        <v>0</v>
      </c>
      <c r="K566" s="322">
        <v>0</v>
      </c>
      <c r="L566" s="322">
        <v>0</v>
      </c>
      <c r="M566" s="322">
        <v>0</v>
      </c>
      <c r="N566" s="322">
        <v>0</v>
      </c>
      <c r="O566" s="322">
        <v>0</v>
      </c>
      <c r="P566" s="322">
        <v>0</v>
      </c>
      <c r="Q566" s="322">
        <v>0</v>
      </c>
      <c r="R566" s="322">
        <v>0.1</v>
      </c>
      <c r="S566" s="9">
        <v>2.247844018764845E-7</v>
      </c>
      <c r="T566" s="9">
        <f t="shared" si="8"/>
        <v>2.2478440187648452E-8</v>
      </c>
      <c r="U566" s="321" t="s">
        <v>587</v>
      </c>
    </row>
    <row r="567" spans="1:21" ht="12" customHeight="1">
      <c r="A567" s="327">
        <v>5</v>
      </c>
      <c r="B567" s="159" t="s">
        <v>312</v>
      </c>
      <c r="C567" s="68" t="s">
        <v>95</v>
      </c>
      <c r="D567" s="68" t="s">
        <v>308</v>
      </c>
      <c r="E567" s="321">
        <v>2</v>
      </c>
      <c r="F567" s="322">
        <v>1150</v>
      </c>
      <c r="G567" s="322">
        <v>524</v>
      </c>
      <c r="H567" s="322">
        <v>9</v>
      </c>
      <c r="I567" s="322">
        <v>0</v>
      </c>
      <c r="J567" s="322">
        <v>0</v>
      </c>
      <c r="K567" s="322">
        <v>0</v>
      </c>
      <c r="L567" s="322">
        <v>0</v>
      </c>
      <c r="M567" s="322">
        <v>0</v>
      </c>
      <c r="N567" s="322">
        <v>0</v>
      </c>
      <c r="O567" s="322">
        <v>0</v>
      </c>
      <c r="P567" s="322">
        <v>0</v>
      </c>
      <c r="Q567" s="322">
        <v>0</v>
      </c>
      <c r="R567" s="322">
        <v>0.1</v>
      </c>
      <c r="S567" s="9">
        <v>2.247844018764845E-7</v>
      </c>
      <c r="T567" s="9">
        <f t="shared" si="8"/>
        <v>2.2478440187648452E-8</v>
      </c>
      <c r="U567" s="321" t="s">
        <v>588</v>
      </c>
    </row>
    <row r="568" spans="1:21" ht="12" customHeight="1">
      <c r="A568" s="327">
        <v>5</v>
      </c>
      <c r="B568" s="159" t="s">
        <v>312</v>
      </c>
      <c r="C568" s="68" t="s">
        <v>95</v>
      </c>
      <c r="D568" s="68" t="s">
        <v>308</v>
      </c>
      <c r="E568" s="321">
        <v>3</v>
      </c>
      <c r="F568" s="322">
        <v>1134</v>
      </c>
      <c r="G568" s="322">
        <v>525</v>
      </c>
      <c r="H568" s="322">
        <v>9</v>
      </c>
      <c r="I568" s="322">
        <v>0</v>
      </c>
      <c r="J568" s="322">
        <v>0</v>
      </c>
      <c r="K568" s="322">
        <v>0</v>
      </c>
      <c r="L568" s="322">
        <v>0</v>
      </c>
      <c r="M568" s="322">
        <v>0</v>
      </c>
      <c r="N568" s="322">
        <v>0</v>
      </c>
      <c r="O568" s="322">
        <v>0</v>
      </c>
      <c r="P568" s="322">
        <v>0</v>
      </c>
      <c r="Q568" s="322">
        <v>0</v>
      </c>
      <c r="R568" s="322">
        <v>0.1</v>
      </c>
      <c r="S568" s="9">
        <v>2.247844018764845E-7</v>
      </c>
      <c r="T568" s="9">
        <f t="shared" si="8"/>
        <v>2.2478440187648452E-8</v>
      </c>
      <c r="U568" s="321" t="s">
        <v>589</v>
      </c>
    </row>
    <row r="569" spans="1:21" ht="12" customHeight="1">
      <c r="A569" s="327">
        <v>5</v>
      </c>
      <c r="B569" s="159" t="s">
        <v>312</v>
      </c>
      <c r="C569" s="68" t="s">
        <v>95</v>
      </c>
      <c r="D569" s="68" t="s">
        <v>308</v>
      </c>
      <c r="E569" s="321">
        <v>4</v>
      </c>
      <c r="F569" s="322">
        <v>1154</v>
      </c>
      <c r="G569" s="322">
        <v>524</v>
      </c>
      <c r="H569" s="322">
        <v>12</v>
      </c>
      <c r="I569" s="322">
        <v>0</v>
      </c>
      <c r="J569" s="322">
        <v>0</v>
      </c>
      <c r="K569" s="322">
        <v>0</v>
      </c>
      <c r="L569" s="322">
        <v>0</v>
      </c>
      <c r="M569" s="322">
        <v>0</v>
      </c>
      <c r="N569" s="322">
        <v>0</v>
      </c>
      <c r="O569" s="322">
        <v>0</v>
      </c>
      <c r="P569" s="322">
        <v>0</v>
      </c>
      <c r="Q569" s="322">
        <v>0</v>
      </c>
      <c r="R569" s="322">
        <v>0.1</v>
      </c>
      <c r="S569" s="9">
        <v>2.247844018764845E-7</v>
      </c>
      <c r="T569" s="9">
        <f t="shared" si="8"/>
        <v>2.2478440187648452E-8</v>
      </c>
      <c r="U569" s="321" t="s">
        <v>590</v>
      </c>
    </row>
    <row r="570" spans="1:21" ht="12" customHeight="1">
      <c r="A570" s="327">
        <v>5</v>
      </c>
      <c r="B570" s="159" t="s">
        <v>312</v>
      </c>
      <c r="C570" s="68" t="s">
        <v>95</v>
      </c>
      <c r="D570" s="68" t="s">
        <v>308</v>
      </c>
      <c r="E570" s="321">
        <v>5</v>
      </c>
      <c r="F570" s="322">
        <v>1146</v>
      </c>
      <c r="G570" s="322">
        <v>525</v>
      </c>
      <c r="H570" s="322">
        <v>7</v>
      </c>
      <c r="I570" s="322">
        <v>0</v>
      </c>
      <c r="J570" s="322">
        <v>0</v>
      </c>
      <c r="K570" s="322">
        <v>0</v>
      </c>
      <c r="L570" s="322">
        <v>0</v>
      </c>
      <c r="M570" s="322">
        <v>0</v>
      </c>
      <c r="N570" s="322">
        <v>0</v>
      </c>
      <c r="O570" s="322">
        <v>0</v>
      </c>
      <c r="P570" s="322">
        <v>0</v>
      </c>
      <c r="Q570" s="322">
        <v>0</v>
      </c>
      <c r="R570" s="322">
        <v>0.1</v>
      </c>
      <c r="S570" s="9">
        <v>2.247844018764845E-7</v>
      </c>
      <c r="T570" s="9">
        <f t="shared" si="8"/>
        <v>2.2478440187648452E-8</v>
      </c>
      <c r="U570" s="321" t="s">
        <v>591</v>
      </c>
    </row>
    <row r="571" spans="1:21" ht="12" customHeight="1">
      <c r="A571" s="327">
        <v>5</v>
      </c>
      <c r="B571" s="159" t="s">
        <v>312</v>
      </c>
      <c r="C571" s="68" t="s">
        <v>95</v>
      </c>
      <c r="D571" s="68" t="s">
        <v>310</v>
      </c>
      <c r="E571" s="321">
        <v>1</v>
      </c>
      <c r="F571" s="322">
        <v>1292</v>
      </c>
      <c r="G571" s="322">
        <v>525</v>
      </c>
      <c r="H571" s="322">
        <v>72</v>
      </c>
      <c r="I571" s="322">
        <v>46</v>
      </c>
      <c r="J571" s="322">
        <v>31</v>
      </c>
      <c r="K571" s="322">
        <v>0</v>
      </c>
      <c r="L571" s="322">
        <v>0</v>
      </c>
      <c r="M571" s="322">
        <v>0</v>
      </c>
      <c r="N571" s="322">
        <v>0</v>
      </c>
      <c r="O571" s="322">
        <v>0</v>
      </c>
      <c r="P571" s="322">
        <v>0</v>
      </c>
      <c r="Q571" s="322">
        <v>0</v>
      </c>
      <c r="R571" s="322">
        <v>32.799999999999997</v>
      </c>
      <c r="S571" s="9">
        <v>2.2478237881484456E-7</v>
      </c>
      <c r="T571" s="9">
        <f t="shared" si="8"/>
        <v>7.3728620251269007E-6</v>
      </c>
      <c r="U571" s="321" t="s">
        <v>617</v>
      </c>
    </row>
    <row r="572" spans="1:21" ht="12" customHeight="1">
      <c r="A572" s="327">
        <v>5</v>
      </c>
      <c r="B572" s="159" t="s">
        <v>312</v>
      </c>
      <c r="C572" s="68" t="s">
        <v>95</v>
      </c>
      <c r="D572" s="68" t="s">
        <v>310</v>
      </c>
      <c r="E572" s="321">
        <v>2</v>
      </c>
      <c r="F572" s="322">
        <v>1232</v>
      </c>
      <c r="G572" s="322">
        <v>524</v>
      </c>
      <c r="H572" s="322">
        <v>83</v>
      </c>
      <c r="I572" s="322">
        <v>62</v>
      </c>
      <c r="J572" s="322">
        <v>33</v>
      </c>
      <c r="K572" s="322">
        <v>0</v>
      </c>
      <c r="L572" s="322">
        <v>0</v>
      </c>
      <c r="M572" s="322">
        <v>0</v>
      </c>
      <c r="N572" s="322">
        <v>0</v>
      </c>
      <c r="O572" s="322">
        <v>0</v>
      </c>
      <c r="P572" s="322">
        <v>0</v>
      </c>
      <c r="Q572" s="322">
        <v>0</v>
      </c>
      <c r="R572" s="322">
        <v>36.1</v>
      </c>
      <c r="S572" s="9">
        <v>2.2478237881484456E-7</v>
      </c>
      <c r="T572" s="9">
        <f t="shared" si="8"/>
        <v>8.1146438752158894E-6</v>
      </c>
      <c r="U572" s="321" t="s">
        <v>618</v>
      </c>
    </row>
    <row r="573" spans="1:21" ht="12" customHeight="1">
      <c r="A573" s="327">
        <v>5</v>
      </c>
      <c r="B573" s="159" t="s">
        <v>312</v>
      </c>
      <c r="C573" s="68" t="s">
        <v>95</v>
      </c>
      <c r="D573" s="68" t="s">
        <v>310</v>
      </c>
      <c r="E573" s="321">
        <v>3</v>
      </c>
      <c r="F573" s="322">
        <v>1206</v>
      </c>
      <c r="G573" s="322">
        <v>524</v>
      </c>
      <c r="H573" s="322">
        <v>101</v>
      </c>
      <c r="I573" s="322">
        <v>41</v>
      </c>
      <c r="J573" s="322">
        <v>6</v>
      </c>
      <c r="K573" s="322">
        <v>0</v>
      </c>
      <c r="L573" s="322">
        <v>0</v>
      </c>
      <c r="M573" s="322">
        <v>0</v>
      </c>
      <c r="N573" s="322">
        <v>0</v>
      </c>
      <c r="O573" s="322">
        <v>0</v>
      </c>
      <c r="P573" s="322">
        <v>0</v>
      </c>
      <c r="Q573" s="322">
        <v>0</v>
      </c>
      <c r="R573" s="322">
        <v>10.1</v>
      </c>
      <c r="S573" s="9">
        <v>2.2478237881484456E-7</v>
      </c>
      <c r="T573" s="9">
        <f t="shared" si="8"/>
        <v>2.2703020260299299E-6</v>
      </c>
      <c r="U573" s="321" t="s">
        <v>619</v>
      </c>
    </row>
    <row r="574" spans="1:21" ht="12" customHeight="1">
      <c r="A574" s="327">
        <v>5</v>
      </c>
      <c r="B574" s="159" t="s">
        <v>312</v>
      </c>
      <c r="C574" s="68" t="s">
        <v>95</v>
      </c>
      <c r="D574" s="68" t="s">
        <v>310</v>
      </c>
      <c r="E574" s="321">
        <v>4</v>
      </c>
      <c r="F574" s="322">
        <v>1264</v>
      </c>
      <c r="G574" s="322">
        <v>524</v>
      </c>
      <c r="H574" s="322">
        <v>94</v>
      </c>
      <c r="I574" s="322">
        <v>57</v>
      </c>
      <c r="J574" s="322">
        <v>36</v>
      </c>
      <c r="K574" s="322">
        <v>0</v>
      </c>
      <c r="L574" s="322">
        <v>0</v>
      </c>
      <c r="M574" s="322">
        <v>0</v>
      </c>
      <c r="N574" s="322">
        <v>0</v>
      </c>
      <c r="O574" s="322">
        <v>0</v>
      </c>
      <c r="P574" s="322">
        <v>0</v>
      </c>
      <c r="Q574" s="322">
        <v>0</v>
      </c>
      <c r="R574" s="322">
        <v>38.5</v>
      </c>
      <c r="S574" s="9">
        <v>2.2478237881484456E-7</v>
      </c>
      <c r="T574" s="9">
        <f t="shared" si="8"/>
        <v>8.6541215843715148E-6</v>
      </c>
      <c r="U574" s="321" t="s">
        <v>620</v>
      </c>
    </row>
    <row r="575" spans="1:21" ht="12" customHeight="1">
      <c r="A575" s="327">
        <v>5</v>
      </c>
      <c r="B575" s="159" t="s">
        <v>312</v>
      </c>
      <c r="C575" s="68" t="s">
        <v>95</v>
      </c>
      <c r="D575" s="68" t="s">
        <v>310</v>
      </c>
      <c r="E575" s="321">
        <v>5</v>
      </c>
      <c r="F575" s="322">
        <v>1234</v>
      </c>
      <c r="G575" s="322">
        <v>524</v>
      </c>
      <c r="H575" s="322">
        <v>97</v>
      </c>
      <c r="I575" s="322">
        <v>51</v>
      </c>
      <c r="J575" s="322">
        <v>19</v>
      </c>
      <c r="K575" s="322">
        <v>0</v>
      </c>
      <c r="L575" s="322">
        <v>0</v>
      </c>
      <c r="M575" s="322">
        <v>0</v>
      </c>
      <c r="N575" s="322">
        <v>0</v>
      </c>
      <c r="O575" s="322">
        <v>0</v>
      </c>
      <c r="P575" s="322">
        <v>0</v>
      </c>
      <c r="Q575" s="322">
        <v>0</v>
      </c>
      <c r="R575" s="322">
        <v>22.7</v>
      </c>
      <c r="S575" s="9">
        <v>2.2478237881484456E-7</v>
      </c>
      <c r="T575" s="9">
        <f t="shared" si="8"/>
        <v>5.1025599990969712E-6</v>
      </c>
      <c r="U575" s="321" t="s">
        <v>621</v>
      </c>
    </row>
    <row r="576" spans="1:21" ht="12" customHeight="1">
      <c r="A576" s="327">
        <v>5</v>
      </c>
      <c r="B576" s="159" t="s">
        <v>312</v>
      </c>
      <c r="C576" s="68" t="s">
        <v>95</v>
      </c>
      <c r="D576" s="68" t="s">
        <v>309</v>
      </c>
      <c r="E576" s="321">
        <v>1</v>
      </c>
      <c r="F576" s="322">
        <v>840</v>
      </c>
      <c r="G576" s="322">
        <v>524</v>
      </c>
      <c r="H576" s="322">
        <v>0</v>
      </c>
      <c r="I576" s="322">
        <v>0</v>
      </c>
      <c r="J576" s="322">
        <v>0</v>
      </c>
      <c r="K576" s="322">
        <v>0</v>
      </c>
      <c r="L576" s="322">
        <v>0</v>
      </c>
      <c r="M576" s="322">
        <v>0</v>
      </c>
      <c r="N576" s="322">
        <v>0</v>
      </c>
      <c r="O576" s="322">
        <v>0</v>
      </c>
      <c r="P576" s="322">
        <v>0</v>
      </c>
      <c r="Q576" s="322">
        <v>0</v>
      </c>
      <c r="R576" s="322">
        <v>0</v>
      </c>
      <c r="S576" s="9">
        <v>2.247844018764845E-7</v>
      </c>
      <c r="T576" s="9">
        <f t="shared" si="8"/>
        <v>0</v>
      </c>
      <c r="U576" s="321" t="s">
        <v>647</v>
      </c>
    </row>
    <row r="577" spans="1:21" ht="12" customHeight="1">
      <c r="A577" s="327">
        <v>5</v>
      </c>
      <c r="B577" s="159" t="s">
        <v>312</v>
      </c>
      <c r="C577" s="68" t="s">
        <v>95</v>
      </c>
      <c r="D577" s="68" t="s">
        <v>309</v>
      </c>
      <c r="E577" s="321">
        <v>2</v>
      </c>
      <c r="F577" s="322">
        <v>758</v>
      </c>
      <c r="G577" s="322">
        <v>525</v>
      </c>
      <c r="H577" s="322">
        <v>0</v>
      </c>
      <c r="I577" s="322">
        <v>0</v>
      </c>
      <c r="J577" s="322">
        <v>0</v>
      </c>
      <c r="K577" s="322">
        <v>0</v>
      </c>
      <c r="L577" s="322">
        <v>0</v>
      </c>
      <c r="M577" s="322">
        <v>0</v>
      </c>
      <c r="N577" s="322">
        <v>0</v>
      </c>
      <c r="O577" s="322">
        <v>0</v>
      </c>
      <c r="P577" s="322">
        <v>0</v>
      </c>
      <c r="Q577" s="322">
        <v>0</v>
      </c>
      <c r="R577" s="322">
        <v>0</v>
      </c>
      <c r="S577" s="9">
        <v>2.247844018764845E-7</v>
      </c>
      <c r="T577" s="9">
        <f t="shared" si="8"/>
        <v>0</v>
      </c>
      <c r="U577" s="321" t="s">
        <v>648</v>
      </c>
    </row>
    <row r="578" spans="1:21" ht="12" customHeight="1">
      <c r="A578" s="327">
        <v>5</v>
      </c>
      <c r="B578" s="159" t="s">
        <v>312</v>
      </c>
      <c r="C578" s="68" t="s">
        <v>95</v>
      </c>
      <c r="D578" s="68" t="s">
        <v>309</v>
      </c>
      <c r="E578" s="321">
        <v>3</v>
      </c>
      <c r="F578" s="322">
        <v>784</v>
      </c>
      <c r="G578" s="322">
        <v>524</v>
      </c>
      <c r="H578" s="322">
        <v>0</v>
      </c>
      <c r="I578" s="322">
        <v>0</v>
      </c>
      <c r="J578" s="322">
        <v>0</v>
      </c>
      <c r="K578" s="322">
        <v>0</v>
      </c>
      <c r="L578" s="322">
        <v>0</v>
      </c>
      <c r="M578" s="322">
        <v>0</v>
      </c>
      <c r="N578" s="322">
        <v>0</v>
      </c>
      <c r="O578" s="322">
        <v>0</v>
      </c>
      <c r="P578" s="322">
        <v>0</v>
      </c>
      <c r="Q578" s="322">
        <v>0</v>
      </c>
      <c r="R578" s="322">
        <v>0</v>
      </c>
      <c r="S578" s="9">
        <v>2.247844018764845E-7</v>
      </c>
      <c r="T578" s="9">
        <f t="shared" si="8"/>
        <v>0</v>
      </c>
      <c r="U578" s="321" t="s">
        <v>649</v>
      </c>
    </row>
    <row r="579" spans="1:21" ht="12" customHeight="1">
      <c r="A579" s="327">
        <v>5</v>
      </c>
      <c r="B579" s="159" t="s">
        <v>312</v>
      </c>
      <c r="C579" s="68" t="s">
        <v>95</v>
      </c>
      <c r="D579" s="68" t="s">
        <v>309</v>
      </c>
      <c r="E579" s="321">
        <v>4</v>
      </c>
      <c r="F579" s="322">
        <v>752</v>
      </c>
      <c r="G579" s="322">
        <v>524</v>
      </c>
      <c r="H579" s="322">
        <v>0</v>
      </c>
      <c r="I579" s="322">
        <v>0</v>
      </c>
      <c r="J579" s="322">
        <v>0</v>
      </c>
      <c r="K579" s="322">
        <v>0</v>
      </c>
      <c r="L579" s="322">
        <v>0</v>
      </c>
      <c r="M579" s="322">
        <v>0</v>
      </c>
      <c r="N579" s="322">
        <v>0</v>
      </c>
      <c r="O579" s="322">
        <v>0</v>
      </c>
      <c r="P579" s="322">
        <v>0</v>
      </c>
      <c r="Q579" s="322">
        <v>0</v>
      </c>
      <c r="R579" s="322">
        <v>0</v>
      </c>
      <c r="S579" s="9">
        <v>2.247844018764845E-7</v>
      </c>
      <c r="T579" s="9">
        <f t="shared" si="8"/>
        <v>0</v>
      </c>
      <c r="U579" s="321" t="s">
        <v>650</v>
      </c>
    </row>
    <row r="580" spans="1:21" ht="12" customHeight="1">
      <c r="A580" s="327">
        <v>5</v>
      </c>
      <c r="B580" s="159" t="s">
        <v>312</v>
      </c>
      <c r="C580" s="68" t="s">
        <v>95</v>
      </c>
      <c r="D580" s="68" t="s">
        <v>309</v>
      </c>
      <c r="E580" s="321">
        <v>5</v>
      </c>
      <c r="F580" s="322">
        <v>762</v>
      </c>
      <c r="G580" s="322">
        <v>524</v>
      </c>
      <c r="H580" s="322">
        <v>0</v>
      </c>
      <c r="I580" s="322">
        <v>0</v>
      </c>
      <c r="J580" s="322">
        <v>0</v>
      </c>
      <c r="K580" s="322">
        <v>0</v>
      </c>
      <c r="L580" s="322">
        <v>0</v>
      </c>
      <c r="M580" s="322">
        <v>0</v>
      </c>
      <c r="N580" s="322">
        <v>0</v>
      </c>
      <c r="O580" s="322">
        <v>0</v>
      </c>
      <c r="P580" s="322">
        <v>0</v>
      </c>
      <c r="Q580" s="322">
        <v>0</v>
      </c>
      <c r="R580" s="322">
        <v>0</v>
      </c>
      <c r="S580" s="9">
        <v>2.247844018764845E-7</v>
      </c>
      <c r="T580" s="9">
        <f t="shared" si="8"/>
        <v>0</v>
      </c>
      <c r="U580" s="321" t="s">
        <v>651</v>
      </c>
    </row>
    <row r="581" spans="1:21" ht="12" customHeight="1">
      <c r="A581" s="327">
        <v>5</v>
      </c>
      <c r="B581" s="159" t="s">
        <v>312</v>
      </c>
      <c r="C581" s="68" t="s">
        <v>95</v>
      </c>
      <c r="D581" s="68" t="s">
        <v>311</v>
      </c>
      <c r="E581" s="321">
        <v>1</v>
      </c>
      <c r="F581" s="322">
        <v>1124</v>
      </c>
      <c r="G581" s="322">
        <v>524</v>
      </c>
      <c r="H581" s="322">
        <v>7</v>
      </c>
      <c r="I581" s="322">
        <v>0</v>
      </c>
      <c r="J581" s="322">
        <v>0</v>
      </c>
      <c r="K581" s="322">
        <v>0</v>
      </c>
      <c r="L581" s="322">
        <v>0</v>
      </c>
      <c r="M581" s="322">
        <v>0</v>
      </c>
      <c r="N581" s="322">
        <v>0</v>
      </c>
      <c r="O581" s="322">
        <v>0</v>
      </c>
      <c r="P581" s="322">
        <v>0</v>
      </c>
      <c r="Q581" s="322">
        <v>0</v>
      </c>
      <c r="R581" s="322">
        <v>0.1</v>
      </c>
      <c r="S581" s="9">
        <v>6.0691849198500013E-6</v>
      </c>
      <c r="T581" s="9">
        <f t="shared" si="8"/>
        <v>6.0691849198500013E-7</v>
      </c>
      <c r="U581" s="321" t="s">
        <v>677</v>
      </c>
    </row>
    <row r="582" spans="1:21" ht="12" customHeight="1">
      <c r="A582" s="327">
        <v>5</v>
      </c>
      <c r="B582" s="159" t="s">
        <v>312</v>
      </c>
      <c r="C582" s="68" t="s">
        <v>95</v>
      </c>
      <c r="D582" s="68" t="s">
        <v>311</v>
      </c>
      <c r="E582" s="321">
        <v>2</v>
      </c>
      <c r="F582" s="322">
        <v>1092</v>
      </c>
      <c r="G582" s="322">
        <v>524</v>
      </c>
      <c r="H582" s="322">
        <v>7</v>
      </c>
      <c r="I582" s="322">
        <v>0</v>
      </c>
      <c r="J582" s="322">
        <v>0</v>
      </c>
      <c r="K582" s="322">
        <v>0</v>
      </c>
      <c r="L582" s="322">
        <v>0</v>
      </c>
      <c r="M582" s="322">
        <v>0</v>
      </c>
      <c r="N582" s="322">
        <v>0</v>
      </c>
      <c r="O582" s="322">
        <v>0</v>
      </c>
      <c r="P582" s="322">
        <v>0</v>
      </c>
      <c r="Q582" s="322">
        <v>0</v>
      </c>
      <c r="R582" s="322">
        <v>0.1</v>
      </c>
      <c r="S582" s="9">
        <v>6.0691849198500013E-6</v>
      </c>
      <c r="T582" s="9">
        <f t="shared" ref="T582:T645" si="9">S582*R582</f>
        <v>6.0691849198500013E-7</v>
      </c>
      <c r="U582" s="321" t="s">
        <v>678</v>
      </c>
    </row>
    <row r="583" spans="1:21" ht="12" customHeight="1">
      <c r="A583" s="327">
        <v>5</v>
      </c>
      <c r="B583" s="159" t="s">
        <v>312</v>
      </c>
      <c r="C583" s="68" t="s">
        <v>95</v>
      </c>
      <c r="D583" s="68" t="s">
        <v>311</v>
      </c>
      <c r="E583" s="321">
        <v>3</v>
      </c>
      <c r="F583" s="322">
        <v>1094</v>
      </c>
      <c r="G583" s="322">
        <v>524</v>
      </c>
      <c r="H583" s="322">
        <v>7</v>
      </c>
      <c r="I583" s="322">
        <v>0</v>
      </c>
      <c r="J583" s="322">
        <v>0</v>
      </c>
      <c r="K583" s="322">
        <v>0</v>
      </c>
      <c r="L583" s="322">
        <v>0</v>
      </c>
      <c r="M583" s="322">
        <v>0</v>
      </c>
      <c r="N583" s="322">
        <v>0</v>
      </c>
      <c r="O583" s="322">
        <v>0</v>
      </c>
      <c r="P583" s="322">
        <v>0</v>
      </c>
      <c r="Q583" s="322">
        <v>0</v>
      </c>
      <c r="R583" s="322">
        <v>0.1</v>
      </c>
      <c r="S583" s="9">
        <v>6.0691849198500013E-6</v>
      </c>
      <c r="T583" s="9">
        <f t="shared" si="9"/>
        <v>6.0691849198500013E-7</v>
      </c>
      <c r="U583" s="321" t="s">
        <v>679</v>
      </c>
    </row>
    <row r="584" spans="1:21" ht="12" customHeight="1">
      <c r="A584" s="327">
        <v>5</v>
      </c>
      <c r="B584" s="159" t="s">
        <v>312</v>
      </c>
      <c r="C584" s="68" t="s">
        <v>95</v>
      </c>
      <c r="D584" s="68" t="s">
        <v>311</v>
      </c>
      <c r="E584" s="321">
        <v>4</v>
      </c>
      <c r="F584" s="322">
        <v>1184</v>
      </c>
      <c r="G584" s="322">
        <v>525</v>
      </c>
      <c r="H584" s="322">
        <v>14</v>
      </c>
      <c r="I584" s="322">
        <v>3</v>
      </c>
      <c r="J584" s="322">
        <v>0</v>
      </c>
      <c r="K584" s="322">
        <v>0</v>
      </c>
      <c r="L584" s="322">
        <v>0</v>
      </c>
      <c r="M584" s="322">
        <v>0</v>
      </c>
      <c r="N584" s="322">
        <v>0</v>
      </c>
      <c r="O584" s="322">
        <v>0</v>
      </c>
      <c r="P584" s="322">
        <v>0</v>
      </c>
      <c r="Q584" s="322">
        <v>0</v>
      </c>
      <c r="R584" s="322">
        <v>0.4</v>
      </c>
      <c r="S584" s="9">
        <v>6.0691849198500013E-6</v>
      </c>
      <c r="T584" s="9">
        <f t="shared" si="9"/>
        <v>2.4276739679400005E-6</v>
      </c>
      <c r="U584" s="321" t="s">
        <v>680</v>
      </c>
    </row>
    <row r="585" spans="1:21" ht="12" customHeight="1">
      <c r="A585" s="327">
        <v>5</v>
      </c>
      <c r="B585" s="159" t="s">
        <v>312</v>
      </c>
      <c r="C585" s="68" t="s">
        <v>95</v>
      </c>
      <c r="D585" s="68" t="s">
        <v>311</v>
      </c>
      <c r="E585" s="321">
        <v>5</v>
      </c>
      <c r="F585" s="322">
        <v>1138</v>
      </c>
      <c r="G585" s="322">
        <v>524</v>
      </c>
      <c r="H585" s="322">
        <v>6</v>
      </c>
      <c r="I585" s="322">
        <v>1</v>
      </c>
      <c r="J585" s="322">
        <v>0</v>
      </c>
      <c r="K585" s="322">
        <v>0</v>
      </c>
      <c r="L585" s="322">
        <v>0</v>
      </c>
      <c r="M585" s="322">
        <v>0</v>
      </c>
      <c r="N585" s="322">
        <v>0</v>
      </c>
      <c r="O585" s="322">
        <v>0</v>
      </c>
      <c r="P585" s="322">
        <v>0</v>
      </c>
      <c r="Q585" s="322">
        <v>0</v>
      </c>
      <c r="R585" s="322">
        <v>0.2</v>
      </c>
      <c r="S585" s="9">
        <v>6.0691849198500013E-6</v>
      </c>
      <c r="T585" s="9">
        <f t="shared" si="9"/>
        <v>1.2138369839700003E-6</v>
      </c>
      <c r="U585" s="321" t="s">
        <v>681</v>
      </c>
    </row>
    <row r="586" spans="1:21" ht="12" customHeight="1">
      <c r="A586" s="327">
        <v>5</v>
      </c>
      <c r="B586" s="159" t="s">
        <v>312</v>
      </c>
      <c r="C586" s="68" t="s">
        <v>95</v>
      </c>
      <c r="D586" s="68" t="s">
        <v>307</v>
      </c>
      <c r="E586" s="321">
        <v>1</v>
      </c>
      <c r="F586" s="322">
        <v>768</v>
      </c>
      <c r="G586" s="322">
        <v>524</v>
      </c>
      <c r="H586" s="322">
        <v>0</v>
      </c>
      <c r="I586" s="322">
        <v>0</v>
      </c>
      <c r="J586" s="322">
        <v>0</v>
      </c>
      <c r="K586" s="322">
        <v>0</v>
      </c>
      <c r="L586" s="322">
        <v>0</v>
      </c>
      <c r="M586" s="322">
        <v>0</v>
      </c>
      <c r="N586" s="322">
        <v>0</v>
      </c>
      <c r="O586" s="322">
        <v>0</v>
      </c>
      <c r="P586" s="322">
        <v>0</v>
      </c>
      <c r="Q586" s="322">
        <v>0</v>
      </c>
      <c r="R586" s="322">
        <v>0</v>
      </c>
      <c r="S586" s="9">
        <v>0</v>
      </c>
      <c r="T586" s="9">
        <f t="shared" si="9"/>
        <v>0</v>
      </c>
      <c r="U586" s="321" t="s">
        <v>707</v>
      </c>
    </row>
    <row r="587" spans="1:21" ht="12" customHeight="1">
      <c r="A587" s="327">
        <v>5</v>
      </c>
      <c r="B587" s="159" t="s">
        <v>312</v>
      </c>
      <c r="C587" s="68" t="s">
        <v>95</v>
      </c>
      <c r="D587" s="68" t="s">
        <v>307</v>
      </c>
      <c r="E587" s="321">
        <v>2</v>
      </c>
      <c r="F587" s="322">
        <v>768</v>
      </c>
      <c r="G587" s="322">
        <v>524</v>
      </c>
      <c r="H587" s="322">
        <v>0</v>
      </c>
      <c r="I587" s="322">
        <v>0</v>
      </c>
      <c r="J587" s="322">
        <v>0</v>
      </c>
      <c r="K587" s="322">
        <v>0</v>
      </c>
      <c r="L587" s="322">
        <v>0</v>
      </c>
      <c r="M587" s="322">
        <v>0</v>
      </c>
      <c r="N587" s="322">
        <v>0</v>
      </c>
      <c r="O587" s="322">
        <v>0</v>
      </c>
      <c r="P587" s="322">
        <v>0</v>
      </c>
      <c r="Q587" s="322">
        <v>0</v>
      </c>
      <c r="R587" s="322">
        <v>0</v>
      </c>
      <c r="S587" s="9">
        <v>0</v>
      </c>
      <c r="T587" s="9">
        <f t="shared" si="9"/>
        <v>0</v>
      </c>
      <c r="U587" s="321" t="s">
        <v>708</v>
      </c>
    </row>
    <row r="588" spans="1:21" ht="12" customHeight="1">
      <c r="A588" s="327">
        <v>5</v>
      </c>
      <c r="B588" s="159" t="s">
        <v>312</v>
      </c>
      <c r="C588" s="68" t="s">
        <v>95</v>
      </c>
      <c r="D588" s="68" t="s">
        <v>307</v>
      </c>
      <c r="E588" s="321">
        <v>3</v>
      </c>
      <c r="F588" s="322">
        <v>754</v>
      </c>
      <c r="G588" s="322">
        <v>519</v>
      </c>
      <c r="H588" s="322">
        <v>0</v>
      </c>
      <c r="I588" s="322">
        <v>0</v>
      </c>
      <c r="J588" s="322">
        <v>0</v>
      </c>
      <c r="K588" s="322">
        <v>0</v>
      </c>
      <c r="L588" s="322">
        <v>0</v>
      </c>
      <c r="M588" s="322">
        <v>0</v>
      </c>
      <c r="N588" s="322">
        <v>0</v>
      </c>
      <c r="O588" s="322">
        <v>0</v>
      </c>
      <c r="P588" s="322">
        <v>0</v>
      </c>
      <c r="Q588" s="322">
        <v>0</v>
      </c>
      <c r="R588" s="322">
        <v>0</v>
      </c>
      <c r="S588" s="9">
        <v>0</v>
      </c>
      <c r="T588" s="9">
        <f t="shared" si="9"/>
        <v>0</v>
      </c>
      <c r="U588" s="321" t="s">
        <v>709</v>
      </c>
    </row>
    <row r="589" spans="1:21" ht="12" customHeight="1">
      <c r="A589" s="327">
        <v>5</v>
      </c>
      <c r="B589" s="159" t="s">
        <v>312</v>
      </c>
      <c r="C589" s="68" t="s">
        <v>95</v>
      </c>
      <c r="D589" s="68" t="s">
        <v>307</v>
      </c>
      <c r="E589" s="321">
        <v>4</v>
      </c>
      <c r="F589" s="322">
        <v>770</v>
      </c>
      <c r="G589" s="322">
        <v>524</v>
      </c>
      <c r="H589" s="322">
        <v>0</v>
      </c>
      <c r="I589" s="322">
        <v>0</v>
      </c>
      <c r="J589" s="322">
        <v>0</v>
      </c>
      <c r="K589" s="322">
        <v>0</v>
      </c>
      <c r="L589" s="322">
        <v>0</v>
      </c>
      <c r="M589" s="322">
        <v>0</v>
      </c>
      <c r="N589" s="322">
        <v>0</v>
      </c>
      <c r="O589" s="322">
        <v>0</v>
      </c>
      <c r="P589" s="322">
        <v>0</v>
      </c>
      <c r="Q589" s="322">
        <v>0</v>
      </c>
      <c r="R589" s="322">
        <v>0</v>
      </c>
      <c r="S589" s="9">
        <v>0</v>
      </c>
      <c r="T589" s="9">
        <f t="shared" si="9"/>
        <v>0</v>
      </c>
      <c r="U589" s="321" t="s">
        <v>710</v>
      </c>
    </row>
    <row r="590" spans="1:21" ht="12" customHeight="1">
      <c r="A590" s="327">
        <v>5</v>
      </c>
      <c r="B590" s="159" t="s">
        <v>312</v>
      </c>
      <c r="C590" s="68" t="s">
        <v>95</v>
      </c>
      <c r="D590" s="68" t="s">
        <v>307</v>
      </c>
      <c r="E590" s="321">
        <v>5</v>
      </c>
      <c r="F590" s="322">
        <v>766</v>
      </c>
      <c r="G590" s="322">
        <v>524</v>
      </c>
      <c r="H590" s="322">
        <v>0</v>
      </c>
      <c r="I590" s="322">
        <v>0</v>
      </c>
      <c r="J590" s="322">
        <v>0</v>
      </c>
      <c r="K590" s="322">
        <v>0</v>
      </c>
      <c r="L590" s="322">
        <v>0</v>
      </c>
      <c r="M590" s="322">
        <v>0</v>
      </c>
      <c r="N590" s="322">
        <v>0</v>
      </c>
      <c r="O590" s="322">
        <v>0</v>
      </c>
      <c r="P590" s="322">
        <v>0</v>
      </c>
      <c r="Q590" s="322">
        <v>0</v>
      </c>
      <c r="R590" s="322">
        <v>0</v>
      </c>
      <c r="S590" s="9">
        <v>0</v>
      </c>
      <c r="T590" s="9">
        <f t="shared" si="9"/>
        <v>0</v>
      </c>
      <c r="U590" s="321" t="s">
        <v>711</v>
      </c>
    </row>
    <row r="591" spans="1:21" ht="12" customHeight="1">
      <c r="A591" s="327">
        <v>5</v>
      </c>
      <c r="B591" s="159" t="s">
        <v>314</v>
      </c>
      <c r="C591" s="68" t="s">
        <v>96</v>
      </c>
      <c r="D591" s="68" t="s">
        <v>308</v>
      </c>
      <c r="E591" s="321">
        <v>1</v>
      </c>
      <c r="F591" s="322">
        <v>1138</v>
      </c>
      <c r="G591" s="322">
        <v>387</v>
      </c>
      <c r="H591" s="322">
        <v>14</v>
      </c>
      <c r="I591" s="322">
        <v>5</v>
      </c>
      <c r="J591" s="322">
        <v>3</v>
      </c>
      <c r="K591" s="322">
        <v>0</v>
      </c>
      <c r="L591" s="322">
        <v>0</v>
      </c>
      <c r="M591" s="322">
        <v>0</v>
      </c>
      <c r="N591" s="322">
        <v>0</v>
      </c>
      <c r="O591" s="322">
        <v>0</v>
      </c>
      <c r="P591" s="322">
        <v>0</v>
      </c>
      <c r="Q591" s="322">
        <v>0</v>
      </c>
      <c r="R591" s="322">
        <v>3.3</v>
      </c>
      <c r="S591" s="9">
        <v>4.413146514749072E-6</v>
      </c>
      <c r="T591" s="9">
        <f t="shared" si="9"/>
        <v>1.4563383498671937E-5</v>
      </c>
      <c r="U591" s="321" t="s">
        <v>1007</v>
      </c>
    </row>
    <row r="592" spans="1:21" ht="12" customHeight="1">
      <c r="A592" s="327">
        <v>5</v>
      </c>
      <c r="B592" s="159" t="s">
        <v>314</v>
      </c>
      <c r="C592" s="68" t="s">
        <v>96</v>
      </c>
      <c r="D592" s="68" t="s">
        <v>308</v>
      </c>
      <c r="E592" s="321">
        <v>2</v>
      </c>
      <c r="F592" s="322">
        <v>1158</v>
      </c>
      <c r="G592" s="322">
        <v>389</v>
      </c>
      <c r="H592" s="322">
        <v>13</v>
      </c>
      <c r="I592" s="322">
        <v>5</v>
      </c>
      <c r="J592" s="322">
        <v>1</v>
      </c>
      <c r="K592" s="322">
        <v>1</v>
      </c>
      <c r="L592" s="322">
        <v>0</v>
      </c>
      <c r="M592" s="322">
        <v>0</v>
      </c>
      <c r="N592" s="322">
        <v>0</v>
      </c>
      <c r="O592" s="322">
        <v>0</v>
      </c>
      <c r="P592" s="322">
        <v>0</v>
      </c>
      <c r="Q592" s="322">
        <v>0</v>
      </c>
      <c r="R592" s="322">
        <v>1.5</v>
      </c>
      <c r="S592" s="9">
        <v>4.413146514749072E-6</v>
      </c>
      <c r="T592" s="9">
        <f t="shared" si="9"/>
        <v>6.619719772123608E-6</v>
      </c>
      <c r="U592" s="321" t="s">
        <v>1008</v>
      </c>
    </row>
    <row r="593" spans="1:21" ht="12" customHeight="1">
      <c r="A593" s="327">
        <v>5</v>
      </c>
      <c r="B593" s="159" t="s">
        <v>314</v>
      </c>
      <c r="C593" s="68" t="s">
        <v>96</v>
      </c>
      <c r="D593" s="68" t="s">
        <v>308</v>
      </c>
      <c r="E593" s="321">
        <v>3</v>
      </c>
      <c r="F593" s="322">
        <v>1256</v>
      </c>
      <c r="G593" s="322">
        <v>391</v>
      </c>
      <c r="H593" s="322">
        <v>30</v>
      </c>
      <c r="I593" s="322">
        <v>13</v>
      </c>
      <c r="J593" s="322">
        <v>12</v>
      </c>
      <c r="K593" s="322">
        <v>7</v>
      </c>
      <c r="L593" s="322">
        <v>3</v>
      </c>
      <c r="M593" s="322">
        <v>0</v>
      </c>
      <c r="N593" s="322">
        <v>0</v>
      </c>
      <c r="O593" s="322">
        <v>0</v>
      </c>
      <c r="P593" s="322">
        <v>0</v>
      </c>
      <c r="Q593" s="322">
        <v>0</v>
      </c>
      <c r="R593" s="322">
        <v>12.3</v>
      </c>
      <c r="S593" s="9">
        <v>4.413146514749072E-6</v>
      </c>
      <c r="T593" s="9">
        <f t="shared" si="9"/>
        <v>5.4281702131413588E-5</v>
      </c>
      <c r="U593" s="321" t="s">
        <v>1009</v>
      </c>
    </row>
    <row r="594" spans="1:21" ht="12" customHeight="1">
      <c r="A594" s="327">
        <v>5</v>
      </c>
      <c r="B594" s="159" t="s">
        <v>314</v>
      </c>
      <c r="C594" s="68" t="s">
        <v>96</v>
      </c>
      <c r="D594" s="68" t="s">
        <v>308</v>
      </c>
      <c r="E594" s="321">
        <v>4</v>
      </c>
      <c r="F594" s="322">
        <v>1154</v>
      </c>
      <c r="G594" s="322">
        <v>388</v>
      </c>
      <c r="H594" s="322">
        <v>22</v>
      </c>
      <c r="I594" s="322">
        <v>7</v>
      </c>
      <c r="J594" s="322">
        <v>4</v>
      </c>
      <c r="K594" s="322">
        <v>1</v>
      </c>
      <c r="L594" s="322">
        <v>0</v>
      </c>
      <c r="M594" s="322">
        <v>0</v>
      </c>
      <c r="N594" s="322">
        <v>0</v>
      </c>
      <c r="O594" s="322">
        <v>0</v>
      </c>
      <c r="P594" s="322">
        <v>0</v>
      </c>
      <c r="Q594" s="322">
        <v>0</v>
      </c>
      <c r="R594" s="322">
        <v>4.5</v>
      </c>
      <c r="S594" s="9">
        <v>4.413146514749072E-6</v>
      </c>
      <c r="T594" s="9">
        <f t="shared" si="9"/>
        <v>1.9859159316370823E-5</v>
      </c>
      <c r="U594" s="321" t="s">
        <v>1010</v>
      </c>
    </row>
    <row r="595" spans="1:21" ht="12" customHeight="1">
      <c r="A595" s="327">
        <v>5</v>
      </c>
      <c r="B595" s="159" t="s">
        <v>314</v>
      </c>
      <c r="C595" s="68" t="s">
        <v>96</v>
      </c>
      <c r="D595" s="68" t="s">
        <v>308</v>
      </c>
      <c r="E595" s="321">
        <v>5</v>
      </c>
      <c r="F595" s="322">
        <v>1192</v>
      </c>
      <c r="G595" s="322">
        <v>387</v>
      </c>
      <c r="H595" s="322">
        <v>10</v>
      </c>
      <c r="I595" s="322">
        <v>7</v>
      </c>
      <c r="J595" s="322">
        <v>6</v>
      </c>
      <c r="K595" s="322">
        <v>2</v>
      </c>
      <c r="L595" s="322">
        <v>0</v>
      </c>
      <c r="M595" s="322">
        <v>0</v>
      </c>
      <c r="N595" s="322">
        <v>0</v>
      </c>
      <c r="O595" s="322">
        <v>0</v>
      </c>
      <c r="P595" s="322">
        <v>0</v>
      </c>
      <c r="Q595" s="322">
        <v>0</v>
      </c>
      <c r="R595" s="322">
        <v>6.1</v>
      </c>
      <c r="S595" s="9">
        <v>4.413146514749072E-6</v>
      </c>
      <c r="T595" s="9">
        <f t="shared" si="9"/>
        <v>2.6920193739969339E-5</v>
      </c>
      <c r="U595" s="321" t="s">
        <v>1011</v>
      </c>
    </row>
    <row r="596" spans="1:21" ht="12" customHeight="1">
      <c r="A596" s="327">
        <v>5</v>
      </c>
      <c r="B596" s="159" t="s">
        <v>314</v>
      </c>
      <c r="C596" s="68" t="s">
        <v>96</v>
      </c>
      <c r="D596" s="68" t="s">
        <v>310</v>
      </c>
      <c r="E596" s="321">
        <v>1</v>
      </c>
      <c r="F596" s="322">
        <v>1366</v>
      </c>
      <c r="G596" s="322">
        <v>389</v>
      </c>
      <c r="H596" s="322">
        <v>64</v>
      </c>
      <c r="I596" s="322">
        <v>42</v>
      </c>
      <c r="J596" s="322">
        <v>25</v>
      </c>
      <c r="K596" s="322">
        <v>9</v>
      </c>
      <c r="L596" s="322">
        <v>4</v>
      </c>
      <c r="M596" s="322">
        <v>0</v>
      </c>
      <c r="N596" s="322">
        <v>0</v>
      </c>
      <c r="O596" s="322">
        <v>0</v>
      </c>
      <c r="P596" s="322">
        <v>0</v>
      </c>
      <c r="Q596" s="322">
        <v>0</v>
      </c>
      <c r="R596" s="322">
        <v>26.9</v>
      </c>
      <c r="S596" s="9">
        <v>4.4131067963907217E-6</v>
      </c>
      <c r="T596" s="9">
        <f t="shared" si="9"/>
        <v>1.1871257282291041E-4</v>
      </c>
      <c r="U596" s="321" t="s">
        <v>1037</v>
      </c>
    </row>
    <row r="597" spans="1:21" ht="12" customHeight="1">
      <c r="A597" s="327">
        <v>5</v>
      </c>
      <c r="B597" s="159" t="s">
        <v>314</v>
      </c>
      <c r="C597" s="68" t="s">
        <v>96</v>
      </c>
      <c r="D597" s="68" t="s">
        <v>310</v>
      </c>
      <c r="E597" s="321">
        <v>2</v>
      </c>
      <c r="F597" s="322">
        <v>1266</v>
      </c>
      <c r="G597" s="322">
        <v>389</v>
      </c>
      <c r="H597" s="322">
        <v>60</v>
      </c>
      <c r="I597" s="322">
        <v>35</v>
      </c>
      <c r="J597" s="322">
        <v>16</v>
      </c>
      <c r="K597" s="322">
        <v>7</v>
      </c>
      <c r="L597" s="322">
        <v>1</v>
      </c>
      <c r="M597" s="322">
        <v>0</v>
      </c>
      <c r="N597" s="322">
        <v>0</v>
      </c>
      <c r="O597" s="322">
        <v>0</v>
      </c>
      <c r="P597" s="322">
        <v>0</v>
      </c>
      <c r="Q597" s="322">
        <v>0</v>
      </c>
      <c r="R597" s="322">
        <v>18.2</v>
      </c>
      <c r="S597" s="9">
        <v>4.4131067963907217E-6</v>
      </c>
      <c r="T597" s="9">
        <f t="shared" si="9"/>
        <v>8.0318543694311129E-5</v>
      </c>
      <c r="U597" s="321" t="s">
        <v>1038</v>
      </c>
    </row>
    <row r="598" spans="1:21" ht="12" customHeight="1">
      <c r="A598" s="327">
        <v>5</v>
      </c>
      <c r="B598" s="159" t="s">
        <v>314</v>
      </c>
      <c r="C598" s="68" t="s">
        <v>96</v>
      </c>
      <c r="D598" s="68" t="s">
        <v>310</v>
      </c>
      <c r="E598" s="321">
        <v>3</v>
      </c>
      <c r="F598" s="322">
        <v>1088</v>
      </c>
      <c r="G598" s="322">
        <v>388</v>
      </c>
      <c r="H598" s="322">
        <v>40</v>
      </c>
      <c r="I598" s="322">
        <v>19</v>
      </c>
      <c r="J598" s="322">
        <v>12</v>
      </c>
      <c r="K598" s="322">
        <v>0</v>
      </c>
      <c r="L598" s="322">
        <v>0</v>
      </c>
      <c r="M598" s="322">
        <v>0</v>
      </c>
      <c r="N598" s="322">
        <v>0</v>
      </c>
      <c r="O598" s="322">
        <v>0</v>
      </c>
      <c r="P598" s="322">
        <v>0</v>
      </c>
      <c r="Q598" s="322">
        <v>0</v>
      </c>
      <c r="R598" s="322">
        <v>12.9</v>
      </c>
      <c r="S598" s="9">
        <v>4.4131067963907217E-6</v>
      </c>
      <c r="T598" s="9">
        <f t="shared" si="9"/>
        <v>5.6929077673440315E-5</v>
      </c>
      <c r="U598" s="321" t="s">
        <v>1039</v>
      </c>
    </row>
    <row r="599" spans="1:21" ht="12" customHeight="1">
      <c r="A599" s="327">
        <v>5</v>
      </c>
      <c r="B599" s="159" t="s">
        <v>314</v>
      </c>
      <c r="C599" s="68" t="s">
        <v>96</v>
      </c>
      <c r="D599" s="68" t="s">
        <v>310</v>
      </c>
      <c r="E599" s="321">
        <v>4</v>
      </c>
      <c r="F599" s="322">
        <v>1248</v>
      </c>
      <c r="G599" s="322">
        <v>388</v>
      </c>
      <c r="H599" s="322">
        <v>47</v>
      </c>
      <c r="I599" s="322">
        <v>25</v>
      </c>
      <c r="J599" s="322">
        <v>14</v>
      </c>
      <c r="K599" s="322">
        <v>6</v>
      </c>
      <c r="L599" s="322">
        <v>0</v>
      </c>
      <c r="M599" s="322">
        <v>0</v>
      </c>
      <c r="N599" s="322">
        <v>0</v>
      </c>
      <c r="O599" s="322">
        <v>0</v>
      </c>
      <c r="P599" s="322">
        <v>0</v>
      </c>
      <c r="Q599" s="322">
        <v>0</v>
      </c>
      <c r="R599" s="322">
        <v>15.3</v>
      </c>
      <c r="S599" s="9">
        <v>4.4131067963907217E-6</v>
      </c>
      <c r="T599" s="9">
        <f t="shared" si="9"/>
        <v>6.7520533984778043E-5</v>
      </c>
      <c r="U599" s="321" t="s">
        <v>1040</v>
      </c>
    </row>
    <row r="600" spans="1:21" ht="12" customHeight="1">
      <c r="A600" s="327">
        <v>5</v>
      </c>
      <c r="B600" s="159" t="s">
        <v>314</v>
      </c>
      <c r="C600" s="68" t="s">
        <v>96</v>
      </c>
      <c r="D600" s="68" t="s">
        <v>310</v>
      </c>
      <c r="E600" s="321">
        <v>5</v>
      </c>
      <c r="F600" s="322">
        <v>1292</v>
      </c>
      <c r="G600" s="322">
        <v>391</v>
      </c>
      <c r="H600" s="322">
        <v>37</v>
      </c>
      <c r="I600" s="322">
        <v>27</v>
      </c>
      <c r="J600" s="322">
        <v>11</v>
      </c>
      <c r="K600" s="322">
        <v>4</v>
      </c>
      <c r="L600" s="322">
        <v>1</v>
      </c>
      <c r="M600" s="322">
        <v>0</v>
      </c>
      <c r="N600" s="322">
        <v>0</v>
      </c>
      <c r="O600" s="322">
        <v>0</v>
      </c>
      <c r="P600" s="322">
        <v>0</v>
      </c>
      <c r="Q600" s="322">
        <v>0</v>
      </c>
      <c r="R600" s="322">
        <v>12.7</v>
      </c>
      <c r="S600" s="9">
        <v>4.4131067963907217E-6</v>
      </c>
      <c r="T600" s="9">
        <f t="shared" si="9"/>
        <v>5.6046456314162161E-5</v>
      </c>
      <c r="U600" s="321" t="s">
        <v>1041</v>
      </c>
    </row>
    <row r="601" spans="1:21" ht="12" customHeight="1">
      <c r="A601" s="327">
        <v>5</v>
      </c>
      <c r="B601" s="159" t="s">
        <v>314</v>
      </c>
      <c r="C601" s="68" t="s">
        <v>96</v>
      </c>
      <c r="D601" s="68" t="s">
        <v>309</v>
      </c>
      <c r="E601" s="321">
        <v>1</v>
      </c>
      <c r="F601" s="322">
        <v>802</v>
      </c>
      <c r="G601" s="322">
        <v>390</v>
      </c>
      <c r="H601" s="322">
        <v>0</v>
      </c>
      <c r="I601" s="322">
        <v>0</v>
      </c>
      <c r="J601" s="322">
        <v>0</v>
      </c>
      <c r="K601" s="322">
        <v>0</v>
      </c>
      <c r="L601" s="322">
        <v>0</v>
      </c>
      <c r="M601" s="322">
        <v>0</v>
      </c>
      <c r="N601" s="322">
        <v>0</v>
      </c>
      <c r="O601" s="322">
        <v>0</v>
      </c>
      <c r="P601" s="322">
        <v>0</v>
      </c>
      <c r="Q601" s="322">
        <v>0</v>
      </c>
      <c r="R601" s="322">
        <v>0</v>
      </c>
      <c r="S601" s="9">
        <v>4.413146514749072E-6</v>
      </c>
      <c r="T601" s="9">
        <f t="shared" si="9"/>
        <v>0</v>
      </c>
      <c r="U601" s="321" t="s">
        <v>1067</v>
      </c>
    </row>
    <row r="602" spans="1:21" ht="12" customHeight="1">
      <c r="A602" s="327">
        <v>5</v>
      </c>
      <c r="B602" s="159" t="s">
        <v>314</v>
      </c>
      <c r="C602" s="68" t="s">
        <v>96</v>
      </c>
      <c r="D602" s="68" t="s">
        <v>309</v>
      </c>
      <c r="E602" s="321">
        <v>2</v>
      </c>
      <c r="F602" s="322">
        <v>730</v>
      </c>
      <c r="G602" s="322">
        <v>388</v>
      </c>
      <c r="H602" s="322">
        <v>0</v>
      </c>
      <c r="I602" s="322">
        <v>0</v>
      </c>
      <c r="J602" s="322">
        <v>0</v>
      </c>
      <c r="K602" s="322">
        <v>0</v>
      </c>
      <c r="L602" s="322">
        <v>0</v>
      </c>
      <c r="M602" s="322">
        <v>0</v>
      </c>
      <c r="N602" s="322">
        <v>0</v>
      </c>
      <c r="O602" s="322">
        <v>0</v>
      </c>
      <c r="P602" s="322">
        <v>0</v>
      </c>
      <c r="Q602" s="322">
        <v>0</v>
      </c>
      <c r="R602" s="322">
        <v>0</v>
      </c>
      <c r="S602" s="9">
        <v>4.413146514749072E-6</v>
      </c>
      <c r="T602" s="9">
        <f t="shared" si="9"/>
        <v>0</v>
      </c>
      <c r="U602" s="321" t="s">
        <v>1068</v>
      </c>
    </row>
    <row r="603" spans="1:21" ht="12" customHeight="1">
      <c r="A603" s="327">
        <v>5</v>
      </c>
      <c r="B603" s="159" t="s">
        <v>314</v>
      </c>
      <c r="C603" s="68" t="s">
        <v>96</v>
      </c>
      <c r="D603" s="68" t="s">
        <v>309</v>
      </c>
      <c r="E603" s="321">
        <v>3</v>
      </c>
      <c r="F603" s="322">
        <v>756</v>
      </c>
      <c r="G603" s="322">
        <v>387</v>
      </c>
      <c r="H603" s="322">
        <v>0</v>
      </c>
      <c r="I603" s="322">
        <v>0</v>
      </c>
      <c r="J603" s="322">
        <v>0</v>
      </c>
      <c r="K603" s="322">
        <v>0</v>
      </c>
      <c r="L603" s="322">
        <v>0</v>
      </c>
      <c r="M603" s="322">
        <v>0</v>
      </c>
      <c r="N603" s="322">
        <v>0</v>
      </c>
      <c r="O603" s="322">
        <v>0</v>
      </c>
      <c r="P603" s="322">
        <v>0</v>
      </c>
      <c r="Q603" s="322">
        <v>0</v>
      </c>
      <c r="R603" s="322">
        <v>0</v>
      </c>
      <c r="S603" s="9">
        <v>4.413146514749072E-6</v>
      </c>
      <c r="T603" s="9">
        <f t="shared" si="9"/>
        <v>0</v>
      </c>
      <c r="U603" s="321" t="s">
        <v>1069</v>
      </c>
    </row>
    <row r="604" spans="1:21" ht="12" customHeight="1">
      <c r="A604" s="327">
        <v>5</v>
      </c>
      <c r="B604" s="159" t="s">
        <v>314</v>
      </c>
      <c r="C604" s="68" t="s">
        <v>96</v>
      </c>
      <c r="D604" s="68" t="s">
        <v>309</v>
      </c>
      <c r="E604" s="321">
        <v>4</v>
      </c>
      <c r="F604" s="322">
        <v>760</v>
      </c>
      <c r="G604" s="322">
        <v>387</v>
      </c>
      <c r="H604" s="322">
        <v>0</v>
      </c>
      <c r="I604" s="322">
        <v>0</v>
      </c>
      <c r="J604" s="322">
        <v>0</v>
      </c>
      <c r="K604" s="322">
        <v>0</v>
      </c>
      <c r="L604" s="322">
        <v>0</v>
      </c>
      <c r="M604" s="322">
        <v>0</v>
      </c>
      <c r="N604" s="322">
        <v>0</v>
      </c>
      <c r="O604" s="322">
        <v>0</v>
      </c>
      <c r="P604" s="322">
        <v>0</v>
      </c>
      <c r="Q604" s="322">
        <v>0</v>
      </c>
      <c r="R604" s="322">
        <v>0</v>
      </c>
      <c r="S604" s="9">
        <v>4.413146514749072E-6</v>
      </c>
      <c r="T604" s="9">
        <f t="shared" si="9"/>
        <v>0</v>
      </c>
      <c r="U604" s="321" t="s">
        <v>1070</v>
      </c>
    </row>
    <row r="605" spans="1:21" ht="12" customHeight="1">
      <c r="A605" s="327">
        <v>5</v>
      </c>
      <c r="B605" s="159" t="s">
        <v>314</v>
      </c>
      <c r="C605" s="68" t="s">
        <v>96</v>
      </c>
      <c r="D605" s="68" t="s">
        <v>309</v>
      </c>
      <c r="E605" s="321">
        <v>5</v>
      </c>
      <c r="F605" s="322">
        <v>764</v>
      </c>
      <c r="G605" s="322">
        <v>387</v>
      </c>
      <c r="H605" s="322">
        <v>0</v>
      </c>
      <c r="I605" s="322">
        <v>0</v>
      </c>
      <c r="J605" s="322">
        <v>0</v>
      </c>
      <c r="K605" s="322">
        <v>0</v>
      </c>
      <c r="L605" s="322">
        <v>0</v>
      </c>
      <c r="M605" s="322">
        <v>0</v>
      </c>
      <c r="N605" s="322">
        <v>0</v>
      </c>
      <c r="O605" s="322">
        <v>0</v>
      </c>
      <c r="P605" s="322">
        <v>0</v>
      </c>
      <c r="Q605" s="322">
        <v>0</v>
      </c>
      <c r="R605" s="322">
        <v>0</v>
      </c>
      <c r="S605" s="9">
        <v>4.413146514749072E-6</v>
      </c>
      <c r="T605" s="9">
        <f t="shared" si="9"/>
        <v>0</v>
      </c>
      <c r="U605" s="321" t="s">
        <v>1071</v>
      </c>
    </row>
    <row r="606" spans="1:21" ht="12" customHeight="1">
      <c r="A606" s="327">
        <v>5</v>
      </c>
      <c r="B606" s="159" t="s">
        <v>314</v>
      </c>
      <c r="C606" s="68" t="s">
        <v>96</v>
      </c>
      <c r="D606" s="68" t="s">
        <v>307</v>
      </c>
      <c r="E606" s="321">
        <v>1</v>
      </c>
      <c r="F606" s="322">
        <v>772</v>
      </c>
      <c r="G606" s="322">
        <v>392</v>
      </c>
      <c r="H606" s="322">
        <v>0</v>
      </c>
      <c r="I606" s="322">
        <v>0</v>
      </c>
      <c r="J606" s="322">
        <v>0</v>
      </c>
      <c r="K606" s="322">
        <v>0</v>
      </c>
      <c r="L606" s="322">
        <v>0</v>
      </c>
      <c r="M606" s="322">
        <v>0</v>
      </c>
      <c r="N606" s="322">
        <v>0</v>
      </c>
      <c r="O606" s="322">
        <v>0</v>
      </c>
      <c r="P606" s="322">
        <v>0</v>
      </c>
      <c r="Q606" s="322">
        <v>0</v>
      </c>
      <c r="R606" s="322">
        <v>0</v>
      </c>
      <c r="S606" s="9">
        <v>1.1915507505329999E-4</v>
      </c>
      <c r="T606" s="9">
        <f t="shared" si="9"/>
        <v>0</v>
      </c>
      <c r="U606" s="321" t="s">
        <v>1097</v>
      </c>
    </row>
    <row r="607" spans="1:21" ht="12" customHeight="1">
      <c r="A607" s="327">
        <v>5</v>
      </c>
      <c r="B607" s="159" t="s">
        <v>314</v>
      </c>
      <c r="C607" s="68" t="s">
        <v>96</v>
      </c>
      <c r="D607" s="68" t="s">
        <v>307</v>
      </c>
      <c r="E607" s="321">
        <v>2</v>
      </c>
      <c r="F607" s="322">
        <v>744</v>
      </c>
      <c r="G607" s="322">
        <v>388</v>
      </c>
      <c r="H607" s="322">
        <v>0</v>
      </c>
      <c r="I607" s="322">
        <v>0</v>
      </c>
      <c r="J607" s="322">
        <v>0</v>
      </c>
      <c r="K607" s="322">
        <v>0</v>
      </c>
      <c r="L607" s="322">
        <v>0</v>
      </c>
      <c r="M607" s="322">
        <v>0</v>
      </c>
      <c r="N607" s="322">
        <v>0</v>
      </c>
      <c r="O607" s="322">
        <v>0</v>
      </c>
      <c r="P607" s="322">
        <v>0</v>
      </c>
      <c r="Q607" s="322">
        <v>0</v>
      </c>
      <c r="R607" s="322">
        <v>0</v>
      </c>
      <c r="S607" s="9">
        <v>1.1915507505329999E-4</v>
      </c>
      <c r="T607" s="9">
        <f t="shared" si="9"/>
        <v>0</v>
      </c>
      <c r="U607" s="321" t="s">
        <v>1098</v>
      </c>
    </row>
    <row r="608" spans="1:21" ht="12" customHeight="1">
      <c r="A608" s="327">
        <v>5</v>
      </c>
      <c r="B608" s="159" t="s">
        <v>314</v>
      </c>
      <c r="C608" s="68" t="s">
        <v>96</v>
      </c>
      <c r="D608" s="68" t="s">
        <v>307</v>
      </c>
      <c r="E608" s="321">
        <v>3</v>
      </c>
      <c r="F608" s="322">
        <v>900</v>
      </c>
      <c r="G608" s="322">
        <v>363</v>
      </c>
      <c r="H608" s="322">
        <v>0</v>
      </c>
      <c r="I608" s="322">
        <v>0</v>
      </c>
      <c r="J608" s="322">
        <v>0</v>
      </c>
      <c r="K608" s="322">
        <v>0</v>
      </c>
      <c r="L608" s="322">
        <v>0</v>
      </c>
      <c r="M608" s="322">
        <v>0</v>
      </c>
      <c r="N608" s="322">
        <v>0</v>
      </c>
      <c r="O608" s="322">
        <v>0</v>
      </c>
      <c r="P608" s="322">
        <v>0</v>
      </c>
      <c r="Q608" s="322">
        <v>0</v>
      </c>
      <c r="R608" s="322">
        <v>0</v>
      </c>
      <c r="S608" s="9">
        <v>1.1915507505329999E-4</v>
      </c>
      <c r="T608" s="9">
        <f t="shared" si="9"/>
        <v>0</v>
      </c>
      <c r="U608" s="321" t="s">
        <v>1099</v>
      </c>
    </row>
    <row r="609" spans="1:21" ht="12" customHeight="1">
      <c r="A609" s="327">
        <v>5</v>
      </c>
      <c r="B609" s="159" t="s">
        <v>314</v>
      </c>
      <c r="C609" s="68" t="s">
        <v>96</v>
      </c>
      <c r="D609" s="68" t="s">
        <v>307</v>
      </c>
      <c r="E609" s="321">
        <v>4</v>
      </c>
      <c r="F609" s="322">
        <v>790</v>
      </c>
      <c r="G609" s="322">
        <v>390</v>
      </c>
      <c r="H609" s="322">
        <v>0</v>
      </c>
      <c r="I609" s="322">
        <v>0</v>
      </c>
      <c r="J609" s="322">
        <v>0</v>
      </c>
      <c r="K609" s="322">
        <v>0</v>
      </c>
      <c r="L609" s="322">
        <v>0</v>
      </c>
      <c r="M609" s="322">
        <v>0</v>
      </c>
      <c r="N609" s="322">
        <v>0</v>
      </c>
      <c r="O609" s="322">
        <v>0</v>
      </c>
      <c r="P609" s="322">
        <v>0</v>
      </c>
      <c r="Q609" s="322">
        <v>0</v>
      </c>
      <c r="R609" s="322">
        <v>0</v>
      </c>
      <c r="S609" s="9">
        <v>1.1915507505329999E-4</v>
      </c>
      <c r="T609" s="9">
        <f t="shared" si="9"/>
        <v>0</v>
      </c>
      <c r="U609" s="321" t="s">
        <v>1100</v>
      </c>
    </row>
    <row r="610" spans="1:21" ht="12" customHeight="1">
      <c r="A610" s="327">
        <v>5</v>
      </c>
      <c r="B610" s="159" t="s">
        <v>314</v>
      </c>
      <c r="C610" s="68" t="s">
        <v>96</v>
      </c>
      <c r="D610" s="68" t="s">
        <v>307</v>
      </c>
      <c r="E610" s="321">
        <v>5</v>
      </c>
      <c r="F610" s="322">
        <v>754</v>
      </c>
      <c r="G610" s="322">
        <v>391</v>
      </c>
      <c r="H610" s="322">
        <v>0</v>
      </c>
      <c r="I610" s="322">
        <v>0</v>
      </c>
      <c r="J610" s="322">
        <v>0</v>
      </c>
      <c r="K610" s="322">
        <v>0</v>
      </c>
      <c r="L610" s="322">
        <v>0</v>
      </c>
      <c r="M610" s="322">
        <v>0</v>
      </c>
      <c r="N610" s="322">
        <v>0</v>
      </c>
      <c r="O610" s="322">
        <v>0</v>
      </c>
      <c r="P610" s="322">
        <v>0</v>
      </c>
      <c r="Q610" s="322">
        <v>0</v>
      </c>
      <c r="R610" s="322">
        <v>0</v>
      </c>
      <c r="S610" s="9">
        <v>1.1915507505329999E-4</v>
      </c>
      <c r="T610" s="9">
        <f t="shared" si="9"/>
        <v>0</v>
      </c>
      <c r="U610" s="321" t="s">
        <v>1101</v>
      </c>
    </row>
    <row r="611" spans="1:21" ht="12" customHeight="1">
      <c r="A611" s="327">
        <v>5</v>
      </c>
      <c r="B611" s="159" t="s">
        <v>314</v>
      </c>
      <c r="C611" s="68" t="s">
        <v>95</v>
      </c>
      <c r="D611" s="68" t="s">
        <v>308</v>
      </c>
      <c r="E611" s="321">
        <v>1</v>
      </c>
      <c r="F611" s="322">
        <v>1154</v>
      </c>
      <c r="G611" s="322">
        <v>525</v>
      </c>
      <c r="H611" s="322">
        <v>31</v>
      </c>
      <c r="I611" s="322">
        <v>11</v>
      </c>
      <c r="J611" s="322">
        <v>5</v>
      </c>
      <c r="K611" s="322">
        <v>0</v>
      </c>
      <c r="L611" s="322">
        <v>0</v>
      </c>
      <c r="M611" s="322">
        <v>0</v>
      </c>
      <c r="N611" s="322">
        <v>0</v>
      </c>
      <c r="O611" s="322">
        <v>0</v>
      </c>
      <c r="P611" s="322">
        <v>0</v>
      </c>
      <c r="Q611" s="322">
        <v>0</v>
      </c>
      <c r="R611" s="322">
        <v>5.8</v>
      </c>
      <c r="S611" s="9">
        <v>4.4577237522717891E-8</v>
      </c>
      <c r="T611" s="9">
        <f t="shared" si="9"/>
        <v>2.5854797763176377E-7</v>
      </c>
      <c r="U611" s="321" t="s">
        <v>857</v>
      </c>
    </row>
    <row r="612" spans="1:21" ht="12" customHeight="1">
      <c r="A612" s="327">
        <v>5</v>
      </c>
      <c r="B612" s="159" t="s">
        <v>314</v>
      </c>
      <c r="C612" s="68" t="s">
        <v>95</v>
      </c>
      <c r="D612" s="68" t="s">
        <v>308</v>
      </c>
      <c r="E612" s="321">
        <v>2</v>
      </c>
      <c r="F612" s="322">
        <v>1150</v>
      </c>
      <c r="G612" s="322">
        <v>524</v>
      </c>
      <c r="H612" s="322">
        <v>23</v>
      </c>
      <c r="I612" s="322">
        <v>8</v>
      </c>
      <c r="J612" s="322">
        <v>7</v>
      </c>
      <c r="K612" s="322">
        <v>0</v>
      </c>
      <c r="L612" s="322">
        <v>0</v>
      </c>
      <c r="M612" s="322">
        <v>0</v>
      </c>
      <c r="N612" s="322">
        <v>0</v>
      </c>
      <c r="O612" s="322">
        <v>0</v>
      </c>
      <c r="P612" s="322">
        <v>0</v>
      </c>
      <c r="Q612" s="322">
        <v>0</v>
      </c>
      <c r="R612" s="322">
        <v>7.3</v>
      </c>
      <c r="S612" s="9">
        <v>4.4577237522717891E-8</v>
      </c>
      <c r="T612" s="9">
        <f t="shared" si="9"/>
        <v>3.2541383391584059E-7</v>
      </c>
      <c r="U612" s="321" t="s">
        <v>858</v>
      </c>
    </row>
    <row r="613" spans="1:21" ht="12" customHeight="1">
      <c r="A613" s="327">
        <v>5</v>
      </c>
      <c r="B613" s="159" t="s">
        <v>314</v>
      </c>
      <c r="C613" s="68" t="s">
        <v>95</v>
      </c>
      <c r="D613" s="68" t="s">
        <v>308</v>
      </c>
      <c r="E613" s="321">
        <v>3</v>
      </c>
      <c r="F613" s="322">
        <v>1144</v>
      </c>
      <c r="G613" s="322">
        <v>525</v>
      </c>
      <c r="H613" s="322">
        <v>28</v>
      </c>
      <c r="I613" s="322">
        <v>7</v>
      </c>
      <c r="J613" s="322">
        <v>5</v>
      </c>
      <c r="K613" s="322">
        <v>0</v>
      </c>
      <c r="L613" s="322">
        <v>0</v>
      </c>
      <c r="M613" s="322">
        <v>0</v>
      </c>
      <c r="N613" s="322">
        <v>0</v>
      </c>
      <c r="O613" s="322">
        <v>0</v>
      </c>
      <c r="P613" s="322">
        <v>0</v>
      </c>
      <c r="Q613" s="322">
        <v>0</v>
      </c>
      <c r="R613" s="322">
        <v>5.4</v>
      </c>
      <c r="S613" s="9">
        <v>4.4577237522717891E-8</v>
      </c>
      <c r="T613" s="9">
        <f t="shared" si="9"/>
        <v>2.4071708262267663E-7</v>
      </c>
      <c r="U613" s="321" t="s">
        <v>859</v>
      </c>
    </row>
    <row r="614" spans="1:21" ht="12" customHeight="1">
      <c r="A614" s="327">
        <v>5</v>
      </c>
      <c r="B614" s="159" t="s">
        <v>314</v>
      </c>
      <c r="C614" s="68" t="s">
        <v>95</v>
      </c>
      <c r="D614" s="68" t="s">
        <v>308</v>
      </c>
      <c r="E614" s="321">
        <v>4</v>
      </c>
      <c r="F614" s="322">
        <v>1150</v>
      </c>
      <c r="G614" s="322">
        <v>524</v>
      </c>
      <c r="H614" s="322">
        <v>33</v>
      </c>
      <c r="I614" s="322">
        <v>11</v>
      </c>
      <c r="J614" s="322">
        <v>10</v>
      </c>
      <c r="K614" s="322">
        <v>0</v>
      </c>
      <c r="L614" s="322">
        <v>0</v>
      </c>
      <c r="M614" s="322">
        <v>0</v>
      </c>
      <c r="N614" s="322">
        <v>0</v>
      </c>
      <c r="O614" s="322">
        <v>0</v>
      </c>
      <c r="P614" s="322">
        <v>0</v>
      </c>
      <c r="Q614" s="322">
        <v>0</v>
      </c>
      <c r="R614" s="322">
        <v>10.3</v>
      </c>
      <c r="S614" s="9">
        <v>4.4577237522717891E-8</v>
      </c>
      <c r="T614" s="9">
        <f t="shared" si="9"/>
        <v>4.5914554648399433E-7</v>
      </c>
      <c r="U614" s="321" t="s">
        <v>860</v>
      </c>
    </row>
    <row r="615" spans="1:21" ht="12" customHeight="1">
      <c r="A615" s="327">
        <v>5</v>
      </c>
      <c r="B615" s="159" t="s">
        <v>314</v>
      </c>
      <c r="C615" s="68" t="s">
        <v>95</v>
      </c>
      <c r="D615" s="68" t="s">
        <v>308</v>
      </c>
      <c r="E615" s="321">
        <v>5</v>
      </c>
      <c r="F615" s="322">
        <v>1146</v>
      </c>
      <c r="G615" s="322">
        <v>525</v>
      </c>
      <c r="H615" s="322">
        <v>16</v>
      </c>
      <c r="I615" s="322">
        <v>7</v>
      </c>
      <c r="J615" s="322">
        <v>2</v>
      </c>
      <c r="K615" s="322">
        <v>0</v>
      </c>
      <c r="L615" s="322">
        <v>0</v>
      </c>
      <c r="M615" s="322">
        <v>0</v>
      </c>
      <c r="N615" s="322">
        <v>0</v>
      </c>
      <c r="O615" s="322">
        <v>0</v>
      </c>
      <c r="P615" s="322">
        <v>0</v>
      </c>
      <c r="Q615" s="322">
        <v>0</v>
      </c>
      <c r="R615" s="322">
        <v>2.6</v>
      </c>
      <c r="S615" s="9">
        <v>4.4577237522717891E-8</v>
      </c>
      <c r="T615" s="9">
        <f t="shared" si="9"/>
        <v>1.1590081755906652E-7</v>
      </c>
      <c r="U615" s="321" t="s">
        <v>861</v>
      </c>
    </row>
    <row r="616" spans="1:21" ht="12" customHeight="1">
      <c r="A616" s="327">
        <v>5</v>
      </c>
      <c r="B616" s="159" t="s">
        <v>314</v>
      </c>
      <c r="C616" s="68" t="s">
        <v>95</v>
      </c>
      <c r="D616" s="68" t="s">
        <v>310</v>
      </c>
      <c r="E616" s="321">
        <v>1</v>
      </c>
      <c r="F616" s="322">
        <v>1330</v>
      </c>
      <c r="G616" s="322">
        <v>525</v>
      </c>
      <c r="H616" s="322">
        <v>115</v>
      </c>
      <c r="I616" s="322">
        <v>95</v>
      </c>
      <c r="J616" s="322">
        <v>70</v>
      </c>
      <c r="K616" s="322">
        <v>47</v>
      </c>
      <c r="L616" s="322">
        <v>23</v>
      </c>
      <c r="M616" s="322">
        <v>0</v>
      </c>
      <c r="N616" s="322">
        <v>0</v>
      </c>
      <c r="O616" s="322">
        <v>0</v>
      </c>
      <c r="P616" s="322">
        <v>0</v>
      </c>
      <c r="Q616" s="322">
        <v>0</v>
      </c>
      <c r="R616" s="322">
        <v>72.7</v>
      </c>
      <c r="S616" s="9">
        <v>4.4576836327178993E-8</v>
      </c>
      <c r="T616" s="9">
        <f t="shared" si="9"/>
        <v>3.2407360009859128E-6</v>
      </c>
      <c r="U616" s="321" t="s">
        <v>887</v>
      </c>
    </row>
    <row r="617" spans="1:21" ht="12" customHeight="1">
      <c r="A617" s="327">
        <v>5</v>
      </c>
      <c r="B617" s="159" t="s">
        <v>314</v>
      </c>
      <c r="C617" s="68" t="s">
        <v>95</v>
      </c>
      <c r="D617" s="68" t="s">
        <v>310</v>
      </c>
      <c r="E617" s="321">
        <v>2</v>
      </c>
      <c r="F617" s="322">
        <v>1310</v>
      </c>
      <c r="G617" s="322">
        <v>524</v>
      </c>
      <c r="H617" s="322">
        <v>132</v>
      </c>
      <c r="I617" s="322">
        <v>124</v>
      </c>
      <c r="J617" s="322">
        <v>79</v>
      </c>
      <c r="K617" s="322">
        <v>66</v>
      </c>
      <c r="L617" s="322">
        <v>24</v>
      </c>
      <c r="M617" s="322">
        <v>0</v>
      </c>
      <c r="N617" s="322">
        <v>0</v>
      </c>
      <c r="O617" s="322">
        <v>0</v>
      </c>
      <c r="P617" s="322">
        <v>0</v>
      </c>
      <c r="Q617" s="322">
        <v>0</v>
      </c>
      <c r="R617" s="322">
        <v>83.6</v>
      </c>
      <c r="S617" s="9">
        <v>4.4576836327178993E-8</v>
      </c>
      <c r="T617" s="9">
        <f t="shared" si="9"/>
        <v>3.7266235169521635E-6</v>
      </c>
      <c r="U617" s="321" t="s">
        <v>888</v>
      </c>
    </row>
    <row r="618" spans="1:21" ht="12" customHeight="1">
      <c r="A618" s="327">
        <v>5</v>
      </c>
      <c r="B618" s="159" t="s">
        <v>314</v>
      </c>
      <c r="C618" s="68" t="s">
        <v>95</v>
      </c>
      <c r="D618" s="68" t="s">
        <v>310</v>
      </c>
      <c r="E618" s="321">
        <v>3</v>
      </c>
      <c r="F618" s="322">
        <v>1298</v>
      </c>
      <c r="G618" s="322">
        <v>524</v>
      </c>
      <c r="H618" s="322">
        <v>165</v>
      </c>
      <c r="I618" s="322">
        <v>131</v>
      </c>
      <c r="J618" s="322">
        <v>100</v>
      </c>
      <c r="K618" s="322">
        <v>38</v>
      </c>
      <c r="L618" s="322">
        <v>8</v>
      </c>
      <c r="M618" s="322">
        <v>0</v>
      </c>
      <c r="N618" s="322">
        <v>0</v>
      </c>
      <c r="O618" s="322">
        <v>0</v>
      </c>
      <c r="P618" s="322">
        <v>0</v>
      </c>
      <c r="Q618" s="322">
        <v>0</v>
      </c>
      <c r="R618" s="322">
        <v>103.4</v>
      </c>
      <c r="S618" s="9">
        <v>4.4576836327178993E-8</v>
      </c>
      <c r="T618" s="9">
        <f t="shared" si="9"/>
        <v>4.6092448762303078E-6</v>
      </c>
      <c r="U618" s="321" t="s">
        <v>889</v>
      </c>
    </row>
    <row r="619" spans="1:21" ht="12" customHeight="1">
      <c r="A619" s="327">
        <v>5</v>
      </c>
      <c r="B619" s="159" t="s">
        <v>314</v>
      </c>
      <c r="C619" s="68" t="s">
        <v>95</v>
      </c>
      <c r="D619" s="68" t="s">
        <v>310</v>
      </c>
      <c r="E619" s="321">
        <v>4</v>
      </c>
      <c r="F619" s="322">
        <v>1370</v>
      </c>
      <c r="G619" s="322">
        <v>524</v>
      </c>
      <c r="H619" s="322">
        <v>142</v>
      </c>
      <c r="I619" s="322">
        <v>122</v>
      </c>
      <c r="J619" s="322">
        <v>92</v>
      </c>
      <c r="K619" s="322">
        <v>58</v>
      </c>
      <c r="L619" s="322">
        <v>27</v>
      </c>
      <c r="M619" s="322">
        <v>2</v>
      </c>
      <c r="N619" s="322">
        <v>0</v>
      </c>
      <c r="O619" s="322">
        <v>0</v>
      </c>
      <c r="P619" s="322">
        <v>0</v>
      </c>
      <c r="Q619" s="322">
        <v>0</v>
      </c>
      <c r="R619" s="322">
        <v>95.2</v>
      </c>
      <c r="S619" s="9">
        <v>4.4576836327178993E-8</v>
      </c>
      <c r="T619" s="9">
        <f t="shared" si="9"/>
        <v>4.2437148183474401E-6</v>
      </c>
      <c r="U619" s="321" t="s">
        <v>890</v>
      </c>
    </row>
    <row r="620" spans="1:21" ht="12" customHeight="1">
      <c r="A620" s="327">
        <v>5</v>
      </c>
      <c r="B620" s="159" t="s">
        <v>314</v>
      </c>
      <c r="C620" s="68" t="s">
        <v>95</v>
      </c>
      <c r="D620" s="68" t="s">
        <v>310</v>
      </c>
      <c r="E620" s="321">
        <v>5</v>
      </c>
      <c r="F620" s="322">
        <v>1292</v>
      </c>
      <c r="G620" s="322">
        <v>524</v>
      </c>
      <c r="H620" s="322">
        <v>176</v>
      </c>
      <c r="I620" s="322">
        <v>145</v>
      </c>
      <c r="J620" s="322">
        <v>90</v>
      </c>
      <c r="K620" s="322">
        <v>49</v>
      </c>
      <c r="L620" s="322">
        <v>13</v>
      </c>
      <c r="M620" s="322">
        <v>0</v>
      </c>
      <c r="N620" s="322">
        <v>0</v>
      </c>
      <c r="O620" s="322">
        <v>0</v>
      </c>
      <c r="P620" s="322">
        <v>0</v>
      </c>
      <c r="Q620" s="322">
        <v>0</v>
      </c>
      <c r="R620" s="322">
        <v>95.8</v>
      </c>
      <c r="S620" s="9">
        <v>4.4576836327178993E-8</v>
      </c>
      <c r="T620" s="9">
        <f t="shared" si="9"/>
        <v>4.2704609201437471E-6</v>
      </c>
      <c r="U620" s="321" t="s">
        <v>891</v>
      </c>
    </row>
    <row r="621" spans="1:21" ht="12" customHeight="1">
      <c r="A621" s="327">
        <v>5</v>
      </c>
      <c r="B621" s="159" t="s">
        <v>314</v>
      </c>
      <c r="C621" s="68" t="s">
        <v>95</v>
      </c>
      <c r="D621" s="68" t="s">
        <v>309</v>
      </c>
      <c r="E621" s="321">
        <v>1</v>
      </c>
      <c r="F621" s="322">
        <v>840</v>
      </c>
      <c r="G621" s="322">
        <v>524</v>
      </c>
      <c r="H621" s="322">
        <v>0</v>
      </c>
      <c r="I621" s="322">
        <v>0</v>
      </c>
      <c r="J621" s="322">
        <v>0</v>
      </c>
      <c r="K621" s="322">
        <v>0</v>
      </c>
      <c r="L621" s="322">
        <v>0</v>
      </c>
      <c r="M621" s="322">
        <v>0</v>
      </c>
      <c r="N621" s="322">
        <v>0</v>
      </c>
      <c r="O621" s="322">
        <v>0</v>
      </c>
      <c r="P621" s="322">
        <v>0</v>
      </c>
      <c r="Q621" s="322">
        <v>0</v>
      </c>
      <c r="R621" s="322">
        <v>0</v>
      </c>
      <c r="S621" s="9">
        <v>4.4577237522717891E-8</v>
      </c>
      <c r="T621" s="9">
        <f t="shared" si="9"/>
        <v>0</v>
      </c>
      <c r="U621" s="321" t="s">
        <v>917</v>
      </c>
    </row>
    <row r="622" spans="1:21" ht="12" customHeight="1">
      <c r="A622" s="327">
        <v>5</v>
      </c>
      <c r="B622" s="159" t="s">
        <v>314</v>
      </c>
      <c r="C622" s="68" t="s">
        <v>95</v>
      </c>
      <c r="D622" s="68" t="s">
        <v>309</v>
      </c>
      <c r="E622" s="321">
        <v>2</v>
      </c>
      <c r="F622" s="322">
        <v>758</v>
      </c>
      <c r="G622" s="322">
        <v>525</v>
      </c>
      <c r="H622" s="322">
        <v>0</v>
      </c>
      <c r="I622" s="322">
        <v>0</v>
      </c>
      <c r="J622" s="322">
        <v>0</v>
      </c>
      <c r="K622" s="322">
        <v>0</v>
      </c>
      <c r="L622" s="322">
        <v>0</v>
      </c>
      <c r="M622" s="322">
        <v>0</v>
      </c>
      <c r="N622" s="322">
        <v>0</v>
      </c>
      <c r="O622" s="322">
        <v>0</v>
      </c>
      <c r="P622" s="322">
        <v>0</v>
      </c>
      <c r="Q622" s="322">
        <v>0</v>
      </c>
      <c r="R622" s="322">
        <v>0</v>
      </c>
      <c r="S622" s="9">
        <v>4.4577237522717891E-8</v>
      </c>
      <c r="T622" s="9">
        <f t="shared" si="9"/>
        <v>0</v>
      </c>
      <c r="U622" s="321" t="s">
        <v>918</v>
      </c>
    </row>
    <row r="623" spans="1:21" ht="12" customHeight="1">
      <c r="A623" s="327">
        <v>5</v>
      </c>
      <c r="B623" s="159" t="s">
        <v>314</v>
      </c>
      <c r="C623" s="68" t="s">
        <v>95</v>
      </c>
      <c r="D623" s="68" t="s">
        <v>309</v>
      </c>
      <c r="E623" s="321">
        <v>3</v>
      </c>
      <c r="F623" s="322">
        <v>764</v>
      </c>
      <c r="G623" s="322">
        <v>524</v>
      </c>
      <c r="H623" s="322">
        <v>0</v>
      </c>
      <c r="I623" s="322">
        <v>0</v>
      </c>
      <c r="J623" s="322">
        <v>0</v>
      </c>
      <c r="K623" s="322">
        <v>0</v>
      </c>
      <c r="L623" s="322">
        <v>0</v>
      </c>
      <c r="M623" s="322">
        <v>0</v>
      </c>
      <c r="N623" s="322">
        <v>0</v>
      </c>
      <c r="O623" s="322">
        <v>0</v>
      </c>
      <c r="P623" s="322">
        <v>0</v>
      </c>
      <c r="Q623" s="322">
        <v>0</v>
      </c>
      <c r="R623" s="322">
        <v>0</v>
      </c>
      <c r="S623" s="9">
        <v>4.4577237522717891E-8</v>
      </c>
      <c r="T623" s="9">
        <f t="shared" si="9"/>
        <v>0</v>
      </c>
      <c r="U623" s="321" t="s">
        <v>919</v>
      </c>
    </row>
    <row r="624" spans="1:21" ht="12" customHeight="1">
      <c r="A624" s="327">
        <v>5</v>
      </c>
      <c r="B624" s="159" t="s">
        <v>314</v>
      </c>
      <c r="C624" s="68" t="s">
        <v>95</v>
      </c>
      <c r="D624" s="68" t="s">
        <v>309</v>
      </c>
      <c r="E624" s="321">
        <v>4</v>
      </c>
      <c r="F624" s="322">
        <v>752</v>
      </c>
      <c r="G624" s="322">
        <v>524</v>
      </c>
      <c r="H624" s="322">
        <v>0</v>
      </c>
      <c r="I624" s="322">
        <v>0</v>
      </c>
      <c r="J624" s="322">
        <v>0</v>
      </c>
      <c r="K624" s="322">
        <v>0</v>
      </c>
      <c r="L624" s="322">
        <v>0</v>
      </c>
      <c r="M624" s="322">
        <v>0</v>
      </c>
      <c r="N624" s="322">
        <v>0</v>
      </c>
      <c r="O624" s="322">
        <v>0</v>
      </c>
      <c r="P624" s="322">
        <v>0</v>
      </c>
      <c r="Q624" s="322">
        <v>0</v>
      </c>
      <c r="R624" s="322">
        <v>0</v>
      </c>
      <c r="S624" s="9">
        <v>4.4577237522717891E-8</v>
      </c>
      <c r="T624" s="9">
        <f t="shared" si="9"/>
        <v>0</v>
      </c>
      <c r="U624" s="321" t="s">
        <v>920</v>
      </c>
    </row>
    <row r="625" spans="1:21" ht="12" customHeight="1">
      <c r="A625" s="327">
        <v>5</v>
      </c>
      <c r="B625" s="159" t="s">
        <v>314</v>
      </c>
      <c r="C625" s="68" t="s">
        <v>95</v>
      </c>
      <c r="D625" s="68" t="s">
        <v>309</v>
      </c>
      <c r="E625" s="321">
        <v>5</v>
      </c>
      <c r="F625" s="322">
        <v>762</v>
      </c>
      <c r="G625" s="322">
        <v>524</v>
      </c>
      <c r="H625" s="322">
        <v>0</v>
      </c>
      <c r="I625" s="322">
        <v>0</v>
      </c>
      <c r="J625" s="322">
        <v>0</v>
      </c>
      <c r="K625" s="322">
        <v>0</v>
      </c>
      <c r="L625" s="322">
        <v>0</v>
      </c>
      <c r="M625" s="322">
        <v>0</v>
      </c>
      <c r="N625" s="322">
        <v>0</v>
      </c>
      <c r="O625" s="322">
        <v>0</v>
      </c>
      <c r="P625" s="322">
        <v>0</v>
      </c>
      <c r="Q625" s="322">
        <v>0</v>
      </c>
      <c r="R625" s="322">
        <v>0</v>
      </c>
      <c r="S625" s="9">
        <v>4.4577237522717891E-8</v>
      </c>
      <c r="T625" s="9">
        <f t="shared" si="9"/>
        <v>0</v>
      </c>
      <c r="U625" s="321" t="s">
        <v>921</v>
      </c>
    </row>
    <row r="626" spans="1:21" ht="12" customHeight="1">
      <c r="A626" s="327">
        <v>5</v>
      </c>
      <c r="B626" s="159" t="s">
        <v>314</v>
      </c>
      <c r="C626" s="68" t="s">
        <v>95</v>
      </c>
      <c r="D626" s="68" t="s">
        <v>311</v>
      </c>
      <c r="E626" s="321">
        <v>1</v>
      </c>
      <c r="F626" s="322">
        <v>1164</v>
      </c>
      <c r="G626" s="322">
        <v>524</v>
      </c>
      <c r="H626" s="322">
        <v>12</v>
      </c>
      <c r="I626" s="322">
        <v>7</v>
      </c>
      <c r="J626" s="322">
        <v>2</v>
      </c>
      <c r="K626" s="322">
        <v>0</v>
      </c>
      <c r="L626" s="322">
        <v>0</v>
      </c>
      <c r="M626" s="322">
        <v>0</v>
      </c>
      <c r="N626" s="322">
        <v>0</v>
      </c>
      <c r="O626" s="322">
        <v>0</v>
      </c>
      <c r="P626" s="322">
        <v>0</v>
      </c>
      <c r="Q626" s="322">
        <v>0</v>
      </c>
      <c r="R626" s="322">
        <v>2.6</v>
      </c>
      <c r="S626" s="9">
        <v>1.2035866167E-6</v>
      </c>
      <c r="T626" s="9">
        <f t="shared" si="9"/>
        <v>3.1293252034200003E-6</v>
      </c>
      <c r="U626" s="321" t="s">
        <v>947</v>
      </c>
    </row>
    <row r="627" spans="1:21" ht="12" customHeight="1">
      <c r="A627" s="327">
        <v>5</v>
      </c>
      <c r="B627" s="159" t="s">
        <v>314</v>
      </c>
      <c r="C627" s="68" t="s">
        <v>95</v>
      </c>
      <c r="D627" s="68" t="s">
        <v>311</v>
      </c>
      <c r="E627" s="321">
        <v>2</v>
      </c>
      <c r="F627" s="322">
        <v>1132</v>
      </c>
      <c r="G627" s="322">
        <v>524</v>
      </c>
      <c r="H627" s="322">
        <v>14</v>
      </c>
      <c r="I627" s="322">
        <v>7</v>
      </c>
      <c r="J627" s="322">
        <v>3</v>
      </c>
      <c r="K627" s="322">
        <v>0</v>
      </c>
      <c r="L627" s="322">
        <v>0</v>
      </c>
      <c r="M627" s="322">
        <v>0</v>
      </c>
      <c r="N627" s="322">
        <v>0</v>
      </c>
      <c r="O627" s="322">
        <v>0</v>
      </c>
      <c r="P627" s="322">
        <v>0</v>
      </c>
      <c r="Q627" s="322">
        <v>0</v>
      </c>
      <c r="R627" s="322">
        <v>3.5</v>
      </c>
      <c r="S627" s="9">
        <v>1.2035866167E-6</v>
      </c>
      <c r="T627" s="9">
        <f t="shared" si="9"/>
        <v>4.2125531584500005E-6</v>
      </c>
      <c r="U627" s="321" t="s">
        <v>948</v>
      </c>
    </row>
    <row r="628" spans="1:21" ht="12" customHeight="1">
      <c r="A628" s="327">
        <v>5</v>
      </c>
      <c r="B628" s="159" t="s">
        <v>314</v>
      </c>
      <c r="C628" s="68" t="s">
        <v>95</v>
      </c>
      <c r="D628" s="68" t="s">
        <v>311</v>
      </c>
      <c r="E628" s="321">
        <v>3</v>
      </c>
      <c r="F628" s="322">
        <v>1134</v>
      </c>
      <c r="G628" s="322">
        <v>524</v>
      </c>
      <c r="H628" s="322">
        <v>13</v>
      </c>
      <c r="I628" s="322">
        <v>7</v>
      </c>
      <c r="J628" s="322">
        <v>3</v>
      </c>
      <c r="K628" s="322">
        <v>0</v>
      </c>
      <c r="L628" s="322">
        <v>0</v>
      </c>
      <c r="M628" s="322">
        <v>0</v>
      </c>
      <c r="N628" s="322">
        <v>0</v>
      </c>
      <c r="O628" s="322">
        <v>0</v>
      </c>
      <c r="P628" s="322">
        <v>0</v>
      </c>
      <c r="Q628" s="322">
        <v>0</v>
      </c>
      <c r="R628" s="322">
        <v>3.5</v>
      </c>
      <c r="S628" s="9">
        <v>1.2035866167E-6</v>
      </c>
      <c r="T628" s="9">
        <f t="shared" si="9"/>
        <v>4.2125531584500005E-6</v>
      </c>
      <c r="U628" s="321" t="s">
        <v>949</v>
      </c>
    </row>
    <row r="629" spans="1:21" ht="12" customHeight="1">
      <c r="A629" s="327">
        <v>5</v>
      </c>
      <c r="B629" s="159" t="s">
        <v>314</v>
      </c>
      <c r="C629" s="68" t="s">
        <v>95</v>
      </c>
      <c r="D629" s="68" t="s">
        <v>311</v>
      </c>
      <c r="E629" s="321">
        <v>4</v>
      </c>
      <c r="F629" s="322">
        <v>1186</v>
      </c>
      <c r="G629" s="322">
        <v>525</v>
      </c>
      <c r="H629" s="322">
        <v>21</v>
      </c>
      <c r="I629" s="322">
        <v>16</v>
      </c>
      <c r="J629" s="322">
        <v>4</v>
      </c>
      <c r="K629" s="322">
        <v>3</v>
      </c>
      <c r="L629" s="322">
        <v>0</v>
      </c>
      <c r="M629" s="322">
        <v>0</v>
      </c>
      <c r="N629" s="322">
        <v>0</v>
      </c>
      <c r="O629" s="322">
        <v>0</v>
      </c>
      <c r="P629" s="322">
        <v>0</v>
      </c>
      <c r="Q629" s="322">
        <v>0</v>
      </c>
      <c r="R629" s="322">
        <v>5.3</v>
      </c>
      <c r="S629" s="9">
        <v>1.2035866167E-6</v>
      </c>
      <c r="T629" s="9">
        <f t="shared" si="9"/>
        <v>6.3790090685099999E-6</v>
      </c>
      <c r="U629" s="321" t="s">
        <v>950</v>
      </c>
    </row>
    <row r="630" spans="1:21" ht="12" customHeight="1">
      <c r="A630" s="327">
        <v>5</v>
      </c>
      <c r="B630" s="159" t="s">
        <v>314</v>
      </c>
      <c r="C630" s="68" t="s">
        <v>95</v>
      </c>
      <c r="D630" s="68" t="s">
        <v>311</v>
      </c>
      <c r="E630" s="321">
        <v>5</v>
      </c>
      <c r="F630" s="322">
        <v>1176</v>
      </c>
      <c r="G630" s="322">
        <v>524</v>
      </c>
      <c r="H630" s="322">
        <v>12</v>
      </c>
      <c r="I630" s="322">
        <v>8</v>
      </c>
      <c r="J630" s="322">
        <v>2</v>
      </c>
      <c r="K630" s="322">
        <v>0</v>
      </c>
      <c r="L630" s="322">
        <v>0</v>
      </c>
      <c r="M630" s="322">
        <v>0</v>
      </c>
      <c r="N630" s="322">
        <v>0</v>
      </c>
      <c r="O630" s="322">
        <v>0</v>
      </c>
      <c r="P630" s="322">
        <v>0</v>
      </c>
      <c r="Q630" s="322">
        <v>0</v>
      </c>
      <c r="R630" s="322">
        <v>2.6</v>
      </c>
      <c r="S630" s="9">
        <v>1.2035866167E-6</v>
      </c>
      <c r="T630" s="9">
        <f t="shared" si="9"/>
        <v>3.1293252034200003E-6</v>
      </c>
      <c r="U630" s="321" t="s">
        <v>951</v>
      </c>
    </row>
    <row r="631" spans="1:21" ht="12" customHeight="1">
      <c r="A631" s="327">
        <v>5</v>
      </c>
      <c r="B631" s="159" t="s">
        <v>314</v>
      </c>
      <c r="C631" s="68" t="s">
        <v>95</v>
      </c>
      <c r="D631" s="68" t="s">
        <v>307</v>
      </c>
      <c r="E631" s="321">
        <v>1</v>
      </c>
      <c r="F631" s="322">
        <v>768</v>
      </c>
      <c r="G631" s="322">
        <v>524</v>
      </c>
      <c r="H631" s="322">
        <v>1</v>
      </c>
      <c r="I631" s="322">
        <v>0</v>
      </c>
      <c r="J631" s="322">
        <v>0</v>
      </c>
      <c r="K631" s="322">
        <v>0</v>
      </c>
      <c r="L631" s="322">
        <v>0</v>
      </c>
      <c r="M631" s="322">
        <v>0</v>
      </c>
      <c r="N631" s="322">
        <v>0</v>
      </c>
      <c r="O631" s="322">
        <v>0</v>
      </c>
      <c r="P631" s="322">
        <v>0</v>
      </c>
      <c r="Q631" s="322">
        <v>0</v>
      </c>
      <c r="R631" s="322">
        <v>0</v>
      </c>
      <c r="S631" s="9">
        <v>0</v>
      </c>
      <c r="T631" s="9">
        <f t="shared" si="9"/>
        <v>0</v>
      </c>
      <c r="U631" s="321" t="s">
        <v>977</v>
      </c>
    </row>
    <row r="632" spans="1:21" ht="12" customHeight="1">
      <c r="A632" s="327">
        <v>5</v>
      </c>
      <c r="B632" s="159" t="s">
        <v>314</v>
      </c>
      <c r="C632" s="68" t="s">
        <v>95</v>
      </c>
      <c r="D632" s="68" t="s">
        <v>307</v>
      </c>
      <c r="E632" s="321">
        <v>2</v>
      </c>
      <c r="F632" s="322">
        <v>768</v>
      </c>
      <c r="G632" s="322">
        <v>524</v>
      </c>
      <c r="H632" s="322">
        <v>2</v>
      </c>
      <c r="I632" s="322">
        <v>0</v>
      </c>
      <c r="J632" s="322">
        <v>0</v>
      </c>
      <c r="K632" s="322">
        <v>0</v>
      </c>
      <c r="L632" s="322">
        <v>0</v>
      </c>
      <c r="M632" s="322">
        <v>0</v>
      </c>
      <c r="N632" s="322">
        <v>0</v>
      </c>
      <c r="O632" s="322">
        <v>0</v>
      </c>
      <c r="P632" s="322">
        <v>0</v>
      </c>
      <c r="Q632" s="322">
        <v>0</v>
      </c>
      <c r="R632" s="322">
        <v>0</v>
      </c>
      <c r="S632" s="9">
        <v>0</v>
      </c>
      <c r="T632" s="9">
        <f t="shared" si="9"/>
        <v>0</v>
      </c>
      <c r="U632" s="321" t="s">
        <v>978</v>
      </c>
    </row>
    <row r="633" spans="1:21" ht="12" customHeight="1">
      <c r="A633" s="327">
        <v>5</v>
      </c>
      <c r="B633" s="159" t="s">
        <v>314</v>
      </c>
      <c r="C633" s="68" t="s">
        <v>95</v>
      </c>
      <c r="D633" s="68" t="s">
        <v>307</v>
      </c>
      <c r="E633" s="321">
        <v>3</v>
      </c>
      <c r="F633" s="322">
        <v>754</v>
      </c>
      <c r="G633" s="322">
        <v>519</v>
      </c>
      <c r="H633" s="322">
        <v>0</v>
      </c>
      <c r="I633" s="322">
        <v>0</v>
      </c>
      <c r="J633" s="322">
        <v>0</v>
      </c>
      <c r="K633" s="322">
        <v>0</v>
      </c>
      <c r="L633" s="322">
        <v>0</v>
      </c>
      <c r="M633" s="322">
        <v>0</v>
      </c>
      <c r="N633" s="322">
        <v>0</v>
      </c>
      <c r="O633" s="322">
        <v>0</v>
      </c>
      <c r="P633" s="322">
        <v>0</v>
      </c>
      <c r="Q633" s="322">
        <v>0</v>
      </c>
      <c r="R633" s="322">
        <v>0</v>
      </c>
      <c r="S633" s="9">
        <v>0</v>
      </c>
      <c r="T633" s="9">
        <f t="shared" si="9"/>
        <v>0</v>
      </c>
      <c r="U633" s="321" t="s">
        <v>979</v>
      </c>
    </row>
    <row r="634" spans="1:21" ht="12" customHeight="1">
      <c r="A634" s="327">
        <v>5</v>
      </c>
      <c r="B634" s="159" t="s">
        <v>314</v>
      </c>
      <c r="C634" s="68" t="s">
        <v>95</v>
      </c>
      <c r="D634" s="68" t="s">
        <v>307</v>
      </c>
      <c r="E634" s="321">
        <v>4</v>
      </c>
      <c r="F634" s="322">
        <v>764</v>
      </c>
      <c r="G634" s="322">
        <v>524</v>
      </c>
      <c r="H634" s="322">
        <v>1</v>
      </c>
      <c r="I634" s="322">
        <v>0</v>
      </c>
      <c r="J634" s="322">
        <v>0</v>
      </c>
      <c r="K634" s="322">
        <v>0</v>
      </c>
      <c r="L634" s="322">
        <v>0</v>
      </c>
      <c r="M634" s="322">
        <v>0</v>
      </c>
      <c r="N634" s="322">
        <v>0</v>
      </c>
      <c r="O634" s="322">
        <v>0</v>
      </c>
      <c r="P634" s="322">
        <v>0</v>
      </c>
      <c r="Q634" s="322">
        <v>0</v>
      </c>
      <c r="R634" s="322">
        <v>0</v>
      </c>
      <c r="S634" s="9">
        <v>0</v>
      </c>
      <c r="T634" s="9">
        <f t="shared" si="9"/>
        <v>0</v>
      </c>
      <c r="U634" s="321" t="s">
        <v>980</v>
      </c>
    </row>
    <row r="635" spans="1:21" ht="12" customHeight="1">
      <c r="A635" s="327">
        <v>5</v>
      </c>
      <c r="B635" s="159" t="s">
        <v>314</v>
      </c>
      <c r="C635" s="68" t="s">
        <v>95</v>
      </c>
      <c r="D635" s="68" t="s">
        <v>307</v>
      </c>
      <c r="E635" s="321">
        <v>5</v>
      </c>
      <c r="F635" s="322">
        <v>758</v>
      </c>
      <c r="G635" s="322">
        <v>524</v>
      </c>
      <c r="H635" s="322">
        <v>0</v>
      </c>
      <c r="I635" s="322">
        <v>0</v>
      </c>
      <c r="J635" s="322">
        <v>0</v>
      </c>
      <c r="K635" s="322">
        <v>0</v>
      </c>
      <c r="L635" s="322">
        <v>0</v>
      </c>
      <c r="M635" s="322">
        <v>0</v>
      </c>
      <c r="N635" s="322">
        <v>0</v>
      </c>
      <c r="O635" s="322">
        <v>0</v>
      </c>
      <c r="P635" s="322">
        <v>0</v>
      </c>
      <c r="Q635" s="322">
        <v>0</v>
      </c>
      <c r="R635" s="322">
        <v>0</v>
      </c>
      <c r="S635" s="9">
        <v>0</v>
      </c>
      <c r="T635" s="9">
        <f t="shared" si="9"/>
        <v>0</v>
      </c>
      <c r="U635" s="321" t="s">
        <v>981</v>
      </c>
    </row>
    <row r="636" spans="1:21" ht="12" customHeight="1">
      <c r="A636" s="328">
        <v>5</v>
      </c>
      <c r="B636" s="159" t="s">
        <v>316</v>
      </c>
      <c r="C636" s="68" t="s">
        <v>96</v>
      </c>
      <c r="D636" s="68" t="s">
        <v>308</v>
      </c>
      <c r="E636" s="323">
        <v>1</v>
      </c>
      <c r="F636" s="324">
        <v>960</v>
      </c>
      <c r="G636" s="324">
        <v>387</v>
      </c>
      <c r="H636" s="324">
        <v>102</v>
      </c>
      <c r="I636" s="324">
        <v>94</v>
      </c>
      <c r="J636" s="324">
        <v>80</v>
      </c>
      <c r="K636" s="324">
        <v>73</v>
      </c>
      <c r="L636" s="324">
        <v>67</v>
      </c>
      <c r="M636" s="324">
        <v>58</v>
      </c>
      <c r="N636" s="324">
        <v>55</v>
      </c>
      <c r="O636" s="324">
        <v>46</v>
      </c>
      <c r="P636" s="324">
        <v>36</v>
      </c>
      <c r="Q636" s="324">
        <v>29</v>
      </c>
      <c r="R636" s="324">
        <v>81.5</v>
      </c>
      <c r="S636" s="9">
        <v>1.5093682811302096E-7</v>
      </c>
      <c r="T636" s="9">
        <f t="shared" si="9"/>
        <v>1.2301351491211209E-5</v>
      </c>
      <c r="U636" s="323" t="s">
        <v>1277</v>
      </c>
    </row>
    <row r="637" spans="1:21" ht="12" customHeight="1">
      <c r="A637" s="328">
        <v>5</v>
      </c>
      <c r="B637" s="159" t="s">
        <v>316</v>
      </c>
      <c r="C637" s="68" t="s">
        <v>96</v>
      </c>
      <c r="D637" s="68" t="s">
        <v>308</v>
      </c>
      <c r="E637" s="323">
        <v>2</v>
      </c>
      <c r="F637" s="324">
        <v>956</v>
      </c>
      <c r="G637" s="324">
        <v>389</v>
      </c>
      <c r="H637" s="324">
        <v>72</v>
      </c>
      <c r="I637" s="324">
        <v>54</v>
      </c>
      <c r="J637" s="324">
        <v>42</v>
      </c>
      <c r="K637" s="324">
        <v>26</v>
      </c>
      <c r="L637" s="324">
        <v>25</v>
      </c>
      <c r="M637" s="324">
        <v>21</v>
      </c>
      <c r="N637" s="324">
        <v>18</v>
      </c>
      <c r="O637" s="324">
        <v>16</v>
      </c>
      <c r="P637" s="324">
        <v>14</v>
      </c>
      <c r="Q637" s="324">
        <v>12</v>
      </c>
      <c r="R637" s="324">
        <v>43.4</v>
      </c>
      <c r="S637" s="9">
        <v>1.5093682811302096E-7</v>
      </c>
      <c r="T637" s="9">
        <f t="shared" si="9"/>
        <v>6.5506583401051099E-6</v>
      </c>
      <c r="U637" s="323" t="s">
        <v>1278</v>
      </c>
    </row>
    <row r="638" spans="1:21" ht="12" customHeight="1">
      <c r="A638" s="328">
        <v>5</v>
      </c>
      <c r="B638" s="159" t="s">
        <v>316</v>
      </c>
      <c r="C638" s="68" t="s">
        <v>96</v>
      </c>
      <c r="D638" s="68" t="s">
        <v>308</v>
      </c>
      <c r="E638" s="323">
        <v>3</v>
      </c>
      <c r="F638" s="324">
        <v>956</v>
      </c>
      <c r="G638" s="324">
        <v>391</v>
      </c>
      <c r="H638" s="324">
        <v>92</v>
      </c>
      <c r="I638" s="324">
        <v>83</v>
      </c>
      <c r="J638" s="324">
        <v>70</v>
      </c>
      <c r="K638" s="324">
        <v>61</v>
      </c>
      <c r="L638" s="324">
        <v>53</v>
      </c>
      <c r="M638" s="324">
        <v>45</v>
      </c>
      <c r="N638" s="324">
        <v>45</v>
      </c>
      <c r="O638" s="324">
        <v>43</v>
      </c>
      <c r="P638" s="324">
        <v>40</v>
      </c>
      <c r="Q638" s="324">
        <v>35</v>
      </c>
      <c r="R638" s="324">
        <v>71.400000000000006</v>
      </c>
      <c r="S638" s="9">
        <v>1.5093682811302096E-7</v>
      </c>
      <c r="T638" s="9">
        <f t="shared" si="9"/>
        <v>1.0776889527269697E-5</v>
      </c>
      <c r="U638" s="323" t="s">
        <v>1279</v>
      </c>
    </row>
    <row r="639" spans="1:21" ht="12" customHeight="1">
      <c r="A639" s="328">
        <v>5</v>
      </c>
      <c r="B639" s="159" t="s">
        <v>316</v>
      </c>
      <c r="C639" s="68" t="s">
        <v>96</v>
      </c>
      <c r="D639" s="68" t="s">
        <v>308</v>
      </c>
      <c r="E639" s="323">
        <v>4</v>
      </c>
      <c r="F639" s="324">
        <v>960</v>
      </c>
      <c r="G639" s="324">
        <v>388</v>
      </c>
      <c r="H639" s="324">
        <v>92</v>
      </c>
      <c r="I639" s="324">
        <v>81</v>
      </c>
      <c r="J639" s="324">
        <v>69</v>
      </c>
      <c r="K639" s="324">
        <v>60</v>
      </c>
      <c r="L639" s="324">
        <v>51</v>
      </c>
      <c r="M639" s="324">
        <v>46</v>
      </c>
      <c r="N639" s="324">
        <v>45</v>
      </c>
      <c r="O639" s="324">
        <v>43</v>
      </c>
      <c r="P639" s="324">
        <v>41</v>
      </c>
      <c r="Q639" s="324">
        <v>36</v>
      </c>
      <c r="R639" s="324">
        <v>70.3</v>
      </c>
      <c r="S639" s="9">
        <v>1.5093682811302096E-7</v>
      </c>
      <c r="T639" s="9">
        <f t="shared" si="9"/>
        <v>1.0610859016345374E-5</v>
      </c>
      <c r="U639" s="323" t="s">
        <v>1280</v>
      </c>
    </row>
    <row r="640" spans="1:21" ht="12" customHeight="1">
      <c r="A640" s="328">
        <v>5</v>
      </c>
      <c r="B640" s="159" t="s">
        <v>316</v>
      </c>
      <c r="C640" s="68" t="s">
        <v>96</v>
      </c>
      <c r="D640" s="68" t="s">
        <v>308</v>
      </c>
      <c r="E640" s="323">
        <v>5</v>
      </c>
      <c r="F640" s="324">
        <v>958</v>
      </c>
      <c r="G640" s="324">
        <v>387</v>
      </c>
      <c r="H640" s="324">
        <v>105</v>
      </c>
      <c r="I640" s="324">
        <v>81</v>
      </c>
      <c r="J640" s="324">
        <v>70</v>
      </c>
      <c r="K640" s="324">
        <v>57</v>
      </c>
      <c r="L640" s="324">
        <v>53</v>
      </c>
      <c r="M640" s="324">
        <v>47</v>
      </c>
      <c r="N640" s="324">
        <v>41</v>
      </c>
      <c r="O640" s="324">
        <v>37</v>
      </c>
      <c r="P640" s="324">
        <v>33</v>
      </c>
      <c r="Q640" s="324">
        <v>27</v>
      </c>
      <c r="R640" s="324">
        <v>71.3</v>
      </c>
      <c r="S640" s="9">
        <v>1.5093682811302096E-7</v>
      </c>
      <c r="T640" s="9">
        <f t="shared" si="9"/>
        <v>1.0761795844458395E-5</v>
      </c>
      <c r="U640" s="323" t="s">
        <v>1281</v>
      </c>
    </row>
    <row r="641" spans="1:21" ht="12" customHeight="1">
      <c r="A641" s="328">
        <v>5</v>
      </c>
      <c r="B641" s="159" t="s">
        <v>316</v>
      </c>
      <c r="C641" s="68" t="s">
        <v>96</v>
      </c>
      <c r="D641" s="68" t="s">
        <v>310</v>
      </c>
      <c r="E641" s="323">
        <v>1</v>
      </c>
      <c r="F641" s="324">
        <v>972</v>
      </c>
      <c r="G641" s="324">
        <v>389</v>
      </c>
      <c r="H641" s="324">
        <v>228</v>
      </c>
      <c r="I641" s="324">
        <v>214</v>
      </c>
      <c r="J641" s="324">
        <v>201</v>
      </c>
      <c r="K641" s="324">
        <v>187</v>
      </c>
      <c r="L641" s="324">
        <v>162</v>
      </c>
      <c r="M641" s="324">
        <v>125</v>
      </c>
      <c r="N641" s="324">
        <v>94</v>
      </c>
      <c r="O641" s="324">
        <v>60</v>
      </c>
      <c r="P641" s="324">
        <v>39</v>
      </c>
      <c r="Q641" s="324">
        <v>26</v>
      </c>
      <c r="R641" s="324">
        <v>202.4</v>
      </c>
      <c r="S641" s="9">
        <v>1.5093546968020952E-7</v>
      </c>
      <c r="T641" s="9">
        <f t="shared" si="9"/>
        <v>3.0549339063274407E-5</v>
      </c>
      <c r="U641" s="323" t="s">
        <v>1307</v>
      </c>
    </row>
    <row r="642" spans="1:21" ht="12" customHeight="1">
      <c r="A642" s="328">
        <v>5</v>
      </c>
      <c r="B642" s="159" t="s">
        <v>316</v>
      </c>
      <c r="C642" s="68" t="s">
        <v>96</v>
      </c>
      <c r="D642" s="68" t="s">
        <v>310</v>
      </c>
      <c r="E642" s="323">
        <v>2</v>
      </c>
      <c r="F642" s="324">
        <v>1312</v>
      </c>
      <c r="G642" s="324">
        <v>389</v>
      </c>
      <c r="H642" s="324">
        <v>225</v>
      </c>
      <c r="I642" s="324">
        <v>220</v>
      </c>
      <c r="J642" s="324">
        <v>214</v>
      </c>
      <c r="K642" s="324">
        <v>202</v>
      </c>
      <c r="L642" s="324">
        <v>176</v>
      </c>
      <c r="M642" s="324">
        <v>141</v>
      </c>
      <c r="N642" s="324">
        <v>98</v>
      </c>
      <c r="O642" s="324">
        <v>47</v>
      </c>
      <c r="P642" s="324">
        <v>35</v>
      </c>
      <c r="Q642" s="324">
        <v>30</v>
      </c>
      <c r="R642" s="324">
        <v>214.7</v>
      </c>
      <c r="S642" s="9">
        <v>1.5093546968020952E-7</v>
      </c>
      <c r="T642" s="9">
        <f t="shared" si="9"/>
        <v>3.2405845340340979E-5</v>
      </c>
      <c r="U642" s="323" t="s">
        <v>1308</v>
      </c>
    </row>
    <row r="643" spans="1:21" ht="12" customHeight="1">
      <c r="A643" s="328">
        <v>5</v>
      </c>
      <c r="B643" s="159" t="s">
        <v>316</v>
      </c>
      <c r="C643" s="68" t="s">
        <v>96</v>
      </c>
      <c r="D643" s="68" t="s">
        <v>310</v>
      </c>
      <c r="E643" s="323">
        <v>3</v>
      </c>
      <c r="F643" s="324">
        <v>1158</v>
      </c>
      <c r="G643" s="324">
        <v>388</v>
      </c>
      <c r="H643" s="324">
        <v>198</v>
      </c>
      <c r="I643" s="324">
        <v>187</v>
      </c>
      <c r="J643" s="324">
        <v>169</v>
      </c>
      <c r="K643" s="324">
        <v>155</v>
      </c>
      <c r="L643" s="324">
        <v>139</v>
      </c>
      <c r="M643" s="324">
        <v>118</v>
      </c>
      <c r="N643" s="324">
        <v>85</v>
      </c>
      <c r="O643" s="324">
        <v>40</v>
      </c>
      <c r="P643" s="324">
        <v>27</v>
      </c>
      <c r="Q643" s="324">
        <v>23</v>
      </c>
      <c r="R643" s="324">
        <v>170.9</v>
      </c>
      <c r="S643" s="9">
        <v>1.5093546968020952E-7</v>
      </c>
      <c r="T643" s="9">
        <f t="shared" si="9"/>
        <v>2.5794871768347808E-5</v>
      </c>
      <c r="U643" s="323" t="s">
        <v>1309</v>
      </c>
    </row>
    <row r="644" spans="1:21" ht="12" customHeight="1">
      <c r="A644" s="328">
        <v>5</v>
      </c>
      <c r="B644" s="159" t="s">
        <v>316</v>
      </c>
      <c r="C644" s="68" t="s">
        <v>96</v>
      </c>
      <c r="D644" s="68" t="s">
        <v>310</v>
      </c>
      <c r="E644" s="323">
        <v>4</v>
      </c>
      <c r="F644" s="324">
        <v>966</v>
      </c>
      <c r="G644" s="324">
        <v>388</v>
      </c>
      <c r="H644" s="324">
        <v>169</v>
      </c>
      <c r="I644" s="324">
        <v>154</v>
      </c>
      <c r="J644" s="324">
        <v>142</v>
      </c>
      <c r="K644" s="324">
        <v>130</v>
      </c>
      <c r="L644" s="324">
        <v>115</v>
      </c>
      <c r="M644" s="324">
        <v>93</v>
      </c>
      <c r="N644" s="324">
        <v>62</v>
      </c>
      <c r="O644" s="324">
        <v>54</v>
      </c>
      <c r="P644" s="324">
        <v>38</v>
      </c>
      <c r="Q644" s="324">
        <v>28</v>
      </c>
      <c r="R644" s="324">
        <v>143.4</v>
      </c>
      <c r="S644" s="9">
        <v>1.5093546968020952E-7</v>
      </c>
      <c r="T644" s="9">
        <f t="shared" si="9"/>
        <v>2.1644146352142046E-5</v>
      </c>
      <c r="U644" s="323" t="s">
        <v>1310</v>
      </c>
    </row>
    <row r="645" spans="1:21" ht="12" customHeight="1">
      <c r="A645" s="328">
        <v>5</v>
      </c>
      <c r="B645" s="159" t="s">
        <v>316</v>
      </c>
      <c r="C645" s="68" t="s">
        <v>96</v>
      </c>
      <c r="D645" s="68" t="s">
        <v>310</v>
      </c>
      <c r="E645" s="323">
        <v>5</v>
      </c>
      <c r="F645" s="324">
        <v>974</v>
      </c>
      <c r="G645" s="324">
        <v>391</v>
      </c>
      <c r="H645" s="324">
        <v>138</v>
      </c>
      <c r="I645" s="324">
        <v>130</v>
      </c>
      <c r="J645" s="324">
        <v>126</v>
      </c>
      <c r="K645" s="324">
        <v>120</v>
      </c>
      <c r="L645" s="324">
        <v>108</v>
      </c>
      <c r="M645" s="324">
        <v>76</v>
      </c>
      <c r="N645" s="324">
        <v>44</v>
      </c>
      <c r="O645" s="324">
        <v>23</v>
      </c>
      <c r="P645" s="324">
        <v>12</v>
      </c>
      <c r="Q645" s="324">
        <v>5</v>
      </c>
      <c r="R645" s="324">
        <v>126.5</v>
      </c>
      <c r="S645" s="9">
        <v>1.5093546968020952E-7</v>
      </c>
      <c r="T645" s="9">
        <f t="shared" si="9"/>
        <v>1.9093336914546505E-5</v>
      </c>
      <c r="U645" s="323" t="s">
        <v>1311</v>
      </c>
    </row>
    <row r="646" spans="1:21" ht="12" customHeight="1">
      <c r="A646" s="328">
        <v>5</v>
      </c>
      <c r="B646" s="159" t="s">
        <v>316</v>
      </c>
      <c r="C646" s="68" t="s">
        <v>96</v>
      </c>
      <c r="D646" s="68" t="s">
        <v>309</v>
      </c>
      <c r="E646" s="323">
        <v>1</v>
      </c>
      <c r="F646" s="324">
        <v>980</v>
      </c>
      <c r="G646" s="324">
        <v>390</v>
      </c>
      <c r="H646" s="324">
        <v>26</v>
      </c>
      <c r="I646" s="324">
        <v>24</v>
      </c>
      <c r="J646" s="324">
        <v>23</v>
      </c>
      <c r="K646" s="324">
        <v>20</v>
      </c>
      <c r="L646" s="324">
        <v>19</v>
      </c>
      <c r="M646" s="324">
        <v>17</v>
      </c>
      <c r="N646" s="324">
        <v>17</v>
      </c>
      <c r="O646" s="324">
        <v>17</v>
      </c>
      <c r="P646" s="324">
        <v>17</v>
      </c>
      <c r="Q646" s="324">
        <v>15</v>
      </c>
      <c r="R646" s="324">
        <v>23.1</v>
      </c>
      <c r="S646" s="9">
        <v>1.5093682811302096E-7</v>
      </c>
      <c r="T646" s="9">
        <f t="shared" ref="T646:T709" si="10">S646*R646</f>
        <v>3.4866407294107843E-6</v>
      </c>
      <c r="U646" s="323" t="s">
        <v>1337</v>
      </c>
    </row>
    <row r="647" spans="1:21" ht="12" customHeight="1">
      <c r="A647" s="328">
        <v>5</v>
      </c>
      <c r="B647" s="159" t="s">
        <v>316</v>
      </c>
      <c r="C647" s="68" t="s">
        <v>96</v>
      </c>
      <c r="D647" s="68" t="s">
        <v>309</v>
      </c>
      <c r="E647" s="323">
        <v>2</v>
      </c>
      <c r="F647" s="324">
        <v>954</v>
      </c>
      <c r="G647" s="324">
        <v>388</v>
      </c>
      <c r="H647" s="324">
        <v>7</v>
      </c>
      <c r="I647" s="324">
        <v>6</v>
      </c>
      <c r="J647" s="324">
        <v>5</v>
      </c>
      <c r="K647" s="324">
        <v>4</v>
      </c>
      <c r="L647" s="324">
        <v>4</v>
      </c>
      <c r="M647" s="324">
        <v>3</v>
      </c>
      <c r="N647" s="324">
        <v>3</v>
      </c>
      <c r="O647" s="324">
        <v>3</v>
      </c>
      <c r="P647" s="324">
        <v>3</v>
      </c>
      <c r="Q647" s="324">
        <v>2</v>
      </c>
      <c r="R647" s="324">
        <v>5.0999999999999996</v>
      </c>
      <c r="S647" s="9">
        <v>1.5093682811302096E-7</v>
      </c>
      <c r="T647" s="9">
        <f t="shared" si="10"/>
        <v>7.6977782337640688E-7</v>
      </c>
      <c r="U647" s="323" t="s">
        <v>1338</v>
      </c>
    </row>
    <row r="648" spans="1:21" ht="12" customHeight="1">
      <c r="A648" s="328">
        <v>5</v>
      </c>
      <c r="B648" s="159" t="s">
        <v>316</v>
      </c>
      <c r="C648" s="68" t="s">
        <v>96</v>
      </c>
      <c r="D648" s="68" t="s">
        <v>309</v>
      </c>
      <c r="E648" s="323">
        <v>3</v>
      </c>
      <c r="F648" s="324">
        <v>954</v>
      </c>
      <c r="G648" s="324">
        <v>387</v>
      </c>
      <c r="H648" s="324">
        <v>15</v>
      </c>
      <c r="I648" s="324">
        <v>12</v>
      </c>
      <c r="J648" s="324">
        <v>12</v>
      </c>
      <c r="K648" s="324">
        <v>9</v>
      </c>
      <c r="L648" s="324">
        <v>7</v>
      </c>
      <c r="M648" s="324">
        <v>6</v>
      </c>
      <c r="N648" s="324">
        <v>5</v>
      </c>
      <c r="O648" s="324">
        <v>4</v>
      </c>
      <c r="P648" s="324">
        <v>4</v>
      </c>
      <c r="Q648" s="324">
        <v>3</v>
      </c>
      <c r="R648" s="324">
        <v>12</v>
      </c>
      <c r="S648" s="9">
        <v>1.5093682811302096E-7</v>
      </c>
      <c r="T648" s="9">
        <f t="shared" si="10"/>
        <v>1.8112419373562516E-6</v>
      </c>
      <c r="U648" s="323" t="s">
        <v>1339</v>
      </c>
    </row>
    <row r="649" spans="1:21" ht="12" customHeight="1">
      <c r="A649" s="328">
        <v>5</v>
      </c>
      <c r="B649" s="159" t="s">
        <v>316</v>
      </c>
      <c r="C649" s="68" t="s">
        <v>96</v>
      </c>
      <c r="D649" s="68" t="s">
        <v>309</v>
      </c>
      <c r="E649" s="323">
        <v>4</v>
      </c>
      <c r="F649" s="324">
        <v>976</v>
      </c>
      <c r="G649" s="324">
        <v>387</v>
      </c>
      <c r="H649" s="324">
        <v>10</v>
      </c>
      <c r="I649" s="324">
        <v>7</v>
      </c>
      <c r="J649" s="324">
        <v>7</v>
      </c>
      <c r="K649" s="324">
        <v>7</v>
      </c>
      <c r="L649" s="324">
        <v>7</v>
      </c>
      <c r="M649" s="324">
        <v>6</v>
      </c>
      <c r="N649" s="324">
        <v>5</v>
      </c>
      <c r="O649" s="324">
        <v>5</v>
      </c>
      <c r="P649" s="324">
        <v>4</v>
      </c>
      <c r="Q649" s="324">
        <v>3</v>
      </c>
      <c r="R649" s="324">
        <v>7</v>
      </c>
      <c r="S649" s="9">
        <v>1.5093682811302096E-7</v>
      </c>
      <c r="T649" s="9">
        <f t="shared" si="10"/>
        <v>1.0565577967911468E-6</v>
      </c>
      <c r="U649" s="323" t="s">
        <v>1340</v>
      </c>
    </row>
    <row r="650" spans="1:21" ht="12" customHeight="1">
      <c r="A650" s="328">
        <v>5</v>
      </c>
      <c r="B650" s="159" t="s">
        <v>316</v>
      </c>
      <c r="C650" s="68" t="s">
        <v>96</v>
      </c>
      <c r="D650" s="68" t="s">
        <v>309</v>
      </c>
      <c r="E650" s="323">
        <v>5</v>
      </c>
      <c r="F650" s="324">
        <v>964</v>
      </c>
      <c r="G650" s="324">
        <v>387</v>
      </c>
      <c r="H650" s="324">
        <v>12</v>
      </c>
      <c r="I650" s="324">
        <v>10</v>
      </c>
      <c r="J650" s="324">
        <v>7</v>
      </c>
      <c r="K650" s="324">
        <v>7</v>
      </c>
      <c r="L650" s="324">
        <v>6</v>
      </c>
      <c r="M650" s="324">
        <v>6</v>
      </c>
      <c r="N650" s="324">
        <v>5</v>
      </c>
      <c r="O650" s="324">
        <v>5</v>
      </c>
      <c r="P650" s="324">
        <v>5</v>
      </c>
      <c r="Q650" s="324">
        <v>4</v>
      </c>
      <c r="R650" s="324">
        <v>7.3</v>
      </c>
      <c r="S650" s="9">
        <v>1.5093682811302096E-7</v>
      </c>
      <c r="T650" s="9">
        <f t="shared" si="10"/>
        <v>1.101838845225053E-6</v>
      </c>
      <c r="U650" s="323" t="s">
        <v>1341</v>
      </c>
    </row>
    <row r="651" spans="1:21" ht="12" customHeight="1">
      <c r="A651" s="328">
        <v>5</v>
      </c>
      <c r="B651" s="159" t="s">
        <v>316</v>
      </c>
      <c r="C651" s="68" t="s">
        <v>96</v>
      </c>
      <c r="D651" s="68" t="s">
        <v>307</v>
      </c>
      <c r="E651" s="323">
        <v>1</v>
      </c>
      <c r="F651" s="324">
        <v>740</v>
      </c>
      <c r="G651" s="324">
        <v>392</v>
      </c>
      <c r="H651" s="324">
        <v>0</v>
      </c>
      <c r="I651" s="324">
        <v>0</v>
      </c>
      <c r="J651" s="324">
        <v>0</v>
      </c>
      <c r="K651" s="324">
        <v>0</v>
      </c>
      <c r="L651" s="324">
        <v>0</v>
      </c>
      <c r="M651" s="324">
        <v>0</v>
      </c>
      <c r="N651" s="324">
        <v>0</v>
      </c>
      <c r="O651" s="324">
        <v>0</v>
      </c>
      <c r="P651" s="324">
        <v>0</v>
      </c>
      <c r="Q651" s="324">
        <v>0</v>
      </c>
      <c r="R651" s="324">
        <v>0</v>
      </c>
      <c r="S651" s="9">
        <v>4.0752984343500006E-6</v>
      </c>
      <c r="T651" s="9">
        <f t="shared" si="10"/>
        <v>0</v>
      </c>
      <c r="U651" s="323" t="s">
        <v>1367</v>
      </c>
    </row>
    <row r="652" spans="1:21" ht="12" customHeight="1">
      <c r="A652" s="328">
        <v>5</v>
      </c>
      <c r="B652" s="159" t="s">
        <v>316</v>
      </c>
      <c r="C652" s="68" t="s">
        <v>96</v>
      </c>
      <c r="D652" s="68" t="s">
        <v>307</v>
      </c>
      <c r="E652" s="323">
        <v>2</v>
      </c>
      <c r="F652" s="324">
        <v>744</v>
      </c>
      <c r="G652" s="324">
        <v>388</v>
      </c>
      <c r="H652" s="324">
        <v>0</v>
      </c>
      <c r="I652" s="324">
        <v>0</v>
      </c>
      <c r="J652" s="324">
        <v>0</v>
      </c>
      <c r="K652" s="324">
        <v>0</v>
      </c>
      <c r="L652" s="324">
        <v>0</v>
      </c>
      <c r="M652" s="324">
        <v>0</v>
      </c>
      <c r="N652" s="324">
        <v>0</v>
      </c>
      <c r="O652" s="324">
        <v>0</v>
      </c>
      <c r="P652" s="324">
        <v>0</v>
      </c>
      <c r="Q652" s="324">
        <v>0</v>
      </c>
      <c r="R652" s="324">
        <v>0</v>
      </c>
      <c r="S652" s="9">
        <v>4.0752984343500006E-6</v>
      </c>
      <c r="T652" s="9">
        <f t="shared" si="10"/>
        <v>0</v>
      </c>
      <c r="U652" s="323" t="s">
        <v>1368</v>
      </c>
    </row>
    <row r="653" spans="1:21" ht="12" customHeight="1">
      <c r="A653" s="328">
        <v>5</v>
      </c>
      <c r="B653" s="159" t="s">
        <v>316</v>
      </c>
      <c r="C653" s="68" t="s">
        <v>96</v>
      </c>
      <c r="D653" s="68" t="s">
        <v>307</v>
      </c>
      <c r="E653" s="323">
        <v>3</v>
      </c>
      <c r="F653" s="324">
        <v>1002</v>
      </c>
      <c r="G653" s="324">
        <v>363</v>
      </c>
      <c r="H653" s="324">
        <v>0</v>
      </c>
      <c r="I653" s="324">
        <v>0</v>
      </c>
      <c r="J653" s="324">
        <v>0</v>
      </c>
      <c r="K653" s="324">
        <v>0</v>
      </c>
      <c r="L653" s="324">
        <v>0</v>
      </c>
      <c r="M653" s="324">
        <v>0</v>
      </c>
      <c r="N653" s="324">
        <v>0</v>
      </c>
      <c r="O653" s="324">
        <v>0</v>
      </c>
      <c r="P653" s="324">
        <v>0</v>
      </c>
      <c r="Q653" s="324">
        <v>0</v>
      </c>
      <c r="R653" s="324">
        <v>0</v>
      </c>
      <c r="S653" s="9">
        <v>4.0752984343500006E-6</v>
      </c>
      <c r="T653" s="9">
        <f t="shared" si="10"/>
        <v>0</v>
      </c>
      <c r="U653" s="323" t="s">
        <v>1369</v>
      </c>
    </row>
    <row r="654" spans="1:21" ht="12" customHeight="1">
      <c r="A654" s="328">
        <v>5</v>
      </c>
      <c r="B654" s="159" t="s">
        <v>316</v>
      </c>
      <c r="C654" s="68" t="s">
        <v>96</v>
      </c>
      <c r="D654" s="68" t="s">
        <v>307</v>
      </c>
      <c r="E654" s="323">
        <v>4</v>
      </c>
      <c r="F654" s="324">
        <v>752</v>
      </c>
      <c r="G654" s="324">
        <v>390</v>
      </c>
      <c r="H654" s="324">
        <v>0</v>
      </c>
      <c r="I654" s="324">
        <v>0</v>
      </c>
      <c r="J654" s="324">
        <v>0</v>
      </c>
      <c r="K654" s="324">
        <v>0</v>
      </c>
      <c r="L654" s="324">
        <v>0</v>
      </c>
      <c r="M654" s="324">
        <v>0</v>
      </c>
      <c r="N654" s="324">
        <v>0</v>
      </c>
      <c r="O654" s="324">
        <v>0</v>
      </c>
      <c r="P654" s="324">
        <v>0</v>
      </c>
      <c r="Q654" s="324">
        <v>0</v>
      </c>
      <c r="R654" s="324">
        <v>0</v>
      </c>
      <c r="S654" s="9">
        <v>4.0752984343500006E-6</v>
      </c>
      <c r="T654" s="9">
        <f t="shared" si="10"/>
        <v>0</v>
      </c>
      <c r="U654" s="323" t="s">
        <v>1370</v>
      </c>
    </row>
    <row r="655" spans="1:21" ht="12" customHeight="1">
      <c r="A655" s="328">
        <v>5</v>
      </c>
      <c r="B655" s="159" t="s">
        <v>316</v>
      </c>
      <c r="C655" s="68" t="s">
        <v>96</v>
      </c>
      <c r="D655" s="68" t="s">
        <v>307</v>
      </c>
      <c r="E655" s="323">
        <v>5</v>
      </c>
      <c r="F655" s="324">
        <v>734</v>
      </c>
      <c r="G655" s="324">
        <v>391</v>
      </c>
      <c r="H655" s="324">
        <v>0</v>
      </c>
      <c r="I655" s="324">
        <v>0</v>
      </c>
      <c r="J655" s="324">
        <v>0</v>
      </c>
      <c r="K655" s="324">
        <v>0</v>
      </c>
      <c r="L655" s="324">
        <v>0</v>
      </c>
      <c r="M655" s="324">
        <v>0</v>
      </c>
      <c r="N655" s="324">
        <v>0</v>
      </c>
      <c r="O655" s="324">
        <v>0</v>
      </c>
      <c r="P655" s="324">
        <v>0</v>
      </c>
      <c r="Q655" s="324">
        <v>0</v>
      </c>
      <c r="R655" s="324">
        <v>0</v>
      </c>
      <c r="S655" s="9">
        <v>4.0752984343500006E-6</v>
      </c>
      <c r="T655" s="9">
        <f t="shared" si="10"/>
        <v>0</v>
      </c>
      <c r="U655" s="323" t="s">
        <v>1371</v>
      </c>
    </row>
    <row r="656" spans="1:21" ht="12" customHeight="1">
      <c r="A656" s="329">
        <v>5</v>
      </c>
      <c r="B656" s="159" t="s">
        <v>316</v>
      </c>
      <c r="C656" s="68" t="s">
        <v>95</v>
      </c>
      <c r="D656" s="68" t="s">
        <v>308</v>
      </c>
      <c r="E656" s="330">
        <v>1</v>
      </c>
      <c r="F656" s="326">
        <v>968</v>
      </c>
      <c r="G656" s="326">
        <v>525</v>
      </c>
      <c r="H656" s="326">
        <v>146</v>
      </c>
      <c r="I656" s="326">
        <v>135</v>
      </c>
      <c r="J656" s="326">
        <v>132</v>
      </c>
      <c r="K656" s="326">
        <v>123</v>
      </c>
      <c r="L656" s="326">
        <v>111</v>
      </c>
      <c r="M656" s="326">
        <v>98</v>
      </c>
      <c r="N656" s="326">
        <v>96</v>
      </c>
      <c r="O656" s="326">
        <v>84</v>
      </c>
      <c r="P656" s="326">
        <v>67</v>
      </c>
      <c r="Q656" s="326">
        <v>50</v>
      </c>
      <c r="R656" s="326">
        <v>132.4</v>
      </c>
      <c r="S656" s="9">
        <v>1.5246144253840504E-9</v>
      </c>
      <c r="T656" s="9">
        <f t="shared" si="10"/>
        <v>2.0185894992084828E-7</v>
      </c>
      <c r="U656" s="325" t="s">
        <v>1127</v>
      </c>
    </row>
    <row r="657" spans="1:21" ht="12" customHeight="1">
      <c r="A657" s="329">
        <v>5</v>
      </c>
      <c r="B657" s="159" t="s">
        <v>316</v>
      </c>
      <c r="C657" s="68" t="s">
        <v>95</v>
      </c>
      <c r="D657" s="68" t="s">
        <v>308</v>
      </c>
      <c r="E657" s="330">
        <v>2</v>
      </c>
      <c r="F657" s="326">
        <v>974</v>
      </c>
      <c r="G657" s="326">
        <v>524</v>
      </c>
      <c r="H657" s="326">
        <v>119</v>
      </c>
      <c r="I657" s="326">
        <v>112</v>
      </c>
      <c r="J657" s="326">
        <v>109</v>
      </c>
      <c r="K657" s="326">
        <v>93</v>
      </c>
      <c r="L657" s="326">
        <v>86</v>
      </c>
      <c r="M657" s="326">
        <v>80</v>
      </c>
      <c r="N657" s="326">
        <v>77</v>
      </c>
      <c r="O657" s="326">
        <v>73</v>
      </c>
      <c r="P657" s="326">
        <v>63</v>
      </c>
      <c r="Q657" s="326">
        <v>56</v>
      </c>
      <c r="R657" s="326">
        <v>109.4</v>
      </c>
      <c r="S657" s="9">
        <v>1.5246144253840504E-9</v>
      </c>
      <c r="T657" s="9">
        <f t="shared" si="10"/>
        <v>1.6679281813701513E-7</v>
      </c>
      <c r="U657" s="325" t="s">
        <v>1128</v>
      </c>
    </row>
    <row r="658" spans="1:21" ht="12" customHeight="1">
      <c r="A658" s="329">
        <v>5</v>
      </c>
      <c r="B658" s="159" t="s">
        <v>316</v>
      </c>
      <c r="C658" s="68" t="s">
        <v>95</v>
      </c>
      <c r="D658" s="68" t="s">
        <v>308</v>
      </c>
      <c r="E658" s="330">
        <v>3</v>
      </c>
      <c r="F658" s="326">
        <v>974</v>
      </c>
      <c r="G658" s="326">
        <v>525</v>
      </c>
      <c r="H658" s="326">
        <v>161</v>
      </c>
      <c r="I658" s="326">
        <v>146</v>
      </c>
      <c r="J658" s="326">
        <v>133</v>
      </c>
      <c r="K658" s="326">
        <v>113</v>
      </c>
      <c r="L658" s="326">
        <v>101</v>
      </c>
      <c r="M658" s="326">
        <v>92</v>
      </c>
      <c r="N658" s="326">
        <v>76</v>
      </c>
      <c r="O658" s="326">
        <v>67</v>
      </c>
      <c r="P658" s="326">
        <v>58</v>
      </c>
      <c r="Q658" s="326">
        <v>45</v>
      </c>
      <c r="R658" s="326">
        <v>134.5</v>
      </c>
      <c r="S658" s="9">
        <v>1.5246144253840504E-9</v>
      </c>
      <c r="T658" s="9">
        <f t="shared" si="10"/>
        <v>2.0506064021415479E-7</v>
      </c>
      <c r="U658" s="325" t="s">
        <v>1129</v>
      </c>
    </row>
    <row r="659" spans="1:21" ht="12" customHeight="1">
      <c r="A659" s="329">
        <v>5</v>
      </c>
      <c r="B659" s="159" t="s">
        <v>316</v>
      </c>
      <c r="C659" s="68" t="s">
        <v>95</v>
      </c>
      <c r="D659" s="68" t="s">
        <v>308</v>
      </c>
      <c r="E659" s="330">
        <v>4</v>
      </c>
      <c r="F659" s="326">
        <v>1224</v>
      </c>
      <c r="G659" s="326">
        <v>524</v>
      </c>
      <c r="H659" s="326">
        <v>176</v>
      </c>
      <c r="I659" s="326">
        <v>158</v>
      </c>
      <c r="J659" s="326">
        <v>154</v>
      </c>
      <c r="K659" s="326">
        <v>142</v>
      </c>
      <c r="L659" s="326">
        <v>126</v>
      </c>
      <c r="M659" s="326">
        <v>109</v>
      </c>
      <c r="N659" s="326">
        <v>94</v>
      </c>
      <c r="O659" s="326">
        <v>87</v>
      </c>
      <c r="P659" s="326">
        <v>79</v>
      </c>
      <c r="Q659" s="326">
        <v>72</v>
      </c>
      <c r="R659" s="326">
        <v>154.6</v>
      </c>
      <c r="S659" s="9">
        <v>1.5246144253840504E-9</v>
      </c>
      <c r="T659" s="9">
        <f t="shared" si="10"/>
        <v>2.3570539016437417E-7</v>
      </c>
      <c r="U659" s="325" t="s">
        <v>1130</v>
      </c>
    </row>
    <row r="660" spans="1:21" ht="12" customHeight="1">
      <c r="A660" s="329">
        <v>5</v>
      </c>
      <c r="B660" s="159" t="s">
        <v>316</v>
      </c>
      <c r="C660" s="68" t="s">
        <v>95</v>
      </c>
      <c r="D660" s="68" t="s">
        <v>308</v>
      </c>
      <c r="E660" s="330">
        <v>5</v>
      </c>
      <c r="F660" s="326">
        <v>972</v>
      </c>
      <c r="G660" s="326">
        <v>525</v>
      </c>
      <c r="H660" s="326">
        <v>125</v>
      </c>
      <c r="I660" s="326">
        <v>118</v>
      </c>
      <c r="J660" s="326">
        <v>110</v>
      </c>
      <c r="K660" s="326">
        <v>93</v>
      </c>
      <c r="L660" s="326">
        <v>79</v>
      </c>
      <c r="M660" s="326">
        <v>72</v>
      </c>
      <c r="N660" s="326">
        <v>64</v>
      </c>
      <c r="O660" s="326">
        <v>61</v>
      </c>
      <c r="P660" s="326">
        <v>53</v>
      </c>
      <c r="Q660" s="326">
        <v>40</v>
      </c>
      <c r="R660" s="326">
        <v>110.9</v>
      </c>
      <c r="S660" s="9">
        <v>1.5246144253840504E-9</v>
      </c>
      <c r="T660" s="9">
        <f t="shared" si="10"/>
        <v>1.6907973977509119E-7</v>
      </c>
      <c r="U660" s="325" t="s">
        <v>1131</v>
      </c>
    </row>
    <row r="661" spans="1:21" ht="12" customHeight="1">
      <c r="A661" s="329">
        <v>5</v>
      </c>
      <c r="B661" s="159" t="s">
        <v>316</v>
      </c>
      <c r="C661" s="68" t="s">
        <v>95</v>
      </c>
      <c r="D661" s="68" t="s">
        <v>310</v>
      </c>
      <c r="E661" s="330">
        <v>1</v>
      </c>
      <c r="F661" s="326">
        <v>936</v>
      </c>
      <c r="G661" s="326">
        <v>525</v>
      </c>
      <c r="H661" s="326">
        <v>98</v>
      </c>
      <c r="I661" s="326">
        <v>93</v>
      </c>
      <c r="J661" s="326">
        <v>87</v>
      </c>
      <c r="K661" s="326">
        <v>83</v>
      </c>
      <c r="L661" s="326">
        <v>78</v>
      </c>
      <c r="M661" s="326">
        <v>74</v>
      </c>
      <c r="N661" s="326">
        <v>72</v>
      </c>
      <c r="O661" s="326">
        <v>66</v>
      </c>
      <c r="P661" s="326">
        <v>65</v>
      </c>
      <c r="Q661" s="326">
        <v>60</v>
      </c>
      <c r="R661" s="326">
        <v>87.7</v>
      </c>
      <c r="S661" s="9">
        <v>1.5246007038405004E-9</v>
      </c>
      <c r="T661" s="9">
        <f t="shared" si="10"/>
        <v>1.3370748172681189E-7</v>
      </c>
      <c r="U661" s="325" t="s">
        <v>1157</v>
      </c>
    </row>
    <row r="662" spans="1:21" ht="12" customHeight="1">
      <c r="A662" s="329">
        <v>5</v>
      </c>
      <c r="B662" s="159" t="s">
        <v>316</v>
      </c>
      <c r="C662" s="68" t="s">
        <v>95</v>
      </c>
      <c r="D662" s="68" t="s">
        <v>310</v>
      </c>
      <c r="E662" s="330">
        <v>2</v>
      </c>
      <c r="F662" s="326">
        <v>934</v>
      </c>
      <c r="G662" s="326">
        <v>524</v>
      </c>
      <c r="H662" s="326">
        <v>123</v>
      </c>
      <c r="I662" s="326">
        <v>120</v>
      </c>
      <c r="J662" s="326">
        <v>113</v>
      </c>
      <c r="K662" s="326">
        <v>108</v>
      </c>
      <c r="L662" s="326">
        <v>100</v>
      </c>
      <c r="M662" s="326">
        <v>95</v>
      </c>
      <c r="N662" s="326">
        <v>85</v>
      </c>
      <c r="O662" s="326">
        <v>77</v>
      </c>
      <c r="P662" s="326">
        <v>74</v>
      </c>
      <c r="Q662" s="326">
        <v>69</v>
      </c>
      <c r="R662" s="326">
        <v>113.7</v>
      </c>
      <c r="S662" s="9">
        <v>1.5246007038405004E-9</v>
      </c>
      <c r="T662" s="9">
        <f t="shared" si="10"/>
        <v>1.733471000266649E-7</v>
      </c>
      <c r="U662" s="325" t="s">
        <v>1158</v>
      </c>
    </row>
    <row r="663" spans="1:21" ht="12" customHeight="1">
      <c r="A663" s="329">
        <v>5</v>
      </c>
      <c r="B663" s="159" t="s">
        <v>316</v>
      </c>
      <c r="C663" s="68" t="s">
        <v>95</v>
      </c>
      <c r="D663" s="68" t="s">
        <v>310</v>
      </c>
      <c r="E663" s="330">
        <v>3</v>
      </c>
      <c r="F663" s="326">
        <v>1202</v>
      </c>
      <c r="G663" s="326">
        <v>524</v>
      </c>
      <c r="H663" s="326">
        <v>129</v>
      </c>
      <c r="I663" s="326">
        <v>125</v>
      </c>
      <c r="J663" s="326">
        <v>122</v>
      </c>
      <c r="K663" s="326">
        <v>115</v>
      </c>
      <c r="L663" s="326">
        <v>110</v>
      </c>
      <c r="M663" s="326">
        <v>103</v>
      </c>
      <c r="N663" s="326">
        <v>99</v>
      </c>
      <c r="O663" s="326">
        <v>94</v>
      </c>
      <c r="P663" s="326">
        <v>88</v>
      </c>
      <c r="Q663" s="326">
        <v>81</v>
      </c>
      <c r="R663" s="326">
        <v>122.3</v>
      </c>
      <c r="S663" s="9">
        <v>1.5246007038405004E-9</v>
      </c>
      <c r="T663" s="9">
        <f t="shared" si="10"/>
        <v>1.864586660796932E-7</v>
      </c>
      <c r="U663" s="325" t="s">
        <v>1159</v>
      </c>
    </row>
    <row r="664" spans="1:21" ht="12" customHeight="1">
      <c r="A664" s="329">
        <v>5</v>
      </c>
      <c r="B664" s="159" t="s">
        <v>316</v>
      </c>
      <c r="C664" s="68" t="s">
        <v>95</v>
      </c>
      <c r="D664" s="68" t="s">
        <v>310</v>
      </c>
      <c r="E664" s="330">
        <v>4</v>
      </c>
      <c r="F664" s="326">
        <v>934</v>
      </c>
      <c r="G664" s="326">
        <v>524</v>
      </c>
      <c r="H664" s="326">
        <v>120</v>
      </c>
      <c r="I664" s="326">
        <v>114</v>
      </c>
      <c r="J664" s="326">
        <v>105</v>
      </c>
      <c r="K664" s="326">
        <v>100</v>
      </c>
      <c r="L664" s="326">
        <v>98</v>
      </c>
      <c r="M664" s="326">
        <v>96</v>
      </c>
      <c r="N664" s="326">
        <v>92</v>
      </c>
      <c r="O664" s="326">
        <v>91</v>
      </c>
      <c r="P664" s="326">
        <v>89</v>
      </c>
      <c r="Q664" s="326">
        <v>87</v>
      </c>
      <c r="R664" s="326">
        <v>106</v>
      </c>
      <c r="S664" s="9">
        <v>1.5246007038405004E-9</v>
      </c>
      <c r="T664" s="9">
        <f t="shared" si="10"/>
        <v>1.6160767460709303E-7</v>
      </c>
      <c r="U664" s="325" t="s">
        <v>1160</v>
      </c>
    </row>
    <row r="665" spans="1:21" ht="12" customHeight="1">
      <c r="A665" s="329">
        <v>5</v>
      </c>
      <c r="B665" s="159" t="s">
        <v>316</v>
      </c>
      <c r="C665" s="68" t="s">
        <v>95</v>
      </c>
      <c r="D665" s="68" t="s">
        <v>310</v>
      </c>
      <c r="E665" s="330">
        <v>5</v>
      </c>
      <c r="F665" s="326">
        <v>938</v>
      </c>
      <c r="G665" s="326">
        <v>524</v>
      </c>
      <c r="H665" s="326">
        <v>150</v>
      </c>
      <c r="I665" s="326">
        <v>144</v>
      </c>
      <c r="J665" s="326">
        <v>135</v>
      </c>
      <c r="K665" s="326">
        <v>132</v>
      </c>
      <c r="L665" s="326">
        <v>125</v>
      </c>
      <c r="M665" s="326">
        <v>114</v>
      </c>
      <c r="N665" s="326">
        <v>102</v>
      </c>
      <c r="O665" s="326">
        <v>92</v>
      </c>
      <c r="P665" s="326">
        <v>82</v>
      </c>
      <c r="Q665" s="326">
        <v>78</v>
      </c>
      <c r="R665" s="326">
        <v>136</v>
      </c>
      <c r="S665" s="9">
        <v>1.5246007038405004E-9</v>
      </c>
      <c r="T665" s="9">
        <f t="shared" si="10"/>
        <v>2.0734569572230805E-7</v>
      </c>
      <c r="U665" s="325" t="s">
        <v>1161</v>
      </c>
    </row>
    <row r="666" spans="1:21" ht="12" customHeight="1">
      <c r="A666" s="329">
        <v>5</v>
      </c>
      <c r="B666" s="159" t="s">
        <v>316</v>
      </c>
      <c r="C666" s="68" t="s">
        <v>95</v>
      </c>
      <c r="D666" s="68" t="s">
        <v>309</v>
      </c>
      <c r="E666" s="330">
        <v>1</v>
      </c>
      <c r="F666" s="326">
        <v>968</v>
      </c>
      <c r="G666" s="326">
        <v>524</v>
      </c>
      <c r="H666" s="326">
        <v>46</v>
      </c>
      <c r="I666" s="326">
        <v>28</v>
      </c>
      <c r="J666" s="326">
        <v>16</v>
      </c>
      <c r="K666" s="326">
        <v>13</v>
      </c>
      <c r="L666" s="326">
        <v>12</v>
      </c>
      <c r="M666" s="326">
        <v>11</v>
      </c>
      <c r="N666" s="326">
        <v>11</v>
      </c>
      <c r="O666" s="326">
        <v>10</v>
      </c>
      <c r="P666" s="326">
        <v>10</v>
      </c>
      <c r="Q666" s="326">
        <v>9</v>
      </c>
      <c r="R666" s="326">
        <v>17.399999999999999</v>
      </c>
      <c r="S666" s="9">
        <v>1.5246144253840504E-9</v>
      </c>
      <c r="T666" s="9">
        <f t="shared" si="10"/>
        <v>2.6528291001682473E-8</v>
      </c>
      <c r="U666" s="325" t="s">
        <v>1187</v>
      </c>
    </row>
    <row r="667" spans="1:21" ht="12" customHeight="1">
      <c r="A667" s="329">
        <v>5</v>
      </c>
      <c r="B667" s="159" t="s">
        <v>316</v>
      </c>
      <c r="C667" s="68" t="s">
        <v>95</v>
      </c>
      <c r="D667" s="68" t="s">
        <v>309</v>
      </c>
      <c r="E667" s="330">
        <v>2</v>
      </c>
      <c r="F667" s="326">
        <v>976</v>
      </c>
      <c r="G667" s="326">
        <v>525</v>
      </c>
      <c r="H667" s="326">
        <v>49</v>
      </c>
      <c r="I667" s="326">
        <v>27</v>
      </c>
      <c r="J667" s="326">
        <v>13</v>
      </c>
      <c r="K667" s="326">
        <v>12</v>
      </c>
      <c r="L667" s="326">
        <v>12</v>
      </c>
      <c r="M667" s="326">
        <v>10</v>
      </c>
      <c r="N667" s="326">
        <v>9</v>
      </c>
      <c r="O667" s="326">
        <v>9</v>
      </c>
      <c r="P667" s="326">
        <v>8</v>
      </c>
      <c r="Q667" s="326">
        <v>6</v>
      </c>
      <c r="R667" s="326">
        <v>14.6</v>
      </c>
      <c r="S667" s="9">
        <v>1.5246144253840504E-9</v>
      </c>
      <c r="T667" s="9">
        <f t="shared" si="10"/>
        <v>2.2259370610607136E-8</v>
      </c>
      <c r="U667" s="325" t="s">
        <v>1188</v>
      </c>
    </row>
    <row r="668" spans="1:21" ht="12" customHeight="1">
      <c r="A668" s="329">
        <v>5</v>
      </c>
      <c r="B668" s="159" t="s">
        <v>316</v>
      </c>
      <c r="C668" s="68" t="s">
        <v>95</v>
      </c>
      <c r="D668" s="68" t="s">
        <v>309</v>
      </c>
      <c r="E668" s="330">
        <v>3</v>
      </c>
      <c r="F668" s="326">
        <v>946</v>
      </c>
      <c r="G668" s="326">
        <v>524</v>
      </c>
      <c r="H668" s="326">
        <v>48</v>
      </c>
      <c r="I668" s="326">
        <v>31</v>
      </c>
      <c r="J668" s="326">
        <v>11</v>
      </c>
      <c r="K668" s="326">
        <v>10</v>
      </c>
      <c r="L668" s="326">
        <v>8</v>
      </c>
      <c r="M668" s="326">
        <v>8</v>
      </c>
      <c r="N668" s="326">
        <v>8</v>
      </c>
      <c r="O668" s="326">
        <v>8</v>
      </c>
      <c r="P668" s="326">
        <v>7</v>
      </c>
      <c r="Q668" s="326">
        <v>7</v>
      </c>
      <c r="R668" s="326">
        <v>13.2</v>
      </c>
      <c r="S668" s="9">
        <v>1.5246144253840504E-9</v>
      </c>
      <c r="T668" s="9">
        <f t="shared" si="10"/>
        <v>2.0124910415069465E-8</v>
      </c>
      <c r="U668" s="325" t="s">
        <v>1189</v>
      </c>
    </row>
    <row r="669" spans="1:21" ht="12" customHeight="1">
      <c r="A669" s="329">
        <v>5</v>
      </c>
      <c r="B669" s="159" t="s">
        <v>316</v>
      </c>
      <c r="C669" s="68" t="s">
        <v>95</v>
      </c>
      <c r="D669" s="68" t="s">
        <v>309</v>
      </c>
      <c r="E669" s="330">
        <v>4</v>
      </c>
      <c r="F669" s="326">
        <v>954</v>
      </c>
      <c r="G669" s="326">
        <v>524</v>
      </c>
      <c r="H669" s="326">
        <v>33</v>
      </c>
      <c r="I669" s="326">
        <v>11</v>
      </c>
      <c r="J669" s="326">
        <v>7</v>
      </c>
      <c r="K669" s="326">
        <v>6</v>
      </c>
      <c r="L669" s="326">
        <v>6</v>
      </c>
      <c r="M669" s="326">
        <v>6</v>
      </c>
      <c r="N669" s="326">
        <v>6</v>
      </c>
      <c r="O669" s="326">
        <v>6</v>
      </c>
      <c r="P669" s="326">
        <v>5</v>
      </c>
      <c r="Q669" s="326">
        <v>5</v>
      </c>
      <c r="R669" s="326">
        <v>7.6</v>
      </c>
      <c r="S669" s="9">
        <v>1.5246144253840504E-9</v>
      </c>
      <c r="T669" s="9">
        <f t="shared" si="10"/>
        <v>1.1587069632918783E-8</v>
      </c>
      <c r="U669" s="325" t="s">
        <v>1190</v>
      </c>
    </row>
    <row r="670" spans="1:21" ht="12" customHeight="1">
      <c r="A670" s="329">
        <v>5</v>
      </c>
      <c r="B670" s="159" t="s">
        <v>316</v>
      </c>
      <c r="C670" s="68" t="s">
        <v>95</v>
      </c>
      <c r="D670" s="68" t="s">
        <v>309</v>
      </c>
      <c r="E670" s="330">
        <v>5</v>
      </c>
      <c r="F670" s="326">
        <v>934</v>
      </c>
      <c r="G670" s="326">
        <v>524</v>
      </c>
      <c r="H670" s="326">
        <v>52</v>
      </c>
      <c r="I670" s="326">
        <v>29</v>
      </c>
      <c r="J670" s="326">
        <v>11</v>
      </c>
      <c r="K670" s="326">
        <v>11</v>
      </c>
      <c r="L670" s="326">
        <v>9</v>
      </c>
      <c r="M670" s="326">
        <v>8</v>
      </c>
      <c r="N670" s="326">
        <v>8</v>
      </c>
      <c r="O670" s="326">
        <v>8</v>
      </c>
      <c r="P670" s="326">
        <v>8</v>
      </c>
      <c r="Q670" s="326">
        <v>5</v>
      </c>
      <c r="R670" s="326">
        <v>13</v>
      </c>
      <c r="S670" s="9">
        <v>1.5246144253840504E-9</v>
      </c>
      <c r="T670" s="9">
        <f t="shared" si="10"/>
        <v>1.9819987529992655E-8</v>
      </c>
      <c r="U670" s="325" t="s">
        <v>1191</v>
      </c>
    </row>
    <row r="671" spans="1:21" ht="12" customHeight="1">
      <c r="A671" s="329">
        <v>5</v>
      </c>
      <c r="B671" s="159" t="s">
        <v>316</v>
      </c>
      <c r="C671" s="68" t="s">
        <v>95</v>
      </c>
      <c r="D671" s="68" t="s">
        <v>311</v>
      </c>
      <c r="E671" s="330">
        <v>1</v>
      </c>
      <c r="F671" s="326">
        <v>932</v>
      </c>
      <c r="G671" s="326">
        <v>524</v>
      </c>
      <c r="H671" s="326">
        <v>97</v>
      </c>
      <c r="I671" s="326">
        <v>96</v>
      </c>
      <c r="J671" s="326">
        <v>91</v>
      </c>
      <c r="K671" s="326">
        <v>78</v>
      </c>
      <c r="L671" s="326">
        <v>70</v>
      </c>
      <c r="M671" s="326">
        <v>60</v>
      </c>
      <c r="N671" s="326">
        <v>57</v>
      </c>
      <c r="O671" s="326">
        <v>51</v>
      </c>
      <c r="P671" s="326">
        <v>48</v>
      </c>
      <c r="Q671" s="326">
        <v>46</v>
      </c>
      <c r="R671" s="326">
        <v>91.5</v>
      </c>
      <c r="S671" s="9">
        <v>4.1164630650000014E-8</v>
      </c>
      <c r="T671" s="9">
        <f t="shared" si="10"/>
        <v>3.7665637044750014E-6</v>
      </c>
      <c r="U671" s="325" t="s">
        <v>1217</v>
      </c>
    </row>
    <row r="672" spans="1:21" ht="12" customHeight="1">
      <c r="A672" s="329">
        <v>5</v>
      </c>
      <c r="B672" s="159" t="s">
        <v>316</v>
      </c>
      <c r="C672" s="68" t="s">
        <v>95</v>
      </c>
      <c r="D672" s="68" t="s">
        <v>311</v>
      </c>
      <c r="E672" s="330">
        <v>2</v>
      </c>
      <c r="F672" s="326">
        <v>936</v>
      </c>
      <c r="G672" s="326">
        <v>524</v>
      </c>
      <c r="H672" s="326">
        <v>103</v>
      </c>
      <c r="I672" s="326">
        <v>100</v>
      </c>
      <c r="J672" s="326">
        <v>91</v>
      </c>
      <c r="K672" s="326">
        <v>75</v>
      </c>
      <c r="L672" s="326">
        <v>67</v>
      </c>
      <c r="M672" s="326">
        <v>57</v>
      </c>
      <c r="N672" s="326">
        <v>49</v>
      </c>
      <c r="O672" s="326">
        <v>38</v>
      </c>
      <c r="P672" s="326">
        <v>29</v>
      </c>
      <c r="Q672" s="326">
        <v>22</v>
      </c>
      <c r="R672" s="326">
        <v>91.9</v>
      </c>
      <c r="S672" s="9">
        <v>4.1164630650000014E-8</v>
      </c>
      <c r="T672" s="9">
        <f t="shared" si="10"/>
        <v>3.7830295567350015E-6</v>
      </c>
      <c r="U672" s="325" t="s">
        <v>1218</v>
      </c>
    </row>
    <row r="673" spans="1:21" ht="12" customHeight="1">
      <c r="A673" s="329">
        <v>5</v>
      </c>
      <c r="B673" s="159" t="s">
        <v>316</v>
      </c>
      <c r="C673" s="68" t="s">
        <v>95</v>
      </c>
      <c r="D673" s="68" t="s">
        <v>311</v>
      </c>
      <c r="E673" s="330">
        <v>3</v>
      </c>
      <c r="F673" s="326">
        <v>936</v>
      </c>
      <c r="G673" s="326">
        <v>524</v>
      </c>
      <c r="H673" s="326">
        <v>83</v>
      </c>
      <c r="I673" s="326">
        <v>81</v>
      </c>
      <c r="J673" s="326">
        <v>75</v>
      </c>
      <c r="K673" s="326">
        <v>61</v>
      </c>
      <c r="L673" s="326">
        <v>56</v>
      </c>
      <c r="M673" s="326">
        <v>50</v>
      </c>
      <c r="N673" s="326">
        <v>42</v>
      </c>
      <c r="O673" s="326">
        <v>36</v>
      </c>
      <c r="P673" s="326">
        <v>34</v>
      </c>
      <c r="Q673" s="326">
        <v>29</v>
      </c>
      <c r="R673" s="326">
        <v>75.599999999999994</v>
      </c>
      <c r="S673" s="9">
        <v>4.1164630650000014E-8</v>
      </c>
      <c r="T673" s="9">
        <f t="shared" si="10"/>
        <v>3.1120460771400008E-6</v>
      </c>
      <c r="U673" s="325" t="s">
        <v>1219</v>
      </c>
    </row>
    <row r="674" spans="1:21" ht="12" customHeight="1">
      <c r="A674" s="329">
        <v>5</v>
      </c>
      <c r="B674" s="159" t="s">
        <v>316</v>
      </c>
      <c r="C674" s="68" t="s">
        <v>95</v>
      </c>
      <c r="D674" s="68" t="s">
        <v>311</v>
      </c>
      <c r="E674" s="330">
        <v>4</v>
      </c>
      <c r="F674" s="326">
        <v>932</v>
      </c>
      <c r="G674" s="326">
        <v>525</v>
      </c>
      <c r="H674" s="326">
        <v>106</v>
      </c>
      <c r="I674" s="326">
        <v>105</v>
      </c>
      <c r="J674" s="326">
        <v>99</v>
      </c>
      <c r="K674" s="326">
        <v>93</v>
      </c>
      <c r="L674" s="326">
        <v>82</v>
      </c>
      <c r="M674" s="326">
        <v>76</v>
      </c>
      <c r="N674" s="326">
        <v>64</v>
      </c>
      <c r="O674" s="326">
        <v>54</v>
      </c>
      <c r="P674" s="326">
        <v>45</v>
      </c>
      <c r="Q674" s="326">
        <v>43</v>
      </c>
      <c r="R674" s="326">
        <v>99.6</v>
      </c>
      <c r="S674" s="9">
        <v>4.1164630650000014E-8</v>
      </c>
      <c r="T674" s="9">
        <f t="shared" si="10"/>
        <v>4.0999972127400012E-6</v>
      </c>
      <c r="U674" s="325" t="s">
        <v>1220</v>
      </c>
    </row>
    <row r="675" spans="1:21" ht="12" customHeight="1">
      <c r="A675" s="329">
        <v>5</v>
      </c>
      <c r="B675" s="159" t="s">
        <v>316</v>
      </c>
      <c r="C675" s="68" t="s">
        <v>95</v>
      </c>
      <c r="D675" s="68" t="s">
        <v>311</v>
      </c>
      <c r="E675" s="330">
        <v>5</v>
      </c>
      <c r="F675" s="326">
        <v>922</v>
      </c>
      <c r="G675" s="326">
        <v>524</v>
      </c>
      <c r="H675" s="326">
        <v>70</v>
      </c>
      <c r="I675" s="326">
        <v>69</v>
      </c>
      <c r="J675" s="326">
        <v>66</v>
      </c>
      <c r="K675" s="326">
        <v>60</v>
      </c>
      <c r="L675" s="326">
        <v>58</v>
      </c>
      <c r="M675" s="326">
        <v>54</v>
      </c>
      <c r="N675" s="326">
        <v>46</v>
      </c>
      <c r="O675" s="326">
        <v>38</v>
      </c>
      <c r="P675" s="326">
        <v>35</v>
      </c>
      <c r="Q675" s="326">
        <v>32</v>
      </c>
      <c r="R675" s="326">
        <v>66.3</v>
      </c>
      <c r="S675" s="9">
        <v>4.1164630650000014E-8</v>
      </c>
      <c r="T675" s="9">
        <f t="shared" si="10"/>
        <v>2.729215012095001E-6</v>
      </c>
      <c r="U675" s="325" t="s">
        <v>1221</v>
      </c>
    </row>
    <row r="676" spans="1:21" ht="12" customHeight="1">
      <c r="A676" s="329">
        <v>5</v>
      </c>
      <c r="B676" s="159" t="s">
        <v>316</v>
      </c>
      <c r="C676" s="68" t="s">
        <v>95</v>
      </c>
      <c r="D676" s="68" t="s">
        <v>307</v>
      </c>
      <c r="E676" s="330">
        <v>1</v>
      </c>
      <c r="F676" s="326">
        <v>768</v>
      </c>
      <c r="G676" s="326">
        <v>524</v>
      </c>
      <c r="H676" s="326">
        <v>56</v>
      </c>
      <c r="I676" s="326">
        <v>39</v>
      </c>
      <c r="J676" s="326">
        <v>21</v>
      </c>
      <c r="K676" s="326">
        <v>0</v>
      </c>
      <c r="L676" s="326">
        <v>0</v>
      </c>
      <c r="M676" s="326">
        <v>0</v>
      </c>
      <c r="N676" s="326">
        <v>0</v>
      </c>
      <c r="O676" s="326">
        <v>0</v>
      </c>
      <c r="P676" s="326">
        <v>0</v>
      </c>
      <c r="Q676" s="326">
        <v>0</v>
      </c>
      <c r="R676" s="326">
        <v>23</v>
      </c>
      <c r="S676" s="9">
        <v>0</v>
      </c>
      <c r="T676" s="9">
        <f t="shared" si="10"/>
        <v>0</v>
      </c>
      <c r="U676" s="325" t="s">
        <v>1247</v>
      </c>
    </row>
    <row r="677" spans="1:21" ht="12" customHeight="1">
      <c r="A677" s="329">
        <v>5</v>
      </c>
      <c r="B677" s="159" t="s">
        <v>316</v>
      </c>
      <c r="C677" s="68" t="s">
        <v>95</v>
      </c>
      <c r="D677" s="68" t="s">
        <v>307</v>
      </c>
      <c r="E677" s="330">
        <v>2</v>
      </c>
      <c r="F677" s="326">
        <v>768</v>
      </c>
      <c r="G677" s="326">
        <v>524</v>
      </c>
      <c r="H677" s="326">
        <v>55</v>
      </c>
      <c r="I677" s="326">
        <v>31</v>
      </c>
      <c r="J677" s="326">
        <v>12</v>
      </c>
      <c r="K677" s="326">
        <v>0</v>
      </c>
      <c r="L677" s="326">
        <v>0</v>
      </c>
      <c r="M677" s="326">
        <v>0</v>
      </c>
      <c r="N677" s="326">
        <v>0</v>
      </c>
      <c r="O677" s="326">
        <v>0</v>
      </c>
      <c r="P677" s="326">
        <v>0</v>
      </c>
      <c r="Q677" s="326">
        <v>0</v>
      </c>
      <c r="R677" s="326">
        <v>14.1</v>
      </c>
      <c r="S677" s="9">
        <v>0</v>
      </c>
      <c r="T677" s="9">
        <f t="shared" si="10"/>
        <v>0</v>
      </c>
      <c r="U677" s="325" t="s">
        <v>1248</v>
      </c>
    </row>
    <row r="678" spans="1:21" ht="12" customHeight="1">
      <c r="A678" s="329">
        <v>5</v>
      </c>
      <c r="B678" s="159" t="s">
        <v>316</v>
      </c>
      <c r="C678" s="68" t="s">
        <v>95</v>
      </c>
      <c r="D678" s="68" t="s">
        <v>307</v>
      </c>
      <c r="E678" s="330">
        <v>3</v>
      </c>
      <c r="F678" s="326">
        <v>738</v>
      </c>
      <c r="G678" s="326">
        <v>519</v>
      </c>
      <c r="H678" s="326">
        <v>48</v>
      </c>
      <c r="I678" s="326">
        <v>28</v>
      </c>
      <c r="J678" s="326">
        <v>12</v>
      </c>
      <c r="K678" s="326">
        <v>0</v>
      </c>
      <c r="L678" s="326">
        <v>0</v>
      </c>
      <c r="M678" s="326">
        <v>0</v>
      </c>
      <c r="N678" s="326">
        <v>0</v>
      </c>
      <c r="O678" s="326">
        <v>0</v>
      </c>
      <c r="P678" s="326">
        <v>0</v>
      </c>
      <c r="Q678" s="326">
        <v>0</v>
      </c>
      <c r="R678" s="326">
        <v>13.8</v>
      </c>
      <c r="S678" s="9">
        <v>0</v>
      </c>
      <c r="T678" s="9">
        <f t="shared" si="10"/>
        <v>0</v>
      </c>
      <c r="U678" s="325" t="s">
        <v>1249</v>
      </c>
    </row>
    <row r="679" spans="1:21" ht="12" customHeight="1">
      <c r="A679" s="329">
        <v>5</v>
      </c>
      <c r="B679" s="159" t="s">
        <v>316</v>
      </c>
      <c r="C679" s="68" t="s">
        <v>95</v>
      </c>
      <c r="D679" s="68" t="s">
        <v>307</v>
      </c>
      <c r="E679" s="330">
        <v>4</v>
      </c>
      <c r="F679" s="326">
        <v>746</v>
      </c>
      <c r="G679" s="326">
        <v>524</v>
      </c>
      <c r="H679" s="326">
        <v>36</v>
      </c>
      <c r="I679" s="326">
        <v>17</v>
      </c>
      <c r="J679" s="326">
        <v>9</v>
      </c>
      <c r="K679" s="326">
        <v>0</v>
      </c>
      <c r="L679" s="326">
        <v>0</v>
      </c>
      <c r="M679" s="326">
        <v>0</v>
      </c>
      <c r="N679" s="326">
        <v>0</v>
      </c>
      <c r="O679" s="326">
        <v>0</v>
      </c>
      <c r="P679" s="326">
        <v>0</v>
      </c>
      <c r="Q679" s="326">
        <v>0</v>
      </c>
      <c r="R679" s="326">
        <v>10</v>
      </c>
      <c r="S679" s="9">
        <v>0</v>
      </c>
      <c r="T679" s="9">
        <f t="shared" si="10"/>
        <v>0</v>
      </c>
      <c r="U679" s="325" t="s">
        <v>1250</v>
      </c>
    </row>
    <row r="680" spans="1:21" ht="12" customHeight="1">
      <c r="A680" s="328">
        <v>5</v>
      </c>
      <c r="B680" s="159" t="s">
        <v>316</v>
      </c>
      <c r="C680" s="68" t="s">
        <v>95</v>
      </c>
      <c r="D680" s="68" t="s">
        <v>307</v>
      </c>
      <c r="E680" s="323">
        <v>5</v>
      </c>
      <c r="F680" s="324">
        <v>748</v>
      </c>
      <c r="G680" s="324">
        <v>524</v>
      </c>
      <c r="H680" s="324">
        <v>51</v>
      </c>
      <c r="I680" s="324">
        <v>19</v>
      </c>
      <c r="J680" s="324">
        <v>8</v>
      </c>
      <c r="K680" s="324">
        <v>0</v>
      </c>
      <c r="L680" s="324">
        <v>0</v>
      </c>
      <c r="M680" s="324">
        <v>0</v>
      </c>
      <c r="N680" s="324">
        <v>0</v>
      </c>
      <c r="O680" s="324">
        <v>0</v>
      </c>
      <c r="P680" s="324">
        <v>0</v>
      </c>
      <c r="Q680" s="324">
        <v>0</v>
      </c>
      <c r="R680" s="324">
        <v>9.4</v>
      </c>
      <c r="S680" s="9">
        <v>0</v>
      </c>
      <c r="T680" s="9">
        <f t="shared" si="10"/>
        <v>0</v>
      </c>
      <c r="U680" s="323" t="s">
        <v>1251</v>
      </c>
    </row>
    <row r="681" spans="1:21" ht="12" customHeight="1">
      <c r="A681" s="327">
        <v>6</v>
      </c>
      <c r="B681" s="159" t="s">
        <v>312</v>
      </c>
      <c r="C681" s="68" t="s">
        <v>96</v>
      </c>
      <c r="D681" s="68" t="s">
        <v>308</v>
      </c>
      <c r="E681" s="321">
        <v>1</v>
      </c>
      <c r="F681" s="322">
        <v>1334</v>
      </c>
      <c r="G681" s="322">
        <v>479</v>
      </c>
      <c r="H681" s="322">
        <v>13</v>
      </c>
      <c r="I681" s="322">
        <v>2</v>
      </c>
      <c r="J681" s="322">
        <v>0</v>
      </c>
      <c r="K681" s="322">
        <v>0</v>
      </c>
      <c r="L681" s="322">
        <v>0</v>
      </c>
      <c r="M681" s="322">
        <v>0</v>
      </c>
      <c r="N681" s="322">
        <v>0</v>
      </c>
      <c r="O681" s="322">
        <v>0</v>
      </c>
      <c r="P681" s="322">
        <v>0</v>
      </c>
      <c r="Q681" s="322">
        <v>0</v>
      </c>
      <c r="R681" s="322">
        <v>0.3</v>
      </c>
      <c r="S681" s="9">
        <v>2.225365578577196E-5</v>
      </c>
      <c r="T681" s="9">
        <f t="shared" si="10"/>
        <v>6.6760967357315883E-6</v>
      </c>
      <c r="U681" s="321" t="s">
        <v>742</v>
      </c>
    </row>
    <row r="682" spans="1:21" ht="12" customHeight="1">
      <c r="A682" s="327">
        <v>6</v>
      </c>
      <c r="B682" s="159" t="s">
        <v>312</v>
      </c>
      <c r="C682" s="68" t="s">
        <v>96</v>
      </c>
      <c r="D682" s="68" t="s">
        <v>308</v>
      </c>
      <c r="E682" s="321">
        <v>2</v>
      </c>
      <c r="F682" s="322">
        <v>1378</v>
      </c>
      <c r="G682" s="322">
        <v>481</v>
      </c>
      <c r="H682" s="322">
        <v>16</v>
      </c>
      <c r="I682" s="322">
        <v>3</v>
      </c>
      <c r="J682" s="322">
        <v>0</v>
      </c>
      <c r="K682" s="322">
        <v>0</v>
      </c>
      <c r="L682" s="322">
        <v>0</v>
      </c>
      <c r="M682" s="322">
        <v>0</v>
      </c>
      <c r="N682" s="322">
        <v>0</v>
      </c>
      <c r="O682" s="322">
        <v>0</v>
      </c>
      <c r="P682" s="322">
        <v>0</v>
      </c>
      <c r="Q682" s="322">
        <v>0</v>
      </c>
      <c r="R682" s="322">
        <v>0.4</v>
      </c>
      <c r="S682" s="9">
        <v>2.225365578577196E-5</v>
      </c>
      <c r="T682" s="9">
        <f t="shared" si="10"/>
        <v>8.9014623143087839E-6</v>
      </c>
      <c r="U682" s="321" t="s">
        <v>743</v>
      </c>
    </row>
    <row r="683" spans="1:21" ht="12" customHeight="1">
      <c r="A683" s="327">
        <v>6</v>
      </c>
      <c r="B683" s="159" t="s">
        <v>312</v>
      </c>
      <c r="C683" s="68" t="s">
        <v>96</v>
      </c>
      <c r="D683" s="68" t="s">
        <v>308</v>
      </c>
      <c r="E683" s="321">
        <v>3</v>
      </c>
      <c r="F683" s="322">
        <v>1400</v>
      </c>
      <c r="G683" s="322">
        <v>481</v>
      </c>
      <c r="H683" s="322">
        <v>16</v>
      </c>
      <c r="I683" s="322">
        <v>6</v>
      </c>
      <c r="J683" s="322">
        <v>0</v>
      </c>
      <c r="K683" s="322">
        <v>0</v>
      </c>
      <c r="L683" s="322">
        <v>0</v>
      </c>
      <c r="M683" s="322">
        <v>0</v>
      </c>
      <c r="N683" s="322">
        <v>0</v>
      </c>
      <c r="O683" s="322">
        <v>0</v>
      </c>
      <c r="P683" s="322">
        <v>0</v>
      </c>
      <c r="Q683" s="322">
        <v>0</v>
      </c>
      <c r="R683" s="322">
        <v>0.7</v>
      </c>
      <c r="S683" s="9">
        <v>2.225365578577196E-5</v>
      </c>
      <c r="T683" s="9">
        <f t="shared" si="10"/>
        <v>1.5577559050040371E-5</v>
      </c>
      <c r="U683" s="321" t="s">
        <v>744</v>
      </c>
    </row>
    <row r="684" spans="1:21" ht="12" customHeight="1">
      <c r="A684" s="327">
        <v>6</v>
      </c>
      <c r="B684" s="159" t="s">
        <v>312</v>
      </c>
      <c r="C684" s="68" t="s">
        <v>96</v>
      </c>
      <c r="D684" s="68" t="s">
        <v>308</v>
      </c>
      <c r="E684" s="321">
        <v>4</v>
      </c>
      <c r="F684" s="322">
        <v>1472</v>
      </c>
      <c r="G684" s="322">
        <v>481</v>
      </c>
      <c r="H684" s="322">
        <v>23</v>
      </c>
      <c r="I684" s="322">
        <v>9</v>
      </c>
      <c r="J684" s="322">
        <v>0</v>
      </c>
      <c r="K684" s="322">
        <v>0</v>
      </c>
      <c r="L684" s="322">
        <v>0</v>
      </c>
      <c r="M684" s="322">
        <v>0</v>
      </c>
      <c r="N684" s="322">
        <v>0</v>
      </c>
      <c r="O684" s="322">
        <v>0</v>
      </c>
      <c r="P684" s="322">
        <v>0</v>
      </c>
      <c r="Q684" s="322">
        <v>0</v>
      </c>
      <c r="R684" s="322">
        <v>1</v>
      </c>
      <c r="S684" s="9">
        <v>2.225365578577196E-5</v>
      </c>
      <c r="T684" s="9">
        <f t="shared" si="10"/>
        <v>2.225365578577196E-5</v>
      </c>
      <c r="U684" s="321" t="s">
        <v>745</v>
      </c>
    </row>
    <row r="685" spans="1:21" ht="12" customHeight="1">
      <c r="A685" s="327">
        <v>6</v>
      </c>
      <c r="B685" s="159" t="s">
        <v>312</v>
      </c>
      <c r="C685" s="68" t="s">
        <v>96</v>
      </c>
      <c r="D685" s="68" t="s">
        <v>308</v>
      </c>
      <c r="E685" s="321">
        <v>5</v>
      </c>
      <c r="F685" s="322">
        <v>1438</v>
      </c>
      <c r="G685" s="322">
        <v>481</v>
      </c>
      <c r="H685" s="322">
        <v>22</v>
      </c>
      <c r="I685" s="322">
        <v>2</v>
      </c>
      <c r="J685" s="322">
        <v>0</v>
      </c>
      <c r="K685" s="322">
        <v>0</v>
      </c>
      <c r="L685" s="322">
        <v>0</v>
      </c>
      <c r="M685" s="322">
        <v>0</v>
      </c>
      <c r="N685" s="322">
        <v>0</v>
      </c>
      <c r="O685" s="322">
        <v>0</v>
      </c>
      <c r="P685" s="322">
        <v>0</v>
      </c>
      <c r="Q685" s="322">
        <v>0</v>
      </c>
      <c r="R685" s="322">
        <v>0.4</v>
      </c>
      <c r="S685" s="9">
        <v>2.225365578577196E-5</v>
      </c>
      <c r="T685" s="9">
        <f t="shared" si="10"/>
        <v>8.9014623143087839E-6</v>
      </c>
      <c r="U685" s="321" t="s">
        <v>746</v>
      </c>
    </row>
    <row r="686" spans="1:21" ht="12" customHeight="1">
      <c r="A686" s="327">
        <v>6</v>
      </c>
      <c r="B686" s="159" t="s">
        <v>312</v>
      </c>
      <c r="C686" s="68" t="s">
        <v>96</v>
      </c>
      <c r="D686" s="68" t="s">
        <v>310</v>
      </c>
      <c r="E686" s="321">
        <v>1</v>
      </c>
      <c r="F686" s="322">
        <v>1500</v>
      </c>
      <c r="G686" s="322">
        <v>481</v>
      </c>
      <c r="H686" s="322">
        <v>23</v>
      </c>
      <c r="I686" s="322">
        <v>9</v>
      </c>
      <c r="J686" s="322">
        <v>3</v>
      </c>
      <c r="K686" s="322">
        <v>1</v>
      </c>
      <c r="L686" s="322">
        <v>0</v>
      </c>
      <c r="M686" s="322">
        <v>0</v>
      </c>
      <c r="N686" s="322">
        <v>0</v>
      </c>
      <c r="O686" s="322">
        <v>0</v>
      </c>
      <c r="P686" s="322">
        <v>0</v>
      </c>
      <c r="Q686" s="322">
        <v>0</v>
      </c>
      <c r="R686" s="322">
        <v>3.7</v>
      </c>
      <c r="S686" s="9">
        <v>2.2253455502669612E-5</v>
      </c>
      <c r="T686" s="9">
        <f t="shared" si="10"/>
        <v>8.2337785359877562E-5</v>
      </c>
      <c r="U686" s="321" t="s">
        <v>772</v>
      </c>
    </row>
    <row r="687" spans="1:21" ht="12" customHeight="1">
      <c r="A687" s="327">
        <v>6</v>
      </c>
      <c r="B687" s="159" t="s">
        <v>312</v>
      </c>
      <c r="C687" s="68" t="s">
        <v>96</v>
      </c>
      <c r="D687" s="68" t="s">
        <v>310</v>
      </c>
      <c r="E687" s="321">
        <v>2</v>
      </c>
      <c r="F687" s="322">
        <v>1364</v>
      </c>
      <c r="G687" s="322">
        <v>481</v>
      </c>
      <c r="H687" s="322">
        <v>26</v>
      </c>
      <c r="I687" s="322">
        <v>9</v>
      </c>
      <c r="J687" s="322">
        <v>7</v>
      </c>
      <c r="K687" s="322">
        <v>0</v>
      </c>
      <c r="L687" s="322">
        <v>0</v>
      </c>
      <c r="M687" s="322">
        <v>0</v>
      </c>
      <c r="N687" s="322">
        <v>0</v>
      </c>
      <c r="O687" s="322">
        <v>0</v>
      </c>
      <c r="P687" s="322">
        <v>0</v>
      </c>
      <c r="Q687" s="322">
        <v>0</v>
      </c>
      <c r="R687" s="322">
        <v>7.4</v>
      </c>
      <c r="S687" s="9">
        <v>2.2253455502669612E-5</v>
      </c>
      <c r="T687" s="9">
        <f t="shared" si="10"/>
        <v>1.6467557071975512E-4</v>
      </c>
      <c r="U687" s="321" t="s">
        <v>773</v>
      </c>
    </row>
    <row r="688" spans="1:21" ht="12" customHeight="1">
      <c r="A688" s="327">
        <v>6</v>
      </c>
      <c r="B688" s="159" t="s">
        <v>312</v>
      </c>
      <c r="C688" s="68" t="s">
        <v>96</v>
      </c>
      <c r="D688" s="68" t="s">
        <v>310</v>
      </c>
      <c r="E688" s="321">
        <v>3</v>
      </c>
      <c r="F688" s="322">
        <v>1352</v>
      </c>
      <c r="G688" s="322">
        <v>481</v>
      </c>
      <c r="H688" s="322">
        <v>24</v>
      </c>
      <c r="I688" s="322">
        <v>8</v>
      </c>
      <c r="J688" s="322">
        <v>1</v>
      </c>
      <c r="K688" s="322">
        <v>0</v>
      </c>
      <c r="L688" s="322">
        <v>0</v>
      </c>
      <c r="M688" s="322">
        <v>0</v>
      </c>
      <c r="N688" s="322">
        <v>0</v>
      </c>
      <c r="O688" s="322">
        <v>0</v>
      </c>
      <c r="P688" s="322">
        <v>0</v>
      </c>
      <c r="Q688" s="322">
        <v>0</v>
      </c>
      <c r="R688" s="322">
        <v>1.9</v>
      </c>
      <c r="S688" s="9">
        <v>2.2253455502669612E-5</v>
      </c>
      <c r="T688" s="9">
        <f t="shared" si="10"/>
        <v>4.2281565455072262E-5</v>
      </c>
      <c r="U688" s="321" t="s">
        <v>774</v>
      </c>
    </row>
    <row r="689" spans="1:21" ht="12" customHeight="1">
      <c r="A689" s="327">
        <v>6</v>
      </c>
      <c r="B689" s="159" t="s">
        <v>312</v>
      </c>
      <c r="C689" s="68" t="s">
        <v>96</v>
      </c>
      <c r="D689" s="68" t="s">
        <v>310</v>
      </c>
      <c r="E689" s="321">
        <v>4</v>
      </c>
      <c r="F689" s="322">
        <v>1412</v>
      </c>
      <c r="G689" s="322">
        <v>457</v>
      </c>
      <c r="H689" s="322">
        <v>12</v>
      </c>
      <c r="I689" s="322">
        <v>4</v>
      </c>
      <c r="J689" s="322">
        <v>3</v>
      </c>
      <c r="K689" s="322">
        <v>0</v>
      </c>
      <c r="L689" s="322">
        <v>0</v>
      </c>
      <c r="M689" s="322">
        <v>0</v>
      </c>
      <c r="N689" s="322">
        <v>0</v>
      </c>
      <c r="O689" s="322">
        <v>0</v>
      </c>
      <c r="P689" s="322">
        <v>0</v>
      </c>
      <c r="Q689" s="322">
        <v>0</v>
      </c>
      <c r="R689" s="322">
        <v>3.2</v>
      </c>
      <c r="S689" s="9">
        <v>2.2253455502669612E-5</v>
      </c>
      <c r="T689" s="9">
        <f t="shared" si="10"/>
        <v>7.1211057608542766E-5</v>
      </c>
      <c r="U689" s="321" t="s">
        <v>775</v>
      </c>
    </row>
    <row r="690" spans="1:21" ht="12" customHeight="1">
      <c r="A690" s="327">
        <v>6</v>
      </c>
      <c r="B690" s="159" t="s">
        <v>312</v>
      </c>
      <c r="C690" s="68" t="s">
        <v>96</v>
      </c>
      <c r="D690" s="68" t="s">
        <v>310</v>
      </c>
      <c r="E690" s="321">
        <v>5</v>
      </c>
      <c r="F690" s="322">
        <v>1638</v>
      </c>
      <c r="G690" s="322">
        <v>479</v>
      </c>
      <c r="H690" s="322">
        <v>19</v>
      </c>
      <c r="I690" s="322">
        <v>8</v>
      </c>
      <c r="J690" s="322">
        <v>6</v>
      </c>
      <c r="K690" s="322">
        <v>1</v>
      </c>
      <c r="L690" s="322">
        <v>1</v>
      </c>
      <c r="M690" s="322">
        <v>0</v>
      </c>
      <c r="N690" s="322">
        <v>0</v>
      </c>
      <c r="O690" s="322">
        <v>0</v>
      </c>
      <c r="P690" s="322">
        <v>0</v>
      </c>
      <c r="Q690" s="322">
        <v>0</v>
      </c>
      <c r="R690" s="322">
        <v>6.3</v>
      </c>
      <c r="S690" s="9">
        <v>2.2253455502669612E-5</v>
      </c>
      <c r="T690" s="9">
        <f t="shared" si="10"/>
        <v>1.4019676966681854E-4</v>
      </c>
      <c r="U690" s="321" t="s">
        <v>776</v>
      </c>
    </row>
    <row r="691" spans="1:21" ht="12" customHeight="1">
      <c r="A691" s="327">
        <v>6</v>
      </c>
      <c r="B691" s="159" t="s">
        <v>312</v>
      </c>
      <c r="C691" s="68" t="s">
        <v>96</v>
      </c>
      <c r="D691" s="68" t="s">
        <v>309</v>
      </c>
      <c r="E691" s="321">
        <v>1</v>
      </c>
      <c r="F691" s="322">
        <v>902</v>
      </c>
      <c r="G691" s="322">
        <v>476</v>
      </c>
      <c r="H691" s="322">
        <v>0</v>
      </c>
      <c r="I691" s="322">
        <v>0</v>
      </c>
      <c r="J691" s="322">
        <v>0</v>
      </c>
      <c r="K691" s="322">
        <v>0</v>
      </c>
      <c r="L691" s="322">
        <v>0</v>
      </c>
      <c r="M691" s="322">
        <v>0</v>
      </c>
      <c r="N691" s="322">
        <v>0</v>
      </c>
      <c r="O691" s="322">
        <v>0</v>
      </c>
      <c r="P691" s="322">
        <v>0</v>
      </c>
      <c r="Q691" s="322">
        <v>0</v>
      </c>
      <c r="R691" s="322">
        <v>0</v>
      </c>
      <c r="S691" s="9">
        <v>2.225365578577196E-5</v>
      </c>
      <c r="T691" s="9">
        <f t="shared" si="10"/>
        <v>0</v>
      </c>
      <c r="U691" s="321" t="s">
        <v>802</v>
      </c>
    </row>
    <row r="692" spans="1:21" ht="12" customHeight="1">
      <c r="A692" s="327">
        <v>6</v>
      </c>
      <c r="B692" s="159" t="s">
        <v>312</v>
      </c>
      <c r="C692" s="68" t="s">
        <v>96</v>
      </c>
      <c r="D692" s="68" t="s">
        <v>309</v>
      </c>
      <c r="E692" s="321">
        <v>2</v>
      </c>
      <c r="F692" s="322">
        <v>948</v>
      </c>
      <c r="G692" s="322">
        <v>481</v>
      </c>
      <c r="H692" s="322">
        <v>0</v>
      </c>
      <c r="I692" s="322">
        <v>0</v>
      </c>
      <c r="J692" s="322">
        <v>0</v>
      </c>
      <c r="K692" s="322">
        <v>0</v>
      </c>
      <c r="L692" s="322">
        <v>0</v>
      </c>
      <c r="M692" s="322">
        <v>0</v>
      </c>
      <c r="N692" s="322">
        <v>0</v>
      </c>
      <c r="O692" s="322">
        <v>0</v>
      </c>
      <c r="P692" s="322">
        <v>0</v>
      </c>
      <c r="Q692" s="322">
        <v>0</v>
      </c>
      <c r="R692" s="322">
        <v>0</v>
      </c>
      <c r="S692" s="9">
        <v>2.225365578577196E-5</v>
      </c>
      <c r="T692" s="9">
        <f t="shared" si="10"/>
        <v>0</v>
      </c>
      <c r="U692" s="321" t="s">
        <v>803</v>
      </c>
    </row>
    <row r="693" spans="1:21" ht="12" customHeight="1">
      <c r="A693" s="327">
        <v>6</v>
      </c>
      <c r="B693" s="159" t="s">
        <v>312</v>
      </c>
      <c r="C693" s="68" t="s">
        <v>96</v>
      </c>
      <c r="D693" s="68" t="s">
        <v>309</v>
      </c>
      <c r="E693" s="321">
        <v>3</v>
      </c>
      <c r="F693" s="322">
        <v>894</v>
      </c>
      <c r="G693" s="322">
        <v>455</v>
      </c>
      <c r="H693" s="322">
        <v>0</v>
      </c>
      <c r="I693" s="322">
        <v>0</v>
      </c>
      <c r="J693" s="322">
        <v>0</v>
      </c>
      <c r="K693" s="322">
        <v>0</v>
      </c>
      <c r="L693" s="322">
        <v>0</v>
      </c>
      <c r="M693" s="322">
        <v>0</v>
      </c>
      <c r="N693" s="322">
        <v>0</v>
      </c>
      <c r="O693" s="322">
        <v>0</v>
      </c>
      <c r="P693" s="322">
        <v>0</v>
      </c>
      <c r="Q693" s="322">
        <v>0</v>
      </c>
      <c r="R693" s="322">
        <v>0</v>
      </c>
      <c r="S693" s="9">
        <v>2.225365578577196E-5</v>
      </c>
      <c r="T693" s="9">
        <f t="shared" si="10"/>
        <v>0</v>
      </c>
      <c r="U693" s="321" t="s">
        <v>804</v>
      </c>
    </row>
    <row r="694" spans="1:21" ht="12" customHeight="1">
      <c r="A694" s="327">
        <v>6</v>
      </c>
      <c r="B694" s="159" t="s">
        <v>312</v>
      </c>
      <c r="C694" s="68" t="s">
        <v>96</v>
      </c>
      <c r="D694" s="68" t="s">
        <v>309</v>
      </c>
      <c r="E694" s="321">
        <v>4</v>
      </c>
      <c r="F694" s="322">
        <v>914</v>
      </c>
      <c r="G694" s="322">
        <v>480</v>
      </c>
      <c r="H694" s="322">
        <v>0</v>
      </c>
      <c r="I694" s="322">
        <v>0</v>
      </c>
      <c r="J694" s="322">
        <v>0</v>
      </c>
      <c r="K694" s="322">
        <v>0</v>
      </c>
      <c r="L694" s="322">
        <v>0</v>
      </c>
      <c r="M694" s="322">
        <v>0</v>
      </c>
      <c r="N694" s="322">
        <v>0</v>
      </c>
      <c r="O694" s="322">
        <v>0</v>
      </c>
      <c r="P694" s="322">
        <v>0</v>
      </c>
      <c r="Q694" s="322">
        <v>0</v>
      </c>
      <c r="R694" s="322">
        <v>0</v>
      </c>
      <c r="S694" s="9">
        <v>2.225365578577196E-5</v>
      </c>
      <c r="T694" s="9">
        <f t="shared" si="10"/>
        <v>0</v>
      </c>
      <c r="U694" s="321" t="s">
        <v>805</v>
      </c>
    </row>
    <row r="695" spans="1:21" ht="12" customHeight="1">
      <c r="A695" s="327">
        <v>6</v>
      </c>
      <c r="B695" s="159" t="s">
        <v>312</v>
      </c>
      <c r="C695" s="68" t="s">
        <v>96</v>
      </c>
      <c r="D695" s="68" t="s">
        <v>309</v>
      </c>
      <c r="E695" s="321">
        <v>5</v>
      </c>
      <c r="F695" s="322">
        <v>916</v>
      </c>
      <c r="G695" s="322">
        <v>481</v>
      </c>
      <c r="H695" s="322">
        <v>0</v>
      </c>
      <c r="I695" s="322">
        <v>0</v>
      </c>
      <c r="J695" s="322">
        <v>0</v>
      </c>
      <c r="K695" s="322">
        <v>0</v>
      </c>
      <c r="L695" s="322">
        <v>0</v>
      </c>
      <c r="M695" s="322">
        <v>0</v>
      </c>
      <c r="N695" s="322">
        <v>0</v>
      </c>
      <c r="O695" s="322">
        <v>0</v>
      </c>
      <c r="P695" s="322">
        <v>0</v>
      </c>
      <c r="Q695" s="322">
        <v>0</v>
      </c>
      <c r="R695" s="322">
        <v>0</v>
      </c>
      <c r="S695" s="9">
        <v>2.225365578577196E-5</v>
      </c>
      <c r="T695" s="9">
        <f t="shared" si="10"/>
        <v>0</v>
      </c>
      <c r="U695" s="321" t="s">
        <v>806</v>
      </c>
    </row>
    <row r="696" spans="1:21" ht="12" customHeight="1">
      <c r="A696" s="327">
        <v>6</v>
      </c>
      <c r="B696" s="159" t="s">
        <v>312</v>
      </c>
      <c r="C696" s="68" t="s">
        <v>96</v>
      </c>
      <c r="D696" s="68" t="s">
        <v>307</v>
      </c>
      <c r="E696" s="321">
        <v>1</v>
      </c>
      <c r="F696" s="322">
        <v>894</v>
      </c>
      <c r="G696" s="322">
        <v>478</v>
      </c>
      <c r="H696" s="322">
        <v>0</v>
      </c>
      <c r="I696" s="322">
        <v>0</v>
      </c>
      <c r="J696" s="322">
        <v>0</v>
      </c>
      <c r="K696" s="322">
        <v>0</v>
      </c>
      <c r="L696" s="322">
        <v>0</v>
      </c>
      <c r="M696" s="322">
        <v>0</v>
      </c>
      <c r="N696" s="322">
        <v>0</v>
      </c>
      <c r="O696" s="322">
        <v>0</v>
      </c>
      <c r="P696" s="322">
        <v>0</v>
      </c>
      <c r="Q696" s="322">
        <v>0</v>
      </c>
      <c r="R696" s="322">
        <v>0</v>
      </c>
      <c r="S696" s="9">
        <v>6.0084930706515009E-4</v>
      </c>
      <c r="T696" s="9">
        <f t="shared" si="10"/>
        <v>0</v>
      </c>
      <c r="U696" s="321" t="s">
        <v>832</v>
      </c>
    </row>
    <row r="697" spans="1:21" ht="12" customHeight="1">
      <c r="A697" s="327">
        <v>6</v>
      </c>
      <c r="B697" s="159" t="s">
        <v>312</v>
      </c>
      <c r="C697" s="68" t="s">
        <v>96</v>
      </c>
      <c r="D697" s="68" t="s">
        <v>307</v>
      </c>
      <c r="E697" s="321">
        <v>2</v>
      </c>
      <c r="F697" s="322">
        <v>896</v>
      </c>
      <c r="G697" s="322">
        <v>476</v>
      </c>
      <c r="H697" s="322">
        <v>0</v>
      </c>
      <c r="I697" s="322">
        <v>0</v>
      </c>
      <c r="J697" s="322">
        <v>0</v>
      </c>
      <c r="K697" s="322">
        <v>0</v>
      </c>
      <c r="L697" s="322">
        <v>0</v>
      </c>
      <c r="M697" s="322">
        <v>0</v>
      </c>
      <c r="N697" s="322">
        <v>0</v>
      </c>
      <c r="O697" s="322">
        <v>0</v>
      </c>
      <c r="P697" s="322">
        <v>0</v>
      </c>
      <c r="Q697" s="322">
        <v>0</v>
      </c>
      <c r="R697" s="322">
        <v>0</v>
      </c>
      <c r="S697" s="9">
        <v>6.0084930706515009E-4</v>
      </c>
      <c r="T697" s="9">
        <f t="shared" si="10"/>
        <v>0</v>
      </c>
      <c r="U697" s="321" t="s">
        <v>833</v>
      </c>
    </row>
    <row r="698" spans="1:21" ht="12" customHeight="1">
      <c r="A698" s="327">
        <v>6</v>
      </c>
      <c r="B698" s="159" t="s">
        <v>312</v>
      </c>
      <c r="C698" s="68" t="s">
        <v>96</v>
      </c>
      <c r="D698" s="68" t="s">
        <v>307</v>
      </c>
      <c r="E698" s="321">
        <v>3</v>
      </c>
      <c r="F698" s="322">
        <v>938</v>
      </c>
      <c r="G698" s="322">
        <v>478</v>
      </c>
      <c r="H698" s="322">
        <v>0</v>
      </c>
      <c r="I698" s="322">
        <v>0</v>
      </c>
      <c r="J698" s="322">
        <v>0</v>
      </c>
      <c r="K698" s="322">
        <v>0</v>
      </c>
      <c r="L698" s="322">
        <v>0</v>
      </c>
      <c r="M698" s="322">
        <v>0</v>
      </c>
      <c r="N698" s="322">
        <v>0</v>
      </c>
      <c r="O698" s="322">
        <v>0</v>
      </c>
      <c r="P698" s="322">
        <v>0</v>
      </c>
      <c r="Q698" s="322">
        <v>0</v>
      </c>
      <c r="R698" s="322">
        <v>0</v>
      </c>
      <c r="S698" s="9">
        <v>6.0084930706515009E-4</v>
      </c>
      <c r="T698" s="9">
        <f t="shared" si="10"/>
        <v>0</v>
      </c>
      <c r="U698" s="321" t="s">
        <v>834</v>
      </c>
    </row>
    <row r="699" spans="1:21" ht="12" customHeight="1">
      <c r="A699" s="327">
        <v>6</v>
      </c>
      <c r="B699" s="159" t="s">
        <v>312</v>
      </c>
      <c r="C699" s="68" t="s">
        <v>96</v>
      </c>
      <c r="D699" s="68" t="s">
        <v>307</v>
      </c>
      <c r="E699" s="321">
        <v>4</v>
      </c>
      <c r="F699" s="322">
        <v>944</v>
      </c>
      <c r="G699" s="322">
        <v>476</v>
      </c>
      <c r="H699" s="322">
        <v>0</v>
      </c>
      <c r="I699" s="322">
        <v>0</v>
      </c>
      <c r="J699" s="322">
        <v>0</v>
      </c>
      <c r="K699" s="322">
        <v>0</v>
      </c>
      <c r="L699" s="322">
        <v>0</v>
      </c>
      <c r="M699" s="322">
        <v>0</v>
      </c>
      <c r="N699" s="322">
        <v>0</v>
      </c>
      <c r="O699" s="322">
        <v>0</v>
      </c>
      <c r="P699" s="322">
        <v>0</v>
      </c>
      <c r="Q699" s="322">
        <v>0</v>
      </c>
      <c r="R699" s="322">
        <v>0</v>
      </c>
      <c r="S699" s="9">
        <v>6.0084930706515009E-4</v>
      </c>
      <c r="T699" s="9">
        <f t="shared" si="10"/>
        <v>0</v>
      </c>
      <c r="U699" s="321" t="s">
        <v>835</v>
      </c>
    </row>
    <row r="700" spans="1:21" ht="12" customHeight="1">
      <c r="A700" s="327">
        <v>6</v>
      </c>
      <c r="B700" s="159" t="s">
        <v>312</v>
      </c>
      <c r="C700" s="68" t="s">
        <v>96</v>
      </c>
      <c r="D700" s="68" t="s">
        <v>307</v>
      </c>
      <c r="E700" s="321">
        <v>5</v>
      </c>
      <c r="F700" s="322">
        <v>972</v>
      </c>
      <c r="G700" s="322">
        <v>481</v>
      </c>
      <c r="H700" s="322">
        <v>0</v>
      </c>
      <c r="I700" s="322">
        <v>0</v>
      </c>
      <c r="J700" s="322">
        <v>0</v>
      </c>
      <c r="K700" s="322">
        <v>0</v>
      </c>
      <c r="L700" s="322">
        <v>0</v>
      </c>
      <c r="M700" s="322">
        <v>0</v>
      </c>
      <c r="N700" s="322">
        <v>0</v>
      </c>
      <c r="O700" s="322">
        <v>0</v>
      </c>
      <c r="P700" s="322">
        <v>0</v>
      </c>
      <c r="Q700" s="322">
        <v>0</v>
      </c>
      <c r="R700" s="322">
        <v>0</v>
      </c>
      <c r="S700" s="9">
        <v>6.0084930706515009E-4</v>
      </c>
      <c r="T700" s="9">
        <f t="shared" si="10"/>
        <v>0</v>
      </c>
      <c r="U700" s="321" t="s">
        <v>836</v>
      </c>
    </row>
    <row r="701" spans="1:21" ht="12" customHeight="1">
      <c r="A701" s="327">
        <v>6</v>
      </c>
      <c r="B701" s="159" t="s">
        <v>312</v>
      </c>
      <c r="C701" s="68" t="s">
        <v>95</v>
      </c>
      <c r="D701" s="68" t="s">
        <v>308</v>
      </c>
      <c r="E701" s="321">
        <v>1</v>
      </c>
      <c r="F701" s="322">
        <v>1426</v>
      </c>
      <c r="G701" s="322">
        <v>524</v>
      </c>
      <c r="H701" s="322">
        <v>18</v>
      </c>
      <c r="I701" s="322">
        <v>9</v>
      </c>
      <c r="J701" s="322">
        <v>0</v>
      </c>
      <c r="K701" s="322">
        <v>0</v>
      </c>
      <c r="L701" s="322">
        <v>0</v>
      </c>
      <c r="M701" s="322">
        <v>0</v>
      </c>
      <c r="N701" s="322">
        <v>0</v>
      </c>
      <c r="O701" s="322">
        <v>0</v>
      </c>
      <c r="P701" s="322">
        <v>0</v>
      </c>
      <c r="Q701" s="322">
        <v>0</v>
      </c>
      <c r="R701" s="322">
        <v>1</v>
      </c>
      <c r="S701" s="9">
        <v>2.247844018764845E-7</v>
      </c>
      <c r="T701" s="9">
        <f t="shared" si="10"/>
        <v>2.247844018764845E-7</v>
      </c>
      <c r="U701" s="321" t="s">
        <v>592</v>
      </c>
    </row>
    <row r="702" spans="1:21" ht="12" customHeight="1">
      <c r="A702" s="327">
        <v>6</v>
      </c>
      <c r="B702" s="159" t="s">
        <v>312</v>
      </c>
      <c r="C702" s="68" t="s">
        <v>95</v>
      </c>
      <c r="D702" s="68" t="s">
        <v>308</v>
      </c>
      <c r="E702" s="321">
        <v>2</v>
      </c>
      <c r="F702" s="322">
        <v>1392</v>
      </c>
      <c r="G702" s="322">
        <v>524</v>
      </c>
      <c r="H702" s="322">
        <v>19</v>
      </c>
      <c r="I702" s="322">
        <v>5</v>
      </c>
      <c r="J702" s="322">
        <v>0</v>
      </c>
      <c r="K702" s="322">
        <v>0</v>
      </c>
      <c r="L702" s="322">
        <v>0</v>
      </c>
      <c r="M702" s="322">
        <v>0</v>
      </c>
      <c r="N702" s="322">
        <v>0</v>
      </c>
      <c r="O702" s="322">
        <v>0</v>
      </c>
      <c r="P702" s="322">
        <v>0</v>
      </c>
      <c r="Q702" s="322">
        <v>0</v>
      </c>
      <c r="R702" s="322">
        <v>0.6</v>
      </c>
      <c r="S702" s="9">
        <v>2.247844018764845E-7</v>
      </c>
      <c r="T702" s="9">
        <f t="shared" si="10"/>
        <v>1.3487064112589071E-7</v>
      </c>
      <c r="U702" s="321" t="s">
        <v>593</v>
      </c>
    </row>
    <row r="703" spans="1:21" ht="12" customHeight="1">
      <c r="A703" s="327">
        <v>6</v>
      </c>
      <c r="B703" s="159" t="s">
        <v>312</v>
      </c>
      <c r="C703" s="68" t="s">
        <v>95</v>
      </c>
      <c r="D703" s="68" t="s">
        <v>308</v>
      </c>
      <c r="E703" s="321">
        <v>3</v>
      </c>
      <c r="F703" s="322">
        <v>1416</v>
      </c>
      <c r="G703" s="322">
        <v>526</v>
      </c>
      <c r="H703" s="322">
        <v>14</v>
      </c>
      <c r="I703" s="322">
        <v>6</v>
      </c>
      <c r="J703" s="322">
        <v>0</v>
      </c>
      <c r="K703" s="322">
        <v>0</v>
      </c>
      <c r="L703" s="322">
        <v>0</v>
      </c>
      <c r="M703" s="322">
        <v>0</v>
      </c>
      <c r="N703" s="322">
        <v>0</v>
      </c>
      <c r="O703" s="322">
        <v>0</v>
      </c>
      <c r="P703" s="322">
        <v>0</v>
      </c>
      <c r="Q703" s="322">
        <v>0</v>
      </c>
      <c r="R703" s="322">
        <v>0.7</v>
      </c>
      <c r="S703" s="9">
        <v>2.247844018764845E-7</v>
      </c>
      <c r="T703" s="9">
        <f t="shared" si="10"/>
        <v>1.5734908131353914E-7</v>
      </c>
      <c r="U703" s="321" t="s">
        <v>594</v>
      </c>
    </row>
    <row r="704" spans="1:21" ht="12" customHeight="1">
      <c r="A704" s="327">
        <v>6</v>
      </c>
      <c r="B704" s="159" t="s">
        <v>312</v>
      </c>
      <c r="C704" s="68" t="s">
        <v>95</v>
      </c>
      <c r="D704" s="68" t="s">
        <v>308</v>
      </c>
      <c r="E704" s="321">
        <v>4</v>
      </c>
      <c r="F704" s="322">
        <v>1380</v>
      </c>
      <c r="G704" s="322">
        <v>524</v>
      </c>
      <c r="H704" s="322">
        <v>17</v>
      </c>
      <c r="I704" s="322">
        <v>7</v>
      </c>
      <c r="J704" s="322">
        <v>0</v>
      </c>
      <c r="K704" s="322">
        <v>0</v>
      </c>
      <c r="L704" s="322">
        <v>0</v>
      </c>
      <c r="M704" s="322">
        <v>0</v>
      </c>
      <c r="N704" s="322">
        <v>0</v>
      </c>
      <c r="O704" s="322">
        <v>0</v>
      </c>
      <c r="P704" s="322">
        <v>0</v>
      </c>
      <c r="Q704" s="322">
        <v>0</v>
      </c>
      <c r="R704" s="322">
        <v>0.8</v>
      </c>
      <c r="S704" s="9">
        <v>2.247844018764845E-7</v>
      </c>
      <c r="T704" s="9">
        <f t="shared" si="10"/>
        <v>1.7982752150118762E-7</v>
      </c>
      <c r="U704" s="321" t="s">
        <v>595</v>
      </c>
    </row>
    <row r="705" spans="1:21" ht="12" customHeight="1">
      <c r="A705" s="327">
        <v>6</v>
      </c>
      <c r="B705" s="159" t="s">
        <v>312</v>
      </c>
      <c r="C705" s="68" t="s">
        <v>95</v>
      </c>
      <c r="D705" s="68" t="s">
        <v>308</v>
      </c>
      <c r="E705" s="321">
        <v>5</v>
      </c>
      <c r="F705" s="322">
        <v>1440</v>
      </c>
      <c r="G705" s="322">
        <v>524</v>
      </c>
      <c r="H705" s="322">
        <v>22</v>
      </c>
      <c r="I705" s="322">
        <v>8</v>
      </c>
      <c r="J705" s="322">
        <v>0</v>
      </c>
      <c r="K705" s="322">
        <v>0</v>
      </c>
      <c r="L705" s="322">
        <v>0</v>
      </c>
      <c r="M705" s="322">
        <v>0</v>
      </c>
      <c r="N705" s="322">
        <v>0</v>
      </c>
      <c r="O705" s="322">
        <v>0</v>
      </c>
      <c r="P705" s="322">
        <v>0</v>
      </c>
      <c r="Q705" s="322">
        <v>0</v>
      </c>
      <c r="R705" s="322">
        <v>0.9</v>
      </c>
      <c r="S705" s="9">
        <v>2.247844018764845E-7</v>
      </c>
      <c r="T705" s="9">
        <f t="shared" si="10"/>
        <v>2.0230596168883605E-7</v>
      </c>
      <c r="U705" s="321" t="s">
        <v>596</v>
      </c>
    </row>
    <row r="706" spans="1:21" ht="12" customHeight="1">
      <c r="A706" s="327">
        <v>6</v>
      </c>
      <c r="B706" s="159" t="s">
        <v>312</v>
      </c>
      <c r="C706" s="68" t="s">
        <v>95</v>
      </c>
      <c r="D706" s="68" t="s">
        <v>310</v>
      </c>
      <c r="E706" s="321">
        <v>1</v>
      </c>
      <c r="F706" s="322">
        <v>1504</v>
      </c>
      <c r="G706" s="322">
        <v>524</v>
      </c>
      <c r="H706" s="322">
        <v>83</v>
      </c>
      <c r="I706" s="322">
        <v>33</v>
      </c>
      <c r="J706" s="322">
        <v>8</v>
      </c>
      <c r="K706" s="322">
        <v>3</v>
      </c>
      <c r="L706" s="322">
        <v>0</v>
      </c>
      <c r="M706" s="322">
        <v>0</v>
      </c>
      <c r="N706" s="322">
        <v>0</v>
      </c>
      <c r="O706" s="322">
        <v>0</v>
      </c>
      <c r="P706" s="322">
        <v>0</v>
      </c>
      <c r="Q706" s="322">
        <v>0</v>
      </c>
      <c r="R706" s="322">
        <v>11</v>
      </c>
      <c r="S706" s="9">
        <v>2.2478237881484456E-7</v>
      </c>
      <c r="T706" s="9">
        <f t="shared" si="10"/>
        <v>2.4726061669632903E-6</v>
      </c>
      <c r="U706" s="321" t="s">
        <v>622</v>
      </c>
    </row>
    <row r="707" spans="1:21" ht="12" customHeight="1">
      <c r="A707" s="327">
        <v>6</v>
      </c>
      <c r="B707" s="159" t="s">
        <v>312</v>
      </c>
      <c r="C707" s="68" t="s">
        <v>95</v>
      </c>
      <c r="D707" s="68" t="s">
        <v>310</v>
      </c>
      <c r="E707" s="321">
        <v>2</v>
      </c>
      <c r="F707" s="322">
        <v>1554</v>
      </c>
      <c r="G707" s="322">
        <v>524</v>
      </c>
      <c r="H707" s="322">
        <v>79</v>
      </c>
      <c r="I707" s="322">
        <v>40</v>
      </c>
      <c r="J707" s="322">
        <v>17</v>
      </c>
      <c r="K707" s="322">
        <v>4</v>
      </c>
      <c r="L707" s="322">
        <v>0</v>
      </c>
      <c r="M707" s="322">
        <v>0</v>
      </c>
      <c r="N707" s="322">
        <v>0</v>
      </c>
      <c r="O707" s="322">
        <v>0</v>
      </c>
      <c r="P707" s="322">
        <v>0</v>
      </c>
      <c r="Q707" s="322">
        <v>0</v>
      </c>
      <c r="R707" s="322">
        <v>19.7</v>
      </c>
      <c r="S707" s="9">
        <v>2.2478237881484456E-7</v>
      </c>
      <c r="T707" s="9">
        <f t="shared" si="10"/>
        <v>4.4282128626524378E-6</v>
      </c>
      <c r="U707" s="321" t="s">
        <v>623</v>
      </c>
    </row>
    <row r="708" spans="1:21" ht="12" customHeight="1">
      <c r="A708" s="327">
        <v>6</v>
      </c>
      <c r="B708" s="159" t="s">
        <v>312</v>
      </c>
      <c r="C708" s="68" t="s">
        <v>95</v>
      </c>
      <c r="D708" s="68" t="s">
        <v>310</v>
      </c>
      <c r="E708" s="321">
        <v>3</v>
      </c>
      <c r="F708" s="322">
        <v>1522</v>
      </c>
      <c r="G708" s="322">
        <v>525</v>
      </c>
      <c r="H708" s="322">
        <v>71</v>
      </c>
      <c r="I708" s="322">
        <v>30</v>
      </c>
      <c r="J708" s="322">
        <v>8</v>
      </c>
      <c r="K708" s="322">
        <v>2</v>
      </c>
      <c r="L708" s="322">
        <v>0</v>
      </c>
      <c r="M708" s="322">
        <v>0</v>
      </c>
      <c r="N708" s="322">
        <v>0</v>
      </c>
      <c r="O708" s="322">
        <v>0</v>
      </c>
      <c r="P708" s="322">
        <v>0</v>
      </c>
      <c r="Q708" s="322">
        <v>0</v>
      </c>
      <c r="R708" s="322">
        <v>10.6</v>
      </c>
      <c r="S708" s="9">
        <v>2.2478237881484456E-7</v>
      </c>
      <c r="T708" s="9">
        <f t="shared" si="10"/>
        <v>2.382693215437352E-6</v>
      </c>
      <c r="U708" s="321" t="s">
        <v>624</v>
      </c>
    </row>
    <row r="709" spans="1:21" ht="12" customHeight="1">
      <c r="A709" s="327">
        <v>6</v>
      </c>
      <c r="B709" s="159" t="s">
        <v>312</v>
      </c>
      <c r="C709" s="68" t="s">
        <v>95</v>
      </c>
      <c r="D709" s="68" t="s">
        <v>310</v>
      </c>
      <c r="E709" s="321">
        <v>4</v>
      </c>
      <c r="F709" s="322">
        <v>1508</v>
      </c>
      <c r="G709" s="322">
        <v>524</v>
      </c>
      <c r="H709" s="322">
        <v>118</v>
      </c>
      <c r="I709" s="322">
        <v>61</v>
      </c>
      <c r="J709" s="322">
        <v>24</v>
      </c>
      <c r="K709" s="322">
        <v>1</v>
      </c>
      <c r="L709" s="322">
        <v>0</v>
      </c>
      <c r="M709" s="322">
        <v>0</v>
      </c>
      <c r="N709" s="322">
        <v>0</v>
      </c>
      <c r="O709" s="322">
        <v>0</v>
      </c>
      <c r="P709" s="322">
        <v>0</v>
      </c>
      <c r="Q709" s="322">
        <v>0</v>
      </c>
      <c r="R709" s="322">
        <v>28.3</v>
      </c>
      <c r="S709" s="9">
        <v>2.2478237881484456E-7</v>
      </c>
      <c r="T709" s="9">
        <f t="shared" si="10"/>
        <v>6.361341320460101E-6</v>
      </c>
      <c r="U709" s="321" t="s">
        <v>625</v>
      </c>
    </row>
    <row r="710" spans="1:21" ht="12" customHeight="1">
      <c r="A710" s="327">
        <v>6</v>
      </c>
      <c r="B710" s="159" t="s">
        <v>312</v>
      </c>
      <c r="C710" s="68" t="s">
        <v>95</v>
      </c>
      <c r="D710" s="68" t="s">
        <v>310</v>
      </c>
      <c r="E710" s="321">
        <v>5</v>
      </c>
      <c r="F710" s="322">
        <v>1472</v>
      </c>
      <c r="G710" s="322">
        <v>524</v>
      </c>
      <c r="H710" s="322">
        <v>121</v>
      </c>
      <c r="I710" s="322">
        <v>45</v>
      </c>
      <c r="J710" s="322">
        <v>24</v>
      </c>
      <c r="K710" s="322">
        <v>1</v>
      </c>
      <c r="L710" s="322">
        <v>0</v>
      </c>
      <c r="M710" s="322">
        <v>0</v>
      </c>
      <c r="N710" s="322">
        <v>0</v>
      </c>
      <c r="O710" s="322">
        <v>0</v>
      </c>
      <c r="P710" s="322">
        <v>0</v>
      </c>
      <c r="Q710" s="322">
        <v>0</v>
      </c>
      <c r="R710" s="322">
        <v>26.9</v>
      </c>
      <c r="S710" s="9">
        <v>2.2478237881484456E-7</v>
      </c>
      <c r="T710" s="9">
        <f t="shared" ref="T710:T773" si="11">S710*R710</f>
        <v>6.0466459901193182E-6</v>
      </c>
      <c r="U710" s="321" t="s">
        <v>626</v>
      </c>
    </row>
    <row r="711" spans="1:21" ht="12" customHeight="1">
      <c r="A711" s="327">
        <v>6</v>
      </c>
      <c r="B711" s="159" t="s">
        <v>312</v>
      </c>
      <c r="C711" s="68" t="s">
        <v>95</v>
      </c>
      <c r="D711" s="68" t="s">
        <v>309</v>
      </c>
      <c r="E711" s="321">
        <v>1</v>
      </c>
      <c r="F711" s="322">
        <v>968</v>
      </c>
      <c r="G711" s="322">
        <v>524</v>
      </c>
      <c r="H711" s="322">
        <v>0</v>
      </c>
      <c r="I711" s="322">
        <v>0</v>
      </c>
      <c r="J711" s="322">
        <v>0</v>
      </c>
      <c r="K711" s="322">
        <v>0</v>
      </c>
      <c r="L711" s="322">
        <v>0</v>
      </c>
      <c r="M711" s="322">
        <v>0</v>
      </c>
      <c r="N711" s="322">
        <v>0</v>
      </c>
      <c r="O711" s="322">
        <v>0</v>
      </c>
      <c r="P711" s="322">
        <v>0</v>
      </c>
      <c r="Q711" s="322">
        <v>0</v>
      </c>
      <c r="R711" s="322">
        <v>0</v>
      </c>
      <c r="S711" s="9">
        <v>2.247844018764845E-7</v>
      </c>
      <c r="T711" s="9">
        <f t="shared" si="11"/>
        <v>0</v>
      </c>
      <c r="U711" s="321" t="s">
        <v>652</v>
      </c>
    </row>
    <row r="712" spans="1:21" ht="12" customHeight="1">
      <c r="A712" s="327">
        <v>6</v>
      </c>
      <c r="B712" s="159" t="s">
        <v>312</v>
      </c>
      <c r="C712" s="68" t="s">
        <v>95</v>
      </c>
      <c r="D712" s="68" t="s">
        <v>309</v>
      </c>
      <c r="E712" s="321">
        <v>2</v>
      </c>
      <c r="F712" s="322">
        <v>916</v>
      </c>
      <c r="G712" s="322">
        <v>501</v>
      </c>
      <c r="H712" s="322">
        <v>0</v>
      </c>
      <c r="I712" s="322">
        <v>0</v>
      </c>
      <c r="J712" s="322">
        <v>0</v>
      </c>
      <c r="K712" s="322">
        <v>0</v>
      </c>
      <c r="L712" s="322">
        <v>0</v>
      </c>
      <c r="M712" s="322">
        <v>0</v>
      </c>
      <c r="N712" s="322">
        <v>0</v>
      </c>
      <c r="O712" s="322">
        <v>0</v>
      </c>
      <c r="P712" s="322">
        <v>0</v>
      </c>
      <c r="Q712" s="322">
        <v>0</v>
      </c>
      <c r="R712" s="322">
        <v>0</v>
      </c>
      <c r="S712" s="9">
        <v>2.247844018764845E-7</v>
      </c>
      <c r="T712" s="9">
        <f t="shared" si="11"/>
        <v>0</v>
      </c>
      <c r="U712" s="321" t="s">
        <v>653</v>
      </c>
    </row>
    <row r="713" spans="1:21" ht="12" customHeight="1">
      <c r="A713" s="327">
        <v>6</v>
      </c>
      <c r="B713" s="159" t="s">
        <v>312</v>
      </c>
      <c r="C713" s="68" t="s">
        <v>95</v>
      </c>
      <c r="D713" s="68" t="s">
        <v>309</v>
      </c>
      <c r="E713" s="321">
        <v>3</v>
      </c>
      <c r="F713" s="322">
        <v>902</v>
      </c>
      <c r="G713" s="322">
        <v>524</v>
      </c>
      <c r="H713" s="322">
        <v>0</v>
      </c>
      <c r="I713" s="322">
        <v>0</v>
      </c>
      <c r="J713" s="322">
        <v>0</v>
      </c>
      <c r="K713" s="322">
        <v>0</v>
      </c>
      <c r="L713" s="322">
        <v>0</v>
      </c>
      <c r="M713" s="322">
        <v>0</v>
      </c>
      <c r="N713" s="322">
        <v>0</v>
      </c>
      <c r="O713" s="322">
        <v>0</v>
      </c>
      <c r="P713" s="322">
        <v>0</v>
      </c>
      <c r="Q713" s="322">
        <v>0</v>
      </c>
      <c r="R713" s="322">
        <v>0</v>
      </c>
      <c r="S713" s="9">
        <v>2.247844018764845E-7</v>
      </c>
      <c r="T713" s="9">
        <f t="shared" si="11"/>
        <v>0</v>
      </c>
      <c r="U713" s="321" t="s">
        <v>654</v>
      </c>
    </row>
    <row r="714" spans="1:21" ht="12" customHeight="1">
      <c r="A714" s="327">
        <v>6</v>
      </c>
      <c r="B714" s="159" t="s">
        <v>312</v>
      </c>
      <c r="C714" s="68" t="s">
        <v>95</v>
      </c>
      <c r="D714" s="68" t="s">
        <v>309</v>
      </c>
      <c r="E714" s="321">
        <v>4</v>
      </c>
      <c r="F714" s="322">
        <v>900</v>
      </c>
      <c r="G714" s="322">
        <v>524</v>
      </c>
      <c r="H714" s="322">
        <v>0</v>
      </c>
      <c r="I714" s="322">
        <v>0</v>
      </c>
      <c r="J714" s="322">
        <v>0</v>
      </c>
      <c r="K714" s="322">
        <v>0</v>
      </c>
      <c r="L714" s="322">
        <v>0</v>
      </c>
      <c r="M714" s="322">
        <v>0</v>
      </c>
      <c r="N714" s="322">
        <v>0</v>
      </c>
      <c r="O714" s="322">
        <v>0</v>
      </c>
      <c r="P714" s="322">
        <v>0</v>
      </c>
      <c r="Q714" s="322">
        <v>0</v>
      </c>
      <c r="R714" s="322">
        <v>0</v>
      </c>
      <c r="S714" s="9">
        <v>2.247844018764845E-7</v>
      </c>
      <c r="T714" s="9">
        <f t="shared" si="11"/>
        <v>0</v>
      </c>
      <c r="U714" s="321" t="s">
        <v>655</v>
      </c>
    </row>
    <row r="715" spans="1:21" ht="12" customHeight="1">
      <c r="A715" s="327">
        <v>6</v>
      </c>
      <c r="B715" s="159" t="s">
        <v>312</v>
      </c>
      <c r="C715" s="68" t="s">
        <v>95</v>
      </c>
      <c r="D715" s="68" t="s">
        <v>309</v>
      </c>
      <c r="E715" s="321">
        <v>5</v>
      </c>
      <c r="F715" s="322">
        <v>920</v>
      </c>
      <c r="G715" s="322">
        <v>524</v>
      </c>
      <c r="H715" s="322">
        <v>0</v>
      </c>
      <c r="I715" s="322">
        <v>0</v>
      </c>
      <c r="J715" s="322">
        <v>0</v>
      </c>
      <c r="K715" s="322">
        <v>0</v>
      </c>
      <c r="L715" s="322">
        <v>0</v>
      </c>
      <c r="M715" s="322">
        <v>0</v>
      </c>
      <c r="N715" s="322">
        <v>0</v>
      </c>
      <c r="O715" s="322">
        <v>0</v>
      </c>
      <c r="P715" s="322">
        <v>0</v>
      </c>
      <c r="Q715" s="322">
        <v>0</v>
      </c>
      <c r="R715" s="322">
        <v>0</v>
      </c>
      <c r="S715" s="9">
        <v>2.247844018764845E-7</v>
      </c>
      <c r="T715" s="9">
        <f t="shared" si="11"/>
        <v>0</v>
      </c>
      <c r="U715" s="321" t="s">
        <v>656</v>
      </c>
    </row>
    <row r="716" spans="1:21" ht="12" customHeight="1">
      <c r="A716" s="327">
        <v>6</v>
      </c>
      <c r="B716" s="159" t="s">
        <v>312</v>
      </c>
      <c r="C716" s="68" t="s">
        <v>95</v>
      </c>
      <c r="D716" s="68" t="s">
        <v>311</v>
      </c>
      <c r="E716" s="321">
        <v>1</v>
      </c>
      <c r="F716" s="322">
        <v>1400</v>
      </c>
      <c r="G716" s="322">
        <v>525</v>
      </c>
      <c r="H716" s="322">
        <v>11</v>
      </c>
      <c r="I716" s="322">
        <v>9</v>
      </c>
      <c r="J716" s="322">
        <v>1</v>
      </c>
      <c r="K716" s="322">
        <v>0</v>
      </c>
      <c r="L716" s="322">
        <v>0</v>
      </c>
      <c r="M716" s="322">
        <v>0</v>
      </c>
      <c r="N716" s="322">
        <v>0</v>
      </c>
      <c r="O716" s="322">
        <v>0</v>
      </c>
      <c r="P716" s="322">
        <v>0</v>
      </c>
      <c r="Q716" s="322">
        <v>0</v>
      </c>
      <c r="R716" s="322">
        <v>1.8</v>
      </c>
      <c r="S716" s="9">
        <v>6.0691849198500013E-6</v>
      </c>
      <c r="T716" s="9">
        <f t="shared" si="11"/>
        <v>1.0924532855730003E-5</v>
      </c>
      <c r="U716" s="321" t="s">
        <v>682</v>
      </c>
    </row>
    <row r="717" spans="1:21" ht="12" customHeight="1">
      <c r="A717" s="327">
        <v>6</v>
      </c>
      <c r="B717" s="159" t="s">
        <v>312</v>
      </c>
      <c r="C717" s="68" t="s">
        <v>95</v>
      </c>
      <c r="D717" s="68" t="s">
        <v>311</v>
      </c>
      <c r="E717" s="321">
        <v>2</v>
      </c>
      <c r="F717" s="322">
        <v>1382</v>
      </c>
      <c r="G717" s="322">
        <v>526</v>
      </c>
      <c r="H717" s="322">
        <v>6</v>
      </c>
      <c r="I717" s="322">
        <v>4</v>
      </c>
      <c r="J717" s="322">
        <v>1</v>
      </c>
      <c r="K717" s="322">
        <v>0</v>
      </c>
      <c r="L717" s="322">
        <v>0</v>
      </c>
      <c r="M717" s="322">
        <v>0</v>
      </c>
      <c r="N717" s="322">
        <v>0</v>
      </c>
      <c r="O717" s="322">
        <v>0</v>
      </c>
      <c r="P717" s="322">
        <v>0</v>
      </c>
      <c r="Q717" s="322">
        <v>0</v>
      </c>
      <c r="R717" s="322">
        <v>1.3</v>
      </c>
      <c r="S717" s="9">
        <v>6.0691849198500013E-6</v>
      </c>
      <c r="T717" s="9">
        <f t="shared" si="11"/>
        <v>7.8899403958050012E-6</v>
      </c>
      <c r="U717" s="321" t="s">
        <v>683</v>
      </c>
    </row>
    <row r="718" spans="1:21" ht="12" customHeight="1">
      <c r="A718" s="327">
        <v>6</v>
      </c>
      <c r="B718" s="159" t="s">
        <v>312</v>
      </c>
      <c r="C718" s="68" t="s">
        <v>95</v>
      </c>
      <c r="D718" s="68" t="s">
        <v>311</v>
      </c>
      <c r="E718" s="321">
        <v>3</v>
      </c>
      <c r="F718" s="322">
        <v>1378</v>
      </c>
      <c r="G718" s="322">
        <v>526</v>
      </c>
      <c r="H718" s="322">
        <v>7</v>
      </c>
      <c r="I718" s="322">
        <v>5</v>
      </c>
      <c r="J718" s="322">
        <v>2</v>
      </c>
      <c r="K718" s="322">
        <v>0</v>
      </c>
      <c r="L718" s="322">
        <v>0</v>
      </c>
      <c r="M718" s="322">
        <v>0</v>
      </c>
      <c r="N718" s="322">
        <v>0</v>
      </c>
      <c r="O718" s="322">
        <v>0</v>
      </c>
      <c r="P718" s="322">
        <v>0</v>
      </c>
      <c r="Q718" s="322">
        <v>0</v>
      </c>
      <c r="R718" s="322">
        <v>2.2999999999999998</v>
      </c>
      <c r="S718" s="9">
        <v>6.0691849198500013E-6</v>
      </c>
      <c r="T718" s="9">
        <f t="shared" si="11"/>
        <v>1.3959125315655002E-5</v>
      </c>
      <c r="U718" s="321" t="s">
        <v>684</v>
      </c>
    </row>
    <row r="719" spans="1:21" ht="12" customHeight="1">
      <c r="A719" s="327">
        <v>6</v>
      </c>
      <c r="B719" s="159" t="s">
        <v>312</v>
      </c>
      <c r="C719" s="68" t="s">
        <v>95</v>
      </c>
      <c r="D719" s="68" t="s">
        <v>311</v>
      </c>
      <c r="E719" s="321">
        <v>4</v>
      </c>
      <c r="F719" s="322">
        <v>1352</v>
      </c>
      <c r="G719" s="322">
        <v>525</v>
      </c>
      <c r="H719" s="322">
        <v>15</v>
      </c>
      <c r="I719" s="322">
        <v>9</v>
      </c>
      <c r="J719" s="322">
        <v>0</v>
      </c>
      <c r="K719" s="322">
        <v>0</v>
      </c>
      <c r="L719" s="322">
        <v>0</v>
      </c>
      <c r="M719" s="322">
        <v>0</v>
      </c>
      <c r="N719" s="322">
        <v>0</v>
      </c>
      <c r="O719" s="322">
        <v>0</v>
      </c>
      <c r="P719" s="322">
        <v>0</v>
      </c>
      <c r="Q719" s="322">
        <v>0</v>
      </c>
      <c r="R719" s="322">
        <v>1</v>
      </c>
      <c r="S719" s="9">
        <v>6.0691849198500013E-6</v>
      </c>
      <c r="T719" s="9">
        <f t="shared" si="11"/>
        <v>6.0691849198500013E-6</v>
      </c>
      <c r="U719" s="321" t="s">
        <v>685</v>
      </c>
    </row>
    <row r="720" spans="1:21" ht="12" customHeight="1">
      <c r="A720" s="327">
        <v>6</v>
      </c>
      <c r="B720" s="159" t="s">
        <v>312</v>
      </c>
      <c r="C720" s="68" t="s">
        <v>95</v>
      </c>
      <c r="D720" s="68" t="s">
        <v>311</v>
      </c>
      <c r="E720" s="321">
        <v>5</v>
      </c>
      <c r="F720" s="322">
        <v>1410</v>
      </c>
      <c r="G720" s="322">
        <v>524</v>
      </c>
      <c r="H720" s="322">
        <v>12</v>
      </c>
      <c r="I720" s="322">
        <v>9</v>
      </c>
      <c r="J720" s="322">
        <v>3</v>
      </c>
      <c r="K720" s="322">
        <v>0</v>
      </c>
      <c r="L720" s="322">
        <v>0</v>
      </c>
      <c r="M720" s="322">
        <v>0</v>
      </c>
      <c r="N720" s="322">
        <v>0</v>
      </c>
      <c r="O720" s="322">
        <v>0</v>
      </c>
      <c r="P720" s="322">
        <v>0</v>
      </c>
      <c r="Q720" s="322">
        <v>0</v>
      </c>
      <c r="R720" s="322">
        <v>3.6</v>
      </c>
      <c r="S720" s="9">
        <v>6.0691849198500013E-6</v>
      </c>
      <c r="T720" s="9">
        <f t="shared" si="11"/>
        <v>2.1849065711460006E-5</v>
      </c>
      <c r="U720" s="321" t="s">
        <v>686</v>
      </c>
    </row>
    <row r="721" spans="1:21" ht="12" customHeight="1">
      <c r="A721" s="327">
        <v>6</v>
      </c>
      <c r="B721" s="159" t="s">
        <v>312</v>
      </c>
      <c r="C721" s="68" t="s">
        <v>95</v>
      </c>
      <c r="D721" s="68" t="s">
        <v>307</v>
      </c>
      <c r="E721" s="321">
        <v>1</v>
      </c>
      <c r="F721" s="322">
        <v>962</v>
      </c>
      <c r="G721" s="322">
        <v>524</v>
      </c>
      <c r="H721" s="322">
        <v>0</v>
      </c>
      <c r="I721" s="322">
        <v>0</v>
      </c>
      <c r="J721" s="322">
        <v>0</v>
      </c>
      <c r="K721" s="322">
        <v>0</v>
      </c>
      <c r="L721" s="322">
        <v>0</v>
      </c>
      <c r="M721" s="322">
        <v>0</v>
      </c>
      <c r="N721" s="322">
        <v>0</v>
      </c>
      <c r="O721" s="322">
        <v>0</v>
      </c>
      <c r="P721" s="322">
        <v>0</v>
      </c>
      <c r="Q721" s="322">
        <v>0</v>
      </c>
      <c r="R721" s="322">
        <v>0</v>
      </c>
      <c r="S721" s="9">
        <v>0</v>
      </c>
      <c r="T721" s="9">
        <f t="shared" si="11"/>
        <v>0</v>
      </c>
      <c r="U721" s="321" t="s">
        <v>712</v>
      </c>
    </row>
    <row r="722" spans="1:21" ht="12" customHeight="1">
      <c r="A722" s="327">
        <v>6</v>
      </c>
      <c r="B722" s="159" t="s">
        <v>312</v>
      </c>
      <c r="C722" s="68" t="s">
        <v>95</v>
      </c>
      <c r="D722" s="68" t="s">
        <v>307</v>
      </c>
      <c r="E722" s="321">
        <v>2</v>
      </c>
      <c r="F722" s="322">
        <v>938</v>
      </c>
      <c r="G722" s="322">
        <v>519</v>
      </c>
      <c r="H722" s="322">
        <v>0</v>
      </c>
      <c r="I722" s="322">
        <v>0</v>
      </c>
      <c r="J722" s="322">
        <v>0</v>
      </c>
      <c r="K722" s="322">
        <v>0</v>
      </c>
      <c r="L722" s="322">
        <v>0</v>
      </c>
      <c r="M722" s="322">
        <v>0</v>
      </c>
      <c r="N722" s="322">
        <v>0</v>
      </c>
      <c r="O722" s="322">
        <v>0</v>
      </c>
      <c r="P722" s="322">
        <v>0</v>
      </c>
      <c r="Q722" s="322">
        <v>0</v>
      </c>
      <c r="R722" s="322">
        <v>0</v>
      </c>
      <c r="S722" s="9">
        <v>0</v>
      </c>
      <c r="T722" s="9">
        <f t="shared" si="11"/>
        <v>0</v>
      </c>
      <c r="U722" s="321" t="s">
        <v>713</v>
      </c>
    </row>
    <row r="723" spans="1:21" ht="12" customHeight="1">
      <c r="A723" s="327">
        <v>6</v>
      </c>
      <c r="B723" s="159" t="s">
        <v>312</v>
      </c>
      <c r="C723" s="68" t="s">
        <v>95</v>
      </c>
      <c r="D723" s="68" t="s">
        <v>307</v>
      </c>
      <c r="E723" s="321">
        <v>3</v>
      </c>
      <c r="F723" s="322">
        <v>906</v>
      </c>
      <c r="G723" s="322">
        <v>524</v>
      </c>
      <c r="H723" s="322">
        <v>0</v>
      </c>
      <c r="I723" s="322">
        <v>0</v>
      </c>
      <c r="J723" s="322">
        <v>0</v>
      </c>
      <c r="K723" s="322">
        <v>0</v>
      </c>
      <c r="L723" s="322">
        <v>0</v>
      </c>
      <c r="M723" s="322">
        <v>0</v>
      </c>
      <c r="N723" s="322">
        <v>0</v>
      </c>
      <c r="O723" s="322">
        <v>0</v>
      </c>
      <c r="P723" s="322">
        <v>0</v>
      </c>
      <c r="Q723" s="322">
        <v>0</v>
      </c>
      <c r="R723" s="322">
        <v>0</v>
      </c>
      <c r="S723" s="9">
        <v>0</v>
      </c>
      <c r="T723" s="9">
        <f t="shared" si="11"/>
        <v>0</v>
      </c>
      <c r="U723" s="321" t="s">
        <v>714</v>
      </c>
    </row>
    <row r="724" spans="1:21" ht="12" customHeight="1">
      <c r="A724" s="327">
        <v>6</v>
      </c>
      <c r="B724" s="159" t="s">
        <v>312</v>
      </c>
      <c r="C724" s="68" t="s">
        <v>95</v>
      </c>
      <c r="D724" s="68" t="s">
        <v>307</v>
      </c>
      <c r="E724" s="321">
        <v>4</v>
      </c>
      <c r="F724" s="322">
        <v>906</v>
      </c>
      <c r="G724" s="322">
        <v>525</v>
      </c>
      <c r="H724" s="322">
        <v>0</v>
      </c>
      <c r="I724" s="322">
        <v>0</v>
      </c>
      <c r="J724" s="322">
        <v>0</v>
      </c>
      <c r="K724" s="322">
        <v>0</v>
      </c>
      <c r="L724" s="322">
        <v>0</v>
      </c>
      <c r="M724" s="322">
        <v>0</v>
      </c>
      <c r="N724" s="322">
        <v>0</v>
      </c>
      <c r="O724" s="322">
        <v>0</v>
      </c>
      <c r="P724" s="322">
        <v>0</v>
      </c>
      <c r="Q724" s="322">
        <v>0</v>
      </c>
      <c r="R724" s="322">
        <v>0</v>
      </c>
      <c r="S724" s="9">
        <v>0</v>
      </c>
      <c r="T724" s="9">
        <f t="shared" si="11"/>
        <v>0</v>
      </c>
      <c r="U724" s="321" t="s">
        <v>715</v>
      </c>
    </row>
    <row r="725" spans="1:21" ht="12" customHeight="1">
      <c r="A725" s="327">
        <v>6</v>
      </c>
      <c r="B725" s="159" t="s">
        <v>312</v>
      </c>
      <c r="C725" s="68" t="s">
        <v>95</v>
      </c>
      <c r="D725" s="68" t="s">
        <v>307</v>
      </c>
      <c r="E725" s="321">
        <v>5</v>
      </c>
      <c r="F725" s="322">
        <v>938</v>
      </c>
      <c r="G725" s="322">
        <v>519</v>
      </c>
      <c r="H725" s="322">
        <v>0</v>
      </c>
      <c r="I725" s="322">
        <v>0</v>
      </c>
      <c r="J725" s="322">
        <v>0</v>
      </c>
      <c r="K725" s="322">
        <v>0</v>
      </c>
      <c r="L725" s="322">
        <v>0</v>
      </c>
      <c r="M725" s="322">
        <v>0</v>
      </c>
      <c r="N725" s="322">
        <v>0</v>
      </c>
      <c r="O725" s="322">
        <v>0</v>
      </c>
      <c r="P725" s="322">
        <v>0</v>
      </c>
      <c r="Q725" s="322">
        <v>0</v>
      </c>
      <c r="R725" s="322">
        <v>0</v>
      </c>
      <c r="S725" s="9">
        <v>0</v>
      </c>
      <c r="T725" s="9">
        <f t="shared" si="11"/>
        <v>0</v>
      </c>
      <c r="U725" s="321" t="s">
        <v>716</v>
      </c>
    </row>
    <row r="726" spans="1:21" ht="12" customHeight="1">
      <c r="A726" s="327">
        <v>6</v>
      </c>
      <c r="B726" s="159" t="s">
        <v>314</v>
      </c>
      <c r="C726" s="68" t="s">
        <v>96</v>
      </c>
      <c r="D726" s="68" t="s">
        <v>308</v>
      </c>
      <c r="E726" s="321">
        <v>1</v>
      </c>
      <c r="F726" s="322">
        <v>1376</v>
      </c>
      <c r="G726" s="322">
        <v>479</v>
      </c>
      <c r="H726" s="322">
        <v>24</v>
      </c>
      <c r="I726" s="322">
        <v>13</v>
      </c>
      <c r="J726" s="322">
        <v>12</v>
      </c>
      <c r="K726" s="322">
        <v>3</v>
      </c>
      <c r="L726" s="322">
        <v>2</v>
      </c>
      <c r="M726" s="322">
        <v>0</v>
      </c>
      <c r="N726" s="322">
        <v>0</v>
      </c>
      <c r="O726" s="322">
        <v>0</v>
      </c>
      <c r="P726" s="322">
        <v>0</v>
      </c>
      <c r="Q726" s="322">
        <v>0</v>
      </c>
      <c r="R726" s="322">
        <v>12.2</v>
      </c>
      <c r="S726" s="9">
        <v>4.413146514749072E-6</v>
      </c>
      <c r="T726" s="9">
        <f t="shared" si="11"/>
        <v>5.3840387479938678E-5</v>
      </c>
      <c r="U726" s="321" t="s">
        <v>1012</v>
      </c>
    </row>
    <row r="727" spans="1:21" ht="12" customHeight="1">
      <c r="A727" s="327">
        <v>6</v>
      </c>
      <c r="B727" s="159" t="s">
        <v>314</v>
      </c>
      <c r="C727" s="68" t="s">
        <v>96</v>
      </c>
      <c r="D727" s="68" t="s">
        <v>308</v>
      </c>
      <c r="E727" s="321">
        <v>2</v>
      </c>
      <c r="F727" s="322">
        <v>1420</v>
      </c>
      <c r="G727" s="322">
        <v>481</v>
      </c>
      <c r="H727" s="322">
        <v>29</v>
      </c>
      <c r="I727" s="322">
        <v>14</v>
      </c>
      <c r="J727" s="322">
        <v>9</v>
      </c>
      <c r="K727" s="322">
        <v>5</v>
      </c>
      <c r="L727" s="322">
        <v>3</v>
      </c>
      <c r="M727" s="322">
        <v>1</v>
      </c>
      <c r="N727" s="322">
        <v>0</v>
      </c>
      <c r="O727" s="322">
        <v>0</v>
      </c>
      <c r="P727" s="322">
        <v>0</v>
      </c>
      <c r="Q727" s="322">
        <v>0</v>
      </c>
      <c r="R727" s="322">
        <v>9.6999999999999993</v>
      </c>
      <c r="S727" s="9">
        <v>4.413146514749072E-6</v>
      </c>
      <c r="T727" s="9">
        <f t="shared" si="11"/>
        <v>4.2807521193065992E-5</v>
      </c>
      <c r="U727" s="321" t="s">
        <v>1013</v>
      </c>
    </row>
    <row r="728" spans="1:21" ht="12" customHeight="1">
      <c r="A728" s="327">
        <v>6</v>
      </c>
      <c r="B728" s="159" t="s">
        <v>314</v>
      </c>
      <c r="C728" s="68" t="s">
        <v>96</v>
      </c>
      <c r="D728" s="68" t="s">
        <v>308</v>
      </c>
      <c r="E728" s="321">
        <v>3</v>
      </c>
      <c r="F728" s="322">
        <v>1442</v>
      </c>
      <c r="G728" s="322">
        <v>481</v>
      </c>
      <c r="H728" s="322">
        <v>24</v>
      </c>
      <c r="I728" s="322">
        <v>14</v>
      </c>
      <c r="J728" s="322">
        <v>10</v>
      </c>
      <c r="K728" s="322">
        <v>8</v>
      </c>
      <c r="L728" s="322">
        <v>6</v>
      </c>
      <c r="M728" s="322">
        <v>4</v>
      </c>
      <c r="N728" s="322">
        <v>0</v>
      </c>
      <c r="O728" s="322">
        <v>0</v>
      </c>
      <c r="P728" s="322">
        <v>0</v>
      </c>
      <c r="Q728" s="322">
        <v>0</v>
      </c>
      <c r="R728" s="322">
        <v>10.5</v>
      </c>
      <c r="S728" s="9">
        <v>4.413146514749072E-6</v>
      </c>
      <c r="T728" s="9">
        <f t="shared" si="11"/>
        <v>4.6338038404865255E-5</v>
      </c>
      <c r="U728" s="321" t="s">
        <v>1014</v>
      </c>
    </row>
    <row r="729" spans="1:21" ht="12" customHeight="1">
      <c r="A729" s="327">
        <v>6</v>
      </c>
      <c r="B729" s="159" t="s">
        <v>314</v>
      </c>
      <c r="C729" s="68" t="s">
        <v>96</v>
      </c>
      <c r="D729" s="68" t="s">
        <v>308</v>
      </c>
      <c r="E729" s="321">
        <v>4</v>
      </c>
      <c r="F729" s="322">
        <v>1520</v>
      </c>
      <c r="G729" s="322">
        <v>481</v>
      </c>
      <c r="H729" s="322">
        <v>40</v>
      </c>
      <c r="I729" s="322">
        <v>24</v>
      </c>
      <c r="J729" s="322">
        <v>12</v>
      </c>
      <c r="K729" s="322">
        <v>9</v>
      </c>
      <c r="L729" s="322">
        <v>9</v>
      </c>
      <c r="M729" s="322">
        <v>6</v>
      </c>
      <c r="N729" s="322">
        <v>5</v>
      </c>
      <c r="O729" s="322">
        <v>1</v>
      </c>
      <c r="P729" s="322">
        <v>0</v>
      </c>
      <c r="Q729" s="322">
        <v>0</v>
      </c>
      <c r="R729" s="322">
        <v>13.4</v>
      </c>
      <c r="S729" s="9">
        <v>4.413146514749072E-6</v>
      </c>
      <c r="T729" s="9">
        <f t="shared" si="11"/>
        <v>5.9136163297637569E-5</v>
      </c>
      <c r="U729" s="321" t="s">
        <v>1015</v>
      </c>
    </row>
    <row r="730" spans="1:21" ht="12" customHeight="1">
      <c r="A730" s="327">
        <v>6</v>
      </c>
      <c r="B730" s="159" t="s">
        <v>314</v>
      </c>
      <c r="C730" s="68" t="s">
        <v>96</v>
      </c>
      <c r="D730" s="68" t="s">
        <v>308</v>
      </c>
      <c r="E730" s="321">
        <v>5</v>
      </c>
      <c r="F730" s="322">
        <v>1440</v>
      </c>
      <c r="G730" s="322">
        <v>481</v>
      </c>
      <c r="H730" s="322">
        <v>30</v>
      </c>
      <c r="I730" s="322">
        <v>21</v>
      </c>
      <c r="J730" s="322">
        <v>10</v>
      </c>
      <c r="K730" s="322">
        <v>5</v>
      </c>
      <c r="L730" s="322">
        <v>2</v>
      </c>
      <c r="M730" s="322">
        <v>1</v>
      </c>
      <c r="N730" s="322">
        <v>0</v>
      </c>
      <c r="O730" s="322">
        <v>0</v>
      </c>
      <c r="P730" s="322">
        <v>0</v>
      </c>
      <c r="Q730" s="322">
        <v>0</v>
      </c>
      <c r="R730" s="322">
        <v>11.2</v>
      </c>
      <c r="S730" s="9">
        <v>4.413146514749072E-6</v>
      </c>
      <c r="T730" s="9">
        <f t="shared" si="11"/>
        <v>4.9427240965189601E-5</v>
      </c>
      <c r="U730" s="321" t="s">
        <v>1016</v>
      </c>
    </row>
    <row r="731" spans="1:21" ht="12" customHeight="1">
      <c r="A731" s="327">
        <v>6</v>
      </c>
      <c r="B731" s="159" t="s">
        <v>314</v>
      </c>
      <c r="C731" s="68" t="s">
        <v>96</v>
      </c>
      <c r="D731" s="68" t="s">
        <v>310</v>
      </c>
      <c r="E731" s="321">
        <v>1</v>
      </c>
      <c r="F731" s="322">
        <v>1468</v>
      </c>
      <c r="G731" s="322">
        <v>481</v>
      </c>
      <c r="H731" s="322">
        <v>62</v>
      </c>
      <c r="I731" s="322">
        <v>38</v>
      </c>
      <c r="J731" s="322">
        <v>18</v>
      </c>
      <c r="K731" s="322">
        <v>10</v>
      </c>
      <c r="L731" s="322">
        <v>1</v>
      </c>
      <c r="M731" s="322">
        <v>0</v>
      </c>
      <c r="N731" s="322">
        <v>0</v>
      </c>
      <c r="O731" s="322">
        <v>0</v>
      </c>
      <c r="P731" s="322">
        <v>0</v>
      </c>
      <c r="Q731" s="322">
        <v>0</v>
      </c>
      <c r="R731" s="322">
        <v>20.2</v>
      </c>
      <c r="S731" s="9">
        <v>4.4131067963907217E-6</v>
      </c>
      <c r="T731" s="9">
        <f t="shared" si="11"/>
        <v>8.9144757287092571E-5</v>
      </c>
      <c r="U731" s="321" t="s">
        <v>1042</v>
      </c>
    </row>
    <row r="732" spans="1:21" ht="12" customHeight="1">
      <c r="A732" s="327">
        <v>6</v>
      </c>
      <c r="B732" s="159" t="s">
        <v>314</v>
      </c>
      <c r="C732" s="68" t="s">
        <v>96</v>
      </c>
      <c r="D732" s="68" t="s">
        <v>310</v>
      </c>
      <c r="E732" s="321">
        <v>2</v>
      </c>
      <c r="F732" s="322">
        <v>1390</v>
      </c>
      <c r="G732" s="322">
        <v>481</v>
      </c>
      <c r="H732" s="322">
        <v>87</v>
      </c>
      <c r="I732" s="322">
        <v>44</v>
      </c>
      <c r="J732" s="322">
        <v>23</v>
      </c>
      <c r="K732" s="322">
        <v>10</v>
      </c>
      <c r="L732" s="322">
        <v>0</v>
      </c>
      <c r="M732" s="322">
        <v>0</v>
      </c>
      <c r="N732" s="322">
        <v>0</v>
      </c>
      <c r="O732" s="322">
        <v>0</v>
      </c>
      <c r="P732" s="322">
        <v>0</v>
      </c>
      <c r="Q732" s="322">
        <v>0</v>
      </c>
      <c r="R732" s="322">
        <v>25.5</v>
      </c>
      <c r="S732" s="9">
        <v>4.4131067963907217E-6</v>
      </c>
      <c r="T732" s="9">
        <f t="shared" si="11"/>
        <v>1.1253422330796341E-4</v>
      </c>
      <c r="U732" s="321" t="s">
        <v>1043</v>
      </c>
    </row>
    <row r="733" spans="1:21" ht="12" customHeight="1">
      <c r="A733" s="327">
        <v>6</v>
      </c>
      <c r="B733" s="159" t="s">
        <v>314</v>
      </c>
      <c r="C733" s="68" t="s">
        <v>96</v>
      </c>
      <c r="D733" s="68" t="s">
        <v>310</v>
      </c>
      <c r="E733" s="321">
        <v>3</v>
      </c>
      <c r="F733" s="322">
        <v>1374</v>
      </c>
      <c r="G733" s="322">
        <v>481</v>
      </c>
      <c r="H733" s="322">
        <v>87</v>
      </c>
      <c r="I733" s="322">
        <v>43</v>
      </c>
      <c r="J733" s="322">
        <v>20</v>
      </c>
      <c r="K733" s="322">
        <v>9</v>
      </c>
      <c r="L733" s="322">
        <v>0</v>
      </c>
      <c r="M733" s="322">
        <v>0</v>
      </c>
      <c r="N733" s="322">
        <v>0</v>
      </c>
      <c r="O733" s="322">
        <v>0</v>
      </c>
      <c r="P733" s="322">
        <v>0</v>
      </c>
      <c r="Q733" s="322">
        <v>0</v>
      </c>
      <c r="R733" s="322">
        <v>22.7</v>
      </c>
      <c r="S733" s="9">
        <v>4.4131067963907217E-6</v>
      </c>
      <c r="T733" s="9">
        <f t="shared" si="11"/>
        <v>1.0017752427806938E-4</v>
      </c>
      <c r="U733" s="321" t="s">
        <v>1044</v>
      </c>
    </row>
    <row r="734" spans="1:21" ht="12" customHeight="1">
      <c r="A734" s="327">
        <v>6</v>
      </c>
      <c r="B734" s="159" t="s">
        <v>314</v>
      </c>
      <c r="C734" s="68" t="s">
        <v>96</v>
      </c>
      <c r="D734" s="68" t="s">
        <v>310</v>
      </c>
      <c r="E734" s="321">
        <v>4</v>
      </c>
      <c r="F734" s="322">
        <v>1438</v>
      </c>
      <c r="G734" s="322">
        <v>457</v>
      </c>
      <c r="H734" s="322">
        <v>49</v>
      </c>
      <c r="I734" s="322">
        <v>23</v>
      </c>
      <c r="J734" s="322">
        <v>9</v>
      </c>
      <c r="K734" s="322">
        <v>4</v>
      </c>
      <c r="L734" s="322">
        <v>0</v>
      </c>
      <c r="M734" s="322">
        <v>0</v>
      </c>
      <c r="N734" s="322">
        <v>0</v>
      </c>
      <c r="O734" s="322">
        <v>0</v>
      </c>
      <c r="P734" s="322">
        <v>0</v>
      </c>
      <c r="Q734" s="322">
        <v>0</v>
      </c>
      <c r="R734" s="322">
        <v>10.7</v>
      </c>
      <c r="S734" s="9">
        <v>4.4131067963907217E-6</v>
      </c>
      <c r="T734" s="9">
        <f t="shared" si="11"/>
        <v>4.7220242721380719E-5</v>
      </c>
      <c r="U734" s="321" t="s">
        <v>1045</v>
      </c>
    </row>
    <row r="735" spans="1:21" ht="12" customHeight="1">
      <c r="A735" s="327">
        <v>6</v>
      </c>
      <c r="B735" s="159" t="s">
        <v>314</v>
      </c>
      <c r="C735" s="68" t="s">
        <v>96</v>
      </c>
      <c r="D735" s="68" t="s">
        <v>310</v>
      </c>
      <c r="E735" s="321">
        <v>5</v>
      </c>
      <c r="F735" s="322">
        <v>1650</v>
      </c>
      <c r="G735" s="322">
        <v>479</v>
      </c>
      <c r="H735" s="322">
        <v>102</v>
      </c>
      <c r="I735" s="322">
        <v>61</v>
      </c>
      <c r="J735" s="322">
        <v>19</v>
      </c>
      <c r="K735" s="322">
        <v>11</v>
      </c>
      <c r="L735" s="322">
        <v>2</v>
      </c>
      <c r="M735" s="322">
        <v>1</v>
      </c>
      <c r="N735" s="322">
        <v>0</v>
      </c>
      <c r="O735" s="322">
        <v>0</v>
      </c>
      <c r="P735" s="322">
        <v>0</v>
      </c>
      <c r="Q735" s="322">
        <v>0</v>
      </c>
      <c r="R735" s="322">
        <v>23.6</v>
      </c>
      <c r="S735" s="9">
        <v>4.4131067963907217E-6</v>
      </c>
      <c r="T735" s="9">
        <f t="shared" si="11"/>
        <v>1.0414932039482103E-4</v>
      </c>
      <c r="U735" s="321" t="s">
        <v>1046</v>
      </c>
    </row>
    <row r="736" spans="1:21" ht="12" customHeight="1">
      <c r="A736" s="327">
        <v>6</v>
      </c>
      <c r="B736" s="159" t="s">
        <v>314</v>
      </c>
      <c r="C736" s="68" t="s">
        <v>96</v>
      </c>
      <c r="D736" s="68" t="s">
        <v>309</v>
      </c>
      <c r="E736" s="321">
        <v>1</v>
      </c>
      <c r="F736" s="322">
        <v>900</v>
      </c>
      <c r="G736" s="322">
        <v>476</v>
      </c>
      <c r="H736" s="322">
        <v>0</v>
      </c>
      <c r="I736" s="322">
        <v>0</v>
      </c>
      <c r="J736" s="322">
        <v>0</v>
      </c>
      <c r="K736" s="322">
        <v>0</v>
      </c>
      <c r="L736" s="322">
        <v>0</v>
      </c>
      <c r="M736" s="322">
        <v>0</v>
      </c>
      <c r="N736" s="322">
        <v>0</v>
      </c>
      <c r="O736" s="322">
        <v>0</v>
      </c>
      <c r="P736" s="322">
        <v>0</v>
      </c>
      <c r="Q736" s="322">
        <v>0</v>
      </c>
      <c r="R736" s="322">
        <v>0</v>
      </c>
      <c r="S736" s="9">
        <v>4.413146514749072E-6</v>
      </c>
      <c r="T736" s="9">
        <f t="shared" si="11"/>
        <v>0</v>
      </c>
      <c r="U736" s="321" t="s">
        <v>1072</v>
      </c>
    </row>
    <row r="737" spans="1:21" ht="12" customHeight="1">
      <c r="A737" s="327">
        <v>6</v>
      </c>
      <c r="B737" s="159" t="s">
        <v>314</v>
      </c>
      <c r="C737" s="68" t="s">
        <v>96</v>
      </c>
      <c r="D737" s="68" t="s">
        <v>309</v>
      </c>
      <c r="E737" s="321">
        <v>2</v>
      </c>
      <c r="F737" s="322">
        <v>938</v>
      </c>
      <c r="G737" s="322">
        <v>481</v>
      </c>
      <c r="H737" s="322">
        <v>0</v>
      </c>
      <c r="I737" s="322">
        <v>0</v>
      </c>
      <c r="J737" s="322">
        <v>0</v>
      </c>
      <c r="K737" s="322">
        <v>0</v>
      </c>
      <c r="L737" s="322">
        <v>0</v>
      </c>
      <c r="M737" s="322">
        <v>0</v>
      </c>
      <c r="N737" s="322">
        <v>0</v>
      </c>
      <c r="O737" s="322">
        <v>0</v>
      </c>
      <c r="P737" s="322">
        <v>0</v>
      </c>
      <c r="Q737" s="322">
        <v>0</v>
      </c>
      <c r="R737" s="322">
        <v>0</v>
      </c>
      <c r="S737" s="9">
        <v>4.413146514749072E-6</v>
      </c>
      <c r="T737" s="9">
        <f t="shared" si="11"/>
        <v>0</v>
      </c>
      <c r="U737" s="321" t="s">
        <v>1073</v>
      </c>
    </row>
    <row r="738" spans="1:21" ht="12" customHeight="1">
      <c r="A738" s="327">
        <v>6</v>
      </c>
      <c r="B738" s="159" t="s">
        <v>314</v>
      </c>
      <c r="C738" s="68" t="s">
        <v>96</v>
      </c>
      <c r="D738" s="68" t="s">
        <v>309</v>
      </c>
      <c r="E738" s="321">
        <v>3</v>
      </c>
      <c r="F738" s="322">
        <v>894</v>
      </c>
      <c r="G738" s="322">
        <v>455</v>
      </c>
      <c r="H738" s="322">
        <v>0</v>
      </c>
      <c r="I738" s="322">
        <v>0</v>
      </c>
      <c r="J738" s="322">
        <v>0</v>
      </c>
      <c r="K738" s="322">
        <v>0</v>
      </c>
      <c r="L738" s="322">
        <v>0</v>
      </c>
      <c r="M738" s="322">
        <v>0</v>
      </c>
      <c r="N738" s="322">
        <v>0</v>
      </c>
      <c r="O738" s="322">
        <v>0</v>
      </c>
      <c r="P738" s="322">
        <v>0</v>
      </c>
      <c r="Q738" s="322">
        <v>0</v>
      </c>
      <c r="R738" s="322">
        <v>0</v>
      </c>
      <c r="S738" s="9">
        <v>4.413146514749072E-6</v>
      </c>
      <c r="T738" s="9">
        <f t="shared" si="11"/>
        <v>0</v>
      </c>
      <c r="U738" s="321" t="s">
        <v>1074</v>
      </c>
    </row>
    <row r="739" spans="1:21" ht="12" customHeight="1">
      <c r="A739" s="327">
        <v>6</v>
      </c>
      <c r="B739" s="159" t="s">
        <v>314</v>
      </c>
      <c r="C739" s="68" t="s">
        <v>96</v>
      </c>
      <c r="D739" s="68" t="s">
        <v>309</v>
      </c>
      <c r="E739" s="321">
        <v>4</v>
      </c>
      <c r="F739" s="322">
        <v>914</v>
      </c>
      <c r="G739" s="322">
        <v>480</v>
      </c>
      <c r="H739" s="322">
        <v>0</v>
      </c>
      <c r="I739" s="322">
        <v>0</v>
      </c>
      <c r="J739" s="322">
        <v>0</v>
      </c>
      <c r="K739" s="322">
        <v>0</v>
      </c>
      <c r="L739" s="322">
        <v>0</v>
      </c>
      <c r="M739" s="322">
        <v>0</v>
      </c>
      <c r="N739" s="322">
        <v>0</v>
      </c>
      <c r="O739" s="322">
        <v>0</v>
      </c>
      <c r="P739" s="322">
        <v>0</v>
      </c>
      <c r="Q739" s="322">
        <v>0</v>
      </c>
      <c r="R739" s="322">
        <v>0</v>
      </c>
      <c r="S739" s="9">
        <v>4.413146514749072E-6</v>
      </c>
      <c r="T739" s="9">
        <f t="shared" si="11"/>
        <v>0</v>
      </c>
      <c r="U739" s="321" t="s">
        <v>1075</v>
      </c>
    </row>
    <row r="740" spans="1:21" ht="12" customHeight="1">
      <c r="A740" s="327">
        <v>6</v>
      </c>
      <c r="B740" s="159" t="s">
        <v>314</v>
      </c>
      <c r="C740" s="68" t="s">
        <v>96</v>
      </c>
      <c r="D740" s="68" t="s">
        <v>309</v>
      </c>
      <c r="E740" s="321">
        <v>5</v>
      </c>
      <c r="F740" s="322">
        <v>908</v>
      </c>
      <c r="G740" s="322">
        <v>481</v>
      </c>
      <c r="H740" s="322">
        <v>0</v>
      </c>
      <c r="I740" s="322">
        <v>0</v>
      </c>
      <c r="J740" s="322">
        <v>0</v>
      </c>
      <c r="K740" s="322">
        <v>0</v>
      </c>
      <c r="L740" s="322">
        <v>0</v>
      </c>
      <c r="M740" s="322">
        <v>0</v>
      </c>
      <c r="N740" s="322">
        <v>0</v>
      </c>
      <c r="O740" s="322">
        <v>0</v>
      </c>
      <c r="P740" s="322">
        <v>0</v>
      </c>
      <c r="Q740" s="322">
        <v>0</v>
      </c>
      <c r="R740" s="322">
        <v>0</v>
      </c>
      <c r="S740" s="9">
        <v>4.413146514749072E-6</v>
      </c>
      <c r="T740" s="9">
        <f t="shared" si="11"/>
        <v>0</v>
      </c>
      <c r="U740" s="321" t="s">
        <v>1076</v>
      </c>
    </row>
    <row r="741" spans="1:21" ht="12" customHeight="1">
      <c r="A741" s="327">
        <v>6</v>
      </c>
      <c r="B741" s="159" t="s">
        <v>314</v>
      </c>
      <c r="C741" s="68" t="s">
        <v>96</v>
      </c>
      <c r="D741" s="68" t="s">
        <v>307</v>
      </c>
      <c r="E741" s="321">
        <v>1</v>
      </c>
      <c r="F741" s="322">
        <v>894</v>
      </c>
      <c r="G741" s="322">
        <v>478</v>
      </c>
      <c r="H741" s="322">
        <v>0</v>
      </c>
      <c r="I741" s="322">
        <v>0</v>
      </c>
      <c r="J741" s="322">
        <v>0</v>
      </c>
      <c r="K741" s="322">
        <v>0</v>
      </c>
      <c r="L741" s="322">
        <v>0</v>
      </c>
      <c r="M741" s="322">
        <v>0</v>
      </c>
      <c r="N741" s="322">
        <v>0</v>
      </c>
      <c r="O741" s="322">
        <v>0</v>
      </c>
      <c r="P741" s="322">
        <v>0</v>
      </c>
      <c r="Q741" s="322">
        <v>0</v>
      </c>
      <c r="R741" s="322">
        <v>0</v>
      </c>
      <c r="S741" s="9">
        <v>1.1915507505329999E-4</v>
      </c>
      <c r="T741" s="9">
        <f t="shared" si="11"/>
        <v>0</v>
      </c>
      <c r="U741" s="321" t="s">
        <v>1102</v>
      </c>
    </row>
    <row r="742" spans="1:21" ht="12" customHeight="1">
      <c r="A742" s="327">
        <v>6</v>
      </c>
      <c r="B742" s="159" t="s">
        <v>314</v>
      </c>
      <c r="C742" s="68" t="s">
        <v>96</v>
      </c>
      <c r="D742" s="68" t="s">
        <v>307</v>
      </c>
      <c r="E742" s="321">
        <v>2</v>
      </c>
      <c r="F742" s="322">
        <v>896</v>
      </c>
      <c r="G742" s="322">
        <v>476</v>
      </c>
      <c r="H742" s="322">
        <v>0</v>
      </c>
      <c r="I742" s="322">
        <v>0</v>
      </c>
      <c r="J742" s="322">
        <v>0</v>
      </c>
      <c r="K742" s="322">
        <v>0</v>
      </c>
      <c r="L742" s="322">
        <v>0</v>
      </c>
      <c r="M742" s="322">
        <v>0</v>
      </c>
      <c r="N742" s="322">
        <v>0</v>
      </c>
      <c r="O742" s="322">
        <v>0</v>
      </c>
      <c r="P742" s="322">
        <v>0</v>
      </c>
      <c r="Q742" s="322">
        <v>0</v>
      </c>
      <c r="R742" s="322">
        <v>0</v>
      </c>
      <c r="S742" s="9">
        <v>1.1915507505329999E-4</v>
      </c>
      <c r="T742" s="9">
        <f t="shared" si="11"/>
        <v>0</v>
      </c>
      <c r="U742" s="321" t="s">
        <v>1103</v>
      </c>
    </row>
    <row r="743" spans="1:21" ht="12" customHeight="1">
      <c r="A743" s="327">
        <v>6</v>
      </c>
      <c r="B743" s="159" t="s">
        <v>314</v>
      </c>
      <c r="C743" s="68" t="s">
        <v>96</v>
      </c>
      <c r="D743" s="68" t="s">
        <v>307</v>
      </c>
      <c r="E743" s="321">
        <v>3</v>
      </c>
      <c r="F743" s="322">
        <v>938</v>
      </c>
      <c r="G743" s="322">
        <v>478</v>
      </c>
      <c r="H743" s="322">
        <v>0</v>
      </c>
      <c r="I743" s="322">
        <v>0</v>
      </c>
      <c r="J743" s="322">
        <v>0</v>
      </c>
      <c r="K743" s="322">
        <v>0</v>
      </c>
      <c r="L743" s="322">
        <v>0</v>
      </c>
      <c r="M743" s="322">
        <v>0</v>
      </c>
      <c r="N743" s="322">
        <v>0</v>
      </c>
      <c r="O743" s="322">
        <v>0</v>
      </c>
      <c r="P743" s="322">
        <v>0</v>
      </c>
      <c r="Q743" s="322">
        <v>0</v>
      </c>
      <c r="R743" s="322">
        <v>0</v>
      </c>
      <c r="S743" s="9">
        <v>1.1915507505329999E-4</v>
      </c>
      <c r="T743" s="9">
        <f t="shared" si="11"/>
        <v>0</v>
      </c>
      <c r="U743" s="321" t="s">
        <v>1104</v>
      </c>
    </row>
    <row r="744" spans="1:21" ht="12" customHeight="1">
      <c r="A744" s="327">
        <v>6</v>
      </c>
      <c r="B744" s="159" t="s">
        <v>314</v>
      </c>
      <c r="C744" s="68" t="s">
        <v>96</v>
      </c>
      <c r="D744" s="68" t="s">
        <v>307</v>
      </c>
      <c r="E744" s="321">
        <v>4</v>
      </c>
      <c r="F744" s="322">
        <v>944</v>
      </c>
      <c r="G744" s="322">
        <v>476</v>
      </c>
      <c r="H744" s="322">
        <v>0</v>
      </c>
      <c r="I744" s="322">
        <v>0</v>
      </c>
      <c r="J744" s="322">
        <v>0</v>
      </c>
      <c r="K744" s="322">
        <v>0</v>
      </c>
      <c r="L744" s="322">
        <v>0</v>
      </c>
      <c r="M744" s="322">
        <v>0</v>
      </c>
      <c r="N744" s="322">
        <v>0</v>
      </c>
      <c r="O744" s="322">
        <v>0</v>
      </c>
      <c r="P744" s="322">
        <v>0</v>
      </c>
      <c r="Q744" s="322">
        <v>0</v>
      </c>
      <c r="R744" s="322">
        <v>0</v>
      </c>
      <c r="S744" s="9">
        <v>1.1915507505329999E-4</v>
      </c>
      <c r="T744" s="9">
        <f t="shared" si="11"/>
        <v>0</v>
      </c>
      <c r="U744" s="321" t="s">
        <v>1105</v>
      </c>
    </row>
    <row r="745" spans="1:21" ht="12" customHeight="1">
      <c r="A745" s="327">
        <v>6</v>
      </c>
      <c r="B745" s="159" t="s">
        <v>314</v>
      </c>
      <c r="C745" s="68" t="s">
        <v>96</v>
      </c>
      <c r="D745" s="68" t="s">
        <v>307</v>
      </c>
      <c r="E745" s="321">
        <v>5</v>
      </c>
      <c r="F745" s="322">
        <v>972</v>
      </c>
      <c r="G745" s="322">
        <v>481</v>
      </c>
      <c r="H745" s="322">
        <v>0</v>
      </c>
      <c r="I745" s="322">
        <v>0</v>
      </c>
      <c r="J745" s="322">
        <v>0</v>
      </c>
      <c r="K745" s="322">
        <v>0</v>
      </c>
      <c r="L745" s="322">
        <v>0</v>
      </c>
      <c r="M745" s="322">
        <v>0</v>
      </c>
      <c r="N745" s="322">
        <v>0</v>
      </c>
      <c r="O745" s="322">
        <v>0</v>
      </c>
      <c r="P745" s="322">
        <v>0</v>
      </c>
      <c r="Q745" s="322">
        <v>0</v>
      </c>
      <c r="R745" s="322">
        <v>0</v>
      </c>
      <c r="S745" s="9">
        <v>1.1915507505329999E-4</v>
      </c>
      <c r="T745" s="9">
        <f t="shared" si="11"/>
        <v>0</v>
      </c>
      <c r="U745" s="321" t="s">
        <v>1106</v>
      </c>
    </row>
    <row r="746" spans="1:21" ht="12" customHeight="1">
      <c r="A746" s="327">
        <v>6</v>
      </c>
      <c r="B746" s="159" t="s">
        <v>314</v>
      </c>
      <c r="C746" s="68" t="s">
        <v>95</v>
      </c>
      <c r="D746" s="68" t="s">
        <v>308</v>
      </c>
      <c r="E746" s="321">
        <v>1</v>
      </c>
      <c r="F746" s="322">
        <v>1432</v>
      </c>
      <c r="G746" s="322">
        <v>524</v>
      </c>
      <c r="H746" s="322">
        <v>25</v>
      </c>
      <c r="I746" s="322">
        <v>19</v>
      </c>
      <c r="J746" s="322">
        <v>13</v>
      </c>
      <c r="K746" s="322">
        <v>10</v>
      </c>
      <c r="L746" s="322">
        <v>6</v>
      </c>
      <c r="M746" s="322">
        <v>5</v>
      </c>
      <c r="N746" s="322">
        <v>0</v>
      </c>
      <c r="O746" s="322">
        <v>0</v>
      </c>
      <c r="P746" s="322">
        <v>0</v>
      </c>
      <c r="Q746" s="322">
        <v>0</v>
      </c>
      <c r="R746" s="322">
        <v>13.7</v>
      </c>
      <c r="S746" s="9">
        <v>4.4577237522717891E-8</v>
      </c>
      <c r="T746" s="9">
        <f t="shared" si="11"/>
        <v>6.1070815406123505E-7</v>
      </c>
      <c r="U746" s="321" t="s">
        <v>862</v>
      </c>
    </row>
    <row r="747" spans="1:21" ht="12" customHeight="1">
      <c r="A747" s="327">
        <v>6</v>
      </c>
      <c r="B747" s="159" t="s">
        <v>314</v>
      </c>
      <c r="C747" s="68" t="s">
        <v>95</v>
      </c>
      <c r="D747" s="68" t="s">
        <v>308</v>
      </c>
      <c r="E747" s="321">
        <v>2</v>
      </c>
      <c r="F747" s="322">
        <v>1420</v>
      </c>
      <c r="G747" s="322">
        <v>524</v>
      </c>
      <c r="H747" s="322">
        <v>28</v>
      </c>
      <c r="I747" s="322">
        <v>19</v>
      </c>
      <c r="J747" s="322">
        <v>13</v>
      </c>
      <c r="K747" s="322">
        <v>9</v>
      </c>
      <c r="L747" s="322">
        <v>5</v>
      </c>
      <c r="M747" s="322">
        <v>2</v>
      </c>
      <c r="N747" s="322">
        <v>0</v>
      </c>
      <c r="O747" s="322">
        <v>0</v>
      </c>
      <c r="P747" s="322">
        <v>0</v>
      </c>
      <c r="Q747" s="322">
        <v>0</v>
      </c>
      <c r="R747" s="322">
        <v>13.7</v>
      </c>
      <c r="S747" s="9">
        <v>4.4577237522717891E-8</v>
      </c>
      <c r="T747" s="9">
        <f t="shared" si="11"/>
        <v>6.1070815406123505E-7</v>
      </c>
      <c r="U747" s="321" t="s">
        <v>863</v>
      </c>
    </row>
    <row r="748" spans="1:21" ht="12" customHeight="1">
      <c r="A748" s="327">
        <v>6</v>
      </c>
      <c r="B748" s="159" t="s">
        <v>314</v>
      </c>
      <c r="C748" s="68" t="s">
        <v>95</v>
      </c>
      <c r="D748" s="68" t="s">
        <v>308</v>
      </c>
      <c r="E748" s="321">
        <v>3</v>
      </c>
      <c r="F748" s="322">
        <v>1430</v>
      </c>
      <c r="G748" s="322">
        <v>526</v>
      </c>
      <c r="H748" s="322">
        <v>42</v>
      </c>
      <c r="I748" s="322">
        <v>21</v>
      </c>
      <c r="J748" s="322">
        <v>13</v>
      </c>
      <c r="K748" s="322">
        <v>9</v>
      </c>
      <c r="L748" s="322">
        <v>2</v>
      </c>
      <c r="M748" s="322">
        <v>1</v>
      </c>
      <c r="N748" s="322">
        <v>0</v>
      </c>
      <c r="O748" s="322">
        <v>0</v>
      </c>
      <c r="P748" s="322">
        <v>0</v>
      </c>
      <c r="Q748" s="322">
        <v>0</v>
      </c>
      <c r="R748" s="322">
        <v>14</v>
      </c>
      <c r="S748" s="9">
        <v>4.4577237522717891E-8</v>
      </c>
      <c r="T748" s="9">
        <f t="shared" si="11"/>
        <v>6.240813253180505E-7</v>
      </c>
      <c r="U748" s="321" t="s">
        <v>864</v>
      </c>
    </row>
    <row r="749" spans="1:21" ht="12" customHeight="1">
      <c r="A749" s="327">
        <v>6</v>
      </c>
      <c r="B749" s="159" t="s">
        <v>314</v>
      </c>
      <c r="C749" s="68" t="s">
        <v>95</v>
      </c>
      <c r="D749" s="68" t="s">
        <v>308</v>
      </c>
      <c r="E749" s="321">
        <v>4</v>
      </c>
      <c r="F749" s="322">
        <v>1418</v>
      </c>
      <c r="G749" s="322">
        <v>524</v>
      </c>
      <c r="H749" s="322">
        <v>37</v>
      </c>
      <c r="I749" s="322">
        <v>20</v>
      </c>
      <c r="J749" s="322">
        <v>14</v>
      </c>
      <c r="K749" s="322">
        <v>10</v>
      </c>
      <c r="L749" s="322">
        <v>6</v>
      </c>
      <c r="M749" s="322">
        <v>1</v>
      </c>
      <c r="N749" s="322">
        <v>0</v>
      </c>
      <c r="O749" s="322">
        <v>0</v>
      </c>
      <c r="P749" s="322">
        <v>0</v>
      </c>
      <c r="Q749" s="322">
        <v>0</v>
      </c>
      <c r="R749" s="322">
        <v>14.8</v>
      </c>
      <c r="S749" s="9">
        <v>4.4577237522717891E-8</v>
      </c>
      <c r="T749" s="9">
        <f t="shared" si="11"/>
        <v>6.5974311533622478E-7</v>
      </c>
      <c r="U749" s="321" t="s">
        <v>865</v>
      </c>
    </row>
    <row r="750" spans="1:21" ht="12" customHeight="1">
      <c r="A750" s="327">
        <v>6</v>
      </c>
      <c r="B750" s="159" t="s">
        <v>314</v>
      </c>
      <c r="C750" s="68" t="s">
        <v>95</v>
      </c>
      <c r="D750" s="68" t="s">
        <v>308</v>
      </c>
      <c r="E750" s="321">
        <v>5</v>
      </c>
      <c r="F750" s="322">
        <v>1430</v>
      </c>
      <c r="G750" s="322">
        <v>524</v>
      </c>
      <c r="H750" s="322">
        <v>44</v>
      </c>
      <c r="I750" s="322">
        <v>22</v>
      </c>
      <c r="J750" s="322">
        <v>17</v>
      </c>
      <c r="K750" s="322">
        <v>14</v>
      </c>
      <c r="L750" s="322">
        <v>4</v>
      </c>
      <c r="M750" s="322">
        <v>1</v>
      </c>
      <c r="N750" s="322">
        <v>0</v>
      </c>
      <c r="O750" s="322">
        <v>0</v>
      </c>
      <c r="P750" s="322">
        <v>0</v>
      </c>
      <c r="Q750" s="322">
        <v>0</v>
      </c>
      <c r="R750" s="322">
        <v>17.7</v>
      </c>
      <c r="S750" s="9">
        <v>4.4577237522717891E-8</v>
      </c>
      <c r="T750" s="9">
        <f t="shared" si="11"/>
        <v>7.8901710415210667E-7</v>
      </c>
      <c r="U750" s="321" t="s">
        <v>866</v>
      </c>
    </row>
    <row r="751" spans="1:21" ht="12" customHeight="1">
      <c r="A751" s="327">
        <v>6</v>
      </c>
      <c r="B751" s="159" t="s">
        <v>314</v>
      </c>
      <c r="C751" s="68" t="s">
        <v>95</v>
      </c>
      <c r="D751" s="68" t="s">
        <v>310</v>
      </c>
      <c r="E751" s="321">
        <v>1</v>
      </c>
      <c r="F751" s="322">
        <v>1606</v>
      </c>
      <c r="G751" s="322">
        <v>524</v>
      </c>
      <c r="H751" s="322">
        <v>148</v>
      </c>
      <c r="I751" s="322">
        <v>113</v>
      </c>
      <c r="J751" s="322">
        <v>73</v>
      </c>
      <c r="K751" s="322">
        <v>54</v>
      </c>
      <c r="L751" s="322">
        <v>13</v>
      </c>
      <c r="M751" s="322">
        <v>2</v>
      </c>
      <c r="N751" s="322">
        <v>0</v>
      </c>
      <c r="O751" s="322">
        <v>0</v>
      </c>
      <c r="P751" s="322">
        <v>0</v>
      </c>
      <c r="Q751" s="322">
        <v>0</v>
      </c>
      <c r="R751" s="322">
        <v>77.400000000000006</v>
      </c>
      <c r="S751" s="9">
        <v>4.4576836327178993E-8</v>
      </c>
      <c r="T751" s="9">
        <f t="shared" si="11"/>
        <v>3.4502471317236541E-6</v>
      </c>
      <c r="U751" s="321" t="s">
        <v>892</v>
      </c>
    </row>
    <row r="752" spans="1:21" ht="12" customHeight="1">
      <c r="A752" s="327">
        <v>6</v>
      </c>
      <c r="B752" s="159" t="s">
        <v>314</v>
      </c>
      <c r="C752" s="68" t="s">
        <v>95</v>
      </c>
      <c r="D752" s="68" t="s">
        <v>310</v>
      </c>
      <c r="E752" s="321">
        <v>2</v>
      </c>
      <c r="F752" s="322">
        <v>1588</v>
      </c>
      <c r="G752" s="322">
        <v>524</v>
      </c>
      <c r="H752" s="322">
        <v>122</v>
      </c>
      <c r="I752" s="322">
        <v>99</v>
      </c>
      <c r="J752" s="322">
        <v>74</v>
      </c>
      <c r="K752" s="322">
        <v>56</v>
      </c>
      <c r="L752" s="322">
        <v>23</v>
      </c>
      <c r="M752" s="322">
        <v>5</v>
      </c>
      <c r="N752" s="322">
        <v>0</v>
      </c>
      <c r="O752" s="322">
        <v>0</v>
      </c>
      <c r="P752" s="322">
        <v>0</v>
      </c>
      <c r="Q752" s="322">
        <v>0</v>
      </c>
      <c r="R752" s="322">
        <v>76.7</v>
      </c>
      <c r="S752" s="9">
        <v>4.4576836327178993E-8</v>
      </c>
      <c r="T752" s="9">
        <f t="shared" si="11"/>
        <v>3.4190433462946287E-6</v>
      </c>
      <c r="U752" s="321" t="s">
        <v>893</v>
      </c>
    </row>
    <row r="753" spans="1:21" ht="12" customHeight="1">
      <c r="A753" s="327">
        <v>6</v>
      </c>
      <c r="B753" s="159" t="s">
        <v>314</v>
      </c>
      <c r="C753" s="68" t="s">
        <v>95</v>
      </c>
      <c r="D753" s="68" t="s">
        <v>310</v>
      </c>
      <c r="E753" s="321">
        <v>3</v>
      </c>
      <c r="F753" s="322">
        <v>1550</v>
      </c>
      <c r="G753" s="322">
        <v>525</v>
      </c>
      <c r="H753" s="322">
        <v>128</v>
      </c>
      <c r="I753" s="322">
        <v>92</v>
      </c>
      <c r="J753" s="322">
        <v>67</v>
      </c>
      <c r="K753" s="322">
        <v>41</v>
      </c>
      <c r="L753" s="322">
        <v>18</v>
      </c>
      <c r="M753" s="322">
        <v>2</v>
      </c>
      <c r="N753" s="322">
        <v>0</v>
      </c>
      <c r="O753" s="322">
        <v>0</v>
      </c>
      <c r="P753" s="322">
        <v>0</v>
      </c>
      <c r="Q753" s="322">
        <v>0</v>
      </c>
      <c r="R753" s="322">
        <v>69.900000000000006</v>
      </c>
      <c r="S753" s="9">
        <v>4.4576836327178993E-8</v>
      </c>
      <c r="T753" s="9">
        <f t="shared" si="11"/>
        <v>3.1159208592698118E-6</v>
      </c>
      <c r="U753" s="321" t="s">
        <v>894</v>
      </c>
    </row>
    <row r="754" spans="1:21" ht="12" customHeight="1">
      <c r="A754" s="327">
        <v>6</v>
      </c>
      <c r="B754" s="159" t="s">
        <v>314</v>
      </c>
      <c r="C754" s="68" t="s">
        <v>95</v>
      </c>
      <c r="D754" s="68" t="s">
        <v>310</v>
      </c>
      <c r="E754" s="321">
        <v>4</v>
      </c>
      <c r="F754" s="322">
        <v>1566</v>
      </c>
      <c r="G754" s="322">
        <v>524</v>
      </c>
      <c r="H754" s="322">
        <v>170</v>
      </c>
      <c r="I754" s="322">
        <v>138</v>
      </c>
      <c r="J754" s="322">
        <v>114</v>
      </c>
      <c r="K754" s="322">
        <v>78</v>
      </c>
      <c r="L754" s="322">
        <v>32</v>
      </c>
      <c r="M754" s="322">
        <v>3</v>
      </c>
      <c r="N754" s="322">
        <v>0</v>
      </c>
      <c r="O754" s="322">
        <v>0</v>
      </c>
      <c r="P754" s="322">
        <v>0</v>
      </c>
      <c r="Q754" s="322">
        <v>0</v>
      </c>
      <c r="R754" s="322">
        <v>116.7</v>
      </c>
      <c r="S754" s="9">
        <v>4.4576836327178993E-8</v>
      </c>
      <c r="T754" s="9">
        <f t="shared" si="11"/>
        <v>5.2021167993817884E-6</v>
      </c>
      <c r="U754" s="321" t="s">
        <v>895</v>
      </c>
    </row>
    <row r="755" spans="1:21" ht="12" customHeight="1">
      <c r="A755" s="327">
        <v>6</v>
      </c>
      <c r="B755" s="159" t="s">
        <v>314</v>
      </c>
      <c r="C755" s="68" t="s">
        <v>95</v>
      </c>
      <c r="D755" s="68" t="s">
        <v>310</v>
      </c>
      <c r="E755" s="321">
        <v>5</v>
      </c>
      <c r="F755" s="322">
        <v>1510</v>
      </c>
      <c r="G755" s="322">
        <v>524</v>
      </c>
      <c r="H755" s="322">
        <v>167</v>
      </c>
      <c r="I755" s="322">
        <v>138</v>
      </c>
      <c r="J755" s="322">
        <v>114</v>
      </c>
      <c r="K755" s="322">
        <v>74</v>
      </c>
      <c r="L755" s="322">
        <v>27</v>
      </c>
      <c r="M755" s="322">
        <v>0</v>
      </c>
      <c r="N755" s="322">
        <v>0</v>
      </c>
      <c r="O755" s="322">
        <v>0</v>
      </c>
      <c r="P755" s="322">
        <v>0</v>
      </c>
      <c r="Q755" s="322">
        <v>0</v>
      </c>
      <c r="R755" s="322">
        <v>116.7</v>
      </c>
      <c r="S755" s="9">
        <v>4.4576836327178993E-8</v>
      </c>
      <c r="T755" s="9">
        <f t="shared" si="11"/>
        <v>5.2021167993817884E-6</v>
      </c>
      <c r="U755" s="321" t="s">
        <v>896</v>
      </c>
    </row>
    <row r="756" spans="1:21" ht="12" customHeight="1">
      <c r="A756" s="327">
        <v>6</v>
      </c>
      <c r="B756" s="159" t="s">
        <v>314</v>
      </c>
      <c r="C756" s="68" t="s">
        <v>95</v>
      </c>
      <c r="D756" s="68" t="s">
        <v>309</v>
      </c>
      <c r="E756" s="321">
        <v>1</v>
      </c>
      <c r="F756" s="322">
        <v>968</v>
      </c>
      <c r="G756" s="322">
        <v>524</v>
      </c>
      <c r="H756" s="322">
        <v>0</v>
      </c>
      <c r="I756" s="322">
        <v>0</v>
      </c>
      <c r="J756" s="322">
        <v>0</v>
      </c>
      <c r="K756" s="322">
        <v>0</v>
      </c>
      <c r="L756" s="322">
        <v>0</v>
      </c>
      <c r="M756" s="322">
        <v>0</v>
      </c>
      <c r="N756" s="322">
        <v>0</v>
      </c>
      <c r="O756" s="322">
        <v>0</v>
      </c>
      <c r="P756" s="322">
        <v>0</v>
      </c>
      <c r="Q756" s="322">
        <v>0</v>
      </c>
      <c r="R756" s="322">
        <v>0</v>
      </c>
      <c r="S756" s="9">
        <v>4.4577237522717891E-8</v>
      </c>
      <c r="T756" s="9">
        <f t="shared" si="11"/>
        <v>0</v>
      </c>
      <c r="U756" s="321" t="s">
        <v>922</v>
      </c>
    </row>
    <row r="757" spans="1:21" ht="12" customHeight="1">
      <c r="A757" s="327">
        <v>6</v>
      </c>
      <c r="B757" s="159" t="s">
        <v>314</v>
      </c>
      <c r="C757" s="68" t="s">
        <v>95</v>
      </c>
      <c r="D757" s="68" t="s">
        <v>309</v>
      </c>
      <c r="E757" s="321">
        <v>2</v>
      </c>
      <c r="F757" s="322">
        <v>906</v>
      </c>
      <c r="G757" s="322">
        <v>501</v>
      </c>
      <c r="H757" s="322">
        <v>0</v>
      </c>
      <c r="I757" s="322">
        <v>0</v>
      </c>
      <c r="J757" s="322">
        <v>0</v>
      </c>
      <c r="K757" s="322">
        <v>0</v>
      </c>
      <c r="L757" s="322">
        <v>0</v>
      </c>
      <c r="M757" s="322">
        <v>0</v>
      </c>
      <c r="N757" s="322">
        <v>0</v>
      </c>
      <c r="O757" s="322">
        <v>0</v>
      </c>
      <c r="P757" s="322">
        <v>0</v>
      </c>
      <c r="Q757" s="322">
        <v>0</v>
      </c>
      <c r="R757" s="322">
        <v>0</v>
      </c>
      <c r="S757" s="9">
        <v>4.4577237522717891E-8</v>
      </c>
      <c r="T757" s="9">
        <f t="shared" si="11"/>
        <v>0</v>
      </c>
      <c r="U757" s="321" t="s">
        <v>923</v>
      </c>
    </row>
    <row r="758" spans="1:21" ht="12" customHeight="1">
      <c r="A758" s="327">
        <v>6</v>
      </c>
      <c r="B758" s="159" t="s">
        <v>314</v>
      </c>
      <c r="C758" s="68" t="s">
        <v>95</v>
      </c>
      <c r="D758" s="68" t="s">
        <v>309</v>
      </c>
      <c r="E758" s="321">
        <v>3</v>
      </c>
      <c r="F758" s="322">
        <v>900</v>
      </c>
      <c r="G758" s="322">
        <v>524</v>
      </c>
      <c r="H758" s="322">
        <v>0</v>
      </c>
      <c r="I758" s="322">
        <v>0</v>
      </c>
      <c r="J758" s="322">
        <v>0</v>
      </c>
      <c r="K758" s="322">
        <v>0</v>
      </c>
      <c r="L758" s="322">
        <v>0</v>
      </c>
      <c r="M758" s="322">
        <v>0</v>
      </c>
      <c r="N758" s="322">
        <v>0</v>
      </c>
      <c r="O758" s="322">
        <v>0</v>
      </c>
      <c r="P758" s="322">
        <v>0</v>
      </c>
      <c r="Q758" s="322">
        <v>0</v>
      </c>
      <c r="R758" s="322">
        <v>0</v>
      </c>
      <c r="S758" s="9">
        <v>4.4577237522717891E-8</v>
      </c>
      <c r="T758" s="9">
        <f t="shared" si="11"/>
        <v>0</v>
      </c>
      <c r="U758" s="321" t="s">
        <v>924</v>
      </c>
    </row>
    <row r="759" spans="1:21" ht="12" customHeight="1">
      <c r="A759" s="327">
        <v>6</v>
      </c>
      <c r="B759" s="159" t="s">
        <v>314</v>
      </c>
      <c r="C759" s="68" t="s">
        <v>95</v>
      </c>
      <c r="D759" s="68" t="s">
        <v>309</v>
      </c>
      <c r="E759" s="321">
        <v>4</v>
      </c>
      <c r="F759" s="322">
        <v>900</v>
      </c>
      <c r="G759" s="322">
        <v>524</v>
      </c>
      <c r="H759" s="322">
        <v>0</v>
      </c>
      <c r="I759" s="322">
        <v>0</v>
      </c>
      <c r="J759" s="322">
        <v>0</v>
      </c>
      <c r="K759" s="322">
        <v>0</v>
      </c>
      <c r="L759" s="322">
        <v>0</v>
      </c>
      <c r="M759" s="322">
        <v>0</v>
      </c>
      <c r="N759" s="322">
        <v>0</v>
      </c>
      <c r="O759" s="322">
        <v>0</v>
      </c>
      <c r="P759" s="322">
        <v>0</v>
      </c>
      <c r="Q759" s="322">
        <v>0</v>
      </c>
      <c r="R759" s="322">
        <v>0</v>
      </c>
      <c r="S759" s="9">
        <v>4.4577237522717891E-8</v>
      </c>
      <c r="T759" s="9">
        <f t="shared" si="11"/>
        <v>0</v>
      </c>
      <c r="U759" s="321" t="s">
        <v>925</v>
      </c>
    </row>
    <row r="760" spans="1:21" ht="12" customHeight="1">
      <c r="A760" s="327">
        <v>6</v>
      </c>
      <c r="B760" s="159" t="s">
        <v>314</v>
      </c>
      <c r="C760" s="68" t="s">
        <v>95</v>
      </c>
      <c r="D760" s="68" t="s">
        <v>309</v>
      </c>
      <c r="E760" s="321">
        <v>5</v>
      </c>
      <c r="F760" s="322">
        <v>920</v>
      </c>
      <c r="G760" s="322">
        <v>524</v>
      </c>
      <c r="H760" s="322">
        <v>0</v>
      </c>
      <c r="I760" s="322">
        <v>0</v>
      </c>
      <c r="J760" s="322">
        <v>0</v>
      </c>
      <c r="K760" s="322">
        <v>0</v>
      </c>
      <c r="L760" s="322">
        <v>0</v>
      </c>
      <c r="M760" s="322">
        <v>0</v>
      </c>
      <c r="N760" s="322">
        <v>0</v>
      </c>
      <c r="O760" s="322">
        <v>0</v>
      </c>
      <c r="P760" s="322">
        <v>0</v>
      </c>
      <c r="Q760" s="322">
        <v>0</v>
      </c>
      <c r="R760" s="322">
        <v>0</v>
      </c>
      <c r="S760" s="9">
        <v>4.4577237522717891E-8</v>
      </c>
      <c r="T760" s="9">
        <f t="shared" si="11"/>
        <v>0</v>
      </c>
      <c r="U760" s="321" t="s">
        <v>926</v>
      </c>
    </row>
    <row r="761" spans="1:21" ht="12" customHeight="1">
      <c r="A761" s="327">
        <v>6</v>
      </c>
      <c r="B761" s="159" t="s">
        <v>314</v>
      </c>
      <c r="C761" s="68" t="s">
        <v>95</v>
      </c>
      <c r="D761" s="68" t="s">
        <v>311</v>
      </c>
      <c r="E761" s="321">
        <v>1</v>
      </c>
      <c r="F761" s="322">
        <v>1468</v>
      </c>
      <c r="G761" s="322">
        <v>525</v>
      </c>
      <c r="H761" s="322">
        <v>18</v>
      </c>
      <c r="I761" s="322">
        <v>12</v>
      </c>
      <c r="J761" s="322">
        <v>11</v>
      </c>
      <c r="K761" s="322">
        <v>11</v>
      </c>
      <c r="L761" s="322">
        <v>9</v>
      </c>
      <c r="M761" s="322">
        <v>7</v>
      </c>
      <c r="N761" s="322">
        <v>3</v>
      </c>
      <c r="O761" s="322">
        <v>1</v>
      </c>
      <c r="P761" s="322">
        <v>1</v>
      </c>
      <c r="Q761" s="322">
        <v>0</v>
      </c>
      <c r="R761" s="322">
        <v>11.2</v>
      </c>
      <c r="S761" s="9">
        <v>1.2035866167E-6</v>
      </c>
      <c r="T761" s="9">
        <f t="shared" si="11"/>
        <v>1.3480170107039999E-5</v>
      </c>
      <c r="U761" s="321" t="s">
        <v>952</v>
      </c>
    </row>
    <row r="762" spans="1:21" ht="12" customHeight="1">
      <c r="A762" s="327">
        <v>6</v>
      </c>
      <c r="B762" s="159" t="s">
        <v>314</v>
      </c>
      <c r="C762" s="68" t="s">
        <v>95</v>
      </c>
      <c r="D762" s="68" t="s">
        <v>311</v>
      </c>
      <c r="E762" s="321">
        <v>2</v>
      </c>
      <c r="F762" s="322">
        <v>1456</v>
      </c>
      <c r="G762" s="322">
        <v>526</v>
      </c>
      <c r="H762" s="322">
        <v>23</v>
      </c>
      <c r="I762" s="322">
        <v>20</v>
      </c>
      <c r="J762" s="322">
        <v>14</v>
      </c>
      <c r="K762" s="322">
        <v>9</v>
      </c>
      <c r="L762" s="322">
        <v>4</v>
      </c>
      <c r="M762" s="322">
        <v>4</v>
      </c>
      <c r="N762" s="322">
        <v>2</v>
      </c>
      <c r="O762" s="322">
        <v>1</v>
      </c>
      <c r="P762" s="322">
        <v>0</v>
      </c>
      <c r="Q762" s="322">
        <v>0</v>
      </c>
      <c r="R762" s="322">
        <v>14.6</v>
      </c>
      <c r="S762" s="9">
        <v>1.2035866167E-6</v>
      </c>
      <c r="T762" s="9">
        <f t="shared" si="11"/>
        <v>1.7572364603819999E-5</v>
      </c>
      <c r="U762" s="321" t="s">
        <v>953</v>
      </c>
    </row>
    <row r="763" spans="1:21" ht="12" customHeight="1">
      <c r="A763" s="327">
        <v>6</v>
      </c>
      <c r="B763" s="159" t="s">
        <v>314</v>
      </c>
      <c r="C763" s="68" t="s">
        <v>95</v>
      </c>
      <c r="D763" s="68" t="s">
        <v>311</v>
      </c>
      <c r="E763" s="321">
        <v>3</v>
      </c>
      <c r="F763" s="322">
        <v>1446</v>
      </c>
      <c r="G763" s="322">
        <v>526</v>
      </c>
      <c r="H763" s="322">
        <v>12</v>
      </c>
      <c r="I763" s="322">
        <v>12</v>
      </c>
      <c r="J763" s="322">
        <v>11</v>
      </c>
      <c r="K763" s="322">
        <v>8</v>
      </c>
      <c r="L763" s="322">
        <v>6</v>
      </c>
      <c r="M763" s="322">
        <v>5</v>
      </c>
      <c r="N763" s="322">
        <v>2</v>
      </c>
      <c r="O763" s="322">
        <v>2</v>
      </c>
      <c r="P763" s="322">
        <v>0</v>
      </c>
      <c r="Q763" s="322">
        <v>0</v>
      </c>
      <c r="R763" s="322">
        <v>11.1</v>
      </c>
      <c r="S763" s="9">
        <v>1.2035866167E-6</v>
      </c>
      <c r="T763" s="9">
        <f t="shared" si="11"/>
        <v>1.335981144537E-5</v>
      </c>
      <c r="U763" s="321" t="s">
        <v>954</v>
      </c>
    </row>
    <row r="764" spans="1:21" ht="12" customHeight="1">
      <c r="A764" s="327">
        <v>6</v>
      </c>
      <c r="B764" s="159" t="s">
        <v>314</v>
      </c>
      <c r="C764" s="68" t="s">
        <v>95</v>
      </c>
      <c r="D764" s="68" t="s">
        <v>311</v>
      </c>
      <c r="E764" s="321">
        <v>4</v>
      </c>
      <c r="F764" s="322">
        <v>1422</v>
      </c>
      <c r="G764" s="322">
        <v>525</v>
      </c>
      <c r="H764" s="322">
        <v>22</v>
      </c>
      <c r="I764" s="322">
        <v>19</v>
      </c>
      <c r="J764" s="322">
        <v>16</v>
      </c>
      <c r="K764" s="322">
        <v>15</v>
      </c>
      <c r="L764" s="322">
        <v>13</v>
      </c>
      <c r="M764" s="322">
        <v>9</v>
      </c>
      <c r="N764" s="322">
        <v>5</v>
      </c>
      <c r="O764" s="322">
        <v>0</v>
      </c>
      <c r="P764" s="322">
        <v>0</v>
      </c>
      <c r="Q764" s="322">
        <v>0</v>
      </c>
      <c r="R764" s="322">
        <v>16.3</v>
      </c>
      <c r="S764" s="9">
        <v>1.2035866167E-6</v>
      </c>
      <c r="T764" s="9">
        <f t="shared" si="11"/>
        <v>1.9618461852210001E-5</v>
      </c>
      <c r="U764" s="321" t="s">
        <v>955</v>
      </c>
    </row>
    <row r="765" spans="1:21" ht="12" customHeight="1">
      <c r="A765" s="327">
        <v>6</v>
      </c>
      <c r="B765" s="159" t="s">
        <v>314</v>
      </c>
      <c r="C765" s="68" t="s">
        <v>95</v>
      </c>
      <c r="D765" s="68" t="s">
        <v>311</v>
      </c>
      <c r="E765" s="321">
        <v>5</v>
      </c>
      <c r="F765" s="322">
        <v>1478</v>
      </c>
      <c r="G765" s="322">
        <v>524</v>
      </c>
      <c r="H765" s="322">
        <v>22</v>
      </c>
      <c r="I765" s="322">
        <v>19</v>
      </c>
      <c r="J765" s="322">
        <v>17</v>
      </c>
      <c r="K765" s="322">
        <v>14</v>
      </c>
      <c r="L765" s="322">
        <v>10</v>
      </c>
      <c r="M765" s="322">
        <v>8</v>
      </c>
      <c r="N765" s="322">
        <v>4</v>
      </c>
      <c r="O765" s="322">
        <v>2</v>
      </c>
      <c r="P765" s="322">
        <v>1</v>
      </c>
      <c r="Q765" s="322">
        <v>0</v>
      </c>
      <c r="R765" s="322">
        <v>17.2</v>
      </c>
      <c r="S765" s="9">
        <v>1.2035866167E-6</v>
      </c>
      <c r="T765" s="9">
        <f t="shared" si="11"/>
        <v>2.0701689807239999E-5</v>
      </c>
      <c r="U765" s="321" t="s">
        <v>956</v>
      </c>
    </row>
    <row r="766" spans="1:21" ht="12" customHeight="1">
      <c r="A766" s="327">
        <v>6</v>
      </c>
      <c r="B766" s="159" t="s">
        <v>314</v>
      </c>
      <c r="C766" s="68" t="s">
        <v>95</v>
      </c>
      <c r="D766" s="68" t="s">
        <v>307</v>
      </c>
      <c r="E766" s="321">
        <v>1</v>
      </c>
      <c r="F766" s="322">
        <v>962</v>
      </c>
      <c r="G766" s="322">
        <v>524</v>
      </c>
      <c r="H766" s="322">
        <v>0</v>
      </c>
      <c r="I766" s="322">
        <v>0</v>
      </c>
      <c r="J766" s="322">
        <v>0</v>
      </c>
      <c r="K766" s="322">
        <v>0</v>
      </c>
      <c r="L766" s="322">
        <v>0</v>
      </c>
      <c r="M766" s="322">
        <v>0</v>
      </c>
      <c r="N766" s="322">
        <v>0</v>
      </c>
      <c r="O766" s="322">
        <v>0</v>
      </c>
      <c r="P766" s="322">
        <v>0</v>
      </c>
      <c r="Q766" s="322">
        <v>0</v>
      </c>
      <c r="R766" s="322">
        <v>0</v>
      </c>
      <c r="S766" s="9">
        <v>0</v>
      </c>
      <c r="T766" s="9">
        <f t="shared" si="11"/>
        <v>0</v>
      </c>
      <c r="U766" s="321" t="s">
        <v>982</v>
      </c>
    </row>
    <row r="767" spans="1:21" ht="12" customHeight="1">
      <c r="A767" s="327">
        <v>6</v>
      </c>
      <c r="B767" s="159" t="s">
        <v>314</v>
      </c>
      <c r="C767" s="68" t="s">
        <v>95</v>
      </c>
      <c r="D767" s="68" t="s">
        <v>307</v>
      </c>
      <c r="E767" s="321">
        <v>2</v>
      </c>
      <c r="F767" s="322">
        <v>938</v>
      </c>
      <c r="G767" s="322">
        <v>519</v>
      </c>
      <c r="H767" s="322">
        <v>0</v>
      </c>
      <c r="I767" s="322">
        <v>0</v>
      </c>
      <c r="J767" s="322">
        <v>0</v>
      </c>
      <c r="K767" s="322">
        <v>0</v>
      </c>
      <c r="L767" s="322">
        <v>0</v>
      </c>
      <c r="M767" s="322">
        <v>0</v>
      </c>
      <c r="N767" s="322">
        <v>0</v>
      </c>
      <c r="O767" s="322">
        <v>0</v>
      </c>
      <c r="P767" s="322">
        <v>0</v>
      </c>
      <c r="Q767" s="322">
        <v>0</v>
      </c>
      <c r="R767" s="322">
        <v>0</v>
      </c>
      <c r="S767" s="9">
        <v>0</v>
      </c>
      <c r="T767" s="9">
        <f t="shared" si="11"/>
        <v>0</v>
      </c>
      <c r="U767" s="321" t="s">
        <v>983</v>
      </c>
    </row>
    <row r="768" spans="1:21" ht="12" customHeight="1">
      <c r="A768" s="327">
        <v>6</v>
      </c>
      <c r="B768" s="159" t="s">
        <v>314</v>
      </c>
      <c r="C768" s="68" t="s">
        <v>95</v>
      </c>
      <c r="D768" s="68" t="s">
        <v>307</v>
      </c>
      <c r="E768" s="321">
        <v>3</v>
      </c>
      <c r="F768" s="322">
        <v>906</v>
      </c>
      <c r="G768" s="322">
        <v>524</v>
      </c>
      <c r="H768" s="322">
        <v>0</v>
      </c>
      <c r="I768" s="322">
        <v>0</v>
      </c>
      <c r="J768" s="322">
        <v>0</v>
      </c>
      <c r="K768" s="322">
        <v>0</v>
      </c>
      <c r="L768" s="322">
        <v>0</v>
      </c>
      <c r="M768" s="322">
        <v>0</v>
      </c>
      <c r="N768" s="322">
        <v>0</v>
      </c>
      <c r="O768" s="322">
        <v>0</v>
      </c>
      <c r="P768" s="322">
        <v>0</v>
      </c>
      <c r="Q768" s="322">
        <v>0</v>
      </c>
      <c r="R768" s="322">
        <v>0</v>
      </c>
      <c r="S768" s="9">
        <v>0</v>
      </c>
      <c r="T768" s="9">
        <f t="shared" si="11"/>
        <v>0</v>
      </c>
      <c r="U768" s="321" t="s">
        <v>984</v>
      </c>
    </row>
    <row r="769" spans="1:21" ht="12" customHeight="1">
      <c r="A769" s="327">
        <v>6</v>
      </c>
      <c r="B769" s="159" t="s">
        <v>314</v>
      </c>
      <c r="C769" s="68" t="s">
        <v>95</v>
      </c>
      <c r="D769" s="68" t="s">
        <v>307</v>
      </c>
      <c r="E769" s="321">
        <v>4</v>
      </c>
      <c r="F769" s="322">
        <v>906</v>
      </c>
      <c r="G769" s="322">
        <v>525</v>
      </c>
      <c r="H769" s="322">
        <v>0</v>
      </c>
      <c r="I769" s="322">
        <v>0</v>
      </c>
      <c r="J769" s="322">
        <v>0</v>
      </c>
      <c r="K769" s="322">
        <v>0</v>
      </c>
      <c r="L769" s="322">
        <v>0</v>
      </c>
      <c r="M769" s="322">
        <v>0</v>
      </c>
      <c r="N769" s="322">
        <v>0</v>
      </c>
      <c r="O769" s="322">
        <v>0</v>
      </c>
      <c r="P769" s="322">
        <v>0</v>
      </c>
      <c r="Q769" s="322">
        <v>0</v>
      </c>
      <c r="R769" s="322">
        <v>0</v>
      </c>
      <c r="S769" s="9">
        <v>0</v>
      </c>
      <c r="T769" s="9">
        <f t="shared" si="11"/>
        <v>0</v>
      </c>
      <c r="U769" s="321" t="s">
        <v>985</v>
      </c>
    </row>
    <row r="770" spans="1:21" ht="12" customHeight="1">
      <c r="A770" s="327">
        <v>6</v>
      </c>
      <c r="B770" s="159" t="s">
        <v>314</v>
      </c>
      <c r="C770" s="68" t="s">
        <v>95</v>
      </c>
      <c r="D770" s="68" t="s">
        <v>307</v>
      </c>
      <c r="E770" s="321">
        <v>5</v>
      </c>
      <c r="F770" s="322">
        <v>938</v>
      </c>
      <c r="G770" s="322">
        <v>519</v>
      </c>
      <c r="H770" s="322">
        <v>0</v>
      </c>
      <c r="I770" s="322">
        <v>0</v>
      </c>
      <c r="J770" s="322">
        <v>0</v>
      </c>
      <c r="K770" s="322">
        <v>0</v>
      </c>
      <c r="L770" s="322">
        <v>0</v>
      </c>
      <c r="M770" s="322">
        <v>0</v>
      </c>
      <c r="N770" s="322">
        <v>0</v>
      </c>
      <c r="O770" s="322">
        <v>0</v>
      </c>
      <c r="P770" s="322">
        <v>0</v>
      </c>
      <c r="Q770" s="322">
        <v>0</v>
      </c>
      <c r="R770" s="322">
        <v>0</v>
      </c>
      <c r="S770" s="9">
        <v>0</v>
      </c>
      <c r="T770" s="9">
        <f t="shared" si="11"/>
        <v>0</v>
      </c>
      <c r="U770" s="321" t="s">
        <v>986</v>
      </c>
    </row>
    <row r="771" spans="1:21" ht="12" customHeight="1">
      <c r="A771" s="328">
        <v>6</v>
      </c>
      <c r="B771" s="159" t="s">
        <v>316</v>
      </c>
      <c r="C771" s="68" t="s">
        <v>96</v>
      </c>
      <c r="D771" s="68" t="s">
        <v>308</v>
      </c>
      <c r="E771" s="323">
        <v>1</v>
      </c>
      <c r="F771" s="324">
        <v>1484</v>
      </c>
      <c r="G771" s="324">
        <v>479</v>
      </c>
      <c r="H771" s="324">
        <v>135</v>
      </c>
      <c r="I771" s="324">
        <v>130</v>
      </c>
      <c r="J771" s="324">
        <v>122</v>
      </c>
      <c r="K771" s="324">
        <v>116</v>
      </c>
      <c r="L771" s="324">
        <v>103</v>
      </c>
      <c r="M771" s="324">
        <v>100</v>
      </c>
      <c r="N771" s="324">
        <v>85</v>
      </c>
      <c r="O771" s="324">
        <v>74</v>
      </c>
      <c r="P771" s="324">
        <v>68</v>
      </c>
      <c r="Q771" s="324">
        <v>62</v>
      </c>
      <c r="R771" s="324">
        <v>122.9</v>
      </c>
      <c r="S771" s="9">
        <v>1.5093682811302096E-7</v>
      </c>
      <c r="T771" s="9">
        <f t="shared" si="11"/>
        <v>1.8550136175090278E-5</v>
      </c>
      <c r="U771" s="323" t="s">
        <v>1282</v>
      </c>
    </row>
    <row r="772" spans="1:21" ht="12" customHeight="1">
      <c r="A772" s="328">
        <v>6</v>
      </c>
      <c r="B772" s="159" t="s">
        <v>316</v>
      </c>
      <c r="C772" s="68" t="s">
        <v>96</v>
      </c>
      <c r="D772" s="68" t="s">
        <v>308</v>
      </c>
      <c r="E772" s="323">
        <v>2</v>
      </c>
      <c r="F772" s="324">
        <v>960</v>
      </c>
      <c r="G772" s="324">
        <v>481</v>
      </c>
      <c r="H772" s="324">
        <v>119</v>
      </c>
      <c r="I772" s="324">
        <v>115</v>
      </c>
      <c r="J772" s="324">
        <v>107</v>
      </c>
      <c r="K772" s="324">
        <v>96</v>
      </c>
      <c r="L772" s="324">
        <v>86</v>
      </c>
      <c r="M772" s="324">
        <v>84</v>
      </c>
      <c r="N772" s="324">
        <v>72</v>
      </c>
      <c r="O772" s="324">
        <v>62</v>
      </c>
      <c r="P772" s="324">
        <v>60</v>
      </c>
      <c r="Q772" s="324">
        <v>46</v>
      </c>
      <c r="R772" s="324">
        <v>107.8</v>
      </c>
      <c r="S772" s="9">
        <v>1.5093682811302096E-7</v>
      </c>
      <c r="T772" s="9">
        <f t="shared" si="11"/>
        <v>1.6270990070583659E-5</v>
      </c>
      <c r="U772" s="323" t="s">
        <v>1283</v>
      </c>
    </row>
    <row r="773" spans="1:21" ht="12" customHeight="1">
      <c r="A773" s="328">
        <v>6</v>
      </c>
      <c r="B773" s="159" t="s">
        <v>316</v>
      </c>
      <c r="C773" s="68" t="s">
        <v>96</v>
      </c>
      <c r="D773" s="68" t="s">
        <v>308</v>
      </c>
      <c r="E773" s="323">
        <v>3</v>
      </c>
      <c r="F773" s="324">
        <v>958</v>
      </c>
      <c r="G773" s="324">
        <v>481</v>
      </c>
      <c r="H773" s="324">
        <v>136</v>
      </c>
      <c r="I773" s="324">
        <v>128</v>
      </c>
      <c r="J773" s="324">
        <v>119</v>
      </c>
      <c r="K773" s="324">
        <v>113</v>
      </c>
      <c r="L773" s="324">
        <v>106</v>
      </c>
      <c r="M773" s="324">
        <v>100</v>
      </c>
      <c r="N773" s="324">
        <v>90</v>
      </c>
      <c r="O773" s="324">
        <v>72</v>
      </c>
      <c r="P773" s="324">
        <v>64</v>
      </c>
      <c r="Q773" s="324">
        <v>59</v>
      </c>
      <c r="R773" s="324">
        <v>120</v>
      </c>
      <c r="S773" s="9">
        <v>1.5093682811302096E-7</v>
      </c>
      <c r="T773" s="9">
        <f t="shared" si="11"/>
        <v>1.8112419373562514E-5</v>
      </c>
      <c r="U773" s="323" t="s">
        <v>1284</v>
      </c>
    </row>
    <row r="774" spans="1:21" ht="12" customHeight="1">
      <c r="A774" s="328">
        <v>6</v>
      </c>
      <c r="B774" s="159" t="s">
        <v>316</v>
      </c>
      <c r="C774" s="68" t="s">
        <v>96</v>
      </c>
      <c r="D774" s="68" t="s">
        <v>308</v>
      </c>
      <c r="E774" s="323">
        <v>4</v>
      </c>
      <c r="F774" s="324">
        <v>958</v>
      </c>
      <c r="G774" s="324">
        <v>481</v>
      </c>
      <c r="H774" s="324">
        <v>161</v>
      </c>
      <c r="I774" s="324">
        <v>148</v>
      </c>
      <c r="J774" s="324">
        <v>132</v>
      </c>
      <c r="K774" s="324">
        <v>123</v>
      </c>
      <c r="L774" s="324">
        <v>111</v>
      </c>
      <c r="M774" s="324">
        <v>101</v>
      </c>
      <c r="N774" s="324">
        <v>95</v>
      </c>
      <c r="O774" s="324">
        <v>82</v>
      </c>
      <c r="P774" s="324">
        <v>72</v>
      </c>
      <c r="Q774" s="324">
        <v>65</v>
      </c>
      <c r="R774" s="324">
        <v>133.69999999999999</v>
      </c>
      <c r="S774" s="9">
        <v>1.5093682811302096E-7</v>
      </c>
      <c r="T774" s="9">
        <f t="shared" ref="T774:T815" si="12">S774*R774</f>
        <v>2.01802539187109E-5</v>
      </c>
      <c r="U774" s="323" t="s">
        <v>1285</v>
      </c>
    </row>
    <row r="775" spans="1:21" ht="12" customHeight="1">
      <c r="A775" s="328">
        <v>6</v>
      </c>
      <c r="B775" s="159" t="s">
        <v>316</v>
      </c>
      <c r="C775" s="68" t="s">
        <v>96</v>
      </c>
      <c r="D775" s="68" t="s">
        <v>308</v>
      </c>
      <c r="E775" s="323">
        <v>5</v>
      </c>
      <c r="F775" s="324">
        <v>960</v>
      </c>
      <c r="G775" s="324">
        <v>481</v>
      </c>
      <c r="H775" s="324">
        <v>166</v>
      </c>
      <c r="I775" s="324">
        <v>156</v>
      </c>
      <c r="J775" s="324">
        <v>137</v>
      </c>
      <c r="K775" s="324">
        <v>124</v>
      </c>
      <c r="L775" s="324">
        <v>116</v>
      </c>
      <c r="M775" s="324">
        <v>110</v>
      </c>
      <c r="N775" s="324">
        <v>96</v>
      </c>
      <c r="O775" s="324">
        <v>84</v>
      </c>
      <c r="P775" s="324">
        <v>79</v>
      </c>
      <c r="Q775" s="324">
        <v>66</v>
      </c>
      <c r="R775" s="324">
        <v>139</v>
      </c>
      <c r="S775" s="9">
        <v>1.5093682811302096E-7</v>
      </c>
      <c r="T775" s="9">
        <f t="shared" si="12"/>
        <v>2.0980219107709914E-5</v>
      </c>
      <c r="U775" s="323" t="s">
        <v>1286</v>
      </c>
    </row>
    <row r="776" spans="1:21" ht="12" customHeight="1">
      <c r="A776" s="328">
        <v>6</v>
      </c>
      <c r="B776" s="159" t="s">
        <v>316</v>
      </c>
      <c r="C776" s="68" t="s">
        <v>96</v>
      </c>
      <c r="D776" s="68" t="s">
        <v>310</v>
      </c>
      <c r="E776" s="323">
        <v>1</v>
      </c>
      <c r="F776" s="324">
        <v>1440</v>
      </c>
      <c r="G776" s="324">
        <v>481</v>
      </c>
      <c r="H776" s="324">
        <v>263</v>
      </c>
      <c r="I776" s="324">
        <v>251</v>
      </c>
      <c r="J776" s="324">
        <v>248</v>
      </c>
      <c r="K776" s="324">
        <v>235</v>
      </c>
      <c r="L776" s="324">
        <v>217</v>
      </c>
      <c r="M776" s="324">
        <v>205</v>
      </c>
      <c r="N776" s="324">
        <v>192</v>
      </c>
      <c r="O776" s="324">
        <v>173</v>
      </c>
      <c r="P776" s="324">
        <v>154</v>
      </c>
      <c r="Q776" s="324">
        <v>127</v>
      </c>
      <c r="R776" s="324">
        <v>248.4</v>
      </c>
      <c r="S776" s="9">
        <v>1.5093546968020952E-7</v>
      </c>
      <c r="T776" s="9">
        <f t="shared" si="12"/>
        <v>3.7492370668564045E-5</v>
      </c>
      <c r="U776" s="323" t="s">
        <v>1312</v>
      </c>
    </row>
    <row r="777" spans="1:21" ht="12" customHeight="1">
      <c r="A777" s="328">
        <v>6</v>
      </c>
      <c r="B777" s="159" t="s">
        <v>316</v>
      </c>
      <c r="C777" s="68" t="s">
        <v>96</v>
      </c>
      <c r="D777" s="68" t="s">
        <v>310</v>
      </c>
      <c r="E777" s="323">
        <v>2</v>
      </c>
      <c r="F777" s="324">
        <v>988</v>
      </c>
      <c r="G777" s="324">
        <v>481</v>
      </c>
      <c r="H777" s="324">
        <v>258</v>
      </c>
      <c r="I777" s="324">
        <v>247</v>
      </c>
      <c r="J777" s="324">
        <v>230</v>
      </c>
      <c r="K777" s="324">
        <v>220</v>
      </c>
      <c r="L777" s="324">
        <v>214</v>
      </c>
      <c r="M777" s="324">
        <v>201</v>
      </c>
      <c r="N777" s="324">
        <v>188</v>
      </c>
      <c r="O777" s="324">
        <v>171</v>
      </c>
      <c r="P777" s="324">
        <v>157</v>
      </c>
      <c r="Q777" s="324">
        <v>113</v>
      </c>
      <c r="R777" s="324">
        <v>231.8</v>
      </c>
      <c r="S777" s="9">
        <v>1.5093546968020952E-7</v>
      </c>
      <c r="T777" s="9">
        <f t="shared" si="12"/>
        <v>3.4986841871872569E-5</v>
      </c>
      <c r="U777" s="323" t="s">
        <v>1313</v>
      </c>
    </row>
    <row r="778" spans="1:21" ht="12" customHeight="1">
      <c r="A778" s="328">
        <v>6</v>
      </c>
      <c r="B778" s="159" t="s">
        <v>316</v>
      </c>
      <c r="C778" s="68" t="s">
        <v>96</v>
      </c>
      <c r="D778" s="68" t="s">
        <v>310</v>
      </c>
      <c r="E778" s="323">
        <v>3</v>
      </c>
      <c r="F778" s="324">
        <v>1416</v>
      </c>
      <c r="G778" s="324">
        <v>481</v>
      </c>
      <c r="H778" s="324">
        <v>271</v>
      </c>
      <c r="I778" s="324">
        <v>264</v>
      </c>
      <c r="J778" s="324">
        <v>250</v>
      </c>
      <c r="K778" s="324">
        <v>237</v>
      </c>
      <c r="L778" s="324">
        <v>220</v>
      </c>
      <c r="M778" s="324">
        <v>205</v>
      </c>
      <c r="N778" s="324">
        <v>188</v>
      </c>
      <c r="O778" s="324">
        <v>165</v>
      </c>
      <c r="P778" s="324">
        <v>148</v>
      </c>
      <c r="Q778" s="324">
        <v>136</v>
      </c>
      <c r="R778" s="324">
        <v>251.5</v>
      </c>
      <c r="S778" s="9">
        <v>1.5093546968020952E-7</v>
      </c>
      <c r="T778" s="9">
        <f t="shared" si="12"/>
        <v>3.7960270624572694E-5</v>
      </c>
      <c r="U778" s="323" t="s">
        <v>1314</v>
      </c>
    </row>
    <row r="779" spans="1:21" ht="12" customHeight="1">
      <c r="A779" s="328">
        <v>6</v>
      </c>
      <c r="B779" s="159" t="s">
        <v>316</v>
      </c>
      <c r="C779" s="68" t="s">
        <v>96</v>
      </c>
      <c r="D779" s="68" t="s">
        <v>310</v>
      </c>
      <c r="E779" s="323">
        <v>4</v>
      </c>
      <c r="F779" s="324">
        <v>1464</v>
      </c>
      <c r="G779" s="324">
        <v>457</v>
      </c>
      <c r="H779" s="324">
        <v>200</v>
      </c>
      <c r="I779" s="324">
        <v>190</v>
      </c>
      <c r="J779" s="324">
        <v>185</v>
      </c>
      <c r="K779" s="324">
        <v>179</v>
      </c>
      <c r="L779" s="324">
        <v>170</v>
      </c>
      <c r="M779" s="324">
        <v>153</v>
      </c>
      <c r="N779" s="324">
        <v>134</v>
      </c>
      <c r="O779" s="324">
        <v>125</v>
      </c>
      <c r="P779" s="324">
        <v>111</v>
      </c>
      <c r="Q779" s="324">
        <v>98</v>
      </c>
      <c r="R779" s="324">
        <v>185.6</v>
      </c>
      <c r="S779" s="9">
        <v>1.5093546968020952E-7</v>
      </c>
      <c r="T779" s="9">
        <f t="shared" si="12"/>
        <v>2.8013623172646885E-5</v>
      </c>
      <c r="U779" s="323" t="s">
        <v>1315</v>
      </c>
    </row>
    <row r="780" spans="1:21" ht="12" customHeight="1">
      <c r="A780" s="328">
        <v>6</v>
      </c>
      <c r="B780" s="159" t="s">
        <v>316</v>
      </c>
      <c r="C780" s="68" t="s">
        <v>96</v>
      </c>
      <c r="D780" s="68" t="s">
        <v>310</v>
      </c>
      <c r="E780" s="323">
        <v>5</v>
      </c>
      <c r="F780" s="324">
        <v>1582</v>
      </c>
      <c r="G780" s="324">
        <v>479</v>
      </c>
      <c r="H780" s="324">
        <v>257</v>
      </c>
      <c r="I780" s="324">
        <v>249</v>
      </c>
      <c r="J780" s="324">
        <v>239</v>
      </c>
      <c r="K780" s="324">
        <v>223</v>
      </c>
      <c r="L780" s="324">
        <v>208</v>
      </c>
      <c r="M780" s="324">
        <v>193</v>
      </c>
      <c r="N780" s="324">
        <v>183</v>
      </c>
      <c r="O780" s="324">
        <v>172</v>
      </c>
      <c r="P780" s="324">
        <v>152</v>
      </c>
      <c r="Q780" s="324">
        <v>141</v>
      </c>
      <c r="R780" s="324">
        <v>240.1</v>
      </c>
      <c r="S780" s="9">
        <v>1.5093546968020952E-7</v>
      </c>
      <c r="T780" s="9">
        <f t="shared" si="12"/>
        <v>3.6239606270218304E-5</v>
      </c>
      <c r="U780" s="323" t="s">
        <v>1316</v>
      </c>
    </row>
    <row r="781" spans="1:21" ht="12" customHeight="1">
      <c r="A781" s="328">
        <v>6</v>
      </c>
      <c r="B781" s="159" t="s">
        <v>316</v>
      </c>
      <c r="C781" s="68" t="s">
        <v>96</v>
      </c>
      <c r="D781" s="68" t="s">
        <v>309</v>
      </c>
      <c r="E781" s="323">
        <v>1</v>
      </c>
      <c r="F781" s="324">
        <v>1036</v>
      </c>
      <c r="G781" s="324">
        <v>476</v>
      </c>
      <c r="H781" s="324">
        <v>16</v>
      </c>
      <c r="I781" s="324">
        <v>15</v>
      </c>
      <c r="J781" s="324">
        <v>15</v>
      </c>
      <c r="K781" s="324">
        <v>14</v>
      </c>
      <c r="L781" s="324">
        <v>12</v>
      </c>
      <c r="M781" s="324">
        <v>10</v>
      </c>
      <c r="N781" s="324">
        <v>10</v>
      </c>
      <c r="O781" s="324">
        <v>8</v>
      </c>
      <c r="P781" s="324">
        <v>8</v>
      </c>
      <c r="Q781" s="324">
        <v>7</v>
      </c>
      <c r="R781" s="324">
        <v>15</v>
      </c>
      <c r="S781" s="9">
        <v>1.5093682811302096E-7</v>
      </c>
      <c r="T781" s="9">
        <f t="shared" si="12"/>
        <v>2.2640524216953143E-6</v>
      </c>
      <c r="U781" s="323" t="s">
        <v>1342</v>
      </c>
    </row>
    <row r="782" spans="1:21" ht="12" customHeight="1">
      <c r="A782" s="328">
        <v>6</v>
      </c>
      <c r="B782" s="159" t="s">
        <v>316</v>
      </c>
      <c r="C782" s="68" t="s">
        <v>96</v>
      </c>
      <c r="D782" s="68" t="s">
        <v>309</v>
      </c>
      <c r="E782" s="323">
        <v>2</v>
      </c>
      <c r="F782" s="324">
        <v>1038</v>
      </c>
      <c r="G782" s="324">
        <v>481</v>
      </c>
      <c r="H782" s="324">
        <v>29</v>
      </c>
      <c r="I782" s="324">
        <v>25</v>
      </c>
      <c r="J782" s="324">
        <v>21</v>
      </c>
      <c r="K782" s="324">
        <v>20</v>
      </c>
      <c r="L782" s="324">
        <v>20</v>
      </c>
      <c r="M782" s="324">
        <v>20</v>
      </c>
      <c r="N782" s="324">
        <v>20</v>
      </c>
      <c r="O782" s="324">
        <v>20</v>
      </c>
      <c r="P782" s="324">
        <v>19</v>
      </c>
      <c r="Q782" s="324">
        <v>18</v>
      </c>
      <c r="R782" s="324">
        <v>21.4</v>
      </c>
      <c r="S782" s="9">
        <v>1.5093682811302096E-7</v>
      </c>
      <c r="T782" s="9">
        <f t="shared" si="12"/>
        <v>3.2300481216186483E-6</v>
      </c>
      <c r="U782" s="323" t="s">
        <v>1343</v>
      </c>
    </row>
    <row r="783" spans="1:21" ht="12" customHeight="1">
      <c r="A783" s="328">
        <v>6</v>
      </c>
      <c r="B783" s="159" t="s">
        <v>316</v>
      </c>
      <c r="C783" s="68" t="s">
        <v>96</v>
      </c>
      <c r="D783" s="68" t="s">
        <v>309</v>
      </c>
      <c r="E783" s="323">
        <v>3</v>
      </c>
      <c r="F783" s="324">
        <v>1022</v>
      </c>
      <c r="G783" s="324">
        <v>455</v>
      </c>
      <c r="H783" s="324">
        <v>22</v>
      </c>
      <c r="I783" s="324">
        <v>18</v>
      </c>
      <c r="J783" s="324">
        <v>15</v>
      </c>
      <c r="K783" s="324">
        <v>15</v>
      </c>
      <c r="L783" s="324">
        <v>15</v>
      </c>
      <c r="M783" s="324">
        <v>15</v>
      </c>
      <c r="N783" s="324">
        <v>15</v>
      </c>
      <c r="O783" s="324">
        <v>15</v>
      </c>
      <c r="P783" s="324">
        <v>15</v>
      </c>
      <c r="Q783" s="324">
        <v>14</v>
      </c>
      <c r="R783" s="324">
        <v>15.3</v>
      </c>
      <c r="S783" s="9">
        <v>1.5093682811302096E-7</v>
      </c>
      <c r="T783" s="9">
        <f t="shared" si="12"/>
        <v>2.3093334701292209E-6</v>
      </c>
      <c r="U783" s="323" t="s">
        <v>1344</v>
      </c>
    </row>
    <row r="784" spans="1:21" ht="12" customHeight="1">
      <c r="A784" s="328">
        <v>6</v>
      </c>
      <c r="B784" s="159" t="s">
        <v>316</v>
      </c>
      <c r="C784" s="68" t="s">
        <v>96</v>
      </c>
      <c r="D784" s="68" t="s">
        <v>309</v>
      </c>
      <c r="E784" s="323">
        <v>4</v>
      </c>
      <c r="F784" s="324">
        <v>1036</v>
      </c>
      <c r="G784" s="324">
        <v>480</v>
      </c>
      <c r="H784" s="324">
        <v>35</v>
      </c>
      <c r="I784" s="324">
        <v>34</v>
      </c>
      <c r="J784" s="324">
        <v>32</v>
      </c>
      <c r="K784" s="324">
        <v>30</v>
      </c>
      <c r="L784" s="324">
        <v>30</v>
      </c>
      <c r="M784" s="324">
        <v>23</v>
      </c>
      <c r="N784" s="324">
        <v>20</v>
      </c>
      <c r="O784" s="324">
        <v>17</v>
      </c>
      <c r="P784" s="324">
        <v>17</v>
      </c>
      <c r="Q784" s="324">
        <v>15</v>
      </c>
      <c r="R784" s="324">
        <v>32.200000000000003</v>
      </c>
      <c r="S784" s="9">
        <v>1.5093682811302096E-7</v>
      </c>
      <c r="T784" s="9">
        <f t="shared" si="12"/>
        <v>4.8601658652392756E-6</v>
      </c>
      <c r="U784" s="323" t="s">
        <v>1345</v>
      </c>
    </row>
    <row r="785" spans="1:21" ht="12" customHeight="1">
      <c r="A785" s="328">
        <v>6</v>
      </c>
      <c r="B785" s="159" t="s">
        <v>316</v>
      </c>
      <c r="C785" s="68" t="s">
        <v>96</v>
      </c>
      <c r="D785" s="68" t="s">
        <v>309</v>
      </c>
      <c r="E785" s="323">
        <v>5</v>
      </c>
      <c r="F785" s="324">
        <v>1034</v>
      </c>
      <c r="G785" s="324">
        <v>481</v>
      </c>
      <c r="H785" s="324">
        <v>26</v>
      </c>
      <c r="I785" s="324">
        <v>24</v>
      </c>
      <c r="J785" s="324">
        <v>23</v>
      </c>
      <c r="K785" s="324">
        <v>23</v>
      </c>
      <c r="L785" s="324">
        <v>22</v>
      </c>
      <c r="M785" s="324">
        <v>21</v>
      </c>
      <c r="N785" s="324">
        <v>21</v>
      </c>
      <c r="O785" s="324">
        <v>21</v>
      </c>
      <c r="P785" s="324">
        <v>19</v>
      </c>
      <c r="Q785" s="324">
        <v>17</v>
      </c>
      <c r="R785" s="324">
        <v>23.1</v>
      </c>
      <c r="S785" s="9">
        <v>1.5093682811302096E-7</v>
      </c>
      <c r="T785" s="9">
        <f t="shared" si="12"/>
        <v>3.4866407294107843E-6</v>
      </c>
      <c r="U785" s="323" t="s">
        <v>1346</v>
      </c>
    </row>
    <row r="786" spans="1:21" ht="12" customHeight="1">
      <c r="A786" s="328">
        <v>6</v>
      </c>
      <c r="B786" s="159" t="s">
        <v>316</v>
      </c>
      <c r="C786" s="68" t="s">
        <v>96</v>
      </c>
      <c r="D786" s="68" t="s">
        <v>307</v>
      </c>
      <c r="E786" s="323">
        <v>1</v>
      </c>
      <c r="F786" s="324">
        <v>870</v>
      </c>
      <c r="G786" s="324">
        <v>478</v>
      </c>
      <c r="H786" s="324">
        <v>0</v>
      </c>
      <c r="I786" s="324">
        <v>0</v>
      </c>
      <c r="J786" s="324">
        <v>0</v>
      </c>
      <c r="K786" s="324">
        <v>0</v>
      </c>
      <c r="L786" s="324">
        <v>0</v>
      </c>
      <c r="M786" s="324">
        <v>0</v>
      </c>
      <c r="N786" s="324">
        <v>0</v>
      </c>
      <c r="O786" s="324">
        <v>0</v>
      </c>
      <c r="P786" s="324">
        <v>0</v>
      </c>
      <c r="Q786" s="324">
        <v>0</v>
      </c>
      <c r="R786" s="324">
        <v>0</v>
      </c>
      <c r="S786" s="9">
        <v>4.0752984343500006E-6</v>
      </c>
      <c r="T786" s="9">
        <f t="shared" si="12"/>
        <v>0</v>
      </c>
      <c r="U786" s="323" t="s">
        <v>1372</v>
      </c>
    </row>
    <row r="787" spans="1:21" ht="12" customHeight="1">
      <c r="A787" s="328">
        <v>6</v>
      </c>
      <c r="B787" s="159" t="s">
        <v>316</v>
      </c>
      <c r="C787" s="68" t="s">
        <v>96</v>
      </c>
      <c r="D787" s="68" t="s">
        <v>307</v>
      </c>
      <c r="E787" s="323">
        <v>2</v>
      </c>
      <c r="F787" s="324">
        <v>870</v>
      </c>
      <c r="G787" s="324">
        <v>476</v>
      </c>
      <c r="H787" s="324">
        <v>0</v>
      </c>
      <c r="I787" s="324">
        <v>0</v>
      </c>
      <c r="J787" s="324">
        <v>0</v>
      </c>
      <c r="K787" s="324">
        <v>0</v>
      </c>
      <c r="L787" s="324">
        <v>0</v>
      </c>
      <c r="M787" s="324">
        <v>0</v>
      </c>
      <c r="N787" s="324">
        <v>0</v>
      </c>
      <c r="O787" s="324">
        <v>0</v>
      </c>
      <c r="P787" s="324">
        <v>0</v>
      </c>
      <c r="Q787" s="324">
        <v>0</v>
      </c>
      <c r="R787" s="324">
        <v>0</v>
      </c>
      <c r="S787" s="9">
        <v>4.0752984343500006E-6</v>
      </c>
      <c r="T787" s="9">
        <f t="shared" si="12"/>
        <v>0</v>
      </c>
      <c r="U787" s="323" t="s">
        <v>1373</v>
      </c>
    </row>
    <row r="788" spans="1:21" ht="12" customHeight="1">
      <c r="A788" s="328">
        <v>6</v>
      </c>
      <c r="B788" s="159" t="s">
        <v>316</v>
      </c>
      <c r="C788" s="68" t="s">
        <v>96</v>
      </c>
      <c r="D788" s="68" t="s">
        <v>307</v>
      </c>
      <c r="E788" s="323">
        <v>3</v>
      </c>
      <c r="F788" s="324">
        <v>938</v>
      </c>
      <c r="G788" s="324">
        <v>478</v>
      </c>
      <c r="H788" s="324">
        <v>0</v>
      </c>
      <c r="I788" s="324">
        <v>0</v>
      </c>
      <c r="J788" s="324">
        <v>0</v>
      </c>
      <c r="K788" s="324">
        <v>0</v>
      </c>
      <c r="L788" s="324">
        <v>0</v>
      </c>
      <c r="M788" s="324">
        <v>0</v>
      </c>
      <c r="N788" s="324">
        <v>0</v>
      </c>
      <c r="O788" s="324">
        <v>0</v>
      </c>
      <c r="P788" s="324">
        <v>0</v>
      </c>
      <c r="Q788" s="324">
        <v>0</v>
      </c>
      <c r="R788" s="324">
        <v>0</v>
      </c>
      <c r="S788" s="9">
        <v>4.0752984343500006E-6</v>
      </c>
      <c r="T788" s="9">
        <f t="shared" si="12"/>
        <v>0</v>
      </c>
      <c r="U788" s="323" t="s">
        <v>1374</v>
      </c>
    </row>
    <row r="789" spans="1:21" ht="12" customHeight="1">
      <c r="A789" s="328">
        <v>6</v>
      </c>
      <c r="B789" s="159" t="s">
        <v>316</v>
      </c>
      <c r="C789" s="68" t="s">
        <v>96</v>
      </c>
      <c r="D789" s="68" t="s">
        <v>307</v>
      </c>
      <c r="E789" s="323">
        <v>4</v>
      </c>
      <c r="F789" s="324">
        <v>934</v>
      </c>
      <c r="G789" s="324">
        <v>476</v>
      </c>
      <c r="H789" s="324">
        <v>0</v>
      </c>
      <c r="I789" s="324">
        <v>0</v>
      </c>
      <c r="J789" s="324">
        <v>0</v>
      </c>
      <c r="K789" s="324">
        <v>0</v>
      </c>
      <c r="L789" s="324">
        <v>0</v>
      </c>
      <c r="M789" s="324">
        <v>0</v>
      </c>
      <c r="N789" s="324">
        <v>0</v>
      </c>
      <c r="O789" s="324">
        <v>0</v>
      </c>
      <c r="P789" s="324">
        <v>0</v>
      </c>
      <c r="Q789" s="324">
        <v>0</v>
      </c>
      <c r="R789" s="324">
        <v>0</v>
      </c>
      <c r="S789" s="9">
        <v>4.0752984343500006E-6</v>
      </c>
      <c r="T789" s="9">
        <f t="shared" si="12"/>
        <v>0</v>
      </c>
      <c r="U789" s="323" t="s">
        <v>1375</v>
      </c>
    </row>
    <row r="790" spans="1:21" ht="12" customHeight="1">
      <c r="A790" s="328">
        <v>6</v>
      </c>
      <c r="B790" s="159" t="s">
        <v>316</v>
      </c>
      <c r="C790" s="68" t="s">
        <v>96</v>
      </c>
      <c r="D790" s="68" t="s">
        <v>307</v>
      </c>
      <c r="E790" s="323">
        <v>5</v>
      </c>
      <c r="F790" s="324">
        <v>912</v>
      </c>
      <c r="G790" s="324">
        <v>481</v>
      </c>
      <c r="H790" s="324">
        <v>0</v>
      </c>
      <c r="I790" s="324">
        <v>0</v>
      </c>
      <c r="J790" s="324">
        <v>0</v>
      </c>
      <c r="K790" s="324">
        <v>0</v>
      </c>
      <c r="L790" s="324">
        <v>0</v>
      </c>
      <c r="M790" s="324">
        <v>0</v>
      </c>
      <c r="N790" s="324">
        <v>0</v>
      </c>
      <c r="O790" s="324">
        <v>0</v>
      </c>
      <c r="P790" s="324">
        <v>0</v>
      </c>
      <c r="Q790" s="324">
        <v>0</v>
      </c>
      <c r="R790" s="324">
        <v>0</v>
      </c>
      <c r="S790" s="9">
        <v>4.0752984343500006E-6</v>
      </c>
      <c r="T790" s="9">
        <f t="shared" si="12"/>
        <v>0</v>
      </c>
      <c r="U790" s="323" t="s">
        <v>1376</v>
      </c>
    </row>
    <row r="791" spans="1:21" ht="12" customHeight="1">
      <c r="A791" s="329">
        <v>6</v>
      </c>
      <c r="B791" s="159" t="s">
        <v>316</v>
      </c>
      <c r="C791" s="68" t="s">
        <v>95</v>
      </c>
      <c r="D791" s="68" t="s">
        <v>308</v>
      </c>
      <c r="E791" s="330">
        <v>1</v>
      </c>
      <c r="F791" s="326">
        <v>1500</v>
      </c>
      <c r="G791" s="326">
        <v>524</v>
      </c>
      <c r="H791" s="326">
        <v>116</v>
      </c>
      <c r="I791" s="326">
        <v>111</v>
      </c>
      <c r="J791" s="326">
        <v>106</v>
      </c>
      <c r="K791" s="326">
        <v>94</v>
      </c>
      <c r="L791" s="326">
        <v>87</v>
      </c>
      <c r="M791" s="326">
        <v>80</v>
      </c>
      <c r="N791" s="326">
        <v>76</v>
      </c>
      <c r="O791" s="326">
        <v>73</v>
      </c>
      <c r="P791" s="326">
        <v>70</v>
      </c>
      <c r="Q791" s="326">
        <v>69</v>
      </c>
      <c r="R791" s="326">
        <v>106.6</v>
      </c>
      <c r="S791" s="9">
        <v>1.5246144253840504E-9</v>
      </c>
      <c r="T791" s="9">
        <f t="shared" si="12"/>
        <v>1.6252389774593975E-7</v>
      </c>
      <c r="U791" s="325" t="s">
        <v>1132</v>
      </c>
    </row>
    <row r="792" spans="1:21" ht="12" customHeight="1">
      <c r="A792" s="329">
        <v>6</v>
      </c>
      <c r="B792" s="159" t="s">
        <v>316</v>
      </c>
      <c r="C792" s="68" t="s">
        <v>95</v>
      </c>
      <c r="D792" s="68" t="s">
        <v>308</v>
      </c>
      <c r="E792" s="330">
        <v>2</v>
      </c>
      <c r="F792" s="326">
        <v>1496</v>
      </c>
      <c r="G792" s="326">
        <v>524</v>
      </c>
      <c r="H792" s="326">
        <v>146</v>
      </c>
      <c r="I792" s="326">
        <v>139</v>
      </c>
      <c r="J792" s="326">
        <v>132</v>
      </c>
      <c r="K792" s="326">
        <v>127</v>
      </c>
      <c r="L792" s="326">
        <v>119</v>
      </c>
      <c r="M792" s="326">
        <v>114</v>
      </c>
      <c r="N792" s="326">
        <v>110</v>
      </c>
      <c r="O792" s="326">
        <v>107</v>
      </c>
      <c r="P792" s="326">
        <v>103</v>
      </c>
      <c r="Q792" s="326">
        <v>98</v>
      </c>
      <c r="R792" s="326">
        <v>132.80000000000001</v>
      </c>
      <c r="S792" s="9">
        <v>1.5246144253840504E-9</v>
      </c>
      <c r="T792" s="9">
        <f t="shared" si="12"/>
        <v>2.0246879569100192E-7</v>
      </c>
      <c r="U792" s="325" t="s">
        <v>1133</v>
      </c>
    </row>
    <row r="793" spans="1:21" ht="12" customHeight="1">
      <c r="A793" s="329">
        <v>6</v>
      </c>
      <c r="B793" s="159" t="s">
        <v>316</v>
      </c>
      <c r="C793" s="68" t="s">
        <v>95</v>
      </c>
      <c r="D793" s="68" t="s">
        <v>308</v>
      </c>
      <c r="E793" s="330">
        <v>3</v>
      </c>
      <c r="F793" s="326">
        <v>972</v>
      </c>
      <c r="G793" s="326">
        <v>526</v>
      </c>
      <c r="H793" s="326">
        <v>215</v>
      </c>
      <c r="I793" s="326">
        <v>202</v>
      </c>
      <c r="J793" s="326">
        <v>191</v>
      </c>
      <c r="K793" s="326">
        <v>181</v>
      </c>
      <c r="L793" s="326">
        <v>174</v>
      </c>
      <c r="M793" s="326">
        <v>165</v>
      </c>
      <c r="N793" s="326">
        <v>160</v>
      </c>
      <c r="O793" s="326">
        <v>151</v>
      </c>
      <c r="P793" s="326">
        <v>145</v>
      </c>
      <c r="Q793" s="326">
        <v>126</v>
      </c>
      <c r="R793" s="326">
        <v>192.2</v>
      </c>
      <c r="S793" s="9">
        <v>1.5246144253840504E-9</v>
      </c>
      <c r="T793" s="9">
        <f t="shared" si="12"/>
        <v>2.9303089255881445E-7</v>
      </c>
      <c r="U793" s="325" t="s">
        <v>1134</v>
      </c>
    </row>
    <row r="794" spans="1:21" ht="12" customHeight="1">
      <c r="A794" s="329">
        <v>6</v>
      </c>
      <c r="B794" s="159" t="s">
        <v>316</v>
      </c>
      <c r="C794" s="68" t="s">
        <v>95</v>
      </c>
      <c r="D794" s="68" t="s">
        <v>308</v>
      </c>
      <c r="E794" s="330">
        <v>4</v>
      </c>
      <c r="F794" s="326">
        <v>1498</v>
      </c>
      <c r="G794" s="326">
        <v>524</v>
      </c>
      <c r="H794" s="326">
        <v>152</v>
      </c>
      <c r="I794" s="326">
        <v>142</v>
      </c>
      <c r="J794" s="326">
        <v>133</v>
      </c>
      <c r="K794" s="326">
        <v>120</v>
      </c>
      <c r="L794" s="326">
        <v>113</v>
      </c>
      <c r="M794" s="326">
        <v>104</v>
      </c>
      <c r="N794" s="326">
        <v>101</v>
      </c>
      <c r="O794" s="326">
        <v>94</v>
      </c>
      <c r="P794" s="326">
        <v>90</v>
      </c>
      <c r="Q794" s="326">
        <v>84</v>
      </c>
      <c r="R794" s="326">
        <v>134</v>
      </c>
      <c r="S794" s="9">
        <v>1.5246144253840504E-9</v>
      </c>
      <c r="T794" s="9">
        <f t="shared" si="12"/>
        <v>2.0429833300146276E-7</v>
      </c>
      <c r="U794" s="325" t="s">
        <v>1135</v>
      </c>
    </row>
    <row r="795" spans="1:21" ht="12" customHeight="1">
      <c r="A795" s="329">
        <v>6</v>
      </c>
      <c r="B795" s="159" t="s">
        <v>316</v>
      </c>
      <c r="C795" s="68" t="s">
        <v>95</v>
      </c>
      <c r="D795" s="68" t="s">
        <v>308</v>
      </c>
      <c r="E795" s="330">
        <v>5</v>
      </c>
      <c r="F795" s="326">
        <v>1468</v>
      </c>
      <c r="G795" s="326">
        <v>524</v>
      </c>
      <c r="H795" s="326">
        <v>163</v>
      </c>
      <c r="I795" s="326">
        <v>159</v>
      </c>
      <c r="J795" s="326">
        <v>156</v>
      </c>
      <c r="K795" s="326">
        <v>145</v>
      </c>
      <c r="L795" s="326">
        <v>140</v>
      </c>
      <c r="M795" s="326">
        <v>134</v>
      </c>
      <c r="N795" s="326">
        <v>126</v>
      </c>
      <c r="O795" s="326">
        <v>121</v>
      </c>
      <c r="P795" s="326">
        <v>120</v>
      </c>
      <c r="Q795" s="326">
        <v>117</v>
      </c>
      <c r="R795" s="326">
        <v>156.30000000000001</v>
      </c>
      <c r="S795" s="9">
        <v>1.5246144253840504E-9</v>
      </c>
      <c r="T795" s="9">
        <f t="shared" si="12"/>
        <v>2.382972346875271E-7</v>
      </c>
      <c r="U795" s="325" t="s">
        <v>1136</v>
      </c>
    </row>
    <row r="796" spans="1:21" ht="12" customHeight="1">
      <c r="A796" s="329">
        <v>6</v>
      </c>
      <c r="B796" s="159" t="s">
        <v>316</v>
      </c>
      <c r="C796" s="68" t="s">
        <v>95</v>
      </c>
      <c r="D796" s="68" t="s">
        <v>310</v>
      </c>
      <c r="E796" s="330">
        <v>1</v>
      </c>
      <c r="F796" s="326">
        <v>1046</v>
      </c>
      <c r="G796" s="326">
        <v>524</v>
      </c>
      <c r="H796" s="326">
        <v>94</v>
      </c>
      <c r="I796" s="326">
        <v>93</v>
      </c>
      <c r="J796" s="326">
        <v>90</v>
      </c>
      <c r="K796" s="326">
        <v>82</v>
      </c>
      <c r="L796" s="326">
        <v>78</v>
      </c>
      <c r="M796" s="326">
        <v>76</v>
      </c>
      <c r="N796" s="326">
        <v>70</v>
      </c>
      <c r="O796" s="326">
        <v>67</v>
      </c>
      <c r="P796" s="326">
        <v>61</v>
      </c>
      <c r="Q796" s="326">
        <v>58</v>
      </c>
      <c r="R796" s="326">
        <v>90.3</v>
      </c>
      <c r="S796" s="9">
        <v>1.5246007038405004E-9</v>
      </c>
      <c r="T796" s="9">
        <f t="shared" si="12"/>
        <v>1.376714435567972E-7</v>
      </c>
      <c r="U796" s="325" t="s">
        <v>1162</v>
      </c>
    </row>
    <row r="797" spans="1:21" ht="12" customHeight="1">
      <c r="A797" s="329">
        <v>6</v>
      </c>
      <c r="B797" s="159" t="s">
        <v>316</v>
      </c>
      <c r="C797" s="68" t="s">
        <v>95</v>
      </c>
      <c r="D797" s="68" t="s">
        <v>310</v>
      </c>
      <c r="E797" s="330">
        <v>2</v>
      </c>
      <c r="F797" s="326">
        <v>1038</v>
      </c>
      <c r="G797" s="326">
        <v>524</v>
      </c>
      <c r="H797" s="326">
        <v>83</v>
      </c>
      <c r="I797" s="326">
        <v>80</v>
      </c>
      <c r="J797" s="326">
        <v>78</v>
      </c>
      <c r="K797" s="326">
        <v>77</v>
      </c>
      <c r="L797" s="326">
        <v>77</v>
      </c>
      <c r="M797" s="326">
        <v>76</v>
      </c>
      <c r="N797" s="326">
        <v>74</v>
      </c>
      <c r="O797" s="326">
        <v>72</v>
      </c>
      <c r="P797" s="326">
        <v>70</v>
      </c>
      <c r="Q797" s="326">
        <v>68</v>
      </c>
      <c r="R797" s="326">
        <v>78.2</v>
      </c>
      <c r="S797" s="9">
        <v>1.5246007038405004E-9</v>
      </c>
      <c r="T797" s="9">
        <f t="shared" si="12"/>
        <v>1.1922377504032715E-7</v>
      </c>
      <c r="U797" s="325" t="s">
        <v>1163</v>
      </c>
    </row>
    <row r="798" spans="1:21" ht="12" customHeight="1">
      <c r="A798" s="329">
        <v>6</v>
      </c>
      <c r="B798" s="159" t="s">
        <v>316</v>
      </c>
      <c r="C798" s="68" t="s">
        <v>95</v>
      </c>
      <c r="D798" s="68" t="s">
        <v>310</v>
      </c>
      <c r="E798" s="330">
        <v>3</v>
      </c>
      <c r="F798" s="326">
        <v>1028</v>
      </c>
      <c r="G798" s="326">
        <v>525</v>
      </c>
      <c r="H798" s="326">
        <v>60</v>
      </c>
      <c r="I798" s="326">
        <v>56</v>
      </c>
      <c r="J798" s="326">
        <v>55</v>
      </c>
      <c r="K798" s="326">
        <v>55</v>
      </c>
      <c r="L798" s="326">
        <v>53</v>
      </c>
      <c r="M798" s="326">
        <v>52</v>
      </c>
      <c r="N798" s="326">
        <v>51</v>
      </c>
      <c r="O798" s="326">
        <v>49</v>
      </c>
      <c r="P798" s="326">
        <v>48</v>
      </c>
      <c r="Q798" s="326">
        <v>46</v>
      </c>
      <c r="R798" s="326">
        <v>55.1</v>
      </c>
      <c r="S798" s="9">
        <v>1.5246007038405004E-9</v>
      </c>
      <c r="T798" s="9">
        <f t="shared" si="12"/>
        <v>8.4005498781611573E-8</v>
      </c>
      <c r="U798" s="325" t="s">
        <v>1164</v>
      </c>
    </row>
    <row r="799" spans="1:21" ht="12" customHeight="1">
      <c r="A799" s="329">
        <v>6</v>
      </c>
      <c r="B799" s="159" t="s">
        <v>316</v>
      </c>
      <c r="C799" s="68" t="s">
        <v>95</v>
      </c>
      <c r="D799" s="68" t="s">
        <v>310</v>
      </c>
      <c r="E799" s="330">
        <v>4</v>
      </c>
      <c r="F799" s="326">
        <v>1046</v>
      </c>
      <c r="G799" s="326">
        <v>524</v>
      </c>
      <c r="H799" s="326">
        <v>123</v>
      </c>
      <c r="I799" s="326">
        <v>119</v>
      </c>
      <c r="J799" s="326">
        <v>116</v>
      </c>
      <c r="K799" s="326">
        <v>111</v>
      </c>
      <c r="L799" s="326">
        <v>111</v>
      </c>
      <c r="M799" s="326">
        <v>107</v>
      </c>
      <c r="N799" s="326">
        <v>106</v>
      </c>
      <c r="O799" s="326">
        <v>105</v>
      </c>
      <c r="P799" s="326">
        <v>102</v>
      </c>
      <c r="Q799" s="326">
        <v>98</v>
      </c>
      <c r="R799" s="326">
        <v>116.3</v>
      </c>
      <c r="S799" s="9">
        <v>1.5246007038405004E-9</v>
      </c>
      <c r="T799" s="9">
        <f t="shared" si="12"/>
        <v>1.7731106185665019E-7</v>
      </c>
      <c r="U799" s="325" t="s">
        <v>1165</v>
      </c>
    </row>
    <row r="800" spans="1:21" ht="12" customHeight="1">
      <c r="A800" s="329">
        <v>6</v>
      </c>
      <c r="B800" s="159" t="s">
        <v>316</v>
      </c>
      <c r="C800" s="68" t="s">
        <v>95</v>
      </c>
      <c r="D800" s="68" t="s">
        <v>310</v>
      </c>
      <c r="E800" s="330">
        <v>5</v>
      </c>
      <c r="F800" s="326">
        <v>1040</v>
      </c>
      <c r="G800" s="326">
        <v>524</v>
      </c>
      <c r="H800" s="326">
        <v>108</v>
      </c>
      <c r="I800" s="326">
        <v>107</v>
      </c>
      <c r="J800" s="326">
        <v>106</v>
      </c>
      <c r="K800" s="326">
        <v>105</v>
      </c>
      <c r="L800" s="326">
        <v>105</v>
      </c>
      <c r="M800" s="326">
        <v>99</v>
      </c>
      <c r="N800" s="326">
        <v>97</v>
      </c>
      <c r="O800" s="326">
        <v>93</v>
      </c>
      <c r="P800" s="326">
        <v>90</v>
      </c>
      <c r="Q800" s="326">
        <v>84</v>
      </c>
      <c r="R800" s="326">
        <v>106.1</v>
      </c>
      <c r="S800" s="9">
        <v>1.5246007038405004E-9</v>
      </c>
      <c r="T800" s="9">
        <f t="shared" si="12"/>
        <v>1.6176013467747709E-7</v>
      </c>
      <c r="U800" s="325" t="s">
        <v>1166</v>
      </c>
    </row>
    <row r="801" spans="1:21" ht="12" customHeight="1">
      <c r="A801" s="329">
        <v>6</v>
      </c>
      <c r="B801" s="159" t="s">
        <v>316</v>
      </c>
      <c r="C801" s="68" t="s">
        <v>95</v>
      </c>
      <c r="D801" s="68" t="s">
        <v>309</v>
      </c>
      <c r="E801" s="330">
        <v>1</v>
      </c>
      <c r="F801" s="326">
        <v>1018</v>
      </c>
      <c r="G801" s="326">
        <v>524</v>
      </c>
      <c r="H801" s="326">
        <v>27</v>
      </c>
      <c r="I801" s="326">
        <v>27</v>
      </c>
      <c r="J801" s="326">
        <v>27</v>
      </c>
      <c r="K801" s="326">
        <v>26</v>
      </c>
      <c r="L801" s="326">
        <v>23</v>
      </c>
      <c r="M801" s="326">
        <v>23</v>
      </c>
      <c r="N801" s="326">
        <v>20</v>
      </c>
      <c r="O801" s="326">
        <v>20</v>
      </c>
      <c r="P801" s="326">
        <v>19</v>
      </c>
      <c r="Q801" s="326">
        <v>18</v>
      </c>
      <c r="R801" s="326">
        <v>27</v>
      </c>
      <c r="S801" s="9">
        <v>1.5246144253840504E-9</v>
      </c>
      <c r="T801" s="9">
        <f t="shared" si="12"/>
        <v>4.1164589485369364E-8</v>
      </c>
      <c r="U801" s="325" t="s">
        <v>1192</v>
      </c>
    </row>
    <row r="802" spans="1:21" ht="12" customHeight="1">
      <c r="A802" s="329">
        <v>6</v>
      </c>
      <c r="B802" s="159" t="s">
        <v>316</v>
      </c>
      <c r="C802" s="68" t="s">
        <v>95</v>
      </c>
      <c r="D802" s="68" t="s">
        <v>309</v>
      </c>
      <c r="E802" s="330">
        <v>2</v>
      </c>
      <c r="F802" s="326">
        <v>1026</v>
      </c>
      <c r="G802" s="326">
        <v>501</v>
      </c>
      <c r="H802" s="326">
        <v>29</v>
      </c>
      <c r="I802" s="326">
        <v>27</v>
      </c>
      <c r="J802" s="326">
        <v>26</v>
      </c>
      <c r="K802" s="326">
        <v>23</v>
      </c>
      <c r="L802" s="326">
        <v>22</v>
      </c>
      <c r="M802" s="326">
        <v>22</v>
      </c>
      <c r="N802" s="326">
        <v>20</v>
      </c>
      <c r="O802" s="326">
        <v>20</v>
      </c>
      <c r="P802" s="326">
        <v>20</v>
      </c>
      <c r="Q802" s="326">
        <v>19</v>
      </c>
      <c r="R802" s="326">
        <v>26.1</v>
      </c>
      <c r="S802" s="9">
        <v>1.5246144253840504E-9</v>
      </c>
      <c r="T802" s="9">
        <f t="shared" si="12"/>
        <v>3.979243650252372E-8</v>
      </c>
      <c r="U802" s="325" t="s">
        <v>1193</v>
      </c>
    </row>
    <row r="803" spans="1:21" ht="12" customHeight="1">
      <c r="A803" s="329">
        <v>6</v>
      </c>
      <c r="B803" s="159" t="s">
        <v>316</v>
      </c>
      <c r="C803" s="68" t="s">
        <v>95</v>
      </c>
      <c r="D803" s="68" t="s">
        <v>309</v>
      </c>
      <c r="E803" s="330">
        <v>3</v>
      </c>
      <c r="F803" s="326">
        <v>1032</v>
      </c>
      <c r="G803" s="326">
        <v>524</v>
      </c>
      <c r="H803" s="326">
        <v>22</v>
      </c>
      <c r="I803" s="326">
        <v>21</v>
      </c>
      <c r="J803" s="326">
        <v>16</v>
      </c>
      <c r="K803" s="326">
        <v>15</v>
      </c>
      <c r="L803" s="326">
        <v>14</v>
      </c>
      <c r="M803" s="326">
        <v>12</v>
      </c>
      <c r="N803" s="326">
        <v>11</v>
      </c>
      <c r="O803" s="326">
        <v>11</v>
      </c>
      <c r="P803" s="326">
        <v>11</v>
      </c>
      <c r="Q803" s="326">
        <v>10</v>
      </c>
      <c r="R803" s="326">
        <v>16.5</v>
      </c>
      <c r="S803" s="9">
        <v>1.5246144253840504E-9</v>
      </c>
      <c r="T803" s="9">
        <f t="shared" si="12"/>
        <v>2.515613801883683E-8</v>
      </c>
      <c r="U803" s="325" t="s">
        <v>1194</v>
      </c>
    </row>
    <row r="804" spans="1:21" ht="12" customHeight="1">
      <c r="A804" s="329">
        <v>6</v>
      </c>
      <c r="B804" s="159" t="s">
        <v>316</v>
      </c>
      <c r="C804" s="68" t="s">
        <v>95</v>
      </c>
      <c r="D804" s="68" t="s">
        <v>309</v>
      </c>
      <c r="E804" s="330">
        <v>4</v>
      </c>
      <c r="F804" s="326">
        <v>1014</v>
      </c>
      <c r="G804" s="326">
        <v>524</v>
      </c>
      <c r="H804" s="326">
        <v>27</v>
      </c>
      <c r="I804" s="326">
        <v>27</v>
      </c>
      <c r="J804" s="326">
        <v>25</v>
      </c>
      <c r="K804" s="326">
        <v>25</v>
      </c>
      <c r="L804" s="326">
        <v>23</v>
      </c>
      <c r="M804" s="326">
        <v>23</v>
      </c>
      <c r="N804" s="326">
        <v>23</v>
      </c>
      <c r="O804" s="326">
        <v>23</v>
      </c>
      <c r="P804" s="326">
        <v>22</v>
      </c>
      <c r="Q804" s="326">
        <v>21</v>
      </c>
      <c r="R804" s="326">
        <v>25.2</v>
      </c>
      <c r="S804" s="9">
        <v>1.5246144253840504E-9</v>
      </c>
      <c r="T804" s="9">
        <f t="shared" si="12"/>
        <v>3.842028351967807E-8</v>
      </c>
      <c r="U804" s="325" t="s">
        <v>1195</v>
      </c>
    </row>
    <row r="805" spans="1:21" ht="12" customHeight="1">
      <c r="A805" s="329">
        <v>6</v>
      </c>
      <c r="B805" s="159" t="s">
        <v>316</v>
      </c>
      <c r="C805" s="68" t="s">
        <v>95</v>
      </c>
      <c r="D805" s="68" t="s">
        <v>309</v>
      </c>
      <c r="E805" s="330">
        <v>5</v>
      </c>
      <c r="F805" s="326">
        <v>1012</v>
      </c>
      <c r="G805" s="326">
        <v>524</v>
      </c>
      <c r="H805" s="326">
        <v>15</v>
      </c>
      <c r="I805" s="326">
        <v>15</v>
      </c>
      <c r="J805" s="326">
        <v>14</v>
      </c>
      <c r="K805" s="326">
        <v>14</v>
      </c>
      <c r="L805" s="326">
        <v>14</v>
      </c>
      <c r="M805" s="326">
        <v>14</v>
      </c>
      <c r="N805" s="326">
        <v>14</v>
      </c>
      <c r="O805" s="326">
        <v>14</v>
      </c>
      <c r="P805" s="326">
        <v>14</v>
      </c>
      <c r="Q805" s="326">
        <v>13</v>
      </c>
      <c r="R805" s="326">
        <v>14.1</v>
      </c>
      <c r="S805" s="9">
        <v>1.5246144253840504E-9</v>
      </c>
      <c r="T805" s="9">
        <f t="shared" si="12"/>
        <v>2.1497063397915109E-8</v>
      </c>
      <c r="U805" s="325" t="s">
        <v>1196</v>
      </c>
    </row>
    <row r="806" spans="1:21" ht="12" customHeight="1">
      <c r="A806" s="329">
        <v>6</v>
      </c>
      <c r="B806" s="159" t="s">
        <v>316</v>
      </c>
      <c r="C806" s="68" t="s">
        <v>95</v>
      </c>
      <c r="D806" s="68" t="s">
        <v>311</v>
      </c>
      <c r="E806" s="330">
        <v>1</v>
      </c>
      <c r="F806" s="326">
        <v>1036</v>
      </c>
      <c r="G806" s="326">
        <v>525</v>
      </c>
      <c r="H806" s="326">
        <v>77</v>
      </c>
      <c r="I806" s="326">
        <v>73</v>
      </c>
      <c r="J806" s="326">
        <v>70</v>
      </c>
      <c r="K806" s="326">
        <v>70</v>
      </c>
      <c r="L806" s="326">
        <v>68</v>
      </c>
      <c r="M806" s="326">
        <v>66</v>
      </c>
      <c r="N806" s="326">
        <v>66</v>
      </c>
      <c r="O806" s="326">
        <v>66</v>
      </c>
      <c r="P806" s="326">
        <v>63</v>
      </c>
      <c r="Q806" s="326">
        <v>60</v>
      </c>
      <c r="R806" s="326">
        <v>70.3</v>
      </c>
      <c r="S806" s="9">
        <v>4.1164630650000014E-8</v>
      </c>
      <c r="T806" s="9">
        <f t="shared" si="12"/>
        <v>2.893873534695001E-6</v>
      </c>
      <c r="U806" s="325" t="s">
        <v>1222</v>
      </c>
    </row>
    <row r="807" spans="1:21" ht="12" customHeight="1">
      <c r="A807" s="329">
        <v>6</v>
      </c>
      <c r="B807" s="159" t="s">
        <v>316</v>
      </c>
      <c r="C807" s="68" t="s">
        <v>95</v>
      </c>
      <c r="D807" s="68" t="s">
        <v>311</v>
      </c>
      <c r="E807" s="330">
        <v>2</v>
      </c>
      <c r="F807" s="326">
        <v>1036</v>
      </c>
      <c r="G807" s="326">
        <v>526</v>
      </c>
      <c r="H807" s="326">
        <v>123</v>
      </c>
      <c r="I807" s="326">
        <v>122</v>
      </c>
      <c r="J807" s="326">
        <v>121</v>
      </c>
      <c r="K807" s="326">
        <v>121</v>
      </c>
      <c r="L807" s="326">
        <v>119</v>
      </c>
      <c r="M807" s="326">
        <v>119</v>
      </c>
      <c r="N807" s="326">
        <v>119</v>
      </c>
      <c r="O807" s="326">
        <v>119</v>
      </c>
      <c r="P807" s="326">
        <v>116</v>
      </c>
      <c r="Q807" s="326">
        <v>111</v>
      </c>
      <c r="R807" s="326">
        <v>121.1</v>
      </c>
      <c r="S807" s="9">
        <v>4.1164630650000014E-8</v>
      </c>
      <c r="T807" s="9">
        <f t="shared" si="12"/>
        <v>4.9850367717150011E-6</v>
      </c>
      <c r="U807" s="325" t="s">
        <v>1223</v>
      </c>
    </row>
    <row r="808" spans="1:21" ht="12" customHeight="1">
      <c r="A808" s="329">
        <v>6</v>
      </c>
      <c r="B808" s="159" t="s">
        <v>316</v>
      </c>
      <c r="C808" s="68" t="s">
        <v>95</v>
      </c>
      <c r="D808" s="68" t="s">
        <v>311</v>
      </c>
      <c r="E808" s="330">
        <v>3</v>
      </c>
      <c r="F808" s="326">
        <v>1034</v>
      </c>
      <c r="G808" s="326">
        <v>526</v>
      </c>
      <c r="H808" s="326">
        <v>80</v>
      </c>
      <c r="I808" s="326">
        <v>75</v>
      </c>
      <c r="J808" s="326">
        <v>74</v>
      </c>
      <c r="K808" s="326">
        <v>71</v>
      </c>
      <c r="L808" s="326">
        <v>69</v>
      </c>
      <c r="M808" s="326">
        <v>67</v>
      </c>
      <c r="N808" s="326">
        <v>66</v>
      </c>
      <c r="O808" s="326">
        <v>66</v>
      </c>
      <c r="P808" s="326">
        <v>65</v>
      </c>
      <c r="Q808" s="326">
        <v>62</v>
      </c>
      <c r="R808" s="326">
        <v>74.2</v>
      </c>
      <c r="S808" s="9">
        <v>4.1164630650000014E-8</v>
      </c>
      <c r="T808" s="9">
        <f t="shared" si="12"/>
        <v>3.0544155942300012E-6</v>
      </c>
      <c r="U808" s="325" t="s">
        <v>1224</v>
      </c>
    </row>
    <row r="809" spans="1:21" ht="12" customHeight="1">
      <c r="A809" s="329">
        <v>6</v>
      </c>
      <c r="B809" s="159" t="s">
        <v>316</v>
      </c>
      <c r="C809" s="68" t="s">
        <v>95</v>
      </c>
      <c r="D809" s="68" t="s">
        <v>311</v>
      </c>
      <c r="E809" s="330">
        <v>4</v>
      </c>
      <c r="F809" s="326">
        <v>1038</v>
      </c>
      <c r="G809" s="326">
        <v>525</v>
      </c>
      <c r="H809" s="326">
        <v>119</v>
      </c>
      <c r="I809" s="326">
        <v>117</v>
      </c>
      <c r="J809" s="326">
        <v>116</v>
      </c>
      <c r="K809" s="326">
        <v>114</v>
      </c>
      <c r="L809" s="326">
        <v>113</v>
      </c>
      <c r="M809" s="326">
        <v>113</v>
      </c>
      <c r="N809" s="326">
        <v>113</v>
      </c>
      <c r="O809" s="326">
        <v>113</v>
      </c>
      <c r="P809" s="326">
        <v>109</v>
      </c>
      <c r="Q809" s="326">
        <v>106</v>
      </c>
      <c r="R809" s="326">
        <v>116.1</v>
      </c>
      <c r="S809" s="9">
        <v>4.1164630650000014E-8</v>
      </c>
      <c r="T809" s="9">
        <f t="shared" si="12"/>
        <v>4.7792136184650016E-6</v>
      </c>
      <c r="U809" s="325" t="s">
        <v>1225</v>
      </c>
    </row>
    <row r="810" spans="1:21" ht="12" customHeight="1">
      <c r="A810" s="329">
        <v>6</v>
      </c>
      <c r="B810" s="159" t="s">
        <v>316</v>
      </c>
      <c r="C810" s="68" t="s">
        <v>95</v>
      </c>
      <c r="D810" s="68" t="s">
        <v>311</v>
      </c>
      <c r="E810" s="330">
        <v>5</v>
      </c>
      <c r="F810" s="326">
        <v>1034</v>
      </c>
      <c r="G810" s="326">
        <v>524</v>
      </c>
      <c r="H810" s="326">
        <v>82</v>
      </c>
      <c r="I810" s="326">
        <v>81</v>
      </c>
      <c r="J810" s="326">
        <v>78</v>
      </c>
      <c r="K810" s="326">
        <v>73</v>
      </c>
      <c r="L810" s="326">
        <v>73</v>
      </c>
      <c r="M810" s="326">
        <v>71</v>
      </c>
      <c r="N810" s="326">
        <v>70</v>
      </c>
      <c r="O810" s="326">
        <v>70</v>
      </c>
      <c r="P810" s="326">
        <v>69</v>
      </c>
      <c r="Q810" s="326">
        <v>66</v>
      </c>
      <c r="R810" s="326">
        <v>78.3</v>
      </c>
      <c r="S810" s="9">
        <v>4.1164630650000014E-8</v>
      </c>
      <c r="T810" s="9">
        <f t="shared" si="12"/>
        <v>3.223190579895001E-6</v>
      </c>
      <c r="U810" s="325" t="s">
        <v>1226</v>
      </c>
    </row>
    <row r="811" spans="1:21" ht="12" customHeight="1">
      <c r="A811" s="328">
        <v>6</v>
      </c>
      <c r="B811" s="159" t="s">
        <v>316</v>
      </c>
      <c r="C811" s="68" t="s">
        <v>95</v>
      </c>
      <c r="D811" s="68" t="s">
        <v>307</v>
      </c>
      <c r="E811" s="323">
        <v>1</v>
      </c>
      <c r="F811" s="324">
        <v>920</v>
      </c>
      <c r="G811" s="324">
        <v>524</v>
      </c>
      <c r="H811" s="324">
        <v>0</v>
      </c>
      <c r="I811" s="324">
        <v>0</v>
      </c>
      <c r="J811" s="324">
        <v>0</v>
      </c>
      <c r="K811" s="324">
        <v>0</v>
      </c>
      <c r="L811" s="324">
        <v>0</v>
      </c>
      <c r="M811" s="324">
        <v>0</v>
      </c>
      <c r="N811" s="324">
        <v>0</v>
      </c>
      <c r="O811" s="324">
        <v>0</v>
      </c>
      <c r="P811" s="324">
        <v>0</v>
      </c>
      <c r="Q811" s="324">
        <v>0</v>
      </c>
      <c r="R811" s="324">
        <v>0</v>
      </c>
      <c r="S811" s="9">
        <v>0</v>
      </c>
      <c r="T811" s="9">
        <f t="shared" si="12"/>
        <v>0</v>
      </c>
      <c r="U811" s="323" t="s">
        <v>1252</v>
      </c>
    </row>
    <row r="812" spans="1:21" ht="12" customHeight="1">
      <c r="A812" s="328">
        <v>6</v>
      </c>
      <c r="B812" s="159" t="s">
        <v>316</v>
      </c>
      <c r="C812" s="68" t="s">
        <v>95</v>
      </c>
      <c r="D812" s="68" t="s">
        <v>307</v>
      </c>
      <c r="E812" s="323">
        <v>2</v>
      </c>
      <c r="F812" s="324">
        <v>926</v>
      </c>
      <c r="G812" s="324">
        <v>519</v>
      </c>
      <c r="H812" s="324">
        <v>0</v>
      </c>
      <c r="I812" s="324">
        <v>0</v>
      </c>
      <c r="J812" s="324">
        <v>0</v>
      </c>
      <c r="K812" s="324">
        <v>0</v>
      </c>
      <c r="L812" s="324">
        <v>0</v>
      </c>
      <c r="M812" s="324">
        <v>0</v>
      </c>
      <c r="N812" s="324">
        <v>0</v>
      </c>
      <c r="O812" s="324">
        <v>0</v>
      </c>
      <c r="P812" s="324">
        <v>0</v>
      </c>
      <c r="Q812" s="324">
        <v>0</v>
      </c>
      <c r="R812" s="324">
        <v>0</v>
      </c>
      <c r="S812" s="9">
        <v>0</v>
      </c>
      <c r="T812" s="9">
        <f t="shared" si="12"/>
        <v>0</v>
      </c>
      <c r="U812" s="323" t="s">
        <v>1253</v>
      </c>
    </row>
    <row r="813" spans="1:21" ht="12" customHeight="1">
      <c r="A813" s="328">
        <v>6</v>
      </c>
      <c r="B813" s="159" t="s">
        <v>316</v>
      </c>
      <c r="C813" s="68" t="s">
        <v>95</v>
      </c>
      <c r="D813" s="68" t="s">
        <v>307</v>
      </c>
      <c r="E813" s="323">
        <v>3</v>
      </c>
      <c r="F813" s="324">
        <v>886</v>
      </c>
      <c r="G813" s="324">
        <v>524</v>
      </c>
      <c r="H813" s="324">
        <v>0</v>
      </c>
      <c r="I813" s="324">
        <v>0</v>
      </c>
      <c r="J813" s="324">
        <v>0</v>
      </c>
      <c r="K813" s="324">
        <v>0</v>
      </c>
      <c r="L813" s="324">
        <v>0</v>
      </c>
      <c r="M813" s="324">
        <v>0</v>
      </c>
      <c r="N813" s="324">
        <v>0</v>
      </c>
      <c r="O813" s="324">
        <v>0</v>
      </c>
      <c r="P813" s="324">
        <v>0</v>
      </c>
      <c r="Q813" s="324">
        <v>0</v>
      </c>
      <c r="R813" s="324">
        <v>0</v>
      </c>
      <c r="S813" s="9">
        <v>0</v>
      </c>
      <c r="T813" s="9">
        <f t="shared" si="12"/>
        <v>0</v>
      </c>
      <c r="U813" s="323" t="s">
        <v>1254</v>
      </c>
    </row>
    <row r="814" spans="1:21" ht="12" customHeight="1">
      <c r="A814" s="328">
        <v>6</v>
      </c>
      <c r="B814" s="159" t="s">
        <v>316</v>
      </c>
      <c r="C814" s="68" t="s">
        <v>95</v>
      </c>
      <c r="D814" s="68" t="s">
        <v>307</v>
      </c>
      <c r="E814" s="323">
        <v>4</v>
      </c>
      <c r="F814" s="324">
        <v>906</v>
      </c>
      <c r="G814" s="324">
        <v>525</v>
      </c>
      <c r="H814" s="324">
        <v>0</v>
      </c>
      <c r="I814" s="324">
        <v>0</v>
      </c>
      <c r="J814" s="324">
        <v>0</v>
      </c>
      <c r="K814" s="324">
        <v>0</v>
      </c>
      <c r="L814" s="324">
        <v>0</v>
      </c>
      <c r="M814" s="324">
        <v>0</v>
      </c>
      <c r="N814" s="324">
        <v>0</v>
      </c>
      <c r="O814" s="324">
        <v>0</v>
      </c>
      <c r="P814" s="324">
        <v>0</v>
      </c>
      <c r="Q814" s="324">
        <v>0</v>
      </c>
      <c r="R814" s="324">
        <v>0</v>
      </c>
      <c r="S814" s="9">
        <v>0</v>
      </c>
      <c r="T814" s="9">
        <f t="shared" si="12"/>
        <v>0</v>
      </c>
      <c r="U814" s="323" t="s">
        <v>1255</v>
      </c>
    </row>
    <row r="815" spans="1:21" ht="12" customHeight="1">
      <c r="A815" s="328">
        <v>6</v>
      </c>
      <c r="B815" s="159" t="s">
        <v>316</v>
      </c>
      <c r="C815" s="68" t="s">
        <v>95</v>
      </c>
      <c r="D815" s="68" t="s">
        <v>307</v>
      </c>
      <c r="E815" s="323">
        <v>5</v>
      </c>
      <c r="F815" s="324">
        <v>906</v>
      </c>
      <c r="G815" s="324">
        <v>519</v>
      </c>
      <c r="H815" s="324">
        <v>0</v>
      </c>
      <c r="I815" s="324">
        <v>0</v>
      </c>
      <c r="J815" s="324">
        <v>0</v>
      </c>
      <c r="K815" s="324">
        <v>0</v>
      </c>
      <c r="L815" s="324">
        <v>0</v>
      </c>
      <c r="M815" s="324">
        <v>0</v>
      </c>
      <c r="N815" s="324">
        <v>0</v>
      </c>
      <c r="O815" s="324">
        <v>0</v>
      </c>
      <c r="P815" s="324">
        <v>0</v>
      </c>
      <c r="Q815" s="324">
        <v>0</v>
      </c>
      <c r="R815" s="324">
        <v>0</v>
      </c>
      <c r="S815" s="9">
        <v>0</v>
      </c>
      <c r="T815" s="9">
        <f t="shared" si="12"/>
        <v>0</v>
      </c>
      <c r="U815" s="323" t="s">
        <v>1256</v>
      </c>
    </row>
    <row r="816" spans="1:21" ht="12" customHeight="1">
      <c r="A816" s="221"/>
      <c r="I816" s="9"/>
      <c r="J816" s="68"/>
      <c r="K816" s="68"/>
      <c r="L816" s="68"/>
      <c r="M816" s="229"/>
      <c r="N816" s="68"/>
      <c r="O816" s="68"/>
      <c r="P816" s="68"/>
      <c r="Q816" s="68"/>
      <c r="R816" s="68"/>
    </row>
    <row r="817" spans="1:18" ht="12" customHeight="1">
      <c r="A817" s="221"/>
      <c r="I817" s="9"/>
      <c r="J817" s="68"/>
      <c r="K817" s="68"/>
      <c r="L817" s="68"/>
      <c r="M817" s="229"/>
      <c r="N817" s="68"/>
      <c r="O817" s="68"/>
      <c r="P817" s="68"/>
      <c r="Q817" s="68"/>
      <c r="R817" s="68"/>
    </row>
    <row r="818" spans="1:18" ht="12" customHeight="1">
      <c r="A818" s="221"/>
      <c r="I818" s="9"/>
      <c r="J818" s="68"/>
      <c r="K818" s="68"/>
      <c r="L818" s="68"/>
      <c r="M818" s="229"/>
      <c r="N818" s="68"/>
      <c r="O818" s="68"/>
      <c r="P818" s="68"/>
      <c r="Q818" s="68"/>
      <c r="R818" s="68"/>
    </row>
    <row r="819" spans="1:18" ht="12" customHeight="1">
      <c r="A819" s="221"/>
      <c r="I819" s="9"/>
      <c r="J819" s="68"/>
      <c r="K819" s="68"/>
      <c r="L819" s="68"/>
      <c r="M819" s="229"/>
      <c r="N819" s="68"/>
      <c r="O819" s="68"/>
      <c r="P819" s="68"/>
      <c r="Q819" s="68"/>
      <c r="R819" s="68"/>
    </row>
    <row r="820" spans="1:18" ht="12" customHeight="1">
      <c r="A820" s="221"/>
      <c r="I820" s="9"/>
      <c r="J820" s="68"/>
      <c r="K820" s="68"/>
      <c r="L820" s="68"/>
      <c r="M820" s="229"/>
      <c r="N820" s="68"/>
      <c r="O820" s="68"/>
      <c r="P820" s="68"/>
      <c r="Q820" s="68"/>
      <c r="R820" s="68"/>
    </row>
    <row r="821" spans="1:18" ht="12" customHeight="1">
      <c r="A821" s="221"/>
      <c r="I821" s="9"/>
      <c r="J821" s="68"/>
      <c r="K821" s="68"/>
      <c r="L821" s="68"/>
      <c r="M821" s="229"/>
      <c r="N821" s="68"/>
      <c r="O821" s="68"/>
      <c r="P821" s="68"/>
      <c r="Q821" s="68"/>
      <c r="R821" s="68"/>
    </row>
    <row r="822" spans="1:18" ht="12" customHeight="1">
      <c r="A822" s="221"/>
      <c r="I822" s="9"/>
      <c r="J822" s="68"/>
      <c r="K822" s="68"/>
      <c r="L822" s="68"/>
      <c r="M822" s="229"/>
      <c r="N822" s="68"/>
      <c r="O822" s="68"/>
      <c r="P822" s="68"/>
      <c r="Q822" s="68"/>
      <c r="R822" s="68"/>
    </row>
    <row r="823" spans="1:18" ht="12" customHeight="1">
      <c r="A823" s="221"/>
      <c r="I823" s="9"/>
      <c r="J823" s="68"/>
      <c r="K823" s="68"/>
      <c r="L823" s="68"/>
      <c r="M823" s="229"/>
      <c r="N823" s="68"/>
      <c r="O823" s="68"/>
      <c r="P823" s="68"/>
      <c r="Q823" s="68"/>
      <c r="R823" s="68"/>
    </row>
    <row r="824" spans="1:18" ht="12" customHeight="1">
      <c r="A824" s="221"/>
      <c r="I824" s="9"/>
      <c r="J824" s="68"/>
      <c r="K824" s="68"/>
      <c r="L824" s="68"/>
      <c r="M824" s="229"/>
      <c r="N824" s="68"/>
      <c r="O824" s="68"/>
      <c r="P824" s="68"/>
      <c r="Q824" s="68"/>
      <c r="R824" s="68"/>
    </row>
    <row r="825" spans="1:18" ht="12" customHeight="1">
      <c r="A825" s="221"/>
      <c r="I825" s="9"/>
      <c r="J825" s="68"/>
      <c r="K825" s="68"/>
      <c r="L825" s="68"/>
      <c r="M825" s="229"/>
      <c r="N825" s="68"/>
      <c r="O825" s="68"/>
      <c r="P825" s="68"/>
      <c r="Q825" s="68"/>
      <c r="R825" s="68"/>
    </row>
    <row r="826" spans="1:18" ht="12" customHeight="1">
      <c r="A826" s="221"/>
      <c r="I826" s="9"/>
      <c r="J826" s="68"/>
      <c r="K826" s="68"/>
      <c r="L826" s="68"/>
      <c r="M826" s="229"/>
      <c r="N826" s="68"/>
      <c r="O826" s="68"/>
      <c r="P826" s="68"/>
      <c r="Q826" s="68"/>
      <c r="R826" s="68"/>
    </row>
    <row r="827" spans="1:18" ht="12" customHeight="1">
      <c r="A827" s="221"/>
      <c r="I827" s="9"/>
      <c r="J827" s="68"/>
      <c r="K827" s="68"/>
      <c r="L827" s="68"/>
      <c r="M827" s="229"/>
      <c r="N827" s="68"/>
      <c r="O827" s="68"/>
      <c r="P827" s="68"/>
      <c r="Q827" s="68"/>
      <c r="R827" s="68"/>
    </row>
    <row r="828" spans="1:18" ht="12" customHeight="1">
      <c r="A828" s="221"/>
      <c r="I828" s="9"/>
      <c r="J828" s="68"/>
      <c r="K828" s="68"/>
      <c r="L828" s="68"/>
      <c r="M828" s="229"/>
      <c r="N828" s="68"/>
      <c r="O828" s="68"/>
      <c r="P828" s="68"/>
      <c r="Q828" s="68"/>
      <c r="R828" s="68"/>
    </row>
    <row r="829" spans="1:18" ht="12" customHeight="1">
      <c r="A829" s="221"/>
      <c r="I829" s="9"/>
      <c r="J829" s="68"/>
      <c r="K829" s="68"/>
      <c r="L829" s="68"/>
      <c r="M829" s="229"/>
      <c r="N829" s="68"/>
      <c r="O829" s="68"/>
      <c r="P829" s="68"/>
      <c r="Q829" s="68"/>
      <c r="R829" s="68"/>
    </row>
    <row r="830" spans="1:18" ht="12" customHeight="1">
      <c r="A830" s="221"/>
      <c r="I830" s="9"/>
      <c r="J830" s="68"/>
      <c r="K830" s="68"/>
      <c r="L830" s="68"/>
      <c r="M830" s="229"/>
      <c r="N830" s="68"/>
      <c r="O830" s="68"/>
      <c r="P830" s="68"/>
      <c r="Q830" s="68"/>
      <c r="R830" s="68"/>
    </row>
    <row r="831" spans="1:18" ht="12" customHeight="1">
      <c r="A831" s="221"/>
      <c r="I831" s="9"/>
      <c r="J831" s="68"/>
      <c r="K831" s="68"/>
      <c r="L831" s="68"/>
      <c r="M831" s="229"/>
      <c r="N831" s="68"/>
      <c r="O831" s="68"/>
      <c r="P831" s="68"/>
      <c r="Q831" s="68"/>
      <c r="R831" s="68"/>
    </row>
    <row r="832" spans="1:18" ht="12" customHeight="1">
      <c r="A832" s="221"/>
      <c r="I832" s="9"/>
      <c r="J832" s="68"/>
      <c r="K832" s="68"/>
      <c r="L832" s="68"/>
      <c r="M832" s="229"/>
      <c r="N832" s="68"/>
      <c r="O832" s="68"/>
      <c r="P832" s="68"/>
      <c r="Q832" s="68"/>
      <c r="R832" s="68"/>
    </row>
    <row r="833" spans="1:18" ht="12" customHeight="1">
      <c r="A833" s="221"/>
      <c r="I833" s="9"/>
      <c r="J833" s="68"/>
      <c r="K833" s="68"/>
      <c r="L833" s="68"/>
      <c r="M833" s="229"/>
      <c r="N833" s="68"/>
      <c r="O833" s="68"/>
      <c r="P833" s="68"/>
      <c r="Q833" s="68"/>
      <c r="R833" s="68"/>
    </row>
    <row r="834" spans="1:18" ht="12" customHeight="1">
      <c r="A834" s="221"/>
      <c r="I834" s="9"/>
      <c r="J834" s="68"/>
      <c r="K834" s="68"/>
      <c r="L834" s="68"/>
      <c r="M834" s="229"/>
      <c r="N834" s="68"/>
      <c r="O834" s="68"/>
      <c r="P834" s="68"/>
      <c r="Q834" s="68"/>
      <c r="R834" s="68"/>
    </row>
    <row r="835" spans="1:18" ht="12" customHeight="1">
      <c r="A835" s="221"/>
      <c r="I835" s="9"/>
      <c r="J835" s="68"/>
      <c r="K835" s="68"/>
      <c r="L835" s="68"/>
      <c r="M835" s="229"/>
      <c r="N835" s="68"/>
      <c r="O835" s="68"/>
      <c r="P835" s="68"/>
      <c r="Q835" s="68"/>
      <c r="R835" s="68"/>
    </row>
    <row r="836" spans="1:18" ht="12" customHeight="1">
      <c r="A836" s="221"/>
      <c r="I836" s="9"/>
      <c r="J836" s="68"/>
      <c r="K836" s="68"/>
      <c r="L836" s="68"/>
      <c r="M836" s="229"/>
      <c r="N836" s="68"/>
      <c r="O836" s="68"/>
      <c r="P836" s="68"/>
      <c r="Q836" s="68"/>
      <c r="R836" s="68"/>
    </row>
    <row r="837" spans="1:18" ht="12" customHeight="1">
      <c r="A837" s="221"/>
      <c r="I837" s="9"/>
      <c r="J837" s="68"/>
      <c r="K837" s="68"/>
      <c r="L837" s="68"/>
      <c r="M837" s="229"/>
      <c r="N837" s="68"/>
      <c r="O837" s="68"/>
      <c r="P837" s="68"/>
      <c r="Q837" s="68"/>
      <c r="R837" s="68"/>
    </row>
    <row r="838" spans="1:18" ht="12" customHeight="1">
      <c r="A838" s="221"/>
      <c r="I838" s="9"/>
      <c r="J838" s="68"/>
      <c r="K838" s="68"/>
      <c r="L838" s="68"/>
      <c r="M838" s="229"/>
      <c r="N838" s="68"/>
      <c r="O838" s="68"/>
      <c r="P838" s="68"/>
      <c r="Q838" s="68"/>
      <c r="R838" s="68"/>
    </row>
    <row r="839" spans="1:18" ht="12" customHeight="1">
      <c r="A839" s="221"/>
      <c r="I839" s="9"/>
      <c r="J839" s="68"/>
      <c r="K839" s="68"/>
      <c r="L839" s="68"/>
      <c r="M839" s="229"/>
      <c r="N839" s="68"/>
      <c r="O839" s="68"/>
      <c r="P839" s="68"/>
      <c r="Q839" s="68"/>
      <c r="R839" s="68"/>
    </row>
    <row r="840" spans="1:18" ht="12" customHeight="1">
      <c r="A840" s="221"/>
      <c r="I840" s="9"/>
      <c r="J840" s="68"/>
      <c r="K840" s="68"/>
      <c r="L840" s="68"/>
      <c r="M840" s="229"/>
      <c r="N840" s="68"/>
      <c r="O840" s="68"/>
      <c r="P840" s="68"/>
      <c r="Q840" s="68"/>
      <c r="R840" s="68"/>
    </row>
    <row r="841" spans="1:18" ht="12" customHeight="1">
      <c r="A841" s="221"/>
      <c r="I841" s="9"/>
      <c r="J841" s="68"/>
      <c r="K841" s="68"/>
      <c r="L841" s="68"/>
      <c r="M841" s="229"/>
      <c r="N841" s="68"/>
      <c r="O841" s="68"/>
      <c r="P841" s="68"/>
      <c r="Q841" s="68"/>
      <c r="R841" s="68"/>
    </row>
    <row r="842" spans="1:18" ht="12" customHeight="1">
      <c r="A842" s="221"/>
      <c r="I842" s="9"/>
      <c r="J842" s="68"/>
      <c r="K842" s="68"/>
      <c r="L842" s="68"/>
      <c r="M842" s="229"/>
      <c r="N842" s="68"/>
      <c r="O842" s="68"/>
      <c r="P842" s="68"/>
      <c r="Q842" s="68"/>
      <c r="R842" s="68"/>
    </row>
    <row r="843" spans="1:18" ht="12" customHeight="1">
      <c r="A843" s="221"/>
      <c r="I843" s="9"/>
      <c r="J843" s="68"/>
      <c r="K843" s="68"/>
      <c r="L843" s="68"/>
      <c r="M843" s="229"/>
      <c r="N843" s="68"/>
      <c r="O843" s="68"/>
      <c r="P843" s="68"/>
      <c r="Q843" s="68"/>
      <c r="R843" s="68"/>
    </row>
    <row r="844" spans="1:18" ht="12" customHeight="1">
      <c r="A844" s="221"/>
      <c r="I844" s="9"/>
      <c r="J844" s="68"/>
      <c r="K844" s="68"/>
      <c r="L844" s="68"/>
      <c r="M844" s="229"/>
      <c r="N844" s="68"/>
      <c r="O844" s="68"/>
      <c r="P844" s="68"/>
      <c r="Q844" s="68"/>
      <c r="R844" s="68"/>
    </row>
    <row r="845" spans="1:18" ht="12" customHeight="1">
      <c r="A845" s="221"/>
      <c r="I845" s="9"/>
      <c r="J845" s="68"/>
      <c r="K845" s="68"/>
      <c r="L845" s="68"/>
      <c r="M845" s="229"/>
      <c r="N845" s="68"/>
      <c r="O845" s="68"/>
      <c r="P845" s="68"/>
      <c r="Q845" s="68"/>
      <c r="R845" s="68"/>
    </row>
    <row r="846" spans="1:18" ht="12" customHeight="1">
      <c r="A846" s="221"/>
      <c r="I846" s="9"/>
      <c r="J846" s="68"/>
      <c r="K846" s="68"/>
      <c r="L846" s="68"/>
      <c r="M846" s="229"/>
      <c r="N846" s="68"/>
      <c r="O846" s="68"/>
      <c r="P846" s="68"/>
      <c r="Q846" s="68"/>
      <c r="R846" s="68"/>
    </row>
    <row r="847" spans="1:18" ht="12" customHeight="1">
      <c r="A847" s="221"/>
      <c r="I847" s="9"/>
      <c r="J847" s="68"/>
      <c r="K847" s="68"/>
      <c r="L847" s="68"/>
      <c r="M847" s="229"/>
      <c r="N847" s="68"/>
      <c r="O847" s="68"/>
      <c r="P847" s="68"/>
      <c r="Q847" s="68"/>
      <c r="R847" s="68"/>
    </row>
    <row r="848" spans="1:18" ht="12" customHeight="1">
      <c r="A848" s="221"/>
      <c r="I848" s="9"/>
      <c r="J848" s="68"/>
      <c r="K848" s="68"/>
      <c r="L848" s="68"/>
      <c r="M848" s="229"/>
      <c r="N848" s="68"/>
      <c r="O848" s="68"/>
      <c r="P848" s="68"/>
      <c r="Q848" s="68"/>
      <c r="R848" s="68"/>
    </row>
    <row r="849" spans="1:18" ht="12" customHeight="1">
      <c r="A849" s="221"/>
      <c r="I849" s="9"/>
      <c r="J849" s="68"/>
      <c r="K849" s="68"/>
      <c r="L849" s="68"/>
      <c r="M849" s="229"/>
      <c r="N849" s="68"/>
      <c r="O849" s="68"/>
      <c r="P849" s="68"/>
      <c r="Q849" s="68"/>
      <c r="R849" s="68"/>
    </row>
    <row r="850" spans="1:18" ht="12" customHeight="1">
      <c r="A850" s="221"/>
      <c r="I850" s="9"/>
      <c r="J850" s="68"/>
      <c r="K850" s="68"/>
      <c r="L850" s="68"/>
      <c r="M850" s="229"/>
      <c r="N850" s="68"/>
      <c r="O850" s="68"/>
      <c r="P850" s="68"/>
      <c r="Q850" s="68"/>
      <c r="R850" s="68"/>
    </row>
    <row r="851" spans="1:18" ht="12" customHeight="1">
      <c r="A851" s="221"/>
      <c r="I851" s="9"/>
      <c r="J851" s="68"/>
      <c r="K851" s="68"/>
      <c r="L851" s="68"/>
      <c r="M851" s="229"/>
      <c r="N851" s="68"/>
      <c r="O851" s="68"/>
      <c r="P851" s="68"/>
      <c r="Q851" s="68"/>
      <c r="R851" s="68"/>
    </row>
    <row r="852" spans="1:18" ht="12" customHeight="1">
      <c r="A852" s="221"/>
      <c r="I852" s="9"/>
      <c r="J852" s="68"/>
      <c r="K852" s="1"/>
      <c r="L852" s="68"/>
      <c r="M852" s="1"/>
      <c r="N852" s="1"/>
      <c r="O852" s="1"/>
      <c r="P852" s="1"/>
      <c r="Q852" s="1"/>
      <c r="R852" s="1"/>
    </row>
    <row r="853" spans="1:18" ht="12" customHeight="1">
      <c r="A853" s="221"/>
      <c r="I853" s="9"/>
      <c r="J853" s="68"/>
      <c r="K853" s="1"/>
      <c r="L853" s="68"/>
      <c r="M853" s="1"/>
      <c r="N853" s="1"/>
      <c r="O853" s="1"/>
      <c r="P853" s="1"/>
      <c r="Q853" s="1"/>
      <c r="R853" s="1"/>
    </row>
    <row r="854" spans="1:18" ht="12" customHeight="1">
      <c r="A854" s="221"/>
      <c r="I854" s="9"/>
      <c r="J854" s="68"/>
      <c r="K854" s="1"/>
      <c r="L854" s="68"/>
      <c r="M854" s="1"/>
      <c r="N854" s="1"/>
      <c r="O854" s="1"/>
      <c r="P854" s="1"/>
      <c r="Q854" s="1"/>
      <c r="R854" s="1"/>
    </row>
    <row r="855" spans="1:18" ht="12" customHeight="1">
      <c r="A855" s="221"/>
      <c r="I855" s="9"/>
      <c r="J855" s="68"/>
      <c r="K855" s="1"/>
      <c r="L855" s="68"/>
      <c r="M855" s="1"/>
      <c r="N855" s="1"/>
      <c r="O855" s="1"/>
      <c r="P855" s="1"/>
      <c r="Q855" s="1"/>
      <c r="R855" s="1"/>
    </row>
    <row r="856" spans="1:18" ht="12" customHeight="1">
      <c r="A856" s="221"/>
      <c r="I856" s="9"/>
      <c r="J856" s="68"/>
      <c r="K856" s="1"/>
      <c r="L856" s="68"/>
      <c r="M856" s="1"/>
      <c r="N856" s="1"/>
      <c r="O856" s="1"/>
      <c r="P856" s="1"/>
      <c r="Q856" s="1"/>
      <c r="R856" s="1"/>
    </row>
    <row r="857" spans="1:18" ht="12" customHeight="1">
      <c r="A857" s="221"/>
      <c r="I857" s="9"/>
      <c r="J857" s="68"/>
      <c r="K857" s="1"/>
      <c r="L857" s="68"/>
      <c r="M857" s="1"/>
      <c r="N857" s="1"/>
      <c r="O857" s="1"/>
      <c r="P857" s="1"/>
      <c r="Q857" s="1"/>
      <c r="R857" s="1"/>
    </row>
    <row r="858" spans="1:18" ht="12" customHeight="1">
      <c r="A858" s="221"/>
      <c r="I858" s="9"/>
      <c r="J858" s="68"/>
      <c r="K858" s="1"/>
      <c r="L858" s="68"/>
      <c r="M858" s="229"/>
      <c r="N858" s="1"/>
      <c r="O858" s="1"/>
      <c r="P858" s="1"/>
      <c r="Q858" s="1"/>
      <c r="R858" s="1"/>
    </row>
    <row r="859" spans="1:18" ht="12" customHeight="1">
      <c r="A859" s="221"/>
      <c r="I859" s="9"/>
      <c r="J859" s="68"/>
      <c r="K859" s="1"/>
      <c r="L859" s="68"/>
      <c r="M859" s="229"/>
      <c r="N859" s="1"/>
      <c r="O859" s="1"/>
      <c r="P859" s="1"/>
      <c r="Q859" s="1"/>
      <c r="R859" s="1"/>
    </row>
    <row r="860" spans="1:18" ht="12" customHeight="1">
      <c r="A860" s="221"/>
      <c r="I860" s="9"/>
      <c r="J860" s="68"/>
      <c r="K860" s="1"/>
      <c r="L860" s="68"/>
      <c r="M860" s="229"/>
      <c r="N860" s="1"/>
      <c r="O860" s="1"/>
      <c r="P860" s="1"/>
      <c r="Q860" s="1"/>
      <c r="R860" s="1"/>
    </row>
    <row r="861" spans="1:18" ht="12" customHeight="1">
      <c r="A861" s="221"/>
      <c r="I861" s="9"/>
      <c r="J861" s="68"/>
      <c r="K861" s="68"/>
      <c r="L861" s="68"/>
      <c r="M861" s="229"/>
      <c r="N861" s="68"/>
      <c r="O861" s="68"/>
      <c r="P861" s="68"/>
      <c r="Q861" s="68"/>
      <c r="R861" s="68"/>
    </row>
    <row r="862" spans="1:18" ht="12" customHeight="1">
      <c r="A862" s="221"/>
      <c r="I862" s="9"/>
      <c r="J862" s="68"/>
      <c r="K862" s="68"/>
      <c r="L862" s="68"/>
      <c r="M862" s="229"/>
      <c r="N862" s="68"/>
      <c r="O862" s="68"/>
      <c r="P862" s="68"/>
      <c r="Q862" s="68"/>
      <c r="R862" s="68"/>
    </row>
    <row r="863" spans="1:18" ht="12" customHeight="1">
      <c r="A863" s="221"/>
      <c r="I863" s="9"/>
      <c r="J863" s="68"/>
      <c r="K863" s="68"/>
      <c r="L863" s="68"/>
      <c r="M863" s="229"/>
      <c r="N863" s="68"/>
      <c r="O863" s="68"/>
      <c r="P863" s="68"/>
      <c r="Q863" s="68"/>
      <c r="R863" s="68"/>
    </row>
    <row r="864" spans="1:18" ht="12" customHeight="1">
      <c r="A864" s="221"/>
      <c r="I864" s="9"/>
      <c r="J864" s="68"/>
      <c r="K864" s="68"/>
      <c r="L864" s="68"/>
      <c r="M864" s="229"/>
      <c r="N864" s="68"/>
      <c r="O864" s="68"/>
      <c r="P864" s="68"/>
      <c r="Q864" s="68"/>
      <c r="R864" s="68"/>
    </row>
    <row r="865" spans="1:18" ht="12" customHeight="1">
      <c r="A865" s="221"/>
      <c r="I865" s="9"/>
      <c r="J865" s="68"/>
      <c r="K865" s="68"/>
      <c r="L865" s="68"/>
      <c r="M865" s="229"/>
      <c r="N865" s="68"/>
      <c r="O865" s="68"/>
      <c r="P865" s="68"/>
      <c r="Q865" s="68"/>
      <c r="R865" s="68"/>
    </row>
    <row r="866" spans="1:18" ht="12" customHeight="1">
      <c r="A866" s="221"/>
      <c r="I866" s="9"/>
      <c r="J866" s="68"/>
      <c r="K866" s="68"/>
      <c r="L866" s="68"/>
      <c r="M866" s="229"/>
      <c r="N866" s="68"/>
      <c r="O866" s="68"/>
      <c r="P866" s="68"/>
      <c r="Q866" s="68"/>
      <c r="R866" s="68"/>
    </row>
    <row r="867" spans="1:18" ht="12" customHeight="1">
      <c r="A867" s="221"/>
      <c r="I867" s="9"/>
      <c r="J867" s="68"/>
      <c r="K867" s="68"/>
      <c r="L867" s="68"/>
      <c r="M867" s="229"/>
      <c r="N867" s="68"/>
      <c r="O867" s="68"/>
      <c r="P867" s="68"/>
      <c r="Q867" s="68"/>
      <c r="R867" s="68"/>
    </row>
    <row r="868" spans="1:18" ht="12" customHeight="1">
      <c r="A868" s="221"/>
      <c r="I868" s="9"/>
      <c r="J868" s="68"/>
      <c r="K868" s="68"/>
      <c r="L868" s="68"/>
      <c r="M868" s="229"/>
      <c r="N868" s="68"/>
      <c r="O868" s="68"/>
      <c r="P868" s="68"/>
      <c r="Q868" s="68"/>
      <c r="R868" s="68"/>
    </row>
    <row r="869" spans="1:18" ht="12" customHeight="1">
      <c r="A869" s="221"/>
      <c r="I869" s="9"/>
      <c r="J869" s="68"/>
      <c r="K869" s="68"/>
      <c r="L869" s="68"/>
      <c r="M869" s="229"/>
      <c r="N869" s="68"/>
      <c r="O869" s="68"/>
      <c r="P869" s="68"/>
      <c r="Q869" s="68"/>
      <c r="R869" s="68"/>
    </row>
    <row r="870" spans="1:18" ht="12" customHeight="1">
      <c r="A870" s="221"/>
      <c r="I870" s="9"/>
      <c r="J870" s="68"/>
      <c r="K870" s="68"/>
      <c r="L870" s="68"/>
      <c r="M870" s="229"/>
      <c r="N870" s="68"/>
      <c r="O870" s="68"/>
      <c r="P870" s="68"/>
      <c r="Q870" s="68"/>
      <c r="R870" s="68"/>
    </row>
    <row r="871" spans="1:18" ht="12" customHeight="1">
      <c r="A871" s="221"/>
      <c r="I871" s="9"/>
      <c r="J871" s="68"/>
      <c r="K871" s="68"/>
      <c r="L871" s="68"/>
      <c r="M871" s="229"/>
      <c r="N871" s="68"/>
      <c r="O871" s="68"/>
      <c r="P871" s="68"/>
      <c r="Q871" s="68"/>
      <c r="R871" s="68"/>
    </row>
    <row r="872" spans="1:18" ht="12" customHeight="1">
      <c r="A872" s="221"/>
      <c r="I872" s="9"/>
      <c r="J872" s="68"/>
      <c r="K872" s="68"/>
      <c r="L872" s="68"/>
      <c r="M872" s="229"/>
      <c r="N872" s="68"/>
      <c r="O872" s="68"/>
      <c r="P872" s="68"/>
      <c r="Q872" s="68"/>
      <c r="R872" s="68"/>
    </row>
    <row r="873" spans="1:18" ht="12" customHeight="1">
      <c r="A873" s="221"/>
      <c r="I873" s="9"/>
      <c r="J873" s="68"/>
      <c r="K873" s="68"/>
      <c r="L873" s="68"/>
      <c r="M873" s="229"/>
      <c r="N873" s="68"/>
      <c r="O873" s="68"/>
      <c r="P873" s="68"/>
      <c r="Q873" s="68"/>
      <c r="R873" s="68"/>
    </row>
    <row r="874" spans="1:18" ht="12" customHeight="1">
      <c r="A874" s="221"/>
      <c r="I874" s="9"/>
      <c r="J874" s="68"/>
      <c r="K874" s="68"/>
      <c r="L874" s="68"/>
      <c r="M874" s="229"/>
      <c r="N874" s="68"/>
      <c r="O874" s="68"/>
      <c r="P874" s="68"/>
      <c r="Q874" s="68"/>
      <c r="R874" s="68"/>
    </row>
    <row r="875" spans="1:18" ht="12" customHeight="1">
      <c r="A875" s="221"/>
      <c r="I875" s="9"/>
      <c r="J875" s="68"/>
      <c r="K875" s="68"/>
      <c r="L875" s="68"/>
      <c r="M875" s="229"/>
      <c r="N875" s="68"/>
      <c r="O875" s="68"/>
      <c r="P875" s="68"/>
      <c r="Q875" s="68"/>
      <c r="R875" s="68"/>
    </row>
    <row r="876" spans="1:18" ht="12" customHeight="1">
      <c r="A876" s="221"/>
      <c r="I876" s="9"/>
      <c r="J876" s="68"/>
      <c r="K876" s="68"/>
      <c r="L876" s="68"/>
      <c r="M876" s="229"/>
      <c r="N876" s="68"/>
      <c r="O876" s="68"/>
      <c r="P876" s="68"/>
      <c r="Q876" s="68"/>
      <c r="R876" s="68"/>
    </row>
    <row r="877" spans="1:18" ht="12" customHeight="1">
      <c r="A877" s="221"/>
      <c r="I877" s="9"/>
      <c r="J877" s="68"/>
      <c r="K877" s="68"/>
      <c r="L877" s="68"/>
      <c r="M877" s="229"/>
      <c r="N877" s="68"/>
      <c r="O877" s="68"/>
      <c r="P877" s="68"/>
      <c r="Q877" s="68"/>
      <c r="R877" s="68"/>
    </row>
    <row r="878" spans="1:18" ht="12" customHeight="1">
      <c r="A878" s="221"/>
      <c r="I878" s="9"/>
      <c r="J878" s="68"/>
      <c r="K878" s="68"/>
      <c r="L878" s="68"/>
      <c r="M878" s="229"/>
      <c r="N878" s="68"/>
      <c r="O878" s="68"/>
      <c r="P878" s="68"/>
      <c r="Q878" s="68"/>
      <c r="R878" s="68"/>
    </row>
    <row r="879" spans="1:18" ht="12" customHeight="1">
      <c r="A879" s="221"/>
      <c r="I879" s="9"/>
      <c r="J879" s="68"/>
      <c r="K879" s="68"/>
      <c r="L879" s="68"/>
      <c r="M879" s="229"/>
      <c r="N879" s="68"/>
      <c r="O879" s="68"/>
      <c r="P879" s="68"/>
      <c r="Q879" s="68"/>
      <c r="R879" s="68"/>
    </row>
    <row r="880" spans="1:18" ht="12" customHeight="1">
      <c r="A880" s="221"/>
      <c r="I880" s="9"/>
      <c r="J880" s="68"/>
      <c r="K880" s="68"/>
      <c r="L880" s="68"/>
      <c r="M880" s="229"/>
      <c r="N880" s="68"/>
      <c r="O880" s="68"/>
      <c r="P880" s="68"/>
      <c r="Q880" s="68"/>
      <c r="R880" s="68"/>
    </row>
    <row r="881" spans="1:18" ht="12" customHeight="1">
      <c r="A881" s="221"/>
      <c r="I881" s="9"/>
      <c r="J881" s="68"/>
      <c r="K881" s="68"/>
      <c r="L881" s="68"/>
      <c r="M881" s="229"/>
      <c r="N881" s="68"/>
      <c r="O881" s="68"/>
      <c r="P881" s="68"/>
      <c r="Q881" s="68"/>
      <c r="R881" s="68"/>
    </row>
    <row r="882" spans="1:18" ht="12" customHeight="1">
      <c r="A882" s="221"/>
      <c r="I882" s="9"/>
      <c r="J882" s="68"/>
      <c r="K882" s="68"/>
      <c r="L882" s="68"/>
      <c r="M882" s="229"/>
      <c r="N882" s="68"/>
      <c r="O882" s="68"/>
      <c r="P882" s="68"/>
      <c r="Q882" s="68"/>
      <c r="R882" s="68"/>
    </row>
    <row r="883" spans="1:18" ht="12" customHeight="1">
      <c r="A883" s="221"/>
      <c r="I883" s="9"/>
      <c r="J883" s="68"/>
      <c r="K883" s="68"/>
      <c r="L883" s="68"/>
      <c r="M883" s="229"/>
      <c r="N883" s="68"/>
      <c r="O883" s="68"/>
      <c r="P883" s="68"/>
      <c r="Q883" s="68"/>
      <c r="R883" s="68"/>
    </row>
    <row r="884" spans="1:18" ht="12" customHeight="1">
      <c r="A884" s="221"/>
      <c r="I884" s="9"/>
      <c r="J884" s="68"/>
      <c r="K884" s="68"/>
      <c r="L884" s="68"/>
      <c r="M884" s="229"/>
      <c r="N884" s="68"/>
      <c r="O884" s="68"/>
      <c r="P884" s="68"/>
      <c r="Q884" s="68"/>
      <c r="R884" s="68"/>
    </row>
    <row r="885" spans="1:18" ht="12" customHeight="1">
      <c r="A885" s="221"/>
      <c r="I885" s="9"/>
      <c r="J885" s="68"/>
      <c r="K885" s="68"/>
      <c r="L885" s="68"/>
      <c r="M885" s="229"/>
      <c r="N885" s="68"/>
      <c r="O885" s="68"/>
      <c r="P885" s="68"/>
      <c r="Q885" s="68"/>
      <c r="R885" s="68"/>
    </row>
    <row r="886" spans="1:18" ht="12" customHeight="1">
      <c r="A886" s="221"/>
      <c r="I886" s="9"/>
      <c r="J886" s="68"/>
      <c r="K886" s="68"/>
      <c r="L886" s="68"/>
      <c r="M886" s="229"/>
      <c r="N886" s="68"/>
      <c r="O886" s="68"/>
      <c r="P886" s="68"/>
      <c r="Q886" s="68"/>
      <c r="R886" s="68"/>
    </row>
    <row r="887" spans="1:18" ht="12" customHeight="1">
      <c r="A887" s="221"/>
      <c r="I887" s="9"/>
      <c r="J887" s="68"/>
      <c r="K887" s="68"/>
      <c r="L887" s="68"/>
      <c r="M887" s="229"/>
      <c r="N887" s="68"/>
      <c r="O887" s="68"/>
      <c r="P887" s="68"/>
      <c r="Q887" s="68"/>
      <c r="R887" s="68"/>
    </row>
    <row r="888" spans="1:18" ht="12" customHeight="1">
      <c r="A888" s="221"/>
      <c r="I888" s="9"/>
      <c r="J888" s="68"/>
      <c r="K888" s="68"/>
      <c r="L888" s="68"/>
      <c r="M888" s="229"/>
      <c r="N888" s="68"/>
      <c r="O888" s="68"/>
      <c r="P888" s="68"/>
      <c r="Q888" s="68"/>
      <c r="R888" s="68"/>
    </row>
    <row r="889" spans="1:18" ht="12" customHeight="1">
      <c r="A889" s="221"/>
      <c r="I889" s="9"/>
      <c r="J889" s="68"/>
      <c r="K889" s="68"/>
      <c r="L889" s="68"/>
      <c r="M889" s="229"/>
      <c r="N889" s="68"/>
      <c r="O889" s="68"/>
      <c r="P889" s="68"/>
      <c r="Q889" s="68"/>
      <c r="R889" s="68"/>
    </row>
    <row r="890" spans="1:18" ht="12" customHeight="1">
      <c r="A890" s="221"/>
      <c r="I890" s="9"/>
      <c r="J890" s="68"/>
      <c r="K890" s="68"/>
      <c r="L890" s="68"/>
      <c r="M890" s="229"/>
      <c r="N890" s="68"/>
      <c r="O890" s="68"/>
      <c r="P890" s="68"/>
      <c r="Q890" s="68"/>
      <c r="R890" s="68"/>
    </row>
    <row r="891" spans="1:18" ht="12" customHeight="1">
      <c r="A891" s="221"/>
      <c r="I891" s="9"/>
      <c r="J891" s="68"/>
      <c r="K891" s="68"/>
      <c r="L891" s="68"/>
      <c r="M891" s="229"/>
      <c r="N891" s="68"/>
      <c r="O891" s="68"/>
      <c r="P891" s="68"/>
      <c r="Q891" s="68"/>
      <c r="R891" s="68"/>
    </row>
    <row r="892" spans="1:18" ht="12" customHeight="1">
      <c r="A892" s="221"/>
      <c r="I892" s="9"/>
      <c r="J892" s="68"/>
      <c r="K892" s="68"/>
      <c r="L892" s="68"/>
      <c r="M892" s="229"/>
      <c r="N892" s="68"/>
      <c r="O892" s="68"/>
      <c r="P892" s="68"/>
      <c r="Q892" s="68"/>
      <c r="R892" s="68"/>
    </row>
    <row r="893" spans="1:18" ht="12" customHeight="1">
      <c r="A893" s="221"/>
      <c r="I893" s="9"/>
      <c r="J893" s="68"/>
      <c r="K893" s="68"/>
      <c r="L893" s="68"/>
      <c r="M893" s="229"/>
      <c r="N893" s="68"/>
      <c r="O893" s="68"/>
      <c r="P893" s="68"/>
      <c r="Q893" s="68"/>
      <c r="R893" s="68"/>
    </row>
    <row r="894" spans="1:18" ht="12" customHeight="1">
      <c r="A894" s="221"/>
      <c r="I894" s="9"/>
      <c r="J894" s="68"/>
      <c r="K894" s="68"/>
      <c r="L894" s="68"/>
      <c r="M894" s="229"/>
      <c r="N894" s="68"/>
      <c r="O894" s="68"/>
      <c r="P894" s="68"/>
      <c r="Q894" s="68"/>
      <c r="R894" s="68"/>
    </row>
    <row r="895" spans="1:18" ht="12" customHeight="1">
      <c r="A895" s="221"/>
      <c r="I895" s="9"/>
      <c r="J895" s="68"/>
      <c r="K895" s="68"/>
      <c r="L895" s="68"/>
      <c r="M895" s="229"/>
      <c r="N895" s="68"/>
      <c r="O895" s="68"/>
      <c r="P895" s="68"/>
      <c r="Q895" s="68"/>
      <c r="R895" s="68"/>
    </row>
    <row r="896" spans="1:18" ht="12" customHeight="1">
      <c r="A896" s="221"/>
      <c r="I896" s="9"/>
      <c r="J896" s="68"/>
      <c r="K896" s="68"/>
      <c r="L896" s="68"/>
      <c r="M896" s="229"/>
      <c r="N896" s="68"/>
      <c r="O896" s="68"/>
      <c r="P896" s="68"/>
      <c r="Q896" s="68"/>
      <c r="R896" s="68"/>
    </row>
    <row r="897" spans="1:18" ht="12" customHeight="1">
      <c r="A897" s="221"/>
      <c r="I897" s="9"/>
      <c r="J897" s="68"/>
      <c r="K897" s="68"/>
      <c r="L897" s="68"/>
      <c r="M897" s="229"/>
      <c r="N897" s="68"/>
      <c r="O897" s="68"/>
      <c r="P897" s="68"/>
      <c r="Q897" s="68"/>
      <c r="R897" s="68"/>
    </row>
    <row r="898" spans="1:18" ht="12" customHeight="1">
      <c r="A898" s="221"/>
      <c r="I898" s="9"/>
      <c r="J898" s="68"/>
      <c r="K898" s="68"/>
      <c r="L898" s="68"/>
      <c r="M898" s="229"/>
      <c r="N898" s="68"/>
      <c r="O898" s="68"/>
      <c r="P898" s="68"/>
      <c r="Q898" s="68"/>
      <c r="R898" s="68"/>
    </row>
    <row r="899" spans="1:18" ht="12" customHeight="1">
      <c r="A899" s="221"/>
      <c r="I899" s="9"/>
      <c r="J899" s="68"/>
      <c r="K899" s="68"/>
      <c r="L899" s="68"/>
      <c r="M899" s="229"/>
      <c r="N899" s="68"/>
      <c r="O899" s="68"/>
      <c r="P899" s="68"/>
      <c r="Q899" s="68"/>
      <c r="R899" s="68"/>
    </row>
    <row r="900" spans="1:18" ht="12" customHeight="1">
      <c r="A900" s="221"/>
      <c r="I900" s="9"/>
      <c r="J900" s="68"/>
      <c r="K900" s="68"/>
      <c r="L900" s="68"/>
      <c r="M900" s="229"/>
      <c r="N900" s="68"/>
      <c r="O900" s="68"/>
      <c r="P900" s="68"/>
      <c r="Q900" s="68"/>
      <c r="R900" s="68"/>
    </row>
    <row r="901" spans="1:18" ht="12" customHeight="1">
      <c r="A901" s="221"/>
      <c r="I901" s="9"/>
      <c r="J901" s="68"/>
      <c r="K901" s="68"/>
      <c r="L901" s="68"/>
      <c r="M901" s="229"/>
      <c r="N901" s="68"/>
      <c r="O901" s="68"/>
      <c r="P901" s="68"/>
      <c r="Q901" s="68"/>
      <c r="R901" s="68"/>
    </row>
    <row r="902" spans="1:18" ht="12" customHeight="1">
      <c r="A902" s="221"/>
      <c r="I902" s="9"/>
      <c r="J902" s="68"/>
      <c r="K902" s="68"/>
      <c r="L902" s="68"/>
      <c r="M902" s="229"/>
      <c r="N902" s="68"/>
      <c r="O902" s="68"/>
      <c r="P902" s="68"/>
      <c r="Q902" s="68"/>
      <c r="R902" s="68"/>
    </row>
    <row r="903" spans="1:18" ht="12" customHeight="1">
      <c r="A903" s="221"/>
      <c r="I903" s="9"/>
      <c r="J903" s="68"/>
      <c r="K903" s="68"/>
      <c r="L903" s="68"/>
      <c r="M903" s="229"/>
      <c r="N903" s="68"/>
      <c r="O903" s="68"/>
      <c r="P903" s="68"/>
      <c r="Q903" s="68"/>
      <c r="R903" s="68"/>
    </row>
    <row r="904" spans="1:18" ht="12" customHeight="1">
      <c r="A904" s="221"/>
      <c r="I904" s="9"/>
      <c r="J904" s="68"/>
      <c r="K904" s="68"/>
      <c r="L904" s="68"/>
      <c r="M904" s="229"/>
      <c r="N904" s="68"/>
      <c r="O904" s="68"/>
      <c r="P904" s="68"/>
      <c r="Q904" s="68"/>
      <c r="R904" s="68"/>
    </row>
    <row r="905" spans="1:18" ht="12" customHeight="1">
      <c r="A905" s="221"/>
      <c r="I905" s="9"/>
      <c r="J905" s="68"/>
      <c r="K905" s="68"/>
      <c r="L905" s="68"/>
      <c r="M905" s="229"/>
      <c r="N905" s="68"/>
      <c r="O905" s="68"/>
      <c r="P905" s="68"/>
      <c r="Q905" s="68"/>
      <c r="R905" s="68"/>
    </row>
    <row r="906" spans="1:18" ht="12" customHeight="1">
      <c r="A906" s="221"/>
      <c r="I906" s="9"/>
      <c r="J906" s="68"/>
      <c r="K906" s="68"/>
      <c r="L906" s="68"/>
      <c r="M906" s="229"/>
      <c r="N906" s="68"/>
      <c r="O906" s="68"/>
      <c r="P906" s="68"/>
      <c r="Q906" s="68"/>
      <c r="R906" s="68"/>
    </row>
    <row r="907" spans="1:18" ht="12" customHeight="1">
      <c r="A907" s="221"/>
      <c r="I907" s="9"/>
      <c r="J907" s="68"/>
      <c r="K907" s="68"/>
      <c r="L907" s="68"/>
      <c r="M907" s="229"/>
      <c r="N907" s="68"/>
      <c r="O907" s="68"/>
      <c r="P907" s="68"/>
      <c r="Q907" s="68"/>
      <c r="R907" s="68"/>
    </row>
    <row r="908" spans="1:18" ht="12" customHeight="1">
      <c r="A908" s="221"/>
      <c r="I908" s="9"/>
      <c r="J908" s="68"/>
      <c r="K908" s="68"/>
      <c r="L908" s="68"/>
      <c r="M908" s="229"/>
      <c r="N908" s="68"/>
      <c r="O908" s="68"/>
      <c r="P908" s="68"/>
      <c r="Q908" s="68"/>
      <c r="R908" s="68"/>
    </row>
    <row r="909" spans="1:18" ht="12" customHeight="1">
      <c r="A909" s="221"/>
      <c r="I909" s="9"/>
      <c r="J909" s="68"/>
      <c r="K909" s="68"/>
      <c r="L909" s="68"/>
      <c r="M909" s="229"/>
      <c r="N909" s="68"/>
      <c r="O909" s="68"/>
      <c r="P909" s="68"/>
      <c r="Q909" s="68"/>
      <c r="R909" s="68"/>
    </row>
    <row r="910" spans="1:18" ht="12" customHeight="1">
      <c r="A910" s="221"/>
      <c r="I910" s="9"/>
      <c r="J910" s="68"/>
      <c r="K910" s="68"/>
      <c r="L910" s="68"/>
      <c r="M910" s="229"/>
      <c r="N910" s="68"/>
      <c r="O910" s="68"/>
      <c r="P910" s="68"/>
      <c r="Q910" s="68"/>
      <c r="R910" s="68"/>
    </row>
    <row r="911" spans="1:18" ht="12" customHeight="1">
      <c r="A911" s="221"/>
      <c r="I911" s="9"/>
      <c r="J911" s="68"/>
      <c r="K911" s="68"/>
      <c r="L911" s="68"/>
      <c r="M911" s="229"/>
      <c r="N911" s="68"/>
      <c r="O911" s="68"/>
      <c r="P911" s="68"/>
      <c r="Q911" s="68"/>
      <c r="R911" s="68"/>
    </row>
    <row r="912" spans="1:18" ht="12" customHeight="1">
      <c r="A912" s="221"/>
      <c r="I912" s="9"/>
      <c r="J912" s="68"/>
      <c r="K912" s="68"/>
      <c r="L912" s="68"/>
      <c r="M912" s="229"/>
      <c r="N912" s="68"/>
      <c r="O912" s="68"/>
      <c r="P912" s="68"/>
      <c r="Q912" s="68"/>
      <c r="R912" s="68"/>
    </row>
    <row r="913" spans="1:18" ht="12" customHeight="1">
      <c r="A913" s="221"/>
      <c r="I913" s="9"/>
      <c r="J913" s="68"/>
      <c r="K913" s="68"/>
      <c r="L913" s="68"/>
      <c r="M913" s="229"/>
      <c r="N913" s="68"/>
      <c r="O913" s="68"/>
      <c r="P913" s="68"/>
      <c r="Q913" s="68"/>
      <c r="R913" s="68"/>
    </row>
    <row r="914" spans="1:18" ht="12" customHeight="1">
      <c r="A914" s="221"/>
      <c r="I914" s="9"/>
      <c r="J914" s="68"/>
      <c r="K914" s="68"/>
      <c r="L914" s="68"/>
      <c r="M914" s="229"/>
      <c r="N914" s="68"/>
      <c r="O914" s="68"/>
      <c r="P914" s="68"/>
      <c r="Q914" s="68"/>
      <c r="R914" s="68"/>
    </row>
    <row r="915" spans="1:18" ht="12" customHeight="1">
      <c r="A915" s="221"/>
      <c r="I915" s="9"/>
      <c r="J915" s="68"/>
      <c r="K915" s="68"/>
      <c r="L915" s="68"/>
      <c r="M915" s="229"/>
      <c r="N915" s="68"/>
      <c r="O915" s="68"/>
      <c r="P915" s="68"/>
      <c r="Q915" s="68"/>
      <c r="R915" s="68"/>
    </row>
    <row r="916" spans="1:18" ht="12" customHeight="1">
      <c r="A916" s="221"/>
      <c r="I916" s="9"/>
      <c r="J916" s="68"/>
      <c r="K916" s="68"/>
      <c r="L916" s="68"/>
      <c r="M916" s="229"/>
      <c r="N916" s="68"/>
      <c r="O916" s="68"/>
      <c r="P916" s="68"/>
      <c r="Q916" s="68"/>
      <c r="R916" s="68"/>
    </row>
    <row r="917" spans="1:18" ht="12" customHeight="1">
      <c r="A917" s="221"/>
      <c r="I917" s="9"/>
      <c r="J917" s="68"/>
      <c r="K917" s="68"/>
      <c r="L917" s="68"/>
      <c r="M917" s="229"/>
      <c r="N917" s="68"/>
      <c r="O917" s="68"/>
      <c r="P917" s="68"/>
      <c r="Q917" s="68"/>
      <c r="R917" s="68"/>
    </row>
    <row r="918" spans="1:18" ht="12" customHeight="1">
      <c r="A918" s="221"/>
      <c r="I918" s="9"/>
      <c r="J918" s="68"/>
      <c r="K918" s="68"/>
      <c r="L918" s="68"/>
      <c r="M918" s="229"/>
      <c r="N918" s="68"/>
      <c r="O918" s="68"/>
      <c r="P918" s="68"/>
      <c r="Q918" s="68"/>
      <c r="R918" s="68"/>
    </row>
    <row r="919" spans="1:18" ht="12" customHeight="1">
      <c r="A919" s="221"/>
      <c r="I919" s="9"/>
      <c r="J919" s="68"/>
      <c r="K919" s="68"/>
      <c r="L919" s="68"/>
      <c r="M919" s="229"/>
      <c r="N919" s="68"/>
      <c r="O919" s="68"/>
      <c r="P919" s="68"/>
      <c r="Q919" s="68"/>
      <c r="R919" s="68"/>
    </row>
    <row r="920" spans="1:18" ht="12" customHeight="1">
      <c r="A920" s="221"/>
      <c r="I920" s="9"/>
      <c r="J920" s="68"/>
      <c r="K920" s="68"/>
      <c r="L920" s="68"/>
      <c r="M920" s="229"/>
      <c r="N920" s="68"/>
      <c r="O920" s="68"/>
      <c r="P920" s="68"/>
      <c r="Q920" s="68"/>
      <c r="R920" s="68"/>
    </row>
    <row r="921" spans="1:18" ht="12" customHeight="1">
      <c r="A921" s="221"/>
      <c r="I921" s="9"/>
      <c r="J921" s="68"/>
      <c r="K921" s="68"/>
      <c r="L921" s="68"/>
      <c r="M921" s="229"/>
      <c r="N921" s="68"/>
      <c r="O921" s="68"/>
      <c r="P921" s="68"/>
      <c r="Q921" s="68"/>
      <c r="R921" s="68"/>
    </row>
    <row r="922" spans="1:18" ht="12" customHeight="1">
      <c r="A922" s="221"/>
      <c r="I922" s="9"/>
      <c r="J922" s="68"/>
      <c r="K922" s="68"/>
      <c r="L922" s="68"/>
      <c r="M922" s="229"/>
      <c r="N922" s="68"/>
      <c r="O922" s="68"/>
      <c r="P922" s="68"/>
      <c r="Q922" s="68"/>
      <c r="R922" s="68"/>
    </row>
    <row r="923" spans="1:18" ht="12" customHeight="1">
      <c r="A923" s="221"/>
      <c r="I923" s="9"/>
      <c r="J923" s="68"/>
      <c r="K923" s="68"/>
      <c r="L923" s="68"/>
      <c r="M923" s="229"/>
      <c r="N923" s="68"/>
      <c r="O923" s="68"/>
      <c r="P923" s="68"/>
      <c r="Q923" s="68"/>
      <c r="R923" s="68"/>
    </row>
    <row r="924" spans="1:18" ht="12" customHeight="1">
      <c r="A924" s="221"/>
      <c r="I924" s="9"/>
      <c r="J924" s="68"/>
      <c r="K924" s="68"/>
      <c r="L924" s="68"/>
      <c r="M924" s="229"/>
      <c r="N924" s="68"/>
      <c r="O924" s="68"/>
      <c r="P924" s="68"/>
      <c r="Q924" s="68"/>
      <c r="R924" s="68"/>
    </row>
    <row r="925" spans="1:18" ht="12" customHeight="1">
      <c r="A925" s="221"/>
      <c r="I925" s="9"/>
      <c r="J925" s="68"/>
      <c r="K925" s="68"/>
      <c r="L925" s="68"/>
      <c r="M925" s="229"/>
      <c r="N925" s="68"/>
      <c r="O925" s="68"/>
      <c r="P925" s="68"/>
      <c r="Q925" s="68"/>
      <c r="R925" s="68"/>
    </row>
    <row r="926" spans="1:18" ht="12" customHeight="1">
      <c r="A926" s="221"/>
      <c r="I926" s="9"/>
      <c r="J926" s="68"/>
      <c r="K926" s="68"/>
      <c r="L926" s="68"/>
      <c r="M926" s="229"/>
      <c r="N926" s="68"/>
      <c r="O926" s="68"/>
      <c r="P926" s="68"/>
      <c r="Q926" s="68"/>
      <c r="R926" s="68"/>
    </row>
    <row r="927" spans="1:18" ht="12" customHeight="1">
      <c r="A927" s="221"/>
      <c r="I927" s="9"/>
      <c r="J927" s="68"/>
      <c r="K927" s="68"/>
      <c r="L927" s="68"/>
      <c r="M927" s="229"/>
      <c r="N927" s="68"/>
      <c r="O927" s="68"/>
      <c r="P927" s="68"/>
      <c r="Q927" s="68"/>
      <c r="R927" s="68"/>
    </row>
    <row r="928" spans="1:18" ht="12" customHeight="1">
      <c r="A928" s="221"/>
      <c r="I928" s="9"/>
      <c r="J928" s="68"/>
      <c r="K928" s="68"/>
      <c r="L928" s="68"/>
      <c r="M928" s="229"/>
      <c r="N928" s="68"/>
      <c r="O928" s="68"/>
      <c r="P928" s="68"/>
      <c r="Q928" s="68"/>
      <c r="R928" s="68"/>
    </row>
    <row r="929" spans="1:18" ht="12" customHeight="1">
      <c r="A929" s="221"/>
      <c r="I929" s="9"/>
      <c r="J929" s="68"/>
      <c r="K929" s="68"/>
      <c r="L929" s="68"/>
      <c r="M929" s="229"/>
      <c r="N929" s="68"/>
      <c r="O929" s="68"/>
      <c r="P929" s="68"/>
      <c r="Q929" s="68"/>
      <c r="R929" s="68"/>
    </row>
    <row r="930" spans="1:18" ht="12" customHeight="1">
      <c r="A930" s="221"/>
      <c r="I930" s="9"/>
      <c r="J930" s="68"/>
      <c r="K930" s="68"/>
      <c r="L930" s="68"/>
      <c r="M930" s="229"/>
      <c r="N930" s="68"/>
      <c r="O930" s="68"/>
      <c r="P930" s="68"/>
      <c r="Q930" s="68"/>
      <c r="R930" s="68"/>
    </row>
    <row r="931" spans="1:18" ht="12" customHeight="1">
      <c r="A931" s="221"/>
      <c r="I931" s="9"/>
      <c r="J931" s="68"/>
      <c r="K931" s="68"/>
      <c r="L931" s="68"/>
      <c r="M931" s="229"/>
      <c r="N931" s="68"/>
      <c r="O931" s="68"/>
      <c r="P931" s="68"/>
      <c r="Q931" s="68"/>
      <c r="R931" s="68"/>
    </row>
    <row r="932" spans="1:18" ht="12" customHeight="1">
      <c r="A932" s="221"/>
      <c r="I932" s="9"/>
      <c r="J932" s="68"/>
      <c r="K932" s="68"/>
      <c r="L932" s="68"/>
      <c r="M932" s="229"/>
      <c r="N932" s="68"/>
      <c r="O932" s="68"/>
      <c r="P932" s="68"/>
      <c r="Q932" s="68"/>
      <c r="R932" s="68"/>
    </row>
    <row r="933" spans="1:18" ht="12" customHeight="1">
      <c r="A933" s="221"/>
      <c r="I933" s="9"/>
      <c r="J933" s="68"/>
      <c r="K933" s="68"/>
      <c r="L933" s="68"/>
      <c r="M933" s="229"/>
      <c r="N933" s="68"/>
      <c r="O933" s="68"/>
      <c r="P933" s="68"/>
      <c r="Q933" s="68"/>
      <c r="R933" s="68"/>
    </row>
    <row r="934" spans="1:18" ht="12" customHeight="1">
      <c r="A934" s="221"/>
      <c r="I934" s="9"/>
      <c r="J934" s="68"/>
      <c r="K934" s="68"/>
      <c r="L934" s="68"/>
      <c r="M934" s="229"/>
      <c r="N934" s="68"/>
      <c r="O934" s="68"/>
      <c r="P934" s="68"/>
      <c r="Q934" s="68"/>
      <c r="R934" s="68"/>
    </row>
    <row r="935" spans="1:18" ht="12" customHeight="1">
      <c r="A935" s="221"/>
      <c r="I935" s="9"/>
      <c r="J935" s="68"/>
      <c r="K935" s="68"/>
      <c r="L935" s="68"/>
      <c r="M935" s="229"/>
      <c r="N935" s="68"/>
      <c r="O935" s="68"/>
      <c r="P935" s="68"/>
      <c r="Q935" s="68"/>
      <c r="R935" s="68"/>
    </row>
    <row r="936" spans="1:18" ht="12" customHeight="1">
      <c r="A936" s="221"/>
      <c r="I936" s="9"/>
      <c r="J936" s="68"/>
      <c r="K936" s="68"/>
      <c r="L936" s="68"/>
      <c r="M936" s="229"/>
      <c r="N936" s="68"/>
      <c r="O936" s="68"/>
      <c r="P936" s="68"/>
      <c r="Q936" s="68"/>
      <c r="R936" s="68"/>
    </row>
    <row r="937" spans="1:18" ht="12" customHeight="1">
      <c r="A937" s="221"/>
      <c r="I937" s="9"/>
      <c r="J937" s="68"/>
      <c r="K937" s="68"/>
      <c r="L937" s="68"/>
      <c r="M937" s="229"/>
      <c r="N937" s="68"/>
      <c r="O937" s="68"/>
      <c r="P937" s="68"/>
      <c r="Q937" s="68"/>
      <c r="R937" s="68"/>
    </row>
    <row r="938" spans="1:18" ht="12" customHeight="1">
      <c r="A938" s="221"/>
      <c r="I938" s="9"/>
      <c r="J938" s="68"/>
      <c r="K938" s="68"/>
      <c r="L938" s="68"/>
      <c r="M938" s="229"/>
      <c r="N938" s="68"/>
      <c r="O938" s="68"/>
      <c r="P938" s="68"/>
      <c r="Q938" s="68"/>
      <c r="R938" s="68"/>
    </row>
    <row r="939" spans="1:18" ht="12" customHeight="1">
      <c r="A939" s="221"/>
      <c r="I939" s="9"/>
      <c r="J939" s="68"/>
      <c r="K939" s="68"/>
      <c r="L939" s="68"/>
      <c r="M939" s="229"/>
      <c r="N939" s="68"/>
      <c r="O939" s="68"/>
      <c r="P939" s="68"/>
      <c r="Q939" s="68"/>
      <c r="R939" s="68"/>
    </row>
    <row r="940" spans="1:18" ht="12" customHeight="1">
      <c r="A940" s="221"/>
      <c r="I940" s="9"/>
      <c r="J940" s="68"/>
      <c r="K940" s="68"/>
      <c r="L940" s="68"/>
      <c r="M940" s="229"/>
      <c r="N940" s="68"/>
      <c r="O940" s="68"/>
      <c r="P940" s="68"/>
      <c r="Q940" s="68"/>
      <c r="R940" s="68"/>
    </row>
    <row r="941" spans="1:18" ht="12" customHeight="1">
      <c r="A941" s="221"/>
      <c r="I941" s="9"/>
      <c r="J941" s="68"/>
      <c r="K941" s="68"/>
      <c r="L941" s="68"/>
      <c r="M941" s="229"/>
      <c r="N941" s="68"/>
      <c r="O941" s="68"/>
      <c r="P941" s="68"/>
      <c r="Q941" s="68"/>
      <c r="R941" s="68"/>
    </row>
    <row r="942" spans="1:18" ht="12" customHeight="1">
      <c r="A942" s="221"/>
      <c r="I942" s="9"/>
      <c r="J942" s="68"/>
      <c r="K942" s="68"/>
      <c r="L942" s="68"/>
      <c r="M942" s="229"/>
      <c r="N942" s="68"/>
      <c r="O942" s="68"/>
      <c r="P942" s="68"/>
      <c r="Q942" s="68"/>
      <c r="R942" s="68"/>
    </row>
    <row r="943" spans="1:18" ht="12" customHeight="1">
      <c r="A943" s="221"/>
      <c r="I943" s="9"/>
      <c r="J943" s="68"/>
      <c r="K943" s="68"/>
      <c r="L943" s="68"/>
      <c r="M943" s="229"/>
      <c r="N943" s="68"/>
      <c r="O943" s="68"/>
      <c r="P943" s="68"/>
      <c r="Q943" s="68"/>
      <c r="R943" s="68"/>
    </row>
    <row r="944" spans="1:18" ht="12" customHeight="1">
      <c r="A944" s="221"/>
      <c r="I944" s="9"/>
      <c r="J944" s="68"/>
      <c r="K944" s="68"/>
      <c r="L944" s="68"/>
      <c r="M944" s="229"/>
      <c r="N944" s="68"/>
      <c r="O944" s="68"/>
      <c r="P944" s="68"/>
      <c r="Q944" s="68"/>
      <c r="R944" s="68"/>
    </row>
    <row r="945" spans="1:18" ht="12" customHeight="1">
      <c r="A945" s="221"/>
      <c r="I945" s="9"/>
      <c r="J945" s="68"/>
      <c r="K945" s="68"/>
      <c r="L945" s="68"/>
      <c r="M945" s="229"/>
      <c r="N945" s="68"/>
      <c r="O945" s="68"/>
      <c r="P945" s="68"/>
      <c r="Q945" s="68"/>
      <c r="R945" s="68"/>
    </row>
    <row r="946" spans="1:18" ht="12" customHeight="1">
      <c r="A946" s="221"/>
      <c r="I946" s="9"/>
      <c r="J946" s="68"/>
      <c r="K946" s="68"/>
      <c r="L946" s="68"/>
      <c r="M946" s="229"/>
      <c r="N946" s="68"/>
      <c r="O946" s="68"/>
      <c r="P946" s="68"/>
      <c r="Q946" s="68"/>
      <c r="R946" s="68"/>
    </row>
    <row r="947" spans="1:18" ht="12" customHeight="1">
      <c r="A947" s="221"/>
      <c r="I947" s="9"/>
      <c r="J947" s="68"/>
      <c r="K947" s="68"/>
      <c r="L947" s="68"/>
      <c r="M947" s="229"/>
      <c r="N947" s="68"/>
      <c r="O947" s="68"/>
      <c r="P947" s="68"/>
      <c r="Q947" s="68"/>
      <c r="R947" s="68"/>
    </row>
    <row r="948" spans="1:18" ht="12" customHeight="1">
      <c r="A948" s="221"/>
      <c r="I948" s="9"/>
      <c r="J948" s="68"/>
      <c r="K948" s="68"/>
      <c r="L948" s="68"/>
      <c r="M948" s="229"/>
      <c r="N948" s="68"/>
      <c r="O948" s="68"/>
      <c r="P948" s="68"/>
      <c r="Q948" s="68"/>
      <c r="R948" s="68"/>
    </row>
    <row r="949" spans="1:18" ht="12" customHeight="1">
      <c r="A949" s="221"/>
      <c r="I949" s="9"/>
      <c r="J949" s="68"/>
      <c r="K949" s="68"/>
      <c r="L949" s="68"/>
      <c r="M949" s="229"/>
      <c r="N949" s="68"/>
      <c r="O949" s="68"/>
      <c r="P949" s="68"/>
      <c r="Q949" s="68"/>
      <c r="R949" s="68"/>
    </row>
    <row r="950" spans="1:18" ht="12" customHeight="1">
      <c r="A950" s="221"/>
      <c r="I950" s="9"/>
      <c r="J950" s="68"/>
      <c r="K950" s="68"/>
      <c r="L950" s="68"/>
      <c r="M950" s="229"/>
      <c r="N950" s="68"/>
      <c r="O950" s="68"/>
      <c r="P950" s="68"/>
      <c r="Q950" s="68"/>
      <c r="R950" s="68"/>
    </row>
    <row r="951" spans="1:18" ht="12" customHeight="1">
      <c r="A951" s="221"/>
      <c r="I951" s="9"/>
      <c r="J951" s="68"/>
      <c r="K951" s="68"/>
      <c r="L951" s="68"/>
      <c r="M951" s="229"/>
      <c r="N951" s="68"/>
      <c r="O951" s="68"/>
      <c r="P951" s="68"/>
      <c r="Q951" s="68"/>
      <c r="R951" s="68"/>
    </row>
    <row r="952" spans="1:18" ht="12" customHeight="1">
      <c r="A952" s="221"/>
      <c r="I952" s="9"/>
      <c r="J952" s="68"/>
      <c r="K952" s="68"/>
      <c r="L952" s="68"/>
      <c r="M952" s="229"/>
      <c r="N952" s="68"/>
      <c r="O952" s="68"/>
      <c r="P952" s="68"/>
      <c r="Q952" s="68"/>
      <c r="R952" s="68"/>
    </row>
    <row r="953" spans="1:18" ht="12" customHeight="1">
      <c r="A953" s="221"/>
      <c r="I953" s="9"/>
      <c r="J953" s="68"/>
      <c r="K953" s="68"/>
      <c r="L953" s="68"/>
      <c r="M953" s="229"/>
      <c r="N953" s="68"/>
      <c r="O953" s="68"/>
      <c r="P953" s="68"/>
      <c r="Q953" s="68"/>
      <c r="R953" s="68"/>
    </row>
    <row r="954" spans="1:18" ht="12" customHeight="1">
      <c r="A954" s="221"/>
      <c r="I954" s="9"/>
      <c r="J954" s="68"/>
      <c r="K954" s="68"/>
      <c r="L954" s="68"/>
      <c r="M954" s="229"/>
      <c r="N954" s="68"/>
      <c r="O954" s="68"/>
      <c r="P954" s="68"/>
      <c r="Q954" s="68"/>
      <c r="R954" s="68"/>
    </row>
    <row r="955" spans="1:18" ht="12" customHeight="1">
      <c r="A955" s="221"/>
      <c r="I955" s="9"/>
      <c r="J955" s="68"/>
      <c r="K955" s="68"/>
      <c r="L955" s="68"/>
      <c r="M955" s="229"/>
      <c r="N955" s="68"/>
      <c r="O955" s="68"/>
      <c r="P955" s="68"/>
      <c r="Q955" s="68"/>
      <c r="R955" s="68"/>
    </row>
    <row r="956" spans="1:18" ht="12" customHeight="1">
      <c r="A956" s="221"/>
      <c r="I956" s="9"/>
      <c r="J956" s="68"/>
      <c r="K956" s="68"/>
      <c r="L956" s="68"/>
      <c r="M956" s="229"/>
      <c r="N956" s="68"/>
      <c r="O956" s="68"/>
      <c r="P956" s="68"/>
      <c r="Q956" s="68"/>
      <c r="R956" s="68"/>
    </row>
    <row r="957" spans="1:18" ht="12" customHeight="1">
      <c r="A957" s="221"/>
      <c r="I957" s="9"/>
      <c r="J957" s="68"/>
      <c r="K957" s="68"/>
      <c r="L957" s="68"/>
      <c r="M957" s="229"/>
      <c r="N957" s="68"/>
      <c r="O957" s="68"/>
      <c r="P957" s="68"/>
      <c r="Q957" s="68"/>
      <c r="R957" s="68"/>
    </row>
    <row r="958" spans="1:18" ht="12" customHeight="1">
      <c r="A958" s="221"/>
      <c r="I958" s="9"/>
      <c r="J958" s="68"/>
      <c r="K958" s="68"/>
      <c r="L958" s="68"/>
      <c r="M958" s="229"/>
      <c r="N958" s="68"/>
      <c r="O958" s="68"/>
      <c r="P958" s="68"/>
      <c r="Q958" s="68"/>
      <c r="R958" s="68"/>
    </row>
    <row r="959" spans="1:18" ht="12" customHeight="1">
      <c r="A959" s="221"/>
      <c r="I959" s="9"/>
      <c r="J959" s="68"/>
      <c r="K959" s="68"/>
      <c r="L959" s="68"/>
      <c r="M959" s="229"/>
      <c r="N959" s="68"/>
      <c r="O959" s="68"/>
      <c r="P959" s="68"/>
      <c r="Q959" s="68"/>
      <c r="R959" s="68"/>
    </row>
    <row r="960" spans="1:18" ht="12" customHeight="1">
      <c r="A960" s="221"/>
      <c r="I960" s="9"/>
      <c r="J960" s="68"/>
      <c r="K960" s="68"/>
      <c r="L960" s="68"/>
      <c r="M960" s="229"/>
      <c r="N960" s="68"/>
      <c r="O960" s="68"/>
      <c r="P960" s="68"/>
      <c r="Q960" s="68"/>
      <c r="R960" s="68"/>
    </row>
    <row r="961" spans="1:18" ht="12" customHeight="1">
      <c r="A961" s="221"/>
      <c r="I961" s="9"/>
      <c r="J961" s="68"/>
      <c r="K961" s="68"/>
      <c r="L961" s="68"/>
      <c r="M961" s="229"/>
      <c r="N961" s="68"/>
      <c r="O961" s="68"/>
      <c r="P961" s="68"/>
      <c r="Q961" s="68"/>
      <c r="R961" s="68"/>
    </row>
    <row r="962" spans="1:18" ht="12" customHeight="1">
      <c r="A962" s="221"/>
      <c r="I962" s="9"/>
      <c r="J962" s="68"/>
      <c r="K962" s="68"/>
      <c r="L962" s="68"/>
      <c r="M962" s="229"/>
      <c r="N962" s="68"/>
      <c r="O962" s="68"/>
      <c r="P962" s="68"/>
      <c r="Q962" s="68"/>
      <c r="R962" s="68"/>
    </row>
    <row r="963" spans="1:18" ht="12" customHeight="1">
      <c r="A963" s="221"/>
      <c r="I963" s="9"/>
      <c r="J963" s="68"/>
      <c r="K963" s="68"/>
      <c r="L963" s="68"/>
      <c r="M963" s="229"/>
      <c r="N963" s="68"/>
      <c r="O963" s="68"/>
      <c r="P963" s="68"/>
      <c r="Q963" s="68"/>
      <c r="R963" s="68"/>
    </row>
    <row r="964" spans="1:18" ht="12" customHeight="1">
      <c r="A964" s="221"/>
      <c r="I964" s="9"/>
      <c r="J964" s="68"/>
      <c r="K964" s="68"/>
      <c r="L964" s="68"/>
      <c r="M964" s="229"/>
      <c r="N964" s="68"/>
      <c r="O964" s="68"/>
      <c r="P964" s="68"/>
      <c r="Q964" s="68"/>
      <c r="R964" s="68"/>
    </row>
    <row r="965" spans="1:18" ht="12" customHeight="1">
      <c r="A965" s="221"/>
      <c r="I965" s="9"/>
      <c r="J965" s="68"/>
      <c r="K965" s="68"/>
      <c r="L965" s="68"/>
      <c r="M965" s="229"/>
      <c r="N965" s="68"/>
      <c r="O965" s="68"/>
      <c r="P965" s="68"/>
      <c r="Q965" s="68"/>
      <c r="R965" s="68"/>
    </row>
    <row r="966" spans="1:18" ht="12" customHeight="1">
      <c r="A966" s="221"/>
      <c r="I966" s="9"/>
      <c r="J966" s="68"/>
      <c r="K966" s="68"/>
      <c r="L966" s="68"/>
      <c r="M966" s="229"/>
      <c r="N966" s="68"/>
      <c r="O966" s="68"/>
      <c r="P966" s="68"/>
      <c r="Q966" s="68"/>
      <c r="R966" s="68"/>
    </row>
    <row r="967" spans="1:18" ht="12" customHeight="1">
      <c r="A967" s="221"/>
      <c r="I967" s="9"/>
      <c r="J967" s="68"/>
      <c r="K967" s="68"/>
      <c r="L967" s="68"/>
      <c r="M967" s="229"/>
      <c r="N967" s="68"/>
      <c r="O967" s="68"/>
      <c r="P967" s="68"/>
      <c r="Q967" s="68"/>
      <c r="R967" s="68"/>
    </row>
    <row r="968" spans="1:18" ht="12" customHeight="1">
      <c r="A968" s="221"/>
      <c r="I968" s="9"/>
      <c r="J968" s="68"/>
      <c r="K968" s="68"/>
      <c r="L968" s="68"/>
      <c r="M968" s="229"/>
      <c r="N968" s="68"/>
      <c r="O968" s="68"/>
      <c r="P968" s="68"/>
      <c r="Q968" s="68"/>
      <c r="R968" s="68"/>
    </row>
    <row r="969" spans="1:18" ht="12" customHeight="1">
      <c r="A969" s="221"/>
      <c r="I969" s="9"/>
      <c r="J969" s="68"/>
      <c r="K969" s="68"/>
      <c r="L969" s="68"/>
      <c r="M969" s="229"/>
      <c r="N969" s="68"/>
      <c r="O969" s="68"/>
      <c r="P969" s="68"/>
      <c r="Q969" s="68"/>
      <c r="R969" s="68"/>
    </row>
    <row r="970" spans="1:18" ht="12" customHeight="1">
      <c r="A970" s="221"/>
      <c r="I970" s="9"/>
      <c r="J970" s="68"/>
      <c r="K970" s="68"/>
      <c r="L970" s="68"/>
      <c r="M970" s="229"/>
      <c r="N970" s="68"/>
      <c r="O970" s="68"/>
      <c r="P970" s="68"/>
      <c r="Q970" s="68"/>
      <c r="R970" s="68"/>
    </row>
    <row r="971" spans="1:18" ht="12" customHeight="1">
      <c r="A971" s="221"/>
      <c r="I971" s="9"/>
      <c r="J971" s="68"/>
      <c r="K971" s="68"/>
      <c r="L971" s="68"/>
      <c r="M971" s="229"/>
      <c r="N971" s="68"/>
      <c r="O971" s="68"/>
      <c r="P971" s="68"/>
      <c r="Q971" s="68"/>
      <c r="R971" s="68"/>
    </row>
    <row r="972" spans="1:18" ht="12" customHeight="1">
      <c r="A972" s="221"/>
      <c r="I972" s="9"/>
      <c r="J972" s="68"/>
      <c r="K972" s="68"/>
      <c r="L972" s="68"/>
      <c r="M972" s="229"/>
      <c r="N972" s="68"/>
      <c r="O972" s="68"/>
      <c r="P972" s="68"/>
      <c r="Q972" s="68"/>
      <c r="R972" s="68"/>
    </row>
    <row r="973" spans="1:18" ht="12" customHeight="1">
      <c r="A973" s="221"/>
      <c r="I973" s="9"/>
      <c r="J973" s="68"/>
      <c r="K973" s="68"/>
      <c r="L973" s="68"/>
      <c r="M973" s="229"/>
      <c r="N973" s="68"/>
      <c r="O973" s="68"/>
      <c r="P973" s="68"/>
      <c r="Q973" s="68"/>
      <c r="R973" s="68"/>
    </row>
    <row r="974" spans="1:18" ht="12" customHeight="1">
      <c r="A974" s="221"/>
      <c r="I974" s="9"/>
      <c r="J974" s="68"/>
      <c r="K974" s="68"/>
      <c r="L974" s="68"/>
      <c r="M974" s="229"/>
      <c r="N974" s="68"/>
      <c r="O974" s="68"/>
      <c r="P974" s="68"/>
      <c r="Q974" s="68"/>
      <c r="R974" s="68"/>
    </row>
    <row r="975" spans="1:18" ht="12" customHeight="1">
      <c r="A975" s="221"/>
      <c r="I975" s="9"/>
      <c r="J975" s="68"/>
      <c r="K975" s="68"/>
      <c r="L975" s="68"/>
      <c r="M975" s="229"/>
      <c r="N975" s="68"/>
      <c r="O975" s="68"/>
      <c r="P975" s="68"/>
      <c r="Q975" s="68"/>
      <c r="R975" s="68"/>
    </row>
    <row r="976" spans="1:18" ht="12" customHeight="1">
      <c r="A976" s="221"/>
      <c r="I976" s="9"/>
      <c r="J976" s="68"/>
      <c r="K976" s="68"/>
      <c r="L976" s="68"/>
      <c r="M976" s="229"/>
      <c r="N976" s="68"/>
      <c r="O976" s="68"/>
      <c r="P976" s="68"/>
      <c r="Q976" s="68"/>
      <c r="R976" s="68"/>
    </row>
    <row r="977" spans="1:18" ht="12" customHeight="1">
      <c r="A977" s="221"/>
      <c r="I977" s="9"/>
      <c r="J977" s="68"/>
      <c r="K977" s="68"/>
      <c r="L977" s="68"/>
      <c r="M977" s="229"/>
      <c r="N977" s="68"/>
      <c r="O977" s="68"/>
      <c r="P977" s="68"/>
      <c r="Q977" s="68"/>
      <c r="R977" s="68"/>
    </row>
    <row r="978" spans="1:18" ht="12" customHeight="1">
      <c r="A978" s="221"/>
      <c r="I978" s="9"/>
      <c r="J978" s="68"/>
      <c r="K978" s="1"/>
      <c r="L978" s="68"/>
      <c r="M978" s="1"/>
      <c r="N978" s="1"/>
      <c r="O978" s="1"/>
      <c r="P978" s="1"/>
      <c r="Q978" s="1"/>
      <c r="R978" s="1"/>
    </row>
    <row r="979" spans="1:18" ht="12" customHeight="1">
      <c r="A979" s="221"/>
      <c r="I979" s="9"/>
      <c r="J979" s="68"/>
      <c r="K979" s="1"/>
      <c r="L979" s="68"/>
      <c r="M979" s="1"/>
      <c r="N979" s="1"/>
      <c r="O979" s="1"/>
      <c r="P979" s="1"/>
      <c r="Q979" s="1"/>
      <c r="R979" s="1"/>
    </row>
    <row r="980" spans="1:18" ht="12" customHeight="1">
      <c r="A980" s="221"/>
      <c r="I980" s="9"/>
      <c r="J980" s="68"/>
      <c r="K980" s="1"/>
      <c r="L980" s="68"/>
      <c r="M980" s="1"/>
      <c r="N980" s="1"/>
      <c r="O980" s="1"/>
      <c r="P980" s="1"/>
      <c r="Q980" s="1"/>
      <c r="R980" s="1"/>
    </row>
    <row r="981" spans="1:18" ht="12" customHeight="1">
      <c r="A981" s="221"/>
      <c r="I981" s="9"/>
      <c r="J981" s="68"/>
      <c r="K981" s="1"/>
      <c r="L981" s="68"/>
      <c r="M981" s="1"/>
      <c r="N981" s="1"/>
      <c r="O981" s="1"/>
      <c r="P981" s="1"/>
      <c r="Q981" s="1"/>
      <c r="R981" s="1"/>
    </row>
    <row r="982" spans="1:18" ht="12" customHeight="1">
      <c r="A982" s="221"/>
      <c r="I982" s="9"/>
      <c r="J982" s="68"/>
      <c r="K982" s="1"/>
      <c r="L982" s="68"/>
      <c r="M982" s="1"/>
      <c r="N982" s="1"/>
      <c r="O982" s="1"/>
      <c r="P982" s="1"/>
      <c r="Q982" s="1"/>
      <c r="R982" s="1"/>
    </row>
    <row r="983" spans="1:18" ht="12" customHeight="1">
      <c r="A983" s="221"/>
      <c r="I983" s="9"/>
      <c r="J983" s="68"/>
      <c r="K983" s="1"/>
      <c r="L983" s="68"/>
      <c r="M983" s="1"/>
      <c r="N983" s="1"/>
      <c r="O983" s="1"/>
      <c r="P983" s="1"/>
      <c r="Q983" s="1"/>
      <c r="R983" s="1"/>
    </row>
    <row r="984" spans="1:18" ht="12" customHeight="1">
      <c r="A984" s="221"/>
      <c r="I984" s="9"/>
      <c r="J984" s="68"/>
      <c r="K984" s="1"/>
      <c r="L984" s="68"/>
      <c r="M984" s="1"/>
      <c r="N984" s="1"/>
      <c r="O984" s="1"/>
      <c r="P984" s="1"/>
      <c r="Q984" s="1"/>
      <c r="R984" s="1"/>
    </row>
    <row r="985" spans="1:18" ht="12" customHeight="1">
      <c r="A985" s="221"/>
      <c r="I985" s="9"/>
      <c r="J985" s="68"/>
      <c r="K985" s="1"/>
      <c r="L985" s="68"/>
      <c r="M985" s="1"/>
      <c r="N985" s="1"/>
      <c r="O985" s="1"/>
      <c r="P985" s="1"/>
      <c r="Q985" s="1"/>
      <c r="R985" s="1"/>
    </row>
    <row r="986" spans="1:18" ht="12" customHeight="1">
      <c r="A986" s="221"/>
      <c r="I986" s="9"/>
      <c r="J986" s="68"/>
      <c r="K986" s="1"/>
      <c r="L986" s="68"/>
      <c r="M986" s="1"/>
      <c r="N986" s="1"/>
      <c r="O986" s="1"/>
      <c r="P986" s="1"/>
      <c r="Q986" s="1"/>
      <c r="R986" s="1"/>
    </row>
    <row r="987" spans="1:18" ht="12" customHeight="1">
      <c r="A987" s="221"/>
      <c r="I987" s="9"/>
      <c r="J987" s="68"/>
      <c r="K987" s="1"/>
      <c r="L987" s="68"/>
      <c r="M987" s="1"/>
      <c r="N987" s="1"/>
      <c r="O987" s="1"/>
      <c r="P987" s="1"/>
      <c r="Q987" s="1"/>
      <c r="R987" s="1"/>
    </row>
    <row r="988" spans="1:18" ht="12" customHeight="1">
      <c r="A988" s="221"/>
      <c r="I988" s="9"/>
      <c r="J988" s="68"/>
      <c r="K988" s="1"/>
      <c r="L988" s="68"/>
      <c r="M988" s="1"/>
      <c r="N988" s="1"/>
      <c r="O988" s="1"/>
      <c r="P988" s="1"/>
      <c r="Q988" s="1"/>
      <c r="R988" s="1"/>
    </row>
    <row r="989" spans="1:18" ht="12" customHeight="1">
      <c r="A989" s="221"/>
      <c r="I989" s="9"/>
      <c r="J989" s="68"/>
      <c r="K989" s="1"/>
      <c r="L989" s="68"/>
      <c r="M989" s="1"/>
      <c r="N989" s="1"/>
      <c r="O989" s="1"/>
      <c r="P989" s="1"/>
      <c r="Q989" s="1"/>
      <c r="R989" s="1"/>
    </row>
    <row r="990" spans="1:18" ht="12" customHeight="1">
      <c r="A990" s="221"/>
      <c r="I990" s="9"/>
      <c r="J990" s="68"/>
      <c r="K990" s="1"/>
      <c r="L990" s="68"/>
      <c r="M990" s="1"/>
      <c r="N990" s="1"/>
      <c r="O990" s="1"/>
      <c r="P990" s="1"/>
      <c r="Q990" s="1"/>
      <c r="R990" s="1"/>
    </row>
    <row r="991" spans="1:18" ht="12" customHeight="1">
      <c r="A991" s="221"/>
      <c r="I991" s="9"/>
      <c r="J991" s="68"/>
      <c r="K991" s="1"/>
      <c r="L991" s="68"/>
      <c r="M991" s="1"/>
      <c r="N991" s="1"/>
      <c r="O991" s="1"/>
      <c r="P991" s="1"/>
      <c r="Q991" s="1"/>
      <c r="R991" s="1"/>
    </row>
    <row r="992" spans="1:18" ht="12" customHeight="1">
      <c r="A992" s="221"/>
      <c r="I992" s="9"/>
      <c r="J992" s="68"/>
      <c r="K992" s="1"/>
      <c r="L992" s="68"/>
      <c r="M992" s="1"/>
      <c r="N992" s="1"/>
      <c r="O992" s="1"/>
      <c r="P992" s="1"/>
      <c r="Q992" s="1"/>
      <c r="R992" s="1"/>
    </row>
    <row r="993" spans="1:18" ht="12" customHeight="1">
      <c r="A993" s="221"/>
      <c r="I993" s="9"/>
      <c r="J993" s="68"/>
      <c r="K993" s="1"/>
      <c r="L993" s="68"/>
      <c r="M993" s="1"/>
      <c r="N993" s="1"/>
      <c r="O993" s="1"/>
      <c r="P993" s="1"/>
      <c r="Q993" s="1"/>
      <c r="R993" s="1"/>
    </row>
    <row r="994" spans="1:18" ht="12" customHeight="1">
      <c r="A994" s="221"/>
      <c r="I994" s="9"/>
      <c r="J994" s="68"/>
      <c r="K994" s="1"/>
      <c r="L994" s="68"/>
      <c r="M994" s="1"/>
      <c r="N994" s="1"/>
      <c r="O994" s="1"/>
      <c r="P994" s="1"/>
      <c r="Q994" s="1"/>
      <c r="R994" s="1"/>
    </row>
    <row r="995" spans="1:18" ht="12" customHeight="1">
      <c r="A995" s="221"/>
      <c r="I995" s="9"/>
      <c r="J995" s="68"/>
      <c r="K995" s="1"/>
      <c r="L995" s="68"/>
      <c r="M995" s="1"/>
      <c r="N995" s="1"/>
      <c r="O995" s="1"/>
      <c r="P995" s="1"/>
      <c r="Q995" s="1"/>
      <c r="R995" s="1"/>
    </row>
    <row r="996" spans="1:18" ht="12" customHeight="1">
      <c r="A996" s="221"/>
      <c r="I996" s="9"/>
      <c r="J996" s="68"/>
      <c r="K996" s="1"/>
      <c r="L996" s="68"/>
      <c r="M996" s="1"/>
      <c r="N996" s="1"/>
      <c r="O996" s="1"/>
      <c r="P996" s="1"/>
      <c r="Q996" s="1"/>
      <c r="R996" s="1"/>
    </row>
    <row r="997" spans="1:18" ht="12" customHeight="1">
      <c r="A997" s="221"/>
      <c r="I997" s="9"/>
      <c r="J997" s="68"/>
      <c r="K997" s="1"/>
      <c r="L997" s="68"/>
      <c r="M997" s="1"/>
      <c r="N997" s="1"/>
      <c r="O997" s="1"/>
      <c r="P997" s="1"/>
      <c r="Q997" s="1"/>
      <c r="R997" s="1"/>
    </row>
    <row r="998" spans="1:18" ht="12" customHeight="1">
      <c r="A998" s="221"/>
      <c r="I998" s="9"/>
      <c r="J998" s="68"/>
      <c r="K998" s="1"/>
      <c r="L998" s="68"/>
      <c r="M998" s="1"/>
      <c r="N998" s="1"/>
      <c r="O998" s="1"/>
      <c r="P998" s="1"/>
      <c r="Q998" s="1"/>
      <c r="R998" s="1"/>
    </row>
    <row r="999" spans="1:18" ht="12" customHeight="1">
      <c r="A999" s="221"/>
      <c r="I999" s="9"/>
      <c r="J999" s="68"/>
      <c r="K999" s="1"/>
      <c r="L999" s="68"/>
      <c r="M999" s="1"/>
      <c r="N999" s="1"/>
      <c r="O999" s="1"/>
      <c r="P999" s="1"/>
      <c r="Q999" s="1"/>
      <c r="R999" s="1"/>
    </row>
    <row r="1000" spans="1:18" ht="12" customHeight="1">
      <c r="A1000" s="221"/>
      <c r="I1000" s="9"/>
      <c r="J1000" s="68"/>
      <c r="K1000" s="1"/>
      <c r="L1000" s="68"/>
      <c r="M1000" s="1"/>
      <c r="N1000" s="1"/>
      <c r="O1000" s="1"/>
      <c r="P1000" s="1"/>
      <c r="Q1000" s="1"/>
      <c r="R1000" s="1"/>
    </row>
    <row r="1001" spans="1:18" ht="12" customHeight="1">
      <c r="A1001" s="221"/>
      <c r="I1001" s="9"/>
      <c r="J1001" s="68"/>
      <c r="K1001" s="1"/>
      <c r="L1001" s="68"/>
      <c r="M1001" s="1"/>
      <c r="N1001" s="1"/>
      <c r="O1001" s="1"/>
      <c r="P1001" s="1"/>
      <c r="Q1001" s="1"/>
      <c r="R1001" s="1"/>
    </row>
    <row r="1002" spans="1:18" ht="12" customHeight="1">
      <c r="A1002" s="221"/>
      <c r="I1002" s="9"/>
      <c r="J1002" s="68"/>
      <c r="K1002" s="1"/>
      <c r="L1002" s="68"/>
      <c r="M1002" s="1"/>
      <c r="N1002" s="1"/>
      <c r="O1002" s="1"/>
      <c r="P1002" s="1"/>
      <c r="Q1002" s="1"/>
      <c r="R1002" s="1"/>
    </row>
    <row r="1003" spans="1:18" ht="12" customHeight="1">
      <c r="A1003" s="221"/>
      <c r="I1003" s="9"/>
      <c r="J1003" s="68"/>
      <c r="K1003" s="1"/>
      <c r="L1003" s="68"/>
      <c r="M1003" s="1"/>
      <c r="N1003" s="1"/>
      <c r="O1003" s="1"/>
      <c r="P1003" s="1"/>
      <c r="Q1003" s="1"/>
      <c r="R1003" s="1"/>
    </row>
    <row r="1004" spans="1:18" ht="12" customHeight="1">
      <c r="A1004" s="221"/>
      <c r="I1004" s="9"/>
      <c r="J1004" s="68"/>
      <c r="K1004" s="1"/>
      <c r="L1004" s="68"/>
      <c r="M1004" s="1"/>
      <c r="N1004" s="1"/>
      <c r="O1004" s="1"/>
      <c r="P1004" s="1"/>
      <c r="Q1004" s="1"/>
      <c r="R1004" s="1"/>
    </row>
    <row r="1005" spans="1:18" ht="12" customHeight="1">
      <c r="A1005" s="221"/>
      <c r="I1005" s="9"/>
      <c r="J1005" s="68"/>
      <c r="K1005" s="1"/>
      <c r="L1005" s="68"/>
      <c r="M1005" s="1"/>
      <c r="N1005" s="1"/>
      <c r="O1005" s="1"/>
      <c r="P1005" s="1"/>
      <c r="Q1005" s="1"/>
      <c r="R1005" s="1"/>
    </row>
    <row r="1006" spans="1:18" ht="12" customHeight="1">
      <c r="A1006" s="221"/>
      <c r="I1006" s="9"/>
      <c r="J1006" s="68"/>
      <c r="K1006" s="1"/>
      <c r="L1006" s="68"/>
      <c r="M1006" s="1"/>
      <c r="N1006" s="1"/>
      <c r="O1006" s="1"/>
      <c r="P1006" s="1"/>
      <c r="Q1006" s="1"/>
      <c r="R1006" s="1"/>
    </row>
    <row r="1007" spans="1:18" ht="12" customHeight="1">
      <c r="A1007" s="221"/>
      <c r="I1007" s="9"/>
      <c r="J1007" s="68"/>
      <c r="K1007" s="1"/>
      <c r="L1007" s="68"/>
      <c r="M1007" s="1"/>
      <c r="N1007" s="1"/>
      <c r="O1007" s="1"/>
      <c r="P1007" s="1"/>
      <c r="Q1007" s="1"/>
      <c r="R1007" s="1"/>
    </row>
    <row r="1008" spans="1:18" ht="12" customHeight="1">
      <c r="A1008" s="221"/>
      <c r="I1008" s="9"/>
      <c r="J1008" s="68"/>
      <c r="K1008" s="1"/>
      <c r="L1008" s="68"/>
      <c r="M1008" s="1"/>
      <c r="N1008" s="1"/>
      <c r="O1008" s="1"/>
      <c r="P1008" s="1"/>
      <c r="Q1008" s="1"/>
      <c r="R1008" s="1"/>
    </row>
    <row r="1009" spans="1:18" ht="12" customHeight="1">
      <c r="A1009" s="221"/>
      <c r="I1009" s="9"/>
      <c r="J1009" s="68"/>
      <c r="K1009" s="1"/>
      <c r="L1009" s="68"/>
      <c r="M1009" s="1"/>
      <c r="N1009" s="1"/>
      <c r="O1009" s="1"/>
      <c r="P1009" s="1"/>
      <c r="Q1009" s="1"/>
      <c r="R1009" s="1"/>
    </row>
    <row r="1010" spans="1:18" ht="12" customHeight="1">
      <c r="A1010" s="221"/>
      <c r="I1010" s="9"/>
      <c r="J1010" s="68"/>
      <c r="K1010" s="1"/>
      <c r="L1010" s="68"/>
      <c r="M1010" s="1"/>
      <c r="N1010" s="1"/>
      <c r="O1010" s="1"/>
      <c r="P1010" s="1"/>
      <c r="Q1010" s="1"/>
      <c r="R1010" s="1"/>
    </row>
    <row r="1011" spans="1:18" ht="12" customHeight="1">
      <c r="A1011" s="221"/>
      <c r="I1011" s="9"/>
      <c r="J1011" s="68"/>
      <c r="K1011" s="1"/>
      <c r="L1011" s="68"/>
      <c r="M1011" s="1"/>
      <c r="N1011" s="1"/>
      <c r="O1011" s="1"/>
      <c r="P1011" s="1"/>
      <c r="Q1011" s="1"/>
      <c r="R1011" s="1"/>
    </row>
    <row r="1012" spans="1:18" ht="12" customHeight="1">
      <c r="A1012" s="221"/>
      <c r="I1012" s="9"/>
      <c r="J1012" s="68"/>
      <c r="K1012" s="1"/>
      <c r="L1012" s="68"/>
      <c r="M1012" s="1"/>
      <c r="N1012" s="1"/>
      <c r="O1012" s="1"/>
      <c r="P1012" s="1"/>
      <c r="Q1012" s="1"/>
      <c r="R1012" s="1"/>
    </row>
    <row r="1013" spans="1:18" ht="12" customHeight="1">
      <c r="A1013" s="221"/>
      <c r="I1013" s="9"/>
      <c r="J1013" s="68"/>
      <c r="K1013" s="1"/>
      <c r="L1013" s="68"/>
      <c r="M1013" s="1"/>
      <c r="N1013" s="1"/>
      <c r="O1013" s="1"/>
      <c r="P1013" s="1"/>
      <c r="Q1013" s="1"/>
      <c r="R1013" s="1"/>
    </row>
    <row r="1014" spans="1:18" ht="12" customHeight="1">
      <c r="A1014" s="221"/>
      <c r="I1014" s="9"/>
      <c r="J1014" s="68"/>
      <c r="K1014" s="1"/>
      <c r="L1014" s="68"/>
      <c r="M1014" s="1"/>
      <c r="N1014" s="1"/>
      <c r="O1014" s="1"/>
      <c r="P1014" s="1"/>
      <c r="Q1014" s="1"/>
      <c r="R1014" s="1"/>
    </row>
    <row r="1015" spans="1:18" ht="12" customHeight="1">
      <c r="A1015" s="221"/>
      <c r="I1015" s="9"/>
      <c r="J1015" s="68"/>
      <c r="K1015" s="1"/>
      <c r="L1015" s="68"/>
      <c r="M1015" s="1"/>
      <c r="N1015" s="1"/>
      <c r="O1015" s="1"/>
      <c r="P1015" s="1"/>
      <c r="Q1015" s="1"/>
      <c r="R1015" s="1"/>
    </row>
    <row r="1016" spans="1:18" ht="12" customHeight="1">
      <c r="A1016" s="221"/>
      <c r="I1016" s="9"/>
      <c r="J1016" s="68"/>
      <c r="K1016" s="1"/>
      <c r="L1016" s="68"/>
      <c r="M1016" s="1"/>
      <c r="N1016" s="1"/>
      <c r="O1016" s="1"/>
      <c r="P1016" s="1"/>
      <c r="Q1016" s="1"/>
      <c r="R1016" s="1"/>
    </row>
    <row r="1017" spans="1:18" ht="12" customHeight="1">
      <c r="A1017" s="221"/>
      <c r="I1017" s="9"/>
      <c r="J1017" s="68"/>
      <c r="K1017" s="1"/>
      <c r="L1017" s="68"/>
      <c r="M1017" s="1"/>
      <c r="N1017" s="1"/>
      <c r="O1017" s="1"/>
      <c r="P1017" s="1"/>
      <c r="Q1017" s="1"/>
      <c r="R1017" s="1"/>
    </row>
    <row r="1018" spans="1:18" ht="12" customHeight="1">
      <c r="A1018" s="221"/>
      <c r="I1018" s="9"/>
      <c r="J1018" s="68"/>
      <c r="K1018" s="1"/>
      <c r="L1018" s="68"/>
      <c r="M1018" s="1"/>
      <c r="N1018" s="1"/>
      <c r="O1018" s="1"/>
      <c r="P1018" s="1"/>
      <c r="Q1018" s="1"/>
      <c r="R1018" s="1"/>
    </row>
    <row r="1019" spans="1:18" ht="12" customHeight="1">
      <c r="A1019" s="221"/>
      <c r="I1019" s="9"/>
      <c r="J1019" s="68"/>
      <c r="K1019" s="1"/>
      <c r="L1019" s="68"/>
      <c r="M1019" s="1"/>
      <c r="N1019" s="1"/>
      <c r="O1019" s="1"/>
      <c r="P1019" s="1"/>
      <c r="Q1019" s="1"/>
      <c r="R1019" s="1"/>
    </row>
    <row r="1020" spans="1:18" ht="12" customHeight="1">
      <c r="A1020" s="221"/>
      <c r="I1020" s="9"/>
      <c r="J1020" s="68"/>
      <c r="K1020" s="1"/>
      <c r="L1020" s="68"/>
      <c r="M1020" s="1"/>
      <c r="N1020" s="1"/>
      <c r="O1020" s="1"/>
      <c r="P1020" s="1"/>
      <c r="Q1020" s="1"/>
      <c r="R1020" s="1"/>
    </row>
    <row r="1021" spans="1:18" ht="12" customHeight="1">
      <c r="A1021" s="221"/>
      <c r="I1021" s="9"/>
      <c r="J1021" s="68"/>
      <c r="K1021" s="1"/>
      <c r="L1021" s="68"/>
      <c r="M1021" s="1"/>
      <c r="N1021" s="1"/>
      <c r="O1021" s="1"/>
      <c r="P1021" s="1"/>
      <c r="Q1021" s="1"/>
      <c r="R1021" s="1"/>
    </row>
    <row r="1022" spans="1:18" ht="12" customHeight="1">
      <c r="A1022" s="221"/>
      <c r="I1022" s="9"/>
      <c r="J1022" s="68"/>
      <c r="K1022" s="1"/>
      <c r="L1022" s="68"/>
      <c r="M1022" s="1"/>
      <c r="N1022" s="1"/>
      <c r="O1022" s="1"/>
      <c r="P1022" s="1"/>
      <c r="Q1022" s="1"/>
      <c r="R1022" s="1"/>
    </row>
    <row r="1023" spans="1:18" ht="12" customHeight="1">
      <c r="A1023" s="221"/>
      <c r="I1023" s="9"/>
      <c r="J1023" s="68"/>
      <c r="K1023" s="1"/>
      <c r="L1023" s="68"/>
      <c r="M1023" s="1"/>
      <c r="N1023" s="1"/>
      <c r="O1023" s="1"/>
      <c r="P1023" s="1"/>
      <c r="Q1023" s="1"/>
      <c r="R1023" s="1"/>
    </row>
    <row r="1024" spans="1:18" ht="12" customHeight="1">
      <c r="A1024" s="221"/>
      <c r="I1024" s="9"/>
      <c r="J1024" s="68"/>
      <c r="K1024" s="1"/>
      <c r="L1024" s="68"/>
      <c r="M1024" s="1"/>
      <c r="N1024" s="1"/>
      <c r="O1024" s="1"/>
      <c r="P1024" s="1"/>
      <c r="Q1024" s="1"/>
      <c r="R1024" s="1"/>
    </row>
    <row r="1025" spans="1:18" ht="12" customHeight="1">
      <c r="A1025" s="221"/>
      <c r="I1025" s="9"/>
      <c r="J1025" s="68"/>
      <c r="K1025" s="1"/>
      <c r="L1025" s="68"/>
      <c r="M1025" s="1"/>
      <c r="N1025" s="1"/>
      <c r="O1025" s="1"/>
      <c r="P1025" s="1"/>
      <c r="Q1025" s="1"/>
      <c r="R1025" s="1"/>
    </row>
    <row r="1026" spans="1:18" ht="12" customHeight="1">
      <c r="A1026" s="221"/>
      <c r="I1026" s="9"/>
      <c r="J1026" s="68"/>
      <c r="K1026" s="1"/>
      <c r="L1026" s="68"/>
      <c r="M1026" s="1"/>
      <c r="N1026" s="1"/>
      <c r="O1026" s="1"/>
      <c r="P1026" s="1"/>
      <c r="Q1026" s="1"/>
      <c r="R1026" s="1"/>
    </row>
    <row r="1027" spans="1:18" ht="12" customHeight="1">
      <c r="A1027" s="221"/>
      <c r="I1027" s="9"/>
      <c r="J1027" s="68"/>
      <c r="K1027" s="1"/>
      <c r="L1027" s="68"/>
      <c r="M1027" s="1"/>
      <c r="N1027" s="1"/>
      <c r="O1027" s="1"/>
      <c r="P1027" s="1"/>
      <c r="Q1027" s="1"/>
      <c r="R1027" s="1"/>
    </row>
    <row r="1028" spans="1:18" ht="12" customHeight="1">
      <c r="A1028" s="221"/>
      <c r="I1028" s="9"/>
      <c r="J1028" s="68"/>
      <c r="K1028" s="1"/>
      <c r="L1028" s="68"/>
      <c r="M1028" s="1"/>
      <c r="N1028" s="1"/>
      <c r="O1028" s="1"/>
      <c r="P1028" s="1"/>
      <c r="Q1028" s="1"/>
      <c r="R1028" s="1"/>
    </row>
    <row r="1029" spans="1:18" ht="12" customHeight="1">
      <c r="A1029" s="221"/>
      <c r="I1029" s="9"/>
      <c r="J1029" s="68"/>
      <c r="K1029" s="1"/>
      <c r="L1029" s="68"/>
      <c r="M1029" s="1"/>
      <c r="N1029" s="1"/>
      <c r="O1029" s="1"/>
      <c r="P1029" s="1"/>
      <c r="Q1029" s="1"/>
      <c r="R1029" s="1"/>
    </row>
    <row r="1030" spans="1:18" ht="12" customHeight="1">
      <c r="A1030" s="221"/>
      <c r="I1030" s="9"/>
      <c r="J1030" s="68"/>
      <c r="K1030" s="1"/>
      <c r="L1030" s="68"/>
      <c r="M1030" s="1"/>
      <c r="N1030" s="1"/>
      <c r="O1030" s="1"/>
      <c r="P1030" s="1"/>
      <c r="Q1030" s="1"/>
      <c r="R1030" s="1"/>
    </row>
    <row r="1031" spans="1:18" ht="12" customHeight="1">
      <c r="A1031" s="221"/>
      <c r="I1031" s="9"/>
      <c r="J1031" s="68"/>
      <c r="K1031" s="1"/>
      <c r="L1031" s="68"/>
      <c r="M1031" s="1"/>
      <c r="N1031" s="1"/>
      <c r="O1031" s="1"/>
      <c r="P1031" s="1"/>
      <c r="Q1031" s="1"/>
      <c r="R1031" s="1"/>
    </row>
    <row r="1032" spans="1:18" ht="12" customHeight="1">
      <c r="A1032" s="221"/>
      <c r="I1032" s="9"/>
      <c r="J1032" s="68"/>
      <c r="K1032" s="1"/>
      <c r="L1032" s="68"/>
      <c r="M1032" s="1"/>
      <c r="N1032" s="1"/>
      <c r="O1032" s="1"/>
      <c r="P1032" s="1"/>
      <c r="Q1032" s="1"/>
      <c r="R1032" s="1"/>
    </row>
    <row r="1033" spans="1:18" ht="12" customHeight="1">
      <c r="A1033" s="221"/>
      <c r="I1033" s="9"/>
      <c r="J1033" s="68"/>
      <c r="K1033" s="1"/>
      <c r="L1033" s="68"/>
      <c r="M1033" s="1"/>
      <c r="N1033" s="1"/>
      <c r="O1033" s="1"/>
      <c r="P1033" s="1"/>
      <c r="Q1033" s="1"/>
      <c r="R1033" s="1"/>
    </row>
    <row r="1034" spans="1:18" ht="12" customHeight="1">
      <c r="A1034" s="221"/>
      <c r="I1034" s="9"/>
      <c r="J1034" s="68"/>
      <c r="K1034" s="1"/>
      <c r="L1034" s="68"/>
      <c r="M1034" s="1"/>
      <c r="N1034" s="1"/>
      <c r="O1034" s="1"/>
      <c r="P1034" s="1"/>
      <c r="Q1034" s="1"/>
      <c r="R1034" s="1"/>
    </row>
    <row r="1035" spans="1:18" ht="12" customHeight="1">
      <c r="A1035" s="221"/>
      <c r="I1035" s="9"/>
      <c r="J1035" s="68"/>
      <c r="K1035" s="1"/>
      <c r="L1035" s="68"/>
      <c r="M1035" s="1"/>
      <c r="N1035" s="1"/>
      <c r="O1035" s="1"/>
      <c r="P1035" s="1"/>
      <c r="Q1035" s="1"/>
      <c r="R1035" s="1"/>
    </row>
    <row r="1036" spans="1:18" ht="12" customHeight="1">
      <c r="A1036" s="221"/>
      <c r="I1036" s="9"/>
      <c r="J1036" s="68"/>
      <c r="K1036" s="1"/>
      <c r="L1036" s="68"/>
      <c r="M1036" s="1"/>
      <c r="N1036" s="1"/>
      <c r="O1036" s="1"/>
      <c r="P1036" s="1"/>
      <c r="Q1036" s="1"/>
      <c r="R1036" s="1"/>
    </row>
    <row r="1037" spans="1:18" ht="12" customHeight="1">
      <c r="A1037" s="221"/>
      <c r="I1037" s="9"/>
      <c r="J1037" s="68"/>
      <c r="K1037" s="1"/>
      <c r="L1037" s="68"/>
      <c r="M1037" s="1"/>
      <c r="N1037" s="1"/>
      <c r="O1037" s="1"/>
      <c r="P1037" s="1"/>
      <c r="Q1037" s="1"/>
      <c r="R1037" s="1"/>
    </row>
    <row r="1038" spans="1:18" ht="12" customHeight="1">
      <c r="A1038" s="221"/>
      <c r="I1038" s="9"/>
      <c r="J1038" s="68"/>
      <c r="K1038" s="1"/>
      <c r="L1038" s="68"/>
      <c r="M1038" s="1"/>
      <c r="N1038" s="1"/>
      <c r="O1038" s="1"/>
      <c r="P1038" s="1"/>
      <c r="Q1038" s="1"/>
      <c r="R1038" s="1"/>
    </row>
    <row r="1039" spans="1:18" ht="12" customHeight="1">
      <c r="A1039" s="221"/>
      <c r="I1039" s="9"/>
      <c r="J1039" s="68"/>
      <c r="K1039" s="1"/>
      <c r="L1039" s="68"/>
      <c r="M1039" s="1"/>
      <c r="N1039" s="1"/>
      <c r="O1039" s="1"/>
      <c r="P1039" s="1"/>
      <c r="Q1039" s="1"/>
      <c r="R1039" s="1"/>
    </row>
    <row r="1040" spans="1:18" ht="12" customHeight="1">
      <c r="A1040" s="221"/>
      <c r="I1040" s="9"/>
      <c r="J1040" s="68"/>
      <c r="K1040" s="1"/>
      <c r="L1040" s="68"/>
      <c r="M1040" s="1"/>
      <c r="N1040" s="1"/>
      <c r="O1040" s="1"/>
      <c r="P1040" s="1"/>
      <c r="Q1040" s="1"/>
      <c r="R1040" s="1"/>
    </row>
    <row r="1041" spans="1:18" ht="12" customHeight="1">
      <c r="A1041" s="221"/>
      <c r="I1041" s="9"/>
      <c r="J1041" s="68"/>
      <c r="K1041" s="1"/>
      <c r="L1041" s="68"/>
      <c r="M1041" s="1"/>
      <c r="N1041" s="1"/>
      <c r="O1041" s="1"/>
      <c r="P1041" s="1"/>
      <c r="Q1041" s="1"/>
      <c r="R1041" s="1"/>
    </row>
    <row r="1042" spans="1:18" ht="12" customHeight="1">
      <c r="A1042" s="221"/>
      <c r="I1042" s="9"/>
      <c r="J1042" s="68"/>
      <c r="K1042" s="1"/>
      <c r="L1042" s="68"/>
      <c r="M1042" s="1"/>
      <c r="N1042" s="1"/>
      <c r="O1042" s="1"/>
      <c r="P1042" s="1"/>
      <c r="Q1042" s="1"/>
      <c r="R1042" s="1"/>
    </row>
    <row r="1043" spans="1:18" ht="12" customHeight="1">
      <c r="A1043" s="221"/>
      <c r="I1043" s="9"/>
      <c r="J1043" s="68"/>
      <c r="K1043" s="1"/>
      <c r="L1043" s="68"/>
      <c r="M1043" s="1"/>
      <c r="N1043" s="1"/>
      <c r="O1043" s="1"/>
      <c r="P1043" s="1"/>
      <c r="Q1043" s="1"/>
      <c r="R1043" s="1"/>
    </row>
    <row r="1044" spans="1:18" ht="12" customHeight="1">
      <c r="A1044" s="221"/>
      <c r="I1044" s="9"/>
      <c r="J1044" s="68"/>
      <c r="K1044" s="1"/>
      <c r="L1044" s="68"/>
      <c r="M1044" s="1"/>
      <c r="N1044" s="1"/>
      <c r="O1044" s="1"/>
      <c r="P1044" s="1"/>
      <c r="Q1044" s="1"/>
      <c r="R1044" s="1"/>
    </row>
    <row r="1045" spans="1:18" ht="12" customHeight="1">
      <c r="A1045" s="221"/>
      <c r="I1045" s="9"/>
      <c r="J1045" s="68"/>
      <c r="K1045" s="1"/>
      <c r="L1045" s="68"/>
      <c r="M1045" s="1"/>
      <c r="N1045" s="1"/>
      <c r="O1045" s="1"/>
      <c r="P1045" s="1"/>
      <c r="Q1045" s="1"/>
      <c r="R1045" s="1"/>
    </row>
    <row r="1046" spans="1:18" ht="12" customHeight="1">
      <c r="A1046" s="221"/>
      <c r="I1046" s="9"/>
      <c r="J1046" s="68"/>
      <c r="K1046" s="1"/>
      <c r="L1046" s="68"/>
      <c r="M1046" s="1"/>
      <c r="N1046" s="1"/>
      <c r="O1046" s="1"/>
      <c r="P1046" s="1"/>
      <c r="Q1046" s="1"/>
      <c r="R1046" s="1"/>
    </row>
    <row r="1047" spans="1:18" ht="12" customHeight="1">
      <c r="A1047" s="221"/>
      <c r="I1047" s="9"/>
      <c r="J1047" s="68"/>
      <c r="K1047" s="1"/>
      <c r="L1047" s="68"/>
      <c r="M1047" s="1"/>
      <c r="N1047" s="1"/>
      <c r="O1047" s="1"/>
      <c r="P1047" s="1"/>
      <c r="Q1047" s="1"/>
      <c r="R1047" s="1"/>
    </row>
    <row r="1048" spans="1:18" ht="12" customHeight="1">
      <c r="A1048" s="221"/>
      <c r="I1048" s="9"/>
      <c r="J1048" s="68"/>
      <c r="K1048" s="1"/>
      <c r="L1048" s="68"/>
      <c r="M1048" s="1"/>
      <c r="N1048" s="1"/>
      <c r="O1048" s="1"/>
      <c r="P1048" s="1"/>
      <c r="Q1048" s="1"/>
      <c r="R1048" s="1"/>
    </row>
    <row r="1049" spans="1:18" ht="12" customHeight="1">
      <c r="A1049" s="221"/>
      <c r="I1049" s="9"/>
      <c r="J1049" s="68"/>
      <c r="K1049" s="1"/>
      <c r="L1049" s="68"/>
      <c r="M1049" s="1"/>
      <c r="N1049" s="1"/>
      <c r="O1049" s="1"/>
      <c r="P1049" s="1"/>
      <c r="Q1049" s="1"/>
      <c r="R1049" s="1"/>
    </row>
    <row r="1050" spans="1:18" ht="12" customHeight="1">
      <c r="A1050" s="221"/>
      <c r="I1050" s="9"/>
      <c r="J1050" s="68"/>
      <c r="K1050" s="1"/>
      <c r="L1050" s="68"/>
      <c r="M1050" s="1"/>
      <c r="N1050" s="1"/>
      <c r="O1050" s="1"/>
      <c r="P1050" s="1"/>
      <c r="Q1050" s="1"/>
      <c r="R1050" s="1"/>
    </row>
    <row r="1051" spans="1:18" ht="12" customHeight="1">
      <c r="A1051" s="221"/>
      <c r="I1051" s="9"/>
      <c r="J1051" s="68"/>
      <c r="K1051" s="1"/>
      <c r="L1051" s="68"/>
      <c r="M1051" s="1"/>
      <c r="N1051" s="1"/>
      <c r="O1051" s="1"/>
      <c r="P1051" s="1"/>
      <c r="Q1051" s="1"/>
      <c r="R1051" s="1"/>
    </row>
    <row r="1052" spans="1:18" ht="12" customHeight="1">
      <c r="A1052" s="221"/>
      <c r="I1052" s="9"/>
      <c r="J1052" s="68"/>
      <c r="K1052" s="1"/>
      <c r="L1052" s="68"/>
      <c r="M1052" s="1"/>
      <c r="N1052" s="1"/>
      <c r="O1052" s="1"/>
      <c r="P1052" s="1"/>
      <c r="Q1052" s="1"/>
      <c r="R1052" s="1"/>
    </row>
    <row r="1053" spans="1:18" ht="12" customHeight="1">
      <c r="A1053" s="221"/>
      <c r="I1053" s="9"/>
      <c r="J1053" s="68"/>
      <c r="K1053" s="1"/>
      <c r="L1053" s="68"/>
      <c r="M1053" s="1"/>
      <c r="N1053" s="1"/>
      <c r="O1053" s="1"/>
      <c r="P1053" s="1"/>
      <c r="Q1053" s="1"/>
      <c r="R1053" s="1"/>
    </row>
    <row r="1054" spans="1:18" ht="12" customHeight="1">
      <c r="A1054" s="221"/>
      <c r="I1054" s="9"/>
      <c r="J1054" s="68"/>
      <c r="K1054" s="1"/>
      <c r="L1054" s="68"/>
      <c r="M1054" s="1"/>
      <c r="N1054" s="1"/>
      <c r="O1054" s="1"/>
      <c r="P1054" s="1"/>
      <c r="Q1054" s="1"/>
      <c r="R1054" s="1"/>
    </row>
    <row r="1055" spans="1:18" ht="12" customHeight="1">
      <c r="A1055" s="221"/>
      <c r="I1055" s="9"/>
      <c r="J1055" s="68"/>
      <c r="K1055" s="1"/>
      <c r="L1055" s="68"/>
      <c r="M1055" s="1"/>
      <c r="N1055" s="1"/>
      <c r="O1055" s="1"/>
      <c r="P1055" s="1"/>
      <c r="Q1055" s="1"/>
      <c r="R1055" s="1"/>
    </row>
    <row r="1056" spans="1:18" ht="12" customHeight="1">
      <c r="A1056" s="221"/>
      <c r="I1056" s="9"/>
      <c r="J1056" s="68"/>
      <c r="K1056" s="1"/>
      <c r="L1056" s="68"/>
      <c r="M1056" s="1"/>
      <c r="N1056" s="1"/>
      <c r="O1056" s="1"/>
      <c r="P1056" s="1"/>
      <c r="Q1056" s="1"/>
      <c r="R1056" s="1"/>
    </row>
    <row r="1057" spans="1:18" ht="12" customHeight="1">
      <c r="A1057" s="221"/>
      <c r="I1057" s="9"/>
      <c r="J1057" s="68"/>
      <c r="K1057" s="1"/>
      <c r="L1057" s="68"/>
      <c r="M1057" s="1"/>
      <c r="N1057" s="1"/>
      <c r="O1057" s="1"/>
      <c r="P1057" s="1"/>
      <c r="Q1057" s="1"/>
      <c r="R1057" s="1"/>
    </row>
    <row r="1058" spans="1:18" ht="12" customHeight="1">
      <c r="A1058" s="221"/>
      <c r="I1058" s="9"/>
      <c r="J1058" s="68"/>
      <c r="K1058" s="1"/>
      <c r="L1058" s="68"/>
      <c r="M1058" s="1"/>
      <c r="N1058" s="1"/>
      <c r="O1058" s="1"/>
      <c r="P1058" s="1"/>
      <c r="Q1058" s="1"/>
      <c r="R1058" s="1"/>
    </row>
    <row r="1059" spans="1:18" ht="12" customHeight="1">
      <c r="A1059" s="221"/>
      <c r="I1059" s="9"/>
      <c r="J1059" s="68"/>
      <c r="K1059" s="68"/>
      <c r="L1059" s="68"/>
      <c r="M1059" s="229"/>
      <c r="N1059" s="68"/>
      <c r="O1059" s="68"/>
      <c r="P1059" s="68"/>
      <c r="Q1059" s="68"/>
      <c r="R1059" s="68"/>
    </row>
    <row r="1060" spans="1:18" ht="12" customHeight="1">
      <c r="A1060" s="221"/>
      <c r="I1060" s="9"/>
      <c r="J1060" s="68"/>
      <c r="K1060" s="68"/>
      <c r="L1060" s="68"/>
      <c r="M1060" s="229"/>
      <c r="N1060" s="68"/>
      <c r="O1060" s="68"/>
      <c r="P1060" s="68"/>
      <c r="Q1060" s="68"/>
      <c r="R1060" s="68"/>
    </row>
    <row r="1061" spans="1:18" ht="12" customHeight="1">
      <c r="A1061" s="221"/>
      <c r="I1061" s="9"/>
      <c r="J1061" s="68"/>
      <c r="K1061" s="68"/>
      <c r="L1061" s="68"/>
      <c r="M1061" s="229"/>
      <c r="N1061" s="68"/>
      <c r="O1061" s="68"/>
      <c r="P1061" s="68"/>
      <c r="Q1061" s="68"/>
      <c r="R1061" s="68"/>
    </row>
    <row r="1062" spans="1:18" ht="12" customHeight="1">
      <c r="A1062" s="221"/>
      <c r="I1062" s="9"/>
      <c r="J1062" s="68"/>
      <c r="K1062" s="68"/>
      <c r="L1062" s="68"/>
      <c r="M1062" s="229"/>
      <c r="N1062" s="68"/>
      <c r="O1062" s="68"/>
      <c r="P1062" s="68"/>
      <c r="Q1062" s="68"/>
      <c r="R1062" s="68"/>
    </row>
    <row r="1063" spans="1:18" ht="12" customHeight="1">
      <c r="A1063" s="221"/>
      <c r="I1063" s="9"/>
      <c r="J1063" s="68"/>
      <c r="K1063" s="68"/>
      <c r="L1063" s="68"/>
      <c r="M1063" s="229"/>
      <c r="N1063" s="68"/>
      <c r="O1063" s="68"/>
      <c r="P1063" s="68"/>
      <c r="Q1063" s="68"/>
      <c r="R1063" s="68"/>
    </row>
    <row r="1064" spans="1:18" ht="12" customHeight="1">
      <c r="A1064" s="221"/>
      <c r="I1064" s="9"/>
      <c r="J1064" s="68"/>
      <c r="K1064" s="68"/>
      <c r="L1064" s="68"/>
      <c r="M1064" s="229"/>
      <c r="N1064" s="68"/>
      <c r="O1064" s="68"/>
      <c r="P1064" s="68"/>
      <c r="Q1064" s="68"/>
      <c r="R1064" s="68"/>
    </row>
    <row r="1065" spans="1:18" ht="12" customHeight="1">
      <c r="A1065" s="221"/>
      <c r="I1065" s="9"/>
      <c r="J1065" s="68"/>
      <c r="K1065" s="68"/>
      <c r="L1065" s="68"/>
      <c r="M1065" s="229"/>
      <c r="N1065" s="68"/>
      <c r="O1065" s="68"/>
      <c r="P1065" s="68"/>
      <c r="Q1065" s="68"/>
      <c r="R1065" s="68"/>
    </row>
    <row r="1066" spans="1:18" ht="12" customHeight="1">
      <c r="A1066" s="221"/>
      <c r="I1066" s="9"/>
      <c r="J1066" s="68"/>
      <c r="K1066" s="68"/>
      <c r="L1066" s="68"/>
      <c r="M1066" s="229"/>
      <c r="N1066" s="68"/>
      <c r="O1066" s="68"/>
      <c r="P1066" s="68"/>
      <c r="Q1066" s="68"/>
      <c r="R1066" s="68"/>
    </row>
    <row r="1067" spans="1:18" ht="12" customHeight="1">
      <c r="A1067" s="221"/>
      <c r="I1067" s="9"/>
      <c r="J1067" s="68"/>
      <c r="K1067" s="68"/>
      <c r="L1067" s="68"/>
      <c r="M1067" s="229"/>
      <c r="N1067" s="68"/>
      <c r="O1067" s="68"/>
      <c r="P1067" s="68"/>
      <c r="Q1067" s="68"/>
      <c r="R1067" s="68"/>
    </row>
    <row r="1068" spans="1:18" ht="12" customHeight="1">
      <c r="A1068" s="221"/>
      <c r="I1068" s="9"/>
      <c r="J1068" s="68"/>
      <c r="K1068" s="68"/>
      <c r="L1068" s="68"/>
      <c r="M1068" s="229"/>
      <c r="N1068" s="68"/>
      <c r="O1068" s="68"/>
      <c r="P1068" s="68"/>
      <c r="Q1068" s="68"/>
      <c r="R1068" s="68"/>
    </row>
    <row r="1069" spans="1:18" ht="12" customHeight="1">
      <c r="A1069" s="221"/>
      <c r="I1069" s="9"/>
      <c r="J1069" s="68"/>
      <c r="K1069" s="68"/>
      <c r="L1069" s="68"/>
      <c r="M1069" s="229"/>
      <c r="N1069" s="68"/>
      <c r="O1069" s="68"/>
      <c r="P1069" s="68"/>
      <c r="Q1069" s="68"/>
      <c r="R1069" s="68"/>
    </row>
    <row r="1070" spans="1:18" ht="12" customHeight="1">
      <c r="A1070" s="221"/>
      <c r="I1070" s="9"/>
      <c r="J1070" s="68"/>
      <c r="K1070" s="68"/>
      <c r="L1070" s="68"/>
      <c r="M1070" s="229"/>
      <c r="N1070" s="68"/>
      <c r="O1070" s="68"/>
      <c r="P1070" s="68"/>
      <c r="Q1070" s="68"/>
      <c r="R1070" s="68"/>
    </row>
    <row r="1071" spans="1:18" ht="12" customHeight="1">
      <c r="A1071" s="221"/>
      <c r="I1071" s="9"/>
      <c r="J1071" s="68"/>
      <c r="K1071" s="68"/>
      <c r="L1071" s="68"/>
      <c r="M1071" s="229"/>
      <c r="N1071" s="68"/>
      <c r="O1071" s="68"/>
      <c r="P1071" s="68"/>
      <c r="Q1071" s="68"/>
      <c r="R1071" s="68"/>
    </row>
    <row r="1072" spans="1:18" ht="12" customHeight="1">
      <c r="A1072" s="221"/>
      <c r="I1072" s="9"/>
      <c r="J1072" s="68"/>
      <c r="K1072" s="68"/>
      <c r="L1072" s="68"/>
      <c r="M1072" s="229"/>
      <c r="N1072" s="68"/>
      <c r="O1072" s="68"/>
      <c r="P1072" s="68"/>
      <c r="Q1072" s="68"/>
      <c r="R1072" s="68"/>
    </row>
    <row r="1073" spans="1:18" ht="12" customHeight="1">
      <c r="A1073" s="221"/>
      <c r="I1073" s="9"/>
      <c r="J1073" s="68"/>
      <c r="K1073" s="68"/>
      <c r="L1073" s="68"/>
      <c r="M1073" s="229"/>
      <c r="N1073" s="68"/>
      <c r="O1073" s="68"/>
      <c r="P1073" s="68"/>
      <c r="Q1073" s="68"/>
      <c r="R1073" s="68"/>
    </row>
    <row r="1074" spans="1:18" ht="12" customHeight="1">
      <c r="A1074" s="221"/>
      <c r="I1074" s="9"/>
      <c r="J1074" s="68"/>
      <c r="K1074" s="68"/>
      <c r="L1074" s="68"/>
      <c r="M1074" s="229"/>
      <c r="N1074" s="68"/>
      <c r="O1074" s="68"/>
      <c r="P1074" s="68"/>
      <c r="Q1074" s="68"/>
      <c r="R1074" s="68"/>
    </row>
    <row r="1075" spans="1:18" ht="12" customHeight="1">
      <c r="A1075" s="221"/>
      <c r="I1075" s="9"/>
      <c r="J1075" s="68"/>
      <c r="K1075" s="68"/>
      <c r="L1075" s="68"/>
      <c r="M1075" s="229"/>
      <c r="N1075" s="68"/>
      <c r="O1075" s="68"/>
      <c r="P1075" s="68"/>
      <c r="Q1075" s="68"/>
      <c r="R1075" s="68"/>
    </row>
    <row r="1076" spans="1:18" ht="12" customHeight="1">
      <c r="A1076" s="221"/>
      <c r="I1076" s="9"/>
      <c r="J1076" s="68"/>
      <c r="K1076" s="68"/>
      <c r="L1076" s="68"/>
      <c r="M1076" s="229"/>
      <c r="N1076" s="68"/>
      <c r="O1076" s="68"/>
      <c r="P1076" s="68"/>
      <c r="Q1076" s="68"/>
      <c r="R1076" s="68"/>
    </row>
    <row r="1077" spans="1:18" ht="12" customHeight="1">
      <c r="A1077" s="221"/>
      <c r="I1077" s="9"/>
      <c r="J1077" s="68"/>
      <c r="K1077" s="68"/>
      <c r="L1077" s="68"/>
      <c r="M1077" s="229"/>
      <c r="N1077" s="68"/>
      <c r="O1077" s="68"/>
      <c r="P1077" s="68"/>
      <c r="Q1077" s="68"/>
      <c r="R1077" s="68"/>
    </row>
    <row r="1078" spans="1:18" ht="12" customHeight="1">
      <c r="A1078" s="221"/>
      <c r="I1078" s="9"/>
      <c r="J1078" s="68"/>
      <c r="K1078" s="68"/>
      <c r="L1078" s="68"/>
      <c r="M1078" s="229"/>
      <c r="N1078" s="68"/>
      <c r="O1078" s="68"/>
      <c r="P1078" s="68"/>
      <c r="Q1078" s="68"/>
      <c r="R1078" s="68"/>
    </row>
    <row r="1079" spans="1:18" ht="12" customHeight="1">
      <c r="A1079" s="221"/>
      <c r="I1079" s="9"/>
      <c r="J1079" s="68"/>
      <c r="K1079" s="68"/>
      <c r="L1079" s="68"/>
      <c r="M1079" s="229"/>
      <c r="N1079" s="68"/>
      <c r="O1079" s="68"/>
      <c r="P1079" s="68"/>
      <c r="Q1079" s="68"/>
      <c r="R1079" s="68"/>
    </row>
    <row r="1080" spans="1:18" ht="12" customHeight="1">
      <c r="A1080" s="221"/>
      <c r="I1080" s="9"/>
      <c r="J1080" s="68"/>
      <c r="K1080" s="68"/>
      <c r="L1080" s="68"/>
      <c r="M1080" s="229"/>
      <c r="N1080" s="68"/>
      <c r="O1080" s="68"/>
      <c r="P1080" s="68"/>
      <c r="Q1080" s="68"/>
      <c r="R1080" s="68"/>
    </row>
    <row r="1081" spans="1:18" ht="12" customHeight="1">
      <c r="A1081" s="221"/>
      <c r="I1081" s="9"/>
      <c r="J1081" s="68"/>
      <c r="K1081" s="68"/>
      <c r="L1081" s="68"/>
      <c r="M1081" s="229"/>
      <c r="N1081" s="68"/>
      <c r="O1081" s="68"/>
      <c r="P1081" s="68"/>
      <c r="Q1081" s="68"/>
      <c r="R1081" s="68"/>
    </row>
    <row r="1082" spans="1:18" ht="12" customHeight="1">
      <c r="A1082" s="221"/>
      <c r="I1082" s="9"/>
      <c r="J1082" s="68"/>
      <c r="K1082" s="68"/>
      <c r="L1082" s="68"/>
      <c r="M1082" s="229"/>
      <c r="N1082" s="68"/>
      <c r="O1082" s="68"/>
      <c r="P1082" s="68"/>
      <c r="Q1082" s="68"/>
      <c r="R1082" s="68"/>
    </row>
    <row r="1083" spans="1:18" ht="12" customHeight="1">
      <c r="A1083" s="221"/>
      <c r="I1083" s="9"/>
      <c r="J1083" s="68"/>
      <c r="K1083" s="68"/>
      <c r="L1083" s="68"/>
      <c r="M1083" s="229"/>
      <c r="N1083" s="68"/>
      <c r="O1083" s="68"/>
      <c r="P1083" s="68"/>
      <c r="Q1083" s="68"/>
      <c r="R1083" s="68"/>
    </row>
    <row r="1084" spans="1:18" ht="12" customHeight="1">
      <c r="A1084" s="221"/>
      <c r="I1084" s="9"/>
      <c r="J1084" s="68"/>
      <c r="K1084" s="68"/>
      <c r="L1084" s="68"/>
      <c r="M1084" s="229"/>
      <c r="N1084" s="68"/>
      <c r="O1084" s="68"/>
      <c r="P1084" s="68"/>
      <c r="Q1084" s="68"/>
      <c r="R1084" s="68"/>
    </row>
    <row r="1085" spans="1:18" ht="12" customHeight="1">
      <c r="A1085" s="221"/>
      <c r="I1085" s="9"/>
      <c r="J1085" s="68"/>
      <c r="K1085" s="68"/>
      <c r="L1085" s="68"/>
      <c r="M1085" s="229"/>
      <c r="N1085" s="68"/>
      <c r="O1085" s="68"/>
      <c r="P1085" s="68"/>
      <c r="Q1085" s="68"/>
      <c r="R1085" s="68"/>
    </row>
    <row r="1086" spans="1:18" ht="12" customHeight="1">
      <c r="A1086" s="221"/>
      <c r="I1086" s="9"/>
      <c r="J1086" s="68"/>
      <c r="K1086" s="68"/>
      <c r="L1086" s="68"/>
      <c r="M1086" s="229"/>
      <c r="N1086" s="68"/>
      <c r="O1086" s="68"/>
      <c r="P1086" s="68"/>
      <c r="Q1086" s="68"/>
      <c r="R1086" s="68"/>
    </row>
    <row r="1087" spans="1:18" ht="12" customHeight="1">
      <c r="A1087" s="221"/>
      <c r="I1087" s="9"/>
      <c r="J1087" s="68"/>
      <c r="K1087" s="68"/>
      <c r="L1087" s="68"/>
      <c r="M1087" s="229"/>
      <c r="N1087" s="68"/>
      <c r="O1087" s="68"/>
      <c r="P1087" s="68"/>
      <c r="Q1087" s="68"/>
      <c r="R1087" s="68"/>
    </row>
    <row r="1088" spans="1:18" ht="12" customHeight="1">
      <c r="A1088" s="221"/>
      <c r="I1088" s="9"/>
      <c r="J1088" s="68"/>
      <c r="K1088" s="68"/>
      <c r="L1088" s="68"/>
      <c r="M1088" s="229"/>
      <c r="N1088" s="68"/>
      <c r="O1088" s="68"/>
      <c r="P1088" s="68"/>
      <c r="Q1088" s="68"/>
      <c r="R1088" s="68"/>
    </row>
    <row r="1089" spans="1:18" ht="12" customHeight="1">
      <c r="A1089" s="221"/>
      <c r="I1089" s="9"/>
      <c r="J1089" s="68"/>
      <c r="K1089" s="68"/>
      <c r="L1089" s="68"/>
      <c r="M1089" s="229"/>
      <c r="N1089" s="68"/>
      <c r="O1089" s="68"/>
      <c r="P1089" s="68"/>
      <c r="Q1089" s="68"/>
      <c r="R1089" s="68"/>
    </row>
    <row r="1090" spans="1:18" ht="12" customHeight="1">
      <c r="A1090" s="221"/>
      <c r="I1090" s="9"/>
      <c r="J1090" s="68"/>
      <c r="K1090" s="68"/>
      <c r="L1090" s="68"/>
      <c r="M1090" s="229"/>
      <c r="N1090" s="68"/>
      <c r="O1090" s="68"/>
      <c r="P1090" s="68"/>
      <c r="Q1090" s="68"/>
      <c r="R1090" s="68"/>
    </row>
    <row r="1091" spans="1:18" ht="12" customHeight="1">
      <c r="A1091" s="221"/>
      <c r="I1091" s="9"/>
      <c r="J1091" s="68"/>
      <c r="K1091" s="68"/>
      <c r="L1091" s="68"/>
      <c r="M1091" s="229"/>
      <c r="N1091" s="68"/>
      <c r="O1091" s="68"/>
      <c r="P1091" s="68"/>
      <c r="Q1091" s="68"/>
      <c r="R1091" s="68"/>
    </row>
    <row r="1092" spans="1:18" ht="12" customHeight="1">
      <c r="A1092" s="221"/>
      <c r="I1092" s="9"/>
      <c r="J1092" s="68"/>
      <c r="K1092" s="68"/>
      <c r="L1092" s="68"/>
      <c r="M1092" s="229"/>
      <c r="N1092" s="68"/>
      <c r="O1092" s="68"/>
      <c r="P1092" s="68"/>
      <c r="Q1092" s="68"/>
      <c r="R1092" s="68"/>
    </row>
    <row r="1093" spans="1:18" ht="12" customHeight="1">
      <c r="A1093" s="221"/>
      <c r="I1093" s="9"/>
      <c r="J1093" s="68"/>
      <c r="K1093" s="68"/>
      <c r="L1093" s="68"/>
      <c r="M1093" s="229"/>
      <c r="N1093" s="68"/>
      <c r="O1093" s="68"/>
      <c r="P1093" s="68"/>
      <c r="Q1093" s="68"/>
      <c r="R1093" s="68"/>
    </row>
    <row r="1094" spans="1:18" ht="12" customHeight="1">
      <c r="A1094" s="221"/>
      <c r="I1094" s="9"/>
      <c r="J1094" s="68"/>
      <c r="K1094" s="68"/>
      <c r="L1094" s="68"/>
      <c r="M1094" s="229"/>
      <c r="N1094" s="68"/>
      <c r="O1094" s="68"/>
      <c r="P1094" s="68"/>
      <c r="Q1094" s="68"/>
      <c r="R1094" s="68"/>
    </row>
    <row r="1095" spans="1:18" ht="12" customHeight="1">
      <c r="A1095" s="221"/>
      <c r="I1095" s="9"/>
      <c r="J1095" s="68"/>
      <c r="K1095" s="1"/>
      <c r="L1095" s="68"/>
      <c r="M1095" s="229"/>
      <c r="N1095" s="1"/>
      <c r="O1095" s="1"/>
      <c r="P1095" s="1"/>
      <c r="Q1095" s="1"/>
      <c r="R1095" s="1"/>
    </row>
    <row r="1096" spans="1:18" ht="12" customHeight="1">
      <c r="A1096" s="221"/>
      <c r="I1096" s="9"/>
      <c r="J1096" s="68"/>
      <c r="K1096" s="1"/>
      <c r="L1096" s="68"/>
      <c r="M1096" s="229"/>
      <c r="N1096" s="1"/>
      <c r="O1096" s="1"/>
      <c r="P1096" s="1"/>
      <c r="Q1096" s="1"/>
      <c r="R1096" s="1"/>
    </row>
    <row r="1097" spans="1:18" ht="12" customHeight="1">
      <c r="A1097" s="221"/>
      <c r="I1097" s="9"/>
      <c r="J1097" s="68"/>
      <c r="K1097" s="1"/>
      <c r="L1097" s="68"/>
      <c r="M1097" s="229"/>
      <c r="N1097" s="1"/>
      <c r="O1097" s="1"/>
      <c r="P1097" s="1"/>
      <c r="Q1097" s="1"/>
      <c r="R1097" s="1"/>
    </row>
    <row r="1098" spans="1:18" ht="12" customHeight="1">
      <c r="A1098" s="221"/>
      <c r="I1098" s="9"/>
      <c r="J1098" s="68"/>
      <c r="K1098" s="1"/>
      <c r="L1098" s="68"/>
      <c r="M1098" s="229"/>
      <c r="N1098" s="1"/>
      <c r="O1098" s="1"/>
      <c r="P1098" s="1"/>
      <c r="Q1098" s="1"/>
      <c r="R1098" s="1"/>
    </row>
    <row r="1099" spans="1:18" ht="12" customHeight="1">
      <c r="A1099" s="221"/>
      <c r="I1099" s="9"/>
      <c r="J1099" s="68"/>
      <c r="K1099" s="68"/>
      <c r="L1099" s="68"/>
      <c r="M1099" s="229"/>
      <c r="N1099" s="68"/>
      <c r="O1099" s="68"/>
      <c r="P1099" s="68"/>
      <c r="Q1099" s="68"/>
      <c r="R1099" s="68"/>
    </row>
    <row r="1100" spans="1:18" ht="12" customHeight="1">
      <c r="A1100" s="221"/>
      <c r="I1100" s="9"/>
      <c r="J1100" s="68"/>
      <c r="K1100" s="68"/>
      <c r="L1100" s="68"/>
      <c r="M1100" s="229"/>
      <c r="N1100" s="68"/>
      <c r="O1100" s="68"/>
      <c r="P1100" s="68"/>
      <c r="Q1100" s="68"/>
      <c r="R1100" s="68"/>
    </row>
    <row r="1101" spans="1:18" ht="12" customHeight="1">
      <c r="A1101" s="221"/>
      <c r="I1101" s="9"/>
      <c r="J1101" s="68"/>
      <c r="K1101" s="68"/>
      <c r="L1101" s="68"/>
      <c r="M1101" s="229"/>
      <c r="N1101" s="68"/>
      <c r="O1101" s="68"/>
      <c r="P1101" s="68"/>
      <c r="Q1101" s="68"/>
      <c r="R1101" s="68"/>
    </row>
    <row r="1102" spans="1:18" ht="12" customHeight="1">
      <c r="A1102" s="221"/>
      <c r="I1102" s="9"/>
      <c r="J1102" s="68"/>
      <c r="K1102" s="68"/>
      <c r="L1102" s="68"/>
      <c r="M1102" s="229"/>
      <c r="N1102" s="68"/>
      <c r="O1102" s="68"/>
      <c r="P1102" s="68"/>
      <c r="Q1102" s="68"/>
      <c r="R1102" s="68"/>
    </row>
    <row r="1103" spans="1:18" ht="12" customHeight="1">
      <c r="A1103" s="221"/>
      <c r="I1103" s="9"/>
      <c r="J1103" s="68"/>
      <c r="K1103" s="68"/>
      <c r="L1103" s="68"/>
      <c r="M1103" s="229"/>
      <c r="N1103" s="68"/>
      <c r="O1103" s="68"/>
      <c r="P1103" s="68"/>
      <c r="Q1103" s="68"/>
      <c r="R1103" s="68"/>
    </row>
    <row r="1104" spans="1:18" ht="12" customHeight="1">
      <c r="A1104" s="221"/>
      <c r="I1104" s="9"/>
      <c r="J1104" s="68"/>
      <c r="K1104" s="68"/>
      <c r="L1104" s="68"/>
      <c r="M1104" s="229"/>
      <c r="N1104" s="68"/>
      <c r="O1104" s="68"/>
      <c r="P1104" s="68"/>
      <c r="Q1104" s="68"/>
      <c r="R1104" s="68"/>
    </row>
    <row r="1105" spans="1:18" ht="12" customHeight="1">
      <c r="A1105" s="221"/>
      <c r="I1105" s="9"/>
      <c r="J1105" s="68"/>
      <c r="K1105" s="68"/>
      <c r="L1105" s="68"/>
      <c r="M1105" s="229"/>
      <c r="N1105" s="68"/>
      <c r="O1105" s="68"/>
      <c r="P1105" s="68"/>
      <c r="Q1105" s="68"/>
      <c r="R1105" s="68"/>
    </row>
    <row r="1106" spans="1:18" ht="12" customHeight="1">
      <c r="A1106" s="221"/>
      <c r="I1106" s="9"/>
      <c r="J1106" s="68"/>
      <c r="K1106" s="68"/>
      <c r="L1106" s="68"/>
      <c r="M1106" s="229"/>
      <c r="N1106" s="68"/>
      <c r="O1106" s="68"/>
      <c r="P1106" s="68"/>
      <c r="Q1106" s="68"/>
      <c r="R1106" s="68"/>
    </row>
    <row r="1107" spans="1:18" ht="12" customHeight="1">
      <c r="A1107" s="221"/>
      <c r="I1107" s="9"/>
      <c r="J1107" s="68"/>
      <c r="K1107" s="68"/>
      <c r="L1107" s="68"/>
      <c r="M1107" s="229"/>
      <c r="N1107" s="68"/>
      <c r="O1107" s="68"/>
      <c r="P1107" s="68"/>
      <c r="Q1107" s="68"/>
      <c r="R1107" s="68"/>
    </row>
    <row r="1108" spans="1:18" ht="12" customHeight="1">
      <c r="A1108" s="221"/>
      <c r="I1108" s="9"/>
      <c r="J1108" s="68"/>
      <c r="K1108" s="68"/>
      <c r="L1108" s="68"/>
      <c r="M1108" s="229"/>
      <c r="N1108" s="68"/>
      <c r="O1108" s="68"/>
      <c r="P1108" s="68"/>
      <c r="Q1108" s="68"/>
      <c r="R1108" s="68"/>
    </row>
    <row r="1109" spans="1:18" ht="12" customHeight="1">
      <c r="A1109" s="221"/>
      <c r="I1109" s="9"/>
      <c r="J1109" s="68"/>
      <c r="K1109" s="68"/>
      <c r="L1109" s="68"/>
      <c r="M1109" s="229"/>
      <c r="N1109" s="68"/>
      <c r="O1109" s="68"/>
      <c r="P1109" s="68"/>
      <c r="Q1109" s="68"/>
      <c r="R1109" s="68"/>
    </row>
    <row r="1110" spans="1:18" ht="12" customHeight="1">
      <c r="A1110" s="221"/>
      <c r="I1110" s="9"/>
      <c r="J1110" s="68"/>
      <c r="K1110" s="68"/>
      <c r="L1110" s="68"/>
      <c r="M1110" s="229"/>
      <c r="N1110" s="68"/>
      <c r="O1110" s="68"/>
      <c r="P1110" s="68"/>
      <c r="Q1110" s="68"/>
      <c r="R1110" s="68"/>
    </row>
    <row r="1111" spans="1:18" ht="12" customHeight="1">
      <c r="A1111" s="221"/>
      <c r="I1111" s="9"/>
      <c r="J1111" s="68"/>
      <c r="K1111" s="68"/>
      <c r="L1111" s="68"/>
      <c r="M1111" s="229"/>
      <c r="N1111" s="68"/>
      <c r="O1111" s="68"/>
      <c r="P1111" s="68"/>
      <c r="Q1111" s="68"/>
      <c r="R1111" s="68"/>
    </row>
    <row r="1112" spans="1:18" ht="12" customHeight="1">
      <c r="A1112" s="221"/>
      <c r="I1112" s="9"/>
      <c r="J1112" s="68"/>
      <c r="K1112" s="68"/>
      <c r="L1112" s="68"/>
      <c r="M1112" s="229"/>
      <c r="N1112" s="68"/>
      <c r="O1112" s="68"/>
      <c r="P1112" s="68"/>
      <c r="Q1112" s="68"/>
      <c r="R1112" s="68"/>
    </row>
    <row r="1113" spans="1:18" ht="12" customHeight="1">
      <c r="A1113" s="221"/>
      <c r="I1113" s="9"/>
      <c r="J1113" s="68"/>
      <c r="K1113" s="68"/>
      <c r="L1113" s="68"/>
      <c r="M1113" s="229"/>
      <c r="N1113" s="68"/>
      <c r="O1113" s="68"/>
      <c r="P1113" s="68"/>
      <c r="Q1113" s="68"/>
      <c r="R1113" s="68"/>
    </row>
    <row r="1114" spans="1:18" ht="12" customHeight="1">
      <c r="A1114" s="221"/>
      <c r="I1114" s="9"/>
      <c r="J1114" s="68"/>
      <c r="K1114" s="68"/>
      <c r="L1114" s="68"/>
      <c r="M1114" s="229"/>
      <c r="N1114" s="68"/>
      <c r="O1114" s="68"/>
      <c r="P1114" s="68"/>
      <c r="Q1114" s="68"/>
      <c r="R1114" s="68"/>
    </row>
    <row r="1115" spans="1:18" ht="12" customHeight="1">
      <c r="A1115" s="221"/>
      <c r="I1115" s="9"/>
      <c r="J1115" s="68"/>
      <c r="K1115" s="68"/>
      <c r="L1115" s="68"/>
      <c r="M1115" s="229"/>
      <c r="N1115" s="68"/>
      <c r="O1115" s="68"/>
      <c r="P1115" s="68"/>
      <c r="Q1115" s="68"/>
      <c r="R1115" s="68"/>
    </row>
    <row r="1116" spans="1:18" ht="12" customHeight="1">
      <c r="A1116" s="221"/>
      <c r="I1116" s="9"/>
      <c r="J1116" s="68"/>
      <c r="K1116" s="68"/>
      <c r="L1116" s="68"/>
      <c r="M1116" s="229"/>
      <c r="N1116" s="68"/>
      <c r="O1116" s="68"/>
      <c r="P1116" s="68"/>
      <c r="Q1116" s="68"/>
      <c r="R1116" s="68"/>
    </row>
    <row r="1117" spans="1:18" ht="12" customHeight="1">
      <c r="A1117" s="221"/>
      <c r="I1117" s="9"/>
      <c r="J1117" s="68"/>
      <c r="K1117" s="68"/>
      <c r="L1117" s="68"/>
      <c r="M1117" s="229"/>
      <c r="N1117" s="68"/>
      <c r="O1117" s="68"/>
      <c r="P1117" s="68"/>
      <c r="Q1117" s="68"/>
      <c r="R1117" s="68"/>
    </row>
    <row r="1118" spans="1:18" ht="12" customHeight="1">
      <c r="A1118" s="221"/>
      <c r="I1118" s="9"/>
      <c r="J1118" s="68"/>
      <c r="K1118" s="68"/>
      <c r="L1118" s="68"/>
      <c r="M1118" s="229"/>
      <c r="N1118" s="68"/>
      <c r="O1118" s="68"/>
      <c r="P1118" s="68"/>
      <c r="Q1118" s="68"/>
      <c r="R1118" s="68"/>
    </row>
    <row r="1119" spans="1:18" ht="12" customHeight="1">
      <c r="A1119" s="221"/>
      <c r="I1119" s="9"/>
      <c r="J1119" s="68"/>
      <c r="K1119" s="68"/>
      <c r="L1119" s="68"/>
      <c r="M1119" s="229"/>
      <c r="N1119" s="68"/>
      <c r="O1119" s="68"/>
      <c r="P1119" s="68"/>
      <c r="Q1119" s="68"/>
      <c r="R1119" s="68"/>
    </row>
    <row r="1120" spans="1:18" ht="12" customHeight="1">
      <c r="A1120" s="221"/>
      <c r="I1120" s="9"/>
      <c r="J1120" s="68"/>
      <c r="K1120" s="68"/>
      <c r="L1120" s="68"/>
      <c r="M1120" s="229"/>
      <c r="N1120" s="68"/>
      <c r="O1120" s="68"/>
      <c r="P1120" s="68"/>
      <c r="Q1120" s="68"/>
      <c r="R1120" s="68"/>
    </row>
    <row r="1121" spans="1:18" ht="12" customHeight="1">
      <c r="A1121" s="221"/>
      <c r="I1121" s="9"/>
      <c r="J1121" s="68"/>
      <c r="K1121" s="68"/>
      <c r="L1121" s="68"/>
      <c r="M1121" s="229"/>
      <c r="N1121" s="68"/>
      <c r="O1121" s="68"/>
      <c r="P1121" s="68"/>
      <c r="Q1121" s="68"/>
      <c r="R1121" s="68"/>
    </row>
    <row r="1122" spans="1:18" ht="12" customHeight="1">
      <c r="A1122" s="221"/>
      <c r="I1122" s="9"/>
      <c r="J1122" s="68"/>
      <c r="K1122" s="68"/>
      <c r="L1122" s="68"/>
      <c r="M1122" s="229"/>
      <c r="N1122" s="68"/>
      <c r="O1122" s="68"/>
      <c r="P1122" s="68"/>
      <c r="Q1122" s="68"/>
      <c r="R1122" s="68"/>
    </row>
    <row r="1123" spans="1:18" ht="12" customHeight="1">
      <c r="A1123" s="221"/>
      <c r="I1123" s="9"/>
      <c r="J1123" s="68"/>
      <c r="K1123" s="68"/>
      <c r="L1123" s="68"/>
      <c r="M1123" s="229"/>
      <c r="N1123" s="68"/>
      <c r="O1123" s="68"/>
      <c r="P1123" s="68"/>
      <c r="Q1123" s="68"/>
      <c r="R1123" s="68"/>
    </row>
    <row r="1124" spans="1:18" ht="12" customHeight="1">
      <c r="A1124" s="221"/>
      <c r="I1124" s="9"/>
      <c r="J1124" s="68"/>
      <c r="K1124" s="68"/>
      <c r="L1124" s="68"/>
      <c r="M1124" s="229"/>
      <c r="N1124" s="68"/>
      <c r="O1124" s="68"/>
      <c r="P1124" s="68"/>
      <c r="Q1124" s="68"/>
      <c r="R1124" s="68"/>
    </row>
    <row r="1125" spans="1:18" ht="12" customHeight="1">
      <c r="A1125" s="221"/>
      <c r="I1125" s="9"/>
      <c r="J1125" s="68"/>
      <c r="K1125" s="68"/>
      <c r="L1125" s="68"/>
      <c r="M1125" s="229"/>
      <c r="N1125" s="68"/>
      <c r="O1125" s="68"/>
      <c r="P1125" s="68"/>
      <c r="Q1125" s="68"/>
      <c r="R1125" s="68"/>
    </row>
    <row r="1126" spans="1:18" ht="12" customHeight="1">
      <c r="A1126" s="221"/>
      <c r="I1126" s="9"/>
      <c r="J1126" s="68"/>
      <c r="K1126" s="68"/>
      <c r="L1126" s="68"/>
      <c r="M1126" s="229"/>
      <c r="N1126" s="68"/>
      <c r="O1126" s="68"/>
      <c r="P1126" s="68"/>
      <c r="Q1126" s="68"/>
      <c r="R1126" s="68"/>
    </row>
    <row r="1127" spans="1:18" ht="12" customHeight="1">
      <c r="A1127" s="221"/>
      <c r="I1127" s="9"/>
      <c r="J1127" s="68"/>
      <c r="K1127" s="68"/>
      <c r="L1127" s="68"/>
      <c r="M1127" s="229"/>
      <c r="N1127" s="68"/>
      <c r="O1127" s="68"/>
      <c r="P1127" s="68"/>
      <c r="Q1127" s="68"/>
      <c r="R1127" s="68"/>
    </row>
    <row r="1128" spans="1:18" ht="12" customHeight="1">
      <c r="A1128" s="221"/>
      <c r="I1128" s="9"/>
      <c r="J1128" s="68"/>
      <c r="K1128" s="68"/>
      <c r="L1128" s="68"/>
      <c r="M1128" s="229"/>
      <c r="N1128" s="68"/>
      <c r="O1128" s="68"/>
      <c r="P1128" s="68"/>
      <c r="Q1128" s="68"/>
      <c r="R1128" s="68"/>
    </row>
    <row r="1129" spans="1:18" ht="12" customHeight="1">
      <c r="A1129" s="221"/>
      <c r="I1129" s="9"/>
      <c r="J1129" s="68"/>
      <c r="K1129" s="68"/>
      <c r="L1129" s="68"/>
      <c r="M1129" s="229"/>
      <c r="N1129" s="68"/>
      <c r="O1129" s="68"/>
      <c r="P1129" s="68"/>
      <c r="Q1129" s="68"/>
      <c r="R1129" s="68"/>
    </row>
    <row r="1130" spans="1:18" ht="12" customHeight="1">
      <c r="A1130" s="221"/>
      <c r="I1130" s="9"/>
      <c r="J1130" s="68"/>
      <c r="K1130" s="68"/>
      <c r="L1130" s="68"/>
      <c r="M1130" s="229"/>
      <c r="N1130" s="68"/>
      <c r="O1130" s="68"/>
      <c r="P1130" s="68"/>
      <c r="Q1130" s="68"/>
      <c r="R1130" s="68"/>
    </row>
    <row r="1131" spans="1:18" ht="12" customHeight="1">
      <c r="A1131" s="221"/>
      <c r="I1131" s="9"/>
      <c r="J1131" s="68"/>
      <c r="K1131" s="68"/>
      <c r="L1131" s="68"/>
      <c r="M1131" s="229"/>
      <c r="N1131" s="68"/>
      <c r="O1131" s="68"/>
      <c r="P1131" s="68"/>
      <c r="Q1131" s="68"/>
      <c r="R1131" s="68"/>
    </row>
    <row r="1132" spans="1:18" ht="12" customHeight="1">
      <c r="A1132" s="221"/>
      <c r="I1132" s="9"/>
      <c r="J1132" s="68"/>
      <c r="K1132" s="68"/>
      <c r="L1132" s="68"/>
      <c r="M1132" s="229"/>
      <c r="N1132" s="68"/>
      <c r="O1132" s="68"/>
      <c r="P1132" s="68"/>
      <c r="Q1132" s="68"/>
      <c r="R1132" s="68"/>
    </row>
    <row r="1133" spans="1:18" ht="12" customHeight="1">
      <c r="A1133" s="221"/>
      <c r="I1133" s="9"/>
      <c r="J1133" s="68"/>
      <c r="K1133" s="68"/>
      <c r="L1133" s="68"/>
      <c r="M1133" s="229"/>
      <c r="N1133" s="68"/>
      <c r="O1133" s="68"/>
      <c r="P1133" s="68"/>
      <c r="Q1133" s="68"/>
      <c r="R1133" s="68"/>
    </row>
    <row r="1134" spans="1:18" ht="12" customHeight="1">
      <c r="A1134" s="221"/>
      <c r="I1134" s="9"/>
      <c r="J1134" s="68"/>
      <c r="K1134" s="68"/>
      <c r="L1134" s="68"/>
      <c r="M1134" s="229"/>
      <c r="N1134" s="68"/>
      <c r="O1134" s="68"/>
      <c r="P1134" s="68"/>
      <c r="Q1134" s="68"/>
      <c r="R1134" s="68"/>
    </row>
    <row r="1135" spans="1:18" ht="12" customHeight="1">
      <c r="A1135" s="221"/>
      <c r="I1135" s="9"/>
      <c r="J1135" s="68"/>
      <c r="K1135" s="68"/>
      <c r="L1135" s="68"/>
      <c r="M1135" s="229"/>
      <c r="N1135" s="68"/>
      <c r="O1135" s="68"/>
      <c r="P1135" s="68"/>
      <c r="Q1135" s="68"/>
      <c r="R1135" s="68"/>
    </row>
    <row r="1136" spans="1:18" ht="12" customHeight="1">
      <c r="A1136" s="221"/>
      <c r="I1136" s="9"/>
      <c r="J1136" s="68"/>
      <c r="K1136" s="68"/>
      <c r="L1136" s="68"/>
      <c r="M1136" s="229"/>
      <c r="N1136" s="68"/>
      <c r="O1136" s="68"/>
      <c r="P1136" s="68"/>
      <c r="Q1136" s="68"/>
      <c r="R1136" s="68"/>
    </row>
    <row r="1137" spans="1:18" ht="12" customHeight="1">
      <c r="A1137" s="221"/>
      <c r="I1137" s="9"/>
      <c r="J1137" s="68"/>
      <c r="K1137" s="68"/>
      <c r="L1137" s="68"/>
      <c r="M1137" s="229"/>
      <c r="N1137" s="68"/>
      <c r="O1137" s="68"/>
      <c r="P1137" s="68"/>
      <c r="Q1137" s="68"/>
      <c r="R1137" s="68"/>
    </row>
    <row r="1138" spans="1:18" ht="12" customHeight="1">
      <c r="A1138" s="221"/>
      <c r="I1138" s="9"/>
      <c r="J1138" s="68"/>
      <c r="K1138" s="68"/>
      <c r="L1138" s="68"/>
      <c r="M1138" s="229"/>
      <c r="N1138" s="68"/>
      <c r="O1138" s="68"/>
      <c r="P1138" s="68"/>
      <c r="Q1138" s="68"/>
      <c r="R1138" s="68"/>
    </row>
    <row r="1139" spans="1:18" ht="12" customHeight="1">
      <c r="A1139" s="221"/>
      <c r="I1139" s="9"/>
      <c r="J1139" s="68"/>
      <c r="K1139" s="68"/>
      <c r="L1139" s="68"/>
      <c r="M1139" s="229"/>
      <c r="N1139" s="68"/>
      <c r="O1139" s="68"/>
      <c r="P1139" s="68"/>
      <c r="Q1139" s="68"/>
      <c r="R1139" s="68"/>
    </row>
    <row r="1140" spans="1:18" ht="12" customHeight="1">
      <c r="A1140" s="221"/>
      <c r="I1140" s="9"/>
      <c r="J1140" s="68"/>
      <c r="K1140" s="68"/>
      <c r="L1140" s="68"/>
      <c r="M1140" s="229"/>
      <c r="N1140" s="68"/>
      <c r="O1140" s="68"/>
      <c r="P1140" s="68"/>
      <c r="Q1140" s="68"/>
      <c r="R1140" s="68"/>
    </row>
    <row r="1141" spans="1:18" ht="12" customHeight="1">
      <c r="A1141" s="221"/>
      <c r="I1141" s="9"/>
      <c r="J1141" s="68"/>
      <c r="K1141" s="68"/>
      <c r="L1141" s="68"/>
      <c r="M1141" s="229"/>
      <c r="N1141" s="68"/>
      <c r="O1141" s="68"/>
      <c r="P1141" s="68"/>
      <c r="Q1141" s="68"/>
      <c r="R1141" s="68"/>
    </row>
    <row r="1142" spans="1:18" ht="12" customHeight="1">
      <c r="A1142" s="221"/>
      <c r="I1142" s="9"/>
      <c r="J1142" s="68"/>
      <c r="K1142" s="68"/>
      <c r="L1142" s="68"/>
      <c r="M1142" s="229"/>
      <c r="N1142" s="68"/>
      <c r="O1142" s="68"/>
      <c r="P1142" s="68"/>
      <c r="Q1142" s="68"/>
      <c r="R1142" s="68"/>
    </row>
    <row r="1143" spans="1:18" ht="12" customHeight="1">
      <c r="A1143" s="221"/>
      <c r="I1143" s="9"/>
      <c r="J1143" s="68"/>
      <c r="K1143" s="68"/>
      <c r="L1143" s="68"/>
      <c r="M1143" s="229"/>
      <c r="N1143" s="68"/>
      <c r="O1143" s="68"/>
      <c r="P1143" s="68"/>
      <c r="Q1143" s="68"/>
      <c r="R1143" s="68"/>
    </row>
    <row r="1144" spans="1:18" ht="12" customHeight="1">
      <c r="A1144" s="221"/>
      <c r="I1144" s="9"/>
      <c r="J1144" s="68"/>
      <c r="K1144" s="68"/>
      <c r="L1144" s="68"/>
      <c r="M1144" s="229"/>
      <c r="N1144" s="68"/>
      <c r="O1144" s="68"/>
      <c r="P1144" s="68"/>
      <c r="Q1144" s="68"/>
      <c r="R1144" s="68"/>
    </row>
    <row r="1145" spans="1:18" ht="12" customHeight="1">
      <c r="A1145" s="221"/>
      <c r="I1145" s="9"/>
      <c r="J1145" s="68"/>
      <c r="K1145" s="68"/>
      <c r="L1145" s="68"/>
      <c r="M1145" s="229"/>
      <c r="N1145" s="68"/>
      <c r="O1145" s="68"/>
      <c r="P1145" s="68"/>
      <c r="Q1145" s="68"/>
      <c r="R1145" s="68"/>
    </row>
    <row r="1146" spans="1:18" ht="12" customHeight="1">
      <c r="A1146" s="221"/>
      <c r="I1146" s="9"/>
      <c r="J1146" s="68"/>
      <c r="K1146" s="68"/>
      <c r="L1146" s="68"/>
      <c r="M1146" s="229"/>
      <c r="N1146" s="68"/>
      <c r="O1146" s="68"/>
      <c r="P1146" s="68"/>
      <c r="Q1146" s="68"/>
      <c r="R1146" s="68"/>
    </row>
    <row r="1147" spans="1:18" ht="12" customHeight="1">
      <c r="A1147" s="221"/>
      <c r="I1147" s="9"/>
      <c r="J1147" s="68"/>
      <c r="K1147" s="68"/>
      <c r="L1147" s="68"/>
      <c r="M1147" s="229"/>
      <c r="N1147" s="68"/>
      <c r="O1147" s="68"/>
      <c r="P1147" s="68"/>
      <c r="Q1147" s="68"/>
      <c r="R1147" s="68"/>
    </row>
    <row r="1148" spans="1:18" ht="12" customHeight="1">
      <c r="A1148" s="221"/>
      <c r="I1148" s="9"/>
      <c r="J1148" s="68"/>
      <c r="K1148" s="68"/>
      <c r="L1148" s="68"/>
      <c r="M1148" s="229"/>
      <c r="N1148" s="68"/>
      <c r="O1148" s="68"/>
      <c r="P1148" s="68"/>
      <c r="Q1148" s="68"/>
      <c r="R1148" s="68"/>
    </row>
    <row r="1149" spans="1:18" ht="12" customHeight="1">
      <c r="A1149" s="221"/>
      <c r="I1149" s="9"/>
      <c r="J1149" s="68"/>
      <c r="K1149" s="68"/>
      <c r="L1149" s="68"/>
      <c r="M1149" s="229"/>
      <c r="N1149" s="68"/>
      <c r="O1149" s="68"/>
      <c r="P1149" s="68"/>
      <c r="Q1149" s="68"/>
      <c r="R1149" s="68"/>
    </row>
    <row r="1150" spans="1:18" ht="12" customHeight="1">
      <c r="A1150" s="221"/>
      <c r="I1150" s="9"/>
      <c r="J1150" s="68"/>
      <c r="K1150" s="68"/>
      <c r="L1150" s="68"/>
      <c r="M1150" s="229"/>
      <c r="N1150" s="68"/>
      <c r="O1150" s="68"/>
      <c r="P1150" s="68"/>
      <c r="Q1150" s="68"/>
      <c r="R1150" s="68"/>
    </row>
    <row r="1151" spans="1:18" ht="12" customHeight="1">
      <c r="A1151" s="221"/>
      <c r="I1151" s="9"/>
      <c r="J1151" s="68"/>
      <c r="K1151" s="68"/>
      <c r="L1151" s="68"/>
      <c r="M1151" s="229"/>
      <c r="N1151" s="68"/>
      <c r="O1151" s="68"/>
      <c r="P1151" s="68"/>
      <c r="Q1151" s="68"/>
      <c r="R1151" s="68"/>
    </row>
    <row r="1152" spans="1:18" ht="12" customHeight="1">
      <c r="A1152" s="221"/>
      <c r="I1152" s="9"/>
      <c r="J1152" s="68"/>
      <c r="K1152" s="68"/>
      <c r="L1152" s="68"/>
      <c r="M1152" s="229"/>
      <c r="N1152" s="68"/>
      <c r="O1152" s="68"/>
      <c r="P1152" s="68"/>
      <c r="Q1152" s="68"/>
      <c r="R1152" s="68"/>
    </row>
    <row r="1153" spans="1:18" ht="12" customHeight="1">
      <c r="A1153" s="221"/>
      <c r="I1153" s="9"/>
      <c r="J1153" s="68"/>
      <c r="K1153" s="68"/>
      <c r="L1153" s="68"/>
      <c r="M1153" s="229"/>
      <c r="N1153" s="68"/>
      <c r="O1153" s="68"/>
      <c r="P1153" s="68"/>
      <c r="Q1153" s="68"/>
      <c r="R1153" s="68"/>
    </row>
    <row r="1154" spans="1:18" ht="12" customHeight="1">
      <c r="A1154" s="221"/>
      <c r="I1154" s="9"/>
      <c r="J1154" s="68"/>
      <c r="K1154" s="68"/>
      <c r="L1154" s="68"/>
      <c r="M1154" s="229"/>
      <c r="N1154" s="68"/>
      <c r="O1154" s="68"/>
      <c r="P1154" s="68"/>
      <c r="Q1154" s="68"/>
      <c r="R1154" s="68"/>
    </row>
    <row r="1155" spans="1:18" ht="12" customHeight="1">
      <c r="A1155" s="221"/>
      <c r="I1155" s="9"/>
      <c r="J1155" s="68"/>
      <c r="K1155" s="68"/>
      <c r="L1155" s="68"/>
      <c r="M1155" s="229"/>
      <c r="N1155" s="68"/>
      <c r="O1155" s="68"/>
      <c r="P1155" s="68"/>
      <c r="Q1155" s="68"/>
      <c r="R1155" s="68"/>
    </row>
    <row r="1156" spans="1:18" ht="12" customHeight="1">
      <c r="A1156" s="221"/>
      <c r="I1156" s="9"/>
      <c r="J1156" s="68"/>
      <c r="K1156" s="68"/>
      <c r="L1156" s="68"/>
      <c r="M1156" s="229"/>
      <c r="N1156" s="68"/>
      <c r="O1156" s="68"/>
      <c r="P1156" s="68"/>
      <c r="Q1156" s="68"/>
      <c r="R1156" s="68"/>
    </row>
    <row r="1157" spans="1:18" ht="12" customHeight="1">
      <c r="A1157" s="221"/>
      <c r="I1157" s="9"/>
      <c r="J1157" s="68"/>
      <c r="K1157" s="68"/>
      <c r="L1157" s="68"/>
      <c r="M1157" s="229"/>
      <c r="N1157" s="68"/>
      <c r="O1157" s="68"/>
      <c r="P1157" s="68"/>
      <c r="Q1157" s="68"/>
      <c r="R1157" s="68"/>
    </row>
    <row r="1158" spans="1:18" ht="12" customHeight="1">
      <c r="A1158" s="221"/>
      <c r="I1158" s="9"/>
      <c r="J1158" s="68"/>
      <c r="K1158" s="68"/>
      <c r="L1158" s="68"/>
      <c r="M1158" s="229"/>
      <c r="N1158" s="68"/>
      <c r="O1158" s="68"/>
      <c r="P1158" s="68"/>
      <c r="Q1158" s="68"/>
      <c r="R1158" s="68"/>
    </row>
    <row r="1159" spans="1:18" ht="12" customHeight="1">
      <c r="A1159" s="221"/>
      <c r="I1159" s="9"/>
      <c r="J1159" s="68"/>
      <c r="K1159" s="68"/>
      <c r="L1159" s="68"/>
      <c r="M1159" s="229"/>
      <c r="N1159" s="68"/>
      <c r="O1159" s="68"/>
      <c r="P1159" s="68"/>
      <c r="Q1159" s="68"/>
      <c r="R1159" s="68"/>
    </row>
    <row r="1160" spans="1:18" ht="12" customHeight="1">
      <c r="A1160" s="221"/>
      <c r="I1160" s="9"/>
      <c r="J1160" s="68"/>
      <c r="K1160" s="68"/>
      <c r="L1160" s="68"/>
      <c r="M1160" s="229"/>
      <c r="N1160" s="68"/>
      <c r="O1160" s="68"/>
      <c r="P1160" s="68"/>
      <c r="Q1160" s="68"/>
      <c r="R1160" s="68"/>
    </row>
    <row r="1161" spans="1:18" ht="12" customHeight="1">
      <c r="A1161" s="221"/>
      <c r="I1161" s="9"/>
      <c r="J1161" s="68"/>
      <c r="K1161" s="68"/>
      <c r="L1161" s="68"/>
      <c r="M1161" s="229"/>
      <c r="N1161" s="68"/>
      <c r="O1161" s="68"/>
      <c r="P1161" s="68"/>
      <c r="Q1161" s="68"/>
      <c r="R1161" s="68"/>
    </row>
    <row r="1162" spans="1:18" ht="12" customHeight="1">
      <c r="A1162" s="221"/>
      <c r="I1162" s="9"/>
      <c r="J1162" s="68"/>
      <c r="K1162" s="68"/>
      <c r="L1162" s="68"/>
      <c r="M1162" s="229"/>
      <c r="N1162" s="68"/>
      <c r="O1162" s="68"/>
      <c r="P1162" s="68"/>
      <c r="Q1162" s="68"/>
      <c r="R1162" s="68"/>
    </row>
    <row r="1163" spans="1:18" ht="12" customHeight="1">
      <c r="A1163" s="221"/>
      <c r="I1163" s="9"/>
      <c r="J1163" s="68"/>
      <c r="K1163" s="68"/>
      <c r="L1163" s="68"/>
      <c r="M1163" s="229"/>
      <c r="N1163" s="68"/>
      <c r="O1163" s="68"/>
      <c r="P1163" s="68"/>
      <c r="Q1163" s="68"/>
      <c r="R1163" s="68"/>
    </row>
    <row r="1164" spans="1:18" ht="12" customHeight="1">
      <c r="A1164" s="221"/>
      <c r="I1164" s="9"/>
      <c r="J1164" s="68"/>
      <c r="K1164" s="68"/>
      <c r="L1164" s="68"/>
      <c r="M1164" s="229"/>
      <c r="N1164" s="68"/>
      <c r="O1164" s="68"/>
      <c r="P1164" s="68"/>
      <c r="Q1164" s="68"/>
      <c r="R1164" s="68"/>
    </row>
    <row r="1165" spans="1:18" ht="12" customHeight="1">
      <c r="A1165" s="221"/>
      <c r="I1165" s="9"/>
      <c r="J1165" s="68"/>
      <c r="K1165" s="68"/>
      <c r="L1165" s="68"/>
      <c r="M1165" s="229"/>
      <c r="N1165" s="68"/>
      <c r="O1165" s="68"/>
      <c r="P1165" s="68"/>
      <c r="Q1165" s="68"/>
      <c r="R1165" s="68"/>
    </row>
    <row r="1166" spans="1:18" ht="12" customHeight="1">
      <c r="A1166" s="221"/>
      <c r="I1166" s="9"/>
      <c r="J1166" s="68"/>
      <c r="K1166" s="68"/>
      <c r="L1166" s="68"/>
      <c r="M1166" s="229"/>
      <c r="N1166" s="68"/>
      <c r="O1166" s="68"/>
      <c r="P1166" s="68"/>
      <c r="Q1166" s="68"/>
      <c r="R1166" s="68"/>
    </row>
    <row r="1167" spans="1:18" ht="12" customHeight="1">
      <c r="A1167" s="221"/>
      <c r="I1167" s="9"/>
      <c r="J1167" s="68"/>
      <c r="K1167" s="68"/>
      <c r="L1167" s="68"/>
      <c r="M1167" s="229"/>
      <c r="N1167" s="68"/>
      <c r="O1167" s="68"/>
      <c r="P1167" s="68"/>
      <c r="Q1167" s="68"/>
      <c r="R1167" s="68"/>
    </row>
    <row r="1168" spans="1:18" ht="12" customHeight="1">
      <c r="A1168" s="221"/>
      <c r="I1168" s="9"/>
      <c r="J1168" s="68"/>
      <c r="K1168" s="68"/>
      <c r="L1168" s="68"/>
      <c r="M1168" s="229"/>
      <c r="N1168" s="68"/>
      <c r="O1168" s="68"/>
      <c r="P1168" s="68"/>
      <c r="Q1168" s="68"/>
      <c r="R1168" s="68"/>
    </row>
    <row r="1169" spans="1:18" ht="12" customHeight="1">
      <c r="A1169" s="221"/>
      <c r="I1169" s="9"/>
      <c r="J1169" s="68"/>
      <c r="K1169" s="68"/>
      <c r="L1169" s="68"/>
      <c r="M1169" s="229"/>
      <c r="N1169" s="68"/>
      <c r="O1169" s="68"/>
      <c r="P1169" s="68"/>
      <c r="Q1169" s="68"/>
      <c r="R1169" s="68"/>
    </row>
    <row r="1170" spans="1:18" ht="12" customHeight="1">
      <c r="A1170" s="221"/>
      <c r="I1170" s="9"/>
      <c r="J1170" s="68"/>
      <c r="K1170" s="68"/>
      <c r="L1170" s="68"/>
      <c r="M1170" s="229"/>
      <c r="N1170" s="68"/>
      <c r="O1170" s="68"/>
      <c r="P1170" s="68"/>
      <c r="Q1170" s="68"/>
      <c r="R1170" s="68"/>
    </row>
    <row r="1171" spans="1:18" ht="12" customHeight="1">
      <c r="A1171" s="221"/>
      <c r="I1171" s="9"/>
      <c r="J1171" s="68"/>
      <c r="K1171" s="68"/>
      <c r="L1171" s="68"/>
      <c r="M1171" s="229"/>
      <c r="N1171" s="68"/>
      <c r="O1171" s="68"/>
      <c r="P1171" s="68"/>
      <c r="Q1171" s="68"/>
      <c r="R1171" s="68"/>
    </row>
    <row r="1172" spans="1:18" ht="12" customHeight="1">
      <c r="A1172" s="221"/>
      <c r="I1172" s="9"/>
      <c r="J1172" s="68"/>
      <c r="K1172" s="68"/>
      <c r="L1172" s="68"/>
      <c r="M1172" s="229"/>
      <c r="N1172" s="68"/>
      <c r="O1172" s="68"/>
      <c r="P1172" s="68"/>
      <c r="Q1172" s="68"/>
      <c r="R1172" s="68"/>
    </row>
    <row r="1173" spans="1:18" ht="12" customHeight="1">
      <c r="A1173" s="221"/>
      <c r="I1173" s="9"/>
      <c r="J1173" s="68"/>
      <c r="K1173" s="68"/>
      <c r="L1173" s="68"/>
      <c r="M1173" s="229"/>
      <c r="N1173" s="68"/>
      <c r="O1173" s="68"/>
      <c r="P1173" s="68"/>
      <c r="Q1173" s="68"/>
      <c r="R1173" s="68"/>
    </row>
    <row r="1174" spans="1:18" ht="12" customHeight="1">
      <c r="A1174" s="221"/>
      <c r="I1174" s="9"/>
      <c r="J1174" s="68"/>
      <c r="K1174" s="68"/>
      <c r="L1174" s="68"/>
      <c r="M1174" s="229"/>
      <c r="N1174" s="68"/>
      <c r="O1174" s="68"/>
      <c r="P1174" s="68"/>
      <c r="Q1174" s="68"/>
      <c r="R1174" s="68"/>
    </row>
    <row r="1175" spans="1:18" ht="12" customHeight="1">
      <c r="A1175" s="221"/>
      <c r="I1175" s="9"/>
      <c r="J1175" s="68"/>
      <c r="K1175" s="68"/>
      <c r="L1175" s="68"/>
      <c r="M1175" s="229"/>
      <c r="N1175" s="68"/>
      <c r="O1175" s="68"/>
      <c r="P1175" s="68"/>
      <c r="Q1175" s="68"/>
      <c r="R1175" s="68"/>
    </row>
    <row r="1176" spans="1:18" ht="12" customHeight="1">
      <c r="A1176" s="221"/>
      <c r="I1176" s="9"/>
      <c r="J1176" s="68"/>
      <c r="K1176" s="68"/>
      <c r="L1176" s="68"/>
      <c r="M1176" s="229"/>
      <c r="N1176" s="68"/>
      <c r="O1176" s="68"/>
      <c r="P1176" s="68"/>
      <c r="Q1176" s="68"/>
      <c r="R1176" s="68"/>
    </row>
    <row r="1177" spans="1:18" ht="12" customHeight="1">
      <c r="A1177" s="221"/>
      <c r="I1177" s="9"/>
      <c r="J1177" s="68"/>
      <c r="K1177" s="68"/>
      <c r="L1177" s="68"/>
      <c r="M1177" s="229"/>
      <c r="N1177" s="68"/>
      <c r="O1177" s="68"/>
      <c r="P1177" s="68"/>
      <c r="Q1177" s="68"/>
      <c r="R1177" s="68"/>
    </row>
    <row r="1178" spans="1:18" ht="12" customHeight="1">
      <c r="A1178" s="221"/>
      <c r="I1178" s="9"/>
      <c r="J1178" s="68"/>
      <c r="K1178" s="68"/>
      <c r="L1178" s="68"/>
      <c r="M1178" s="229"/>
      <c r="N1178" s="68"/>
      <c r="O1178" s="68"/>
      <c r="P1178" s="68"/>
      <c r="Q1178" s="68"/>
      <c r="R1178" s="68"/>
    </row>
    <row r="1179" spans="1:18" ht="12" customHeight="1">
      <c r="A1179" s="221"/>
      <c r="I1179" s="9"/>
      <c r="J1179" s="68"/>
      <c r="K1179" s="68"/>
      <c r="L1179" s="68"/>
      <c r="M1179" s="229"/>
      <c r="N1179" s="68"/>
      <c r="O1179" s="68"/>
      <c r="P1179" s="68"/>
      <c r="Q1179" s="68"/>
      <c r="R1179" s="68"/>
    </row>
    <row r="1180" spans="1:18" ht="12" customHeight="1">
      <c r="A1180" s="221"/>
      <c r="I1180" s="9"/>
      <c r="J1180" s="68"/>
      <c r="K1180" s="68"/>
      <c r="L1180" s="68"/>
      <c r="M1180" s="229"/>
      <c r="N1180" s="68"/>
      <c r="O1180" s="68"/>
      <c r="P1180" s="68"/>
      <c r="Q1180" s="68"/>
      <c r="R1180" s="68"/>
    </row>
    <row r="1181" spans="1:18" ht="12" customHeight="1">
      <c r="A1181" s="221"/>
      <c r="I1181" s="9"/>
      <c r="J1181" s="68"/>
      <c r="K1181" s="68"/>
      <c r="L1181" s="68"/>
      <c r="M1181" s="229"/>
      <c r="N1181" s="68"/>
      <c r="O1181" s="68"/>
      <c r="P1181" s="68"/>
      <c r="Q1181" s="68"/>
      <c r="R1181" s="68"/>
    </row>
    <row r="1182" spans="1:18" ht="12" customHeight="1">
      <c r="A1182" s="221"/>
      <c r="I1182" s="9"/>
      <c r="J1182" s="68"/>
      <c r="K1182" s="68"/>
      <c r="L1182" s="68"/>
      <c r="M1182" s="229"/>
      <c r="N1182" s="68"/>
      <c r="O1182" s="68"/>
      <c r="P1182" s="68"/>
      <c r="Q1182" s="68"/>
      <c r="R1182" s="68"/>
    </row>
    <row r="1183" spans="1:18" ht="12" customHeight="1">
      <c r="A1183" s="221"/>
      <c r="I1183" s="9"/>
      <c r="J1183" s="68"/>
      <c r="K1183" s="68"/>
      <c r="L1183" s="68"/>
      <c r="M1183" s="229"/>
      <c r="N1183" s="68"/>
      <c r="O1183" s="68"/>
      <c r="P1183" s="68"/>
      <c r="Q1183" s="68"/>
      <c r="R1183" s="68"/>
    </row>
    <row r="1184" spans="1:18" ht="12" customHeight="1">
      <c r="A1184" s="221"/>
      <c r="I1184" s="9"/>
      <c r="J1184" s="68"/>
      <c r="K1184" s="68"/>
      <c r="L1184" s="68"/>
      <c r="M1184" s="229"/>
      <c r="N1184" s="68"/>
      <c r="O1184" s="68"/>
      <c r="P1184" s="68"/>
      <c r="Q1184" s="68"/>
      <c r="R1184" s="68"/>
    </row>
    <row r="1185" spans="1:18" ht="12" customHeight="1">
      <c r="A1185" s="221"/>
      <c r="I1185" s="9"/>
      <c r="J1185" s="68"/>
      <c r="K1185" s="68"/>
      <c r="L1185" s="68"/>
      <c r="M1185" s="229"/>
      <c r="N1185" s="68"/>
      <c r="O1185" s="68"/>
      <c r="P1185" s="68"/>
      <c r="Q1185" s="68"/>
      <c r="R1185" s="68"/>
    </row>
    <row r="1186" spans="1:18" ht="12" customHeight="1">
      <c r="A1186" s="221"/>
      <c r="I1186" s="9"/>
      <c r="J1186" s="68"/>
      <c r="K1186" s="68"/>
      <c r="L1186" s="68"/>
      <c r="M1186" s="229"/>
      <c r="N1186" s="68"/>
      <c r="O1186" s="68"/>
      <c r="P1186" s="68"/>
      <c r="Q1186" s="68"/>
      <c r="R1186" s="68"/>
    </row>
    <row r="1187" spans="1:18" ht="12" customHeight="1">
      <c r="A1187" s="221"/>
      <c r="I1187" s="9"/>
      <c r="J1187" s="68"/>
      <c r="K1187" s="68"/>
      <c r="L1187" s="68"/>
      <c r="M1187" s="229"/>
      <c r="N1187" s="68"/>
      <c r="O1187" s="68"/>
      <c r="P1187" s="68"/>
      <c r="Q1187" s="68"/>
      <c r="R1187" s="68"/>
    </row>
    <row r="1188" spans="1:18" ht="12" customHeight="1">
      <c r="A1188" s="221"/>
      <c r="I1188" s="9"/>
      <c r="J1188" s="68"/>
      <c r="K1188" s="68"/>
      <c r="L1188" s="68"/>
      <c r="M1188" s="229"/>
      <c r="N1188" s="68"/>
      <c r="O1188" s="68"/>
      <c r="P1188" s="68"/>
      <c r="Q1188" s="68"/>
      <c r="R1188" s="68"/>
    </row>
    <row r="1189" spans="1:18" ht="12" customHeight="1">
      <c r="A1189" s="221"/>
      <c r="I1189" s="9"/>
      <c r="J1189" s="68"/>
      <c r="K1189" s="68"/>
      <c r="L1189" s="68"/>
      <c r="M1189" s="229"/>
      <c r="N1189" s="68"/>
      <c r="O1189" s="68"/>
      <c r="P1189" s="68"/>
      <c r="Q1189" s="68"/>
      <c r="R1189" s="68"/>
    </row>
    <row r="1190" spans="1:18" ht="12" customHeight="1">
      <c r="A1190" s="221"/>
      <c r="I1190" s="9"/>
      <c r="J1190" s="68"/>
      <c r="K1190" s="68"/>
      <c r="L1190" s="68"/>
      <c r="M1190" s="229"/>
      <c r="N1190" s="68"/>
      <c r="O1190" s="68"/>
      <c r="P1190" s="68"/>
      <c r="Q1190" s="68"/>
      <c r="R1190" s="68"/>
    </row>
    <row r="1191" spans="1:18" ht="12" customHeight="1">
      <c r="A1191" s="221"/>
      <c r="I1191" s="9"/>
      <c r="J1191" s="68"/>
      <c r="K1191" s="68"/>
      <c r="L1191" s="68"/>
      <c r="M1191" s="229"/>
      <c r="N1191" s="68"/>
      <c r="O1191" s="68"/>
      <c r="P1191" s="68"/>
      <c r="Q1191" s="68"/>
      <c r="R1191" s="68"/>
    </row>
    <row r="1192" spans="1:18" ht="12" customHeight="1">
      <c r="A1192" s="221"/>
      <c r="I1192" s="9"/>
      <c r="J1192" s="68"/>
      <c r="K1192" s="68"/>
      <c r="L1192" s="68"/>
      <c r="M1192" s="229"/>
      <c r="N1192" s="68"/>
      <c r="O1192" s="68"/>
      <c r="P1192" s="68"/>
      <c r="Q1192" s="68"/>
      <c r="R1192" s="68"/>
    </row>
    <row r="1193" spans="1:18" ht="12" customHeight="1">
      <c r="A1193" s="221"/>
      <c r="I1193" s="9"/>
      <c r="J1193" s="68"/>
      <c r="K1193" s="68"/>
      <c r="L1193" s="68"/>
      <c r="M1193" s="229"/>
      <c r="N1193" s="68"/>
      <c r="O1193" s="68"/>
      <c r="P1193" s="68"/>
      <c r="Q1193" s="68"/>
      <c r="R1193" s="68"/>
    </row>
    <row r="1194" spans="1:18" ht="12" customHeight="1">
      <c r="A1194" s="221"/>
      <c r="I1194" s="9"/>
      <c r="J1194" s="68"/>
      <c r="K1194" s="68"/>
      <c r="L1194" s="68"/>
      <c r="M1194" s="229"/>
      <c r="N1194" s="68"/>
      <c r="O1194" s="68"/>
      <c r="P1194" s="68"/>
      <c r="Q1194" s="68"/>
      <c r="R1194" s="68"/>
    </row>
    <row r="1195" spans="1:18" ht="12" customHeight="1">
      <c r="A1195" s="221"/>
      <c r="I1195" s="9"/>
      <c r="J1195" s="68"/>
      <c r="K1195" s="68"/>
      <c r="L1195" s="68"/>
      <c r="M1195" s="229"/>
      <c r="N1195" s="68"/>
      <c r="O1195" s="68"/>
      <c r="P1195" s="68"/>
      <c r="Q1195" s="68"/>
      <c r="R1195" s="68"/>
    </row>
    <row r="1196" spans="1:18" ht="12" customHeight="1">
      <c r="A1196" s="221"/>
      <c r="I1196" s="9"/>
      <c r="J1196" s="68"/>
      <c r="K1196" s="68"/>
      <c r="L1196" s="68"/>
      <c r="M1196" s="229"/>
      <c r="N1196" s="68"/>
      <c r="O1196" s="68"/>
      <c r="P1196" s="68"/>
      <c r="Q1196" s="68"/>
      <c r="R1196" s="68"/>
    </row>
    <row r="1197" spans="1:18" ht="12" customHeight="1">
      <c r="A1197" s="221"/>
      <c r="I1197" s="9"/>
      <c r="J1197" s="68"/>
      <c r="K1197" s="68"/>
      <c r="L1197" s="68"/>
      <c r="M1197" s="229"/>
      <c r="N1197" s="68"/>
      <c r="O1197" s="68"/>
      <c r="P1197" s="68"/>
      <c r="Q1197" s="68"/>
      <c r="R1197" s="68"/>
    </row>
    <row r="1198" spans="1:18" ht="12" customHeight="1">
      <c r="A1198" s="221"/>
      <c r="I1198" s="9"/>
      <c r="J1198" s="68"/>
      <c r="K1198" s="68"/>
      <c r="L1198" s="68"/>
      <c r="M1198" s="229"/>
      <c r="N1198" s="68"/>
      <c r="O1198" s="68"/>
      <c r="P1198" s="68"/>
      <c r="Q1198" s="68"/>
      <c r="R1198" s="68"/>
    </row>
    <row r="1199" spans="1:18" ht="12" customHeight="1">
      <c r="A1199" s="221"/>
      <c r="I1199" s="9"/>
      <c r="J1199" s="68"/>
      <c r="K1199" s="68"/>
      <c r="L1199" s="68"/>
      <c r="M1199" s="229"/>
      <c r="N1199" s="68"/>
      <c r="O1199" s="68"/>
      <c r="P1199" s="68"/>
      <c r="Q1199" s="68"/>
      <c r="R1199" s="68"/>
    </row>
    <row r="1200" spans="1:18" ht="12" customHeight="1">
      <c r="A1200" s="221"/>
      <c r="I1200" s="9"/>
      <c r="J1200" s="68"/>
      <c r="K1200" s="68"/>
      <c r="L1200" s="68"/>
      <c r="M1200" s="229"/>
      <c r="N1200" s="68"/>
      <c r="O1200" s="68"/>
      <c r="P1200" s="68"/>
      <c r="Q1200" s="68"/>
      <c r="R1200" s="68"/>
    </row>
    <row r="1201" spans="1:18" ht="12" customHeight="1">
      <c r="A1201" s="221"/>
      <c r="I1201" s="9"/>
      <c r="J1201" s="68"/>
      <c r="K1201" s="68"/>
      <c r="L1201" s="68"/>
      <c r="M1201" s="229"/>
      <c r="N1201" s="68"/>
      <c r="O1201" s="68"/>
      <c r="P1201" s="68"/>
      <c r="Q1201" s="68"/>
      <c r="R1201" s="68"/>
    </row>
    <row r="1202" spans="1:18" ht="12" customHeight="1">
      <c r="A1202" s="221"/>
      <c r="I1202" s="9"/>
      <c r="J1202" s="68"/>
      <c r="K1202" s="68"/>
      <c r="L1202" s="68"/>
      <c r="M1202" s="229"/>
      <c r="N1202" s="68"/>
      <c r="O1202" s="68"/>
      <c r="P1202" s="68"/>
      <c r="Q1202" s="68"/>
      <c r="R1202" s="68"/>
    </row>
    <row r="1203" spans="1:18" ht="12" customHeight="1">
      <c r="A1203" s="221"/>
      <c r="I1203" s="9"/>
      <c r="J1203" s="68"/>
      <c r="K1203" s="68"/>
      <c r="L1203" s="68"/>
      <c r="M1203" s="229"/>
      <c r="N1203" s="68"/>
      <c r="O1203" s="68"/>
      <c r="P1203" s="68"/>
      <c r="Q1203" s="68"/>
      <c r="R1203" s="68"/>
    </row>
    <row r="1204" spans="1:18" ht="12" customHeight="1">
      <c r="A1204" s="221"/>
      <c r="I1204" s="9"/>
      <c r="J1204" s="68"/>
      <c r="K1204" s="68"/>
      <c r="L1204" s="68"/>
      <c r="M1204" s="229"/>
      <c r="N1204" s="68"/>
      <c r="O1204" s="68"/>
      <c r="P1204" s="68"/>
      <c r="Q1204" s="68"/>
      <c r="R1204" s="68"/>
    </row>
    <row r="1205" spans="1:18" ht="12" customHeight="1">
      <c r="A1205" s="221"/>
      <c r="I1205" s="9"/>
      <c r="J1205" s="68"/>
      <c r="K1205" s="68"/>
      <c r="L1205" s="68"/>
      <c r="M1205" s="229"/>
      <c r="N1205" s="68"/>
      <c r="O1205" s="68"/>
      <c r="P1205" s="68"/>
      <c r="Q1205" s="68"/>
      <c r="R1205" s="68"/>
    </row>
    <row r="1206" spans="1:18" ht="12" customHeight="1">
      <c r="A1206" s="221"/>
      <c r="I1206" s="9"/>
      <c r="J1206" s="68"/>
      <c r="K1206" s="68"/>
      <c r="L1206" s="68"/>
      <c r="M1206" s="229"/>
      <c r="N1206" s="68"/>
      <c r="O1206" s="68"/>
      <c r="P1206" s="68"/>
      <c r="Q1206" s="68"/>
      <c r="R1206" s="68"/>
    </row>
    <row r="1207" spans="1:18" ht="12" customHeight="1">
      <c r="A1207" s="221"/>
      <c r="I1207" s="9"/>
      <c r="J1207" s="68"/>
      <c r="K1207" s="68"/>
      <c r="L1207" s="68"/>
      <c r="M1207" s="229"/>
      <c r="N1207" s="68"/>
      <c r="O1207" s="68"/>
      <c r="P1207" s="68"/>
      <c r="Q1207" s="68"/>
      <c r="R1207" s="68"/>
    </row>
    <row r="1208" spans="1:18" ht="12" customHeight="1">
      <c r="A1208" s="221"/>
      <c r="I1208" s="9"/>
      <c r="J1208" s="68"/>
      <c r="K1208" s="68"/>
      <c r="L1208" s="68"/>
      <c r="M1208" s="229"/>
      <c r="N1208" s="68"/>
      <c r="O1208" s="68"/>
      <c r="P1208" s="68"/>
      <c r="Q1208" s="68"/>
      <c r="R1208" s="68"/>
    </row>
    <row r="1209" spans="1:18" ht="12" customHeight="1">
      <c r="A1209" s="221"/>
      <c r="I1209" s="9"/>
      <c r="J1209" s="68"/>
      <c r="K1209" s="68"/>
      <c r="L1209" s="68"/>
      <c r="M1209" s="229"/>
      <c r="N1209" s="68"/>
      <c r="O1209" s="68"/>
      <c r="P1209" s="68"/>
      <c r="Q1209" s="68"/>
      <c r="R1209" s="68"/>
    </row>
    <row r="1210" spans="1:18" ht="12" customHeight="1">
      <c r="A1210" s="221"/>
      <c r="I1210" s="9"/>
      <c r="J1210" s="68"/>
      <c r="K1210" s="68"/>
      <c r="L1210" s="68"/>
      <c r="M1210" s="229"/>
      <c r="N1210" s="68"/>
      <c r="O1210" s="68"/>
      <c r="P1210" s="68"/>
      <c r="Q1210" s="68"/>
      <c r="R1210" s="68"/>
    </row>
    <row r="1211" spans="1:18" ht="12" customHeight="1">
      <c r="A1211" s="221"/>
      <c r="I1211" s="9"/>
      <c r="J1211" s="68"/>
      <c r="K1211" s="68"/>
      <c r="L1211" s="68"/>
      <c r="M1211" s="229"/>
      <c r="N1211" s="68"/>
      <c r="O1211" s="68"/>
      <c r="P1211" s="68"/>
      <c r="Q1211" s="68"/>
      <c r="R1211" s="68"/>
    </row>
    <row r="1212" spans="1:18" ht="12" customHeight="1">
      <c r="A1212" s="221"/>
      <c r="I1212" s="9"/>
      <c r="J1212" s="68"/>
      <c r="K1212" s="68"/>
      <c r="L1212" s="68"/>
      <c r="M1212" s="229"/>
      <c r="N1212" s="68"/>
      <c r="O1212" s="68"/>
      <c r="P1212" s="68"/>
      <c r="Q1212" s="68"/>
      <c r="R1212" s="68"/>
    </row>
    <row r="1213" spans="1:18" ht="12" customHeight="1">
      <c r="A1213" s="221"/>
      <c r="I1213" s="9"/>
      <c r="J1213" s="68"/>
      <c r="K1213" s="68"/>
      <c r="L1213" s="68"/>
      <c r="M1213" s="229"/>
      <c r="N1213" s="68"/>
      <c r="O1213" s="68"/>
      <c r="P1213" s="68"/>
      <c r="Q1213" s="68"/>
      <c r="R1213" s="68"/>
    </row>
    <row r="1214" spans="1:18" ht="12" customHeight="1">
      <c r="A1214" s="221"/>
      <c r="I1214" s="9"/>
      <c r="J1214" s="68"/>
      <c r="K1214" s="68"/>
      <c r="L1214" s="68"/>
      <c r="M1214" s="229"/>
      <c r="N1214" s="68"/>
      <c r="O1214" s="68"/>
      <c r="P1214" s="68"/>
      <c r="Q1214" s="68"/>
      <c r="R1214" s="68"/>
    </row>
    <row r="1215" spans="1:18" ht="12" customHeight="1">
      <c r="A1215" s="221"/>
      <c r="I1215" s="9"/>
      <c r="J1215" s="68"/>
      <c r="K1215" s="68"/>
      <c r="L1215" s="68"/>
      <c r="M1215" s="229"/>
      <c r="N1215" s="68"/>
      <c r="O1215" s="68"/>
      <c r="P1215" s="68"/>
      <c r="Q1215" s="68"/>
      <c r="R1215" s="68"/>
    </row>
    <row r="1216" spans="1:18" ht="12" customHeight="1">
      <c r="A1216" s="221"/>
      <c r="I1216" s="9"/>
      <c r="J1216" s="68"/>
      <c r="K1216" s="68"/>
      <c r="L1216" s="68"/>
      <c r="M1216" s="229"/>
      <c r="N1216" s="68"/>
      <c r="O1216" s="68"/>
      <c r="P1216" s="68"/>
      <c r="Q1216" s="68"/>
      <c r="R1216" s="68"/>
    </row>
    <row r="1217" spans="1:18" ht="12" customHeight="1">
      <c r="A1217" s="221"/>
      <c r="I1217" s="9"/>
      <c r="J1217" s="68"/>
      <c r="K1217" s="68"/>
      <c r="L1217" s="68"/>
      <c r="M1217" s="229"/>
      <c r="N1217" s="68"/>
      <c r="O1217" s="68"/>
      <c r="P1217" s="68"/>
      <c r="Q1217" s="68"/>
      <c r="R1217" s="68"/>
    </row>
    <row r="1218" spans="1:18" ht="12" customHeight="1">
      <c r="A1218" s="221"/>
      <c r="I1218" s="9"/>
      <c r="J1218" s="68"/>
      <c r="K1218" s="68"/>
      <c r="L1218" s="68"/>
      <c r="M1218" s="229"/>
      <c r="N1218" s="68"/>
      <c r="O1218" s="68"/>
      <c r="P1218" s="68"/>
      <c r="Q1218" s="68"/>
      <c r="R1218" s="68"/>
    </row>
    <row r="1219" spans="1:18" ht="12" customHeight="1">
      <c r="A1219" s="221"/>
      <c r="I1219" s="9"/>
      <c r="J1219" s="68"/>
      <c r="K1219" s="68"/>
      <c r="L1219" s="68"/>
      <c r="M1219" s="229"/>
      <c r="N1219" s="68"/>
      <c r="O1219" s="68"/>
      <c r="P1219" s="68"/>
      <c r="Q1219" s="68"/>
      <c r="R1219" s="68"/>
    </row>
    <row r="1220" spans="1:18" ht="12" customHeight="1">
      <c r="A1220" s="221"/>
      <c r="I1220" s="9"/>
      <c r="J1220" s="68"/>
      <c r="K1220" s="68"/>
      <c r="L1220" s="68"/>
      <c r="M1220" s="229"/>
      <c r="N1220" s="68"/>
      <c r="O1220" s="68"/>
      <c r="P1220" s="68"/>
      <c r="Q1220" s="68"/>
      <c r="R1220" s="68"/>
    </row>
    <row r="1221" spans="1:18" ht="12" customHeight="1">
      <c r="A1221" s="221"/>
      <c r="I1221" s="9"/>
      <c r="J1221" s="68"/>
      <c r="K1221" s="1"/>
      <c r="L1221" s="68"/>
      <c r="M1221" s="1"/>
      <c r="N1221" s="1"/>
      <c r="O1221" s="1"/>
      <c r="P1221" s="1"/>
      <c r="Q1221" s="1"/>
      <c r="R1221" s="1"/>
    </row>
    <row r="1222" spans="1:18" ht="12" customHeight="1">
      <c r="A1222" s="221"/>
      <c r="I1222" s="9"/>
      <c r="J1222" s="68"/>
      <c r="K1222" s="1"/>
      <c r="L1222" s="68"/>
      <c r="M1222" s="1"/>
      <c r="N1222" s="1"/>
      <c r="O1222" s="1"/>
      <c r="P1222" s="1"/>
      <c r="Q1222" s="1"/>
      <c r="R1222" s="1"/>
    </row>
    <row r="1223" spans="1:18" ht="12" customHeight="1">
      <c r="A1223" s="221"/>
      <c r="I1223" s="9"/>
      <c r="J1223" s="68"/>
      <c r="K1223" s="1"/>
      <c r="L1223" s="68"/>
      <c r="M1223" s="1"/>
      <c r="N1223" s="1"/>
      <c r="O1223" s="1"/>
      <c r="P1223" s="1"/>
      <c r="Q1223" s="1"/>
      <c r="R1223" s="1"/>
    </row>
    <row r="1224" spans="1:18" ht="12" customHeight="1">
      <c r="A1224" s="221"/>
      <c r="I1224" s="9"/>
      <c r="J1224" s="68"/>
      <c r="K1224" s="1"/>
      <c r="L1224" s="68"/>
      <c r="M1224" s="1"/>
      <c r="N1224" s="1"/>
      <c r="O1224" s="1"/>
      <c r="P1224" s="1"/>
      <c r="Q1224" s="1"/>
      <c r="R1224" s="1"/>
    </row>
    <row r="1225" spans="1:18" ht="12" customHeight="1">
      <c r="A1225" s="221"/>
      <c r="I1225" s="9"/>
      <c r="J1225" s="68"/>
      <c r="K1225" s="1"/>
      <c r="L1225" s="68"/>
      <c r="M1225" s="1"/>
      <c r="N1225" s="1"/>
      <c r="O1225" s="1"/>
      <c r="P1225" s="1"/>
      <c r="Q1225" s="1"/>
      <c r="R1225" s="1"/>
    </row>
    <row r="1226" spans="1:18" ht="12" customHeight="1">
      <c r="A1226" s="221"/>
      <c r="I1226" s="9"/>
      <c r="J1226" s="68"/>
      <c r="K1226" s="1"/>
      <c r="L1226" s="68"/>
      <c r="M1226" s="1"/>
      <c r="N1226" s="1"/>
      <c r="O1226" s="1"/>
      <c r="P1226" s="1"/>
      <c r="Q1226" s="1"/>
      <c r="R1226" s="1"/>
    </row>
    <row r="1227" spans="1:18" ht="12" customHeight="1">
      <c r="A1227" s="221"/>
      <c r="I1227" s="9"/>
      <c r="J1227" s="68"/>
      <c r="K1227" s="1"/>
      <c r="L1227" s="68"/>
      <c r="M1227" s="1"/>
      <c r="N1227" s="1"/>
      <c r="O1227" s="1"/>
      <c r="P1227" s="1"/>
      <c r="Q1227" s="1"/>
      <c r="R1227" s="1"/>
    </row>
    <row r="1228" spans="1:18" ht="12" customHeight="1">
      <c r="A1228" s="221"/>
      <c r="I1228" s="9"/>
      <c r="J1228" s="68"/>
      <c r="K1228" s="1"/>
      <c r="L1228" s="68"/>
      <c r="M1228" s="1"/>
      <c r="N1228" s="1"/>
      <c r="O1228" s="1"/>
      <c r="P1228" s="1"/>
      <c r="Q1228" s="1"/>
      <c r="R1228" s="1"/>
    </row>
    <row r="1229" spans="1:18" ht="12" customHeight="1">
      <c r="A1229" s="221"/>
      <c r="I1229" s="9"/>
      <c r="J1229" s="68"/>
      <c r="K1229" s="1"/>
      <c r="L1229" s="68"/>
      <c r="M1229" s="1"/>
      <c r="N1229" s="1"/>
      <c r="O1229" s="1"/>
      <c r="P1229" s="1"/>
      <c r="Q1229" s="1"/>
      <c r="R1229" s="1"/>
    </row>
    <row r="1230" spans="1:18" ht="12" customHeight="1">
      <c r="A1230" s="221"/>
      <c r="I1230" s="9"/>
      <c r="J1230" s="68"/>
      <c r="K1230" s="1"/>
      <c r="L1230" s="68"/>
      <c r="M1230" s="1"/>
      <c r="N1230" s="1"/>
      <c r="O1230" s="1"/>
      <c r="P1230" s="1"/>
      <c r="Q1230" s="1"/>
      <c r="R1230" s="1"/>
    </row>
    <row r="1231" spans="1:18" ht="12" customHeight="1">
      <c r="A1231" s="221"/>
      <c r="I1231" s="9"/>
      <c r="J1231" s="68"/>
      <c r="K1231" s="1"/>
      <c r="L1231" s="68"/>
      <c r="M1231" s="1"/>
      <c r="N1231" s="1"/>
      <c r="O1231" s="1"/>
      <c r="P1231" s="1"/>
      <c r="Q1231" s="1"/>
      <c r="R1231" s="1"/>
    </row>
    <row r="1232" spans="1:18" ht="12" customHeight="1">
      <c r="A1232" s="221"/>
      <c r="I1232" s="9"/>
      <c r="J1232" s="68"/>
      <c r="K1232" s="1"/>
      <c r="L1232" s="68"/>
      <c r="M1232" s="1"/>
      <c r="N1232" s="1"/>
      <c r="O1232" s="1"/>
      <c r="P1232" s="1"/>
      <c r="Q1232" s="1"/>
      <c r="R1232" s="1"/>
    </row>
    <row r="1233" spans="1:18" ht="12" customHeight="1">
      <c r="A1233" s="221"/>
      <c r="I1233" s="9"/>
      <c r="J1233" s="68"/>
      <c r="K1233" s="1"/>
      <c r="L1233" s="68"/>
      <c r="M1233" s="1"/>
      <c r="N1233" s="1"/>
      <c r="O1233" s="1"/>
      <c r="P1233" s="1"/>
      <c r="Q1233" s="1"/>
      <c r="R1233" s="1"/>
    </row>
    <row r="1234" spans="1:18" ht="12" customHeight="1">
      <c r="A1234" s="221"/>
      <c r="I1234" s="9"/>
      <c r="J1234" s="68"/>
      <c r="K1234" s="1"/>
      <c r="L1234" s="68"/>
      <c r="M1234" s="1"/>
      <c r="N1234" s="1"/>
      <c r="O1234" s="1"/>
      <c r="P1234" s="1"/>
      <c r="Q1234" s="1"/>
      <c r="R1234" s="1"/>
    </row>
    <row r="1235" spans="1:18" ht="12" customHeight="1">
      <c r="A1235" s="221"/>
      <c r="I1235" s="9"/>
      <c r="J1235" s="68"/>
      <c r="K1235" s="1"/>
      <c r="L1235" s="68"/>
      <c r="M1235" s="1"/>
      <c r="N1235" s="1"/>
      <c r="O1235" s="1"/>
      <c r="P1235" s="1"/>
      <c r="Q1235" s="1"/>
      <c r="R1235" s="1"/>
    </row>
    <row r="1236" spans="1:18" ht="12" customHeight="1">
      <c r="A1236" s="221"/>
      <c r="I1236" s="9"/>
      <c r="J1236" s="68"/>
      <c r="K1236" s="1"/>
      <c r="L1236" s="68"/>
      <c r="M1236" s="1"/>
      <c r="N1236" s="1"/>
      <c r="O1236" s="1"/>
      <c r="P1236" s="1"/>
      <c r="Q1236" s="1"/>
      <c r="R1236" s="1"/>
    </row>
    <row r="1237" spans="1:18" ht="12" customHeight="1">
      <c r="A1237" s="221"/>
      <c r="I1237" s="9"/>
      <c r="J1237" s="68"/>
      <c r="K1237" s="1"/>
      <c r="L1237" s="68"/>
      <c r="M1237" s="1"/>
      <c r="N1237" s="1"/>
      <c r="O1237" s="1"/>
      <c r="P1237" s="1"/>
      <c r="Q1237" s="1"/>
      <c r="R1237" s="1"/>
    </row>
    <row r="1238" spans="1:18" ht="12" customHeight="1">
      <c r="A1238" s="221"/>
      <c r="I1238" s="9"/>
      <c r="J1238" s="68"/>
      <c r="K1238" s="1"/>
      <c r="L1238" s="68"/>
      <c r="M1238" s="1"/>
      <c r="N1238" s="1"/>
      <c r="O1238" s="1"/>
      <c r="P1238" s="1"/>
      <c r="Q1238" s="1"/>
      <c r="R1238" s="1"/>
    </row>
    <row r="1239" spans="1:18" ht="12" customHeight="1">
      <c r="A1239" s="221"/>
      <c r="I1239" s="9"/>
      <c r="J1239" s="68"/>
      <c r="K1239" s="1"/>
      <c r="L1239" s="68"/>
      <c r="M1239" s="1"/>
      <c r="N1239" s="1"/>
      <c r="O1239" s="1"/>
      <c r="P1239" s="1"/>
      <c r="Q1239" s="1"/>
      <c r="R1239" s="1"/>
    </row>
    <row r="1240" spans="1:18" ht="12" customHeight="1">
      <c r="A1240" s="221"/>
      <c r="I1240" s="9"/>
      <c r="J1240" s="68"/>
      <c r="K1240" s="1"/>
      <c r="L1240" s="68"/>
      <c r="M1240" s="1"/>
      <c r="N1240" s="1"/>
      <c r="O1240" s="1"/>
      <c r="P1240" s="1"/>
      <c r="Q1240" s="1"/>
      <c r="R1240" s="1"/>
    </row>
    <row r="1241" spans="1:18" ht="12" customHeight="1">
      <c r="A1241" s="221"/>
      <c r="I1241" s="9"/>
      <c r="J1241" s="68"/>
      <c r="K1241" s="1"/>
      <c r="L1241" s="68"/>
      <c r="M1241" s="1"/>
      <c r="N1241" s="1"/>
      <c r="O1241" s="1"/>
      <c r="P1241" s="1"/>
      <c r="Q1241" s="1"/>
      <c r="R1241" s="1"/>
    </row>
    <row r="1242" spans="1:18" ht="12" customHeight="1">
      <c r="A1242" s="221"/>
      <c r="I1242" s="9"/>
      <c r="J1242" s="68"/>
      <c r="K1242" s="1"/>
      <c r="L1242" s="68"/>
      <c r="M1242" s="1"/>
      <c r="N1242" s="1"/>
      <c r="O1242" s="1"/>
      <c r="P1242" s="1"/>
      <c r="Q1242" s="1"/>
      <c r="R1242" s="1"/>
    </row>
    <row r="1243" spans="1:18" ht="12" customHeight="1">
      <c r="A1243" s="221"/>
      <c r="I1243" s="9"/>
      <c r="J1243" s="68"/>
      <c r="K1243" s="1"/>
      <c r="L1243" s="68"/>
      <c r="M1243" s="1"/>
      <c r="N1243" s="1"/>
      <c r="O1243" s="1"/>
      <c r="P1243" s="1"/>
      <c r="Q1243" s="1"/>
      <c r="R1243" s="1"/>
    </row>
    <row r="1244" spans="1:18" ht="12" customHeight="1">
      <c r="A1244" s="221"/>
      <c r="I1244" s="9"/>
      <c r="J1244" s="68"/>
      <c r="K1244" s="1"/>
      <c r="L1244" s="68"/>
      <c r="M1244" s="1"/>
      <c r="N1244" s="1"/>
      <c r="O1244" s="1"/>
      <c r="P1244" s="1"/>
      <c r="Q1244" s="1"/>
      <c r="R1244" s="1"/>
    </row>
    <row r="1245" spans="1:18" ht="12" customHeight="1">
      <c r="A1245" s="221"/>
      <c r="I1245" s="9"/>
      <c r="J1245" s="68"/>
      <c r="K1245" s="1"/>
      <c r="L1245" s="68"/>
      <c r="M1245" s="1"/>
      <c r="N1245" s="1"/>
      <c r="O1245" s="1"/>
      <c r="P1245" s="1"/>
      <c r="Q1245" s="1"/>
      <c r="R1245" s="1"/>
    </row>
    <row r="1246" spans="1:18" ht="12" customHeight="1">
      <c r="A1246" s="221"/>
      <c r="I1246" s="9"/>
      <c r="J1246" s="68"/>
      <c r="K1246" s="1"/>
      <c r="L1246" s="68"/>
      <c r="M1246" s="1"/>
      <c r="N1246" s="1"/>
      <c r="O1246" s="1"/>
      <c r="P1246" s="1"/>
      <c r="Q1246" s="1"/>
      <c r="R1246" s="1"/>
    </row>
    <row r="1247" spans="1:18" ht="12" customHeight="1">
      <c r="A1247" s="221"/>
      <c r="I1247" s="9"/>
      <c r="J1247" s="68"/>
      <c r="K1247" s="1"/>
      <c r="L1247" s="68"/>
      <c r="M1247" s="1"/>
      <c r="N1247" s="1"/>
      <c r="O1247" s="1"/>
      <c r="P1247" s="1"/>
      <c r="Q1247" s="1"/>
      <c r="R1247" s="1"/>
    </row>
    <row r="1248" spans="1:18" ht="12" customHeight="1">
      <c r="A1248" s="221"/>
      <c r="I1248" s="9"/>
      <c r="J1248" s="68"/>
      <c r="K1248" s="1"/>
      <c r="L1248" s="68"/>
      <c r="M1248" s="1"/>
      <c r="N1248" s="1"/>
      <c r="O1248" s="1"/>
      <c r="P1248" s="1"/>
      <c r="Q1248" s="1"/>
      <c r="R1248" s="1"/>
    </row>
    <row r="1249" spans="1:18" ht="12" customHeight="1">
      <c r="A1249" s="221"/>
      <c r="I1249" s="9"/>
      <c r="J1249" s="68"/>
      <c r="K1249" s="1"/>
      <c r="L1249" s="68"/>
      <c r="M1249" s="1"/>
      <c r="N1249" s="1"/>
      <c r="O1249" s="1"/>
      <c r="P1249" s="1"/>
      <c r="Q1249" s="1"/>
      <c r="R1249" s="1"/>
    </row>
    <row r="1250" spans="1:18" ht="12" customHeight="1">
      <c r="A1250" s="221"/>
      <c r="I1250" s="9"/>
      <c r="J1250" s="68"/>
      <c r="K1250" s="1"/>
      <c r="L1250" s="68"/>
      <c r="M1250" s="1"/>
      <c r="N1250" s="1"/>
      <c r="O1250" s="1"/>
      <c r="P1250" s="1"/>
      <c r="Q1250" s="1"/>
      <c r="R1250" s="1"/>
    </row>
    <row r="1251" spans="1:18" ht="12" customHeight="1">
      <c r="A1251" s="221"/>
      <c r="I1251" s="9"/>
      <c r="J1251" s="68"/>
      <c r="K1251" s="1"/>
      <c r="L1251" s="68"/>
      <c r="M1251" s="1"/>
      <c r="N1251" s="1"/>
      <c r="O1251" s="1"/>
      <c r="P1251" s="1"/>
      <c r="Q1251" s="1"/>
      <c r="R1251" s="1"/>
    </row>
    <row r="1252" spans="1:18" ht="12" customHeight="1">
      <c r="A1252" s="221"/>
      <c r="I1252" s="9"/>
      <c r="J1252" s="68"/>
      <c r="K1252" s="1"/>
      <c r="L1252" s="68"/>
      <c r="M1252" s="1"/>
      <c r="N1252" s="1"/>
      <c r="O1252" s="1"/>
      <c r="P1252" s="1"/>
      <c r="Q1252" s="1"/>
      <c r="R1252" s="1"/>
    </row>
    <row r="1253" spans="1:18" ht="12" customHeight="1">
      <c r="A1253" s="221"/>
      <c r="I1253" s="9"/>
      <c r="J1253" s="68"/>
      <c r="K1253" s="1"/>
      <c r="L1253" s="68"/>
      <c r="M1253" s="1"/>
      <c r="N1253" s="1"/>
      <c r="O1253" s="1"/>
      <c r="P1253" s="1"/>
      <c r="Q1253" s="1"/>
      <c r="R1253" s="1"/>
    </row>
    <row r="1254" spans="1:18" ht="12" customHeight="1">
      <c r="A1254" s="221"/>
      <c r="I1254" s="9"/>
      <c r="J1254" s="68"/>
      <c r="K1254" s="1"/>
      <c r="L1254" s="68"/>
      <c r="M1254" s="1"/>
      <c r="N1254" s="1"/>
      <c r="O1254" s="1"/>
      <c r="P1254" s="1"/>
      <c r="Q1254" s="1"/>
      <c r="R1254" s="1"/>
    </row>
    <row r="1255" spans="1:18" ht="12" customHeight="1">
      <c r="A1255" s="221"/>
      <c r="I1255" s="9"/>
      <c r="J1255" s="68"/>
      <c r="K1255" s="1"/>
      <c r="L1255" s="68"/>
      <c r="M1255" s="1"/>
      <c r="N1255" s="1"/>
      <c r="O1255" s="1"/>
      <c r="P1255" s="1"/>
      <c r="Q1255" s="1"/>
      <c r="R1255" s="1"/>
    </row>
    <row r="1256" spans="1:18" ht="12" customHeight="1">
      <c r="A1256" s="221"/>
      <c r="I1256" s="9"/>
      <c r="J1256" s="68"/>
      <c r="K1256" s="1"/>
      <c r="L1256" s="68"/>
      <c r="M1256" s="1"/>
      <c r="N1256" s="1"/>
      <c r="O1256" s="1"/>
      <c r="P1256" s="1"/>
      <c r="Q1256" s="1"/>
      <c r="R1256" s="1"/>
    </row>
    <row r="1257" spans="1:18" ht="12" customHeight="1">
      <c r="A1257" s="221"/>
      <c r="I1257" s="9"/>
      <c r="J1257" s="68"/>
      <c r="K1257" s="1"/>
      <c r="L1257" s="68"/>
      <c r="M1257" s="1"/>
      <c r="N1257" s="1"/>
      <c r="O1257" s="1"/>
      <c r="P1257" s="1"/>
      <c r="Q1257" s="1"/>
      <c r="R1257" s="1"/>
    </row>
    <row r="1258" spans="1:18" ht="12" customHeight="1">
      <c r="A1258" s="221"/>
      <c r="I1258" s="9"/>
      <c r="J1258" s="68"/>
      <c r="K1258" s="1"/>
      <c r="L1258" s="68"/>
      <c r="M1258" s="1"/>
      <c r="N1258" s="1"/>
      <c r="O1258" s="1"/>
      <c r="P1258" s="1"/>
      <c r="Q1258" s="1"/>
      <c r="R1258" s="1"/>
    </row>
    <row r="1259" spans="1:18" ht="12" customHeight="1">
      <c r="A1259" s="221"/>
      <c r="I1259" s="9"/>
      <c r="J1259" s="68"/>
      <c r="K1259" s="1"/>
      <c r="L1259" s="68"/>
      <c r="M1259" s="1"/>
      <c r="N1259" s="1"/>
      <c r="O1259" s="1"/>
      <c r="P1259" s="1"/>
      <c r="Q1259" s="1"/>
      <c r="R1259" s="1"/>
    </row>
    <row r="1260" spans="1:18" ht="12" customHeight="1">
      <c r="A1260" s="221"/>
      <c r="I1260" s="9"/>
      <c r="J1260" s="68"/>
      <c r="K1260" s="1"/>
      <c r="L1260" s="68"/>
      <c r="M1260" s="1"/>
      <c r="N1260" s="1"/>
      <c r="O1260" s="1"/>
      <c r="P1260" s="1"/>
      <c r="Q1260" s="1"/>
      <c r="R1260" s="1"/>
    </row>
    <row r="1261" spans="1:18" ht="12" customHeight="1">
      <c r="A1261" s="221"/>
      <c r="I1261" s="9"/>
      <c r="J1261" s="68"/>
      <c r="K1261" s="1"/>
      <c r="L1261" s="68"/>
      <c r="M1261" s="1"/>
      <c r="N1261" s="1"/>
      <c r="O1261" s="1"/>
      <c r="P1261" s="1"/>
      <c r="Q1261" s="1"/>
      <c r="R1261" s="1"/>
    </row>
    <row r="1262" spans="1:18" ht="12" customHeight="1">
      <c r="A1262" s="221"/>
      <c r="I1262" s="9"/>
      <c r="J1262" s="68"/>
      <c r="K1262" s="1"/>
      <c r="L1262" s="68"/>
      <c r="M1262" s="1"/>
      <c r="N1262" s="1"/>
      <c r="O1262" s="1"/>
      <c r="P1262" s="1"/>
      <c r="Q1262" s="1"/>
      <c r="R1262" s="1"/>
    </row>
    <row r="1263" spans="1:18" ht="12" customHeight="1">
      <c r="A1263" s="221"/>
      <c r="I1263" s="9"/>
      <c r="J1263" s="68"/>
      <c r="K1263" s="1"/>
      <c r="L1263" s="68"/>
      <c r="M1263" s="1"/>
      <c r="N1263" s="1"/>
      <c r="O1263" s="1"/>
      <c r="P1263" s="1"/>
      <c r="Q1263" s="1"/>
      <c r="R1263" s="1"/>
    </row>
    <row r="1264" spans="1:18" ht="12" customHeight="1">
      <c r="A1264" s="221"/>
      <c r="I1264" s="9"/>
      <c r="J1264" s="68"/>
      <c r="K1264" s="1"/>
      <c r="L1264" s="68"/>
      <c r="M1264" s="1"/>
      <c r="N1264" s="1"/>
      <c r="O1264" s="1"/>
      <c r="P1264" s="1"/>
      <c r="Q1264" s="1"/>
      <c r="R1264" s="1"/>
    </row>
    <row r="1265" spans="1:18" ht="12" customHeight="1">
      <c r="A1265" s="221"/>
      <c r="I1265" s="9"/>
      <c r="J1265" s="68"/>
      <c r="K1265" s="1"/>
      <c r="L1265" s="68"/>
      <c r="M1265" s="1"/>
      <c r="N1265" s="1"/>
      <c r="O1265" s="1"/>
      <c r="P1265" s="1"/>
      <c r="Q1265" s="1"/>
      <c r="R1265" s="1"/>
    </row>
    <row r="1266" spans="1:18" ht="12" customHeight="1">
      <c r="A1266" s="221"/>
      <c r="I1266" s="9"/>
      <c r="J1266" s="68"/>
      <c r="K1266" s="1"/>
      <c r="L1266" s="68"/>
      <c r="M1266" s="1"/>
      <c r="N1266" s="1"/>
      <c r="O1266" s="1"/>
      <c r="P1266" s="1"/>
      <c r="Q1266" s="1"/>
      <c r="R1266" s="1"/>
    </row>
    <row r="1267" spans="1:18" ht="12" customHeight="1">
      <c r="A1267" s="221"/>
      <c r="I1267" s="9"/>
      <c r="J1267" s="68"/>
      <c r="K1267" s="1"/>
      <c r="L1267" s="68"/>
      <c r="M1267" s="1"/>
      <c r="N1267" s="1"/>
      <c r="O1267" s="1"/>
      <c r="P1267" s="1"/>
      <c r="Q1267" s="1"/>
      <c r="R1267" s="1"/>
    </row>
    <row r="1268" spans="1:18" ht="12" customHeight="1">
      <c r="A1268" s="221"/>
      <c r="I1268" s="9"/>
      <c r="J1268" s="68"/>
      <c r="K1268" s="1"/>
      <c r="L1268" s="68"/>
      <c r="M1268" s="1"/>
      <c r="N1268" s="1"/>
      <c r="O1268" s="1"/>
      <c r="P1268" s="1"/>
      <c r="Q1268" s="1"/>
      <c r="R1268" s="1"/>
    </row>
    <row r="1269" spans="1:18" ht="12" customHeight="1">
      <c r="A1269" s="221"/>
      <c r="I1269" s="9"/>
      <c r="J1269" s="68"/>
      <c r="K1269" s="1"/>
      <c r="L1269" s="68"/>
      <c r="M1269" s="1"/>
      <c r="N1269" s="1"/>
      <c r="O1269" s="1"/>
      <c r="P1269" s="1"/>
      <c r="Q1269" s="1"/>
      <c r="R1269" s="1"/>
    </row>
    <row r="1270" spans="1:18" ht="12" customHeight="1">
      <c r="A1270" s="221"/>
      <c r="I1270" s="9"/>
      <c r="J1270" s="68"/>
      <c r="K1270" s="1"/>
      <c r="L1270" s="68"/>
      <c r="M1270" s="1"/>
      <c r="N1270" s="1"/>
      <c r="O1270" s="1"/>
      <c r="P1270" s="1"/>
      <c r="Q1270" s="1"/>
      <c r="R1270" s="1"/>
    </row>
    <row r="1271" spans="1:18" ht="12" customHeight="1">
      <c r="A1271" s="221"/>
      <c r="I1271" s="9"/>
      <c r="J1271" s="68"/>
      <c r="K1271" s="1"/>
      <c r="L1271" s="68"/>
      <c r="M1271" s="1"/>
      <c r="N1271" s="1"/>
      <c r="O1271" s="1"/>
      <c r="P1271" s="1"/>
      <c r="Q1271" s="1"/>
      <c r="R1271" s="1"/>
    </row>
    <row r="1272" spans="1:18" ht="12" customHeight="1">
      <c r="A1272" s="221"/>
      <c r="I1272" s="9"/>
      <c r="J1272" s="68"/>
      <c r="K1272" s="1"/>
      <c r="L1272" s="68"/>
      <c r="M1272" s="1"/>
      <c r="N1272" s="1"/>
      <c r="O1272" s="1"/>
      <c r="P1272" s="1"/>
      <c r="Q1272" s="1"/>
      <c r="R1272" s="1"/>
    </row>
    <row r="1273" spans="1:18" ht="12" customHeight="1">
      <c r="A1273" s="221"/>
      <c r="I1273" s="9"/>
      <c r="J1273" s="68"/>
      <c r="K1273" s="1"/>
      <c r="L1273" s="68"/>
      <c r="M1273" s="1"/>
      <c r="N1273" s="1"/>
      <c r="O1273" s="1"/>
      <c r="P1273" s="1"/>
      <c r="Q1273" s="1"/>
      <c r="R1273" s="1"/>
    </row>
    <row r="1274" spans="1:18" ht="12" customHeight="1">
      <c r="A1274" s="221"/>
      <c r="I1274" s="9"/>
      <c r="J1274" s="68"/>
      <c r="K1274" s="1"/>
      <c r="L1274" s="68"/>
      <c r="M1274" s="1"/>
      <c r="N1274" s="1"/>
      <c r="O1274" s="1"/>
      <c r="P1274" s="1"/>
      <c r="Q1274" s="1"/>
      <c r="R1274" s="1"/>
    </row>
    <row r="1275" spans="1:18" ht="12" customHeight="1">
      <c r="A1275" s="221"/>
      <c r="I1275" s="9"/>
      <c r="J1275" s="68"/>
      <c r="K1275" s="1"/>
      <c r="L1275" s="68"/>
      <c r="M1275" s="1"/>
      <c r="N1275" s="1"/>
      <c r="O1275" s="1"/>
      <c r="P1275" s="1"/>
      <c r="Q1275" s="1"/>
      <c r="R1275" s="1"/>
    </row>
    <row r="1276" spans="1:18" ht="12" customHeight="1">
      <c r="A1276" s="221"/>
      <c r="I1276" s="9"/>
      <c r="J1276" s="68"/>
      <c r="K1276" s="1"/>
      <c r="L1276" s="68"/>
      <c r="M1276" s="1"/>
      <c r="N1276" s="1"/>
      <c r="O1276" s="1"/>
      <c r="P1276" s="1"/>
      <c r="Q1276" s="1"/>
      <c r="R1276" s="1"/>
    </row>
    <row r="1277" spans="1:18" ht="12" customHeight="1">
      <c r="A1277" s="221"/>
      <c r="I1277" s="9"/>
      <c r="J1277" s="68"/>
      <c r="K1277" s="1"/>
      <c r="L1277" s="68"/>
      <c r="M1277" s="1"/>
      <c r="N1277" s="1"/>
      <c r="O1277" s="1"/>
      <c r="P1277" s="1"/>
      <c r="Q1277" s="1"/>
      <c r="R1277" s="1"/>
    </row>
    <row r="1278" spans="1:18" ht="12" customHeight="1">
      <c r="A1278" s="221"/>
      <c r="I1278" s="9"/>
      <c r="J1278" s="68"/>
      <c r="K1278" s="1"/>
      <c r="L1278" s="68"/>
      <c r="M1278" s="1"/>
      <c r="N1278" s="1"/>
      <c r="O1278" s="1"/>
      <c r="P1278" s="1"/>
      <c r="Q1278" s="1"/>
      <c r="R1278" s="1"/>
    </row>
    <row r="1279" spans="1:18" ht="12" customHeight="1">
      <c r="A1279" s="221"/>
      <c r="I1279" s="9"/>
      <c r="J1279" s="68"/>
      <c r="K1279" s="1"/>
      <c r="L1279" s="68"/>
      <c r="M1279" s="1"/>
      <c r="N1279" s="1"/>
      <c r="O1279" s="1"/>
      <c r="P1279" s="1"/>
      <c r="Q1279" s="1"/>
      <c r="R1279" s="1"/>
    </row>
    <row r="1280" spans="1:18" ht="12" customHeight="1">
      <c r="A1280" s="221"/>
      <c r="I1280" s="9"/>
      <c r="J1280" s="68"/>
      <c r="K1280" s="1"/>
      <c r="L1280" s="68"/>
      <c r="M1280" s="1"/>
      <c r="N1280" s="1"/>
      <c r="O1280" s="1"/>
      <c r="P1280" s="1"/>
      <c r="Q1280" s="1"/>
      <c r="R1280" s="1"/>
    </row>
    <row r="1281" spans="1:18" ht="12" customHeight="1">
      <c r="A1281" s="221"/>
      <c r="I1281" s="9"/>
      <c r="J1281" s="68"/>
      <c r="K1281" s="1"/>
      <c r="L1281" s="68"/>
      <c r="M1281" s="1"/>
      <c r="N1281" s="1"/>
      <c r="O1281" s="1"/>
      <c r="P1281" s="1"/>
      <c r="Q1281" s="1"/>
      <c r="R1281" s="1"/>
    </row>
    <row r="1282" spans="1:18" ht="12" customHeight="1">
      <c r="A1282" s="221"/>
      <c r="I1282" s="9"/>
      <c r="J1282" s="68"/>
      <c r="K1282" s="1"/>
      <c r="L1282" s="68"/>
      <c r="M1282" s="1"/>
      <c r="N1282" s="1"/>
      <c r="O1282" s="1"/>
      <c r="P1282" s="1"/>
      <c r="Q1282" s="1"/>
      <c r="R1282" s="1"/>
    </row>
    <row r="1283" spans="1:18" ht="12" customHeight="1">
      <c r="A1283" s="221"/>
      <c r="I1283" s="9"/>
      <c r="J1283" s="68"/>
      <c r="K1283" s="1"/>
      <c r="L1283" s="68"/>
      <c r="M1283" s="1"/>
      <c r="N1283" s="1"/>
      <c r="O1283" s="1"/>
      <c r="P1283" s="1"/>
      <c r="Q1283" s="1"/>
      <c r="R1283" s="1"/>
    </row>
    <row r="1284" spans="1:18" ht="12" customHeight="1">
      <c r="A1284" s="221"/>
      <c r="I1284" s="9"/>
      <c r="J1284" s="68"/>
      <c r="K1284" s="1"/>
      <c r="L1284" s="68"/>
      <c r="M1284" s="1"/>
      <c r="N1284" s="1"/>
      <c r="O1284" s="1"/>
      <c r="P1284" s="1"/>
      <c r="Q1284" s="1"/>
      <c r="R1284" s="1"/>
    </row>
    <row r="1285" spans="1:18" ht="12" customHeight="1">
      <c r="A1285" s="221"/>
      <c r="I1285" s="9"/>
      <c r="J1285" s="68"/>
      <c r="K1285" s="1"/>
      <c r="L1285" s="68"/>
      <c r="M1285" s="1"/>
      <c r="N1285" s="1"/>
      <c r="O1285" s="1"/>
      <c r="P1285" s="1"/>
      <c r="Q1285" s="1"/>
      <c r="R1285" s="1"/>
    </row>
    <row r="1286" spans="1:18" ht="12" customHeight="1">
      <c r="A1286" s="221"/>
      <c r="I1286" s="9"/>
      <c r="J1286" s="68"/>
      <c r="K1286" s="1"/>
      <c r="L1286" s="68"/>
      <c r="M1286" s="1"/>
      <c r="N1286" s="1"/>
      <c r="O1286" s="1"/>
      <c r="P1286" s="1"/>
      <c r="Q1286" s="1"/>
      <c r="R1286" s="1"/>
    </row>
    <row r="1287" spans="1:18" ht="12" customHeight="1">
      <c r="A1287" s="221"/>
      <c r="I1287" s="9"/>
      <c r="J1287" s="68"/>
      <c r="K1287" s="1"/>
      <c r="L1287" s="68"/>
      <c r="M1287" s="1"/>
      <c r="N1287" s="1"/>
      <c r="O1287" s="1"/>
      <c r="P1287" s="1"/>
      <c r="Q1287" s="1"/>
      <c r="R1287" s="1"/>
    </row>
    <row r="1288" spans="1:18" ht="12" customHeight="1">
      <c r="A1288" s="221"/>
      <c r="I1288" s="9"/>
      <c r="J1288" s="68"/>
      <c r="K1288" s="1"/>
      <c r="L1288" s="68"/>
      <c r="M1288" s="1"/>
      <c r="N1288" s="1"/>
      <c r="O1288" s="1"/>
      <c r="P1288" s="1"/>
      <c r="Q1288" s="1"/>
      <c r="R1288" s="1"/>
    </row>
    <row r="1289" spans="1:18" ht="12" customHeight="1">
      <c r="A1289" s="221"/>
      <c r="I1289" s="9"/>
      <c r="J1289" s="68"/>
      <c r="K1289" s="1"/>
      <c r="L1289" s="68"/>
      <c r="M1289" s="1"/>
      <c r="N1289" s="1"/>
      <c r="O1289" s="1"/>
      <c r="P1289" s="1"/>
      <c r="Q1289" s="1"/>
      <c r="R1289" s="1"/>
    </row>
    <row r="1290" spans="1:18" ht="12" customHeight="1">
      <c r="A1290" s="221"/>
      <c r="I1290" s="9"/>
      <c r="J1290" s="68"/>
      <c r="K1290" s="1"/>
      <c r="L1290" s="68"/>
      <c r="M1290" s="1"/>
      <c r="N1290" s="1"/>
      <c r="O1290" s="1"/>
      <c r="P1290" s="1"/>
      <c r="Q1290" s="1"/>
      <c r="R1290" s="1"/>
    </row>
    <row r="1291" spans="1:18" ht="12" customHeight="1">
      <c r="A1291" s="221"/>
      <c r="I1291" s="9"/>
      <c r="J1291" s="68"/>
      <c r="K1291" s="1"/>
      <c r="L1291" s="68"/>
      <c r="M1291" s="1"/>
      <c r="N1291" s="1"/>
      <c r="O1291" s="1"/>
      <c r="P1291" s="1"/>
      <c r="Q1291" s="1"/>
      <c r="R1291" s="1"/>
    </row>
    <row r="1292" spans="1:18" ht="12" customHeight="1">
      <c r="A1292" s="221"/>
      <c r="I1292" s="9"/>
      <c r="J1292" s="68"/>
      <c r="K1292" s="1"/>
      <c r="L1292" s="68"/>
      <c r="M1292" s="1"/>
      <c r="N1292" s="1"/>
      <c r="O1292" s="1"/>
      <c r="P1292" s="1"/>
      <c r="Q1292" s="1"/>
      <c r="R1292" s="1"/>
    </row>
    <row r="1293" spans="1:18" ht="12" customHeight="1">
      <c r="A1293" s="221"/>
      <c r="I1293" s="9"/>
      <c r="J1293" s="68"/>
      <c r="K1293" s="1"/>
      <c r="L1293" s="68"/>
      <c r="M1293" s="1"/>
      <c r="N1293" s="1"/>
      <c r="O1293" s="1"/>
      <c r="P1293" s="1"/>
      <c r="Q1293" s="1"/>
      <c r="R1293" s="1"/>
    </row>
    <row r="1294" spans="1:18" ht="12" customHeight="1">
      <c r="A1294" s="221"/>
      <c r="I1294" s="9"/>
      <c r="J1294" s="68"/>
      <c r="K1294" s="1"/>
      <c r="L1294" s="68"/>
      <c r="M1294" s="1"/>
      <c r="N1294" s="1"/>
      <c r="O1294" s="1"/>
      <c r="P1294" s="1"/>
      <c r="Q1294" s="1"/>
      <c r="R1294" s="1"/>
    </row>
    <row r="1295" spans="1:18" ht="12" customHeight="1">
      <c r="A1295" s="221"/>
      <c r="I1295" s="9"/>
      <c r="J1295" s="68"/>
      <c r="K1295" s="1"/>
      <c r="L1295" s="68"/>
      <c r="M1295" s="1"/>
      <c r="N1295" s="1"/>
      <c r="O1295" s="1"/>
      <c r="P1295" s="1"/>
      <c r="Q1295" s="1"/>
      <c r="R1295" s="1"/>
    </row>
    <row r="1296" spans="1:18" ht="12" customHeight="1">
      <c r="A1296" s="221"/>
      <c r="I1296" s="9"/>
      <c r="J1296" s="68"/>
      <c r="K1296" s="1"/>
      <c r="L1296" s="68"/>
      <c r="M1296" s="1"/>
      <c r="N1296" s="1"/>
      <c r="O1296" s="1"/>
      <c r="P1296" s="1"/>
      <c r="Q1296" s="1"/>
      <c r="R1296" s="1"/>
    </row>
    <row r="1297" spans="1:18" ht="12" customHeight="1">
      <c r="A1297" s="221"/>
      <c r="I1297" s="9"/>
      <c r="J1297" s="68"/>
      <c r="K1297" s="1"/>
      <c r="L1297" s="68"/>
      <c r="M1297" s="1"/>
      <c r="N1297" s="1"/>
      <c r="O1297" s="1"/>
      <c r="P1297" s="1"/>
      <c r="Q1297" s="1"/>
      <c r="R1297" s="1"/>
    </row>
    <row r="1298" spans="1:18" ht="12" customHeight="1">
      <c r="A1298" s="221"/>
      <c r="I1298" s="9"/>
      <c r="J1298" s="68"/>
      <c r="K1298" s="1"/>
      <c r="L1298" s="68"/>
      <c r="M1298" s="1"/>
      <c r="N1298" s="1"/>
      <c r="O1298" s="1"/>
      <c r="P1298" s="1"/>
      <c r="Q1298" s="1"/>
      <c r="R1298" s="1"/>
    </row>
    <row r="1299" spans="1:18" ht="12" customHeight="1">
      <c r="A1299" s="221"/>
      <c r="I1299" s="9"/>
      <c r="J1299" s="68"/>
      <c r="K1299" s="1"/>
      <c r="L1299" s="68"/>
      <c r="M1299" s="1"/>
      <c r="N1299" s="1"/>
      <c r="O1299" s="1"/>
      <c r="P1299" s="1"/>
      <c r="Q1299" s="1"/>
      <c r="R1299" s="1"/>
    </row>
    <row r="1300" spans="1:18" ht="12" customHeight="1">
      <c r="A1300" s="221"/>
      <c r="I1300" s="9"/>
      <c r="J1300" s="68"/>
      <c r="K1300" s="1"/>
      <c r="L1300" s="68"/>
      <c r="M1300" s="1"/>
      <c r="N1300" s="1"/>
      <c r="O1300" s="1"/>
      <c r="P1300" s="1"/>
      <c r="Q1300" s="1"/>
      <c r="R1300" s="1"/>
    </row>
    <row r="1301" spans="1:18" ht="12" customHeight="1">
      <c r="A1301" s="221"/>
      <c r="I1301" s="9"/>
      <c r="J1301" s="68"/>
      <c r="K1301" s="1"/>
      <c r="L1301" s="68"/>
      <c r="M1301" s="1"/>
      <c r="N1301" s="1"/>
      <c r="O1301" s="1"/>
      <c r="P1301" s="1"/>
      <c r="Q1301" s="1"/>
      <c r="R1301" s="1"/>
    </row>
    <row r="1302" spans="1:18" ht="12" customHeight="1">
      <c r="A1302" s="221"/>
      <c r="I1302" s="9"/>
      <c r="J1302" s="68"/>
      <c r="K1302" s="68"/>
      <c r="L1302" s="68"/>
      <c r="M1302" s="229"/>
      <c r="N1302" s="68"/>
      <c r="O1302" s="68"/>
      <c r="P1302" s="68"/>
      <c r="Q1302" s="68"/>
      <c r="R1302" s="68"/>
    </row>
    <row r="1303" spans="1:18" ht="12" customHeight="1">
      <c r="A1303" s="221"/>
      <c r="I1303" s="9"/>
      <c r="J1303" s="68"/>
      <c r="K1303" s="68"/>
      <c r="L1303" s="68"/>
      <c r="M1303" s="229"/>
      <c r="N1303" s="68"/>
      <c r="O1303" s="68"/>
      <c r="P1303" s="68"/>
      <c r="Q1303" s="68"/>
      <c r="R1303" s="68"/>
    </row>
    <row r="1304" spans="1:18" ht="12" customHeight="1">
      <c r="A1304" s="221"/>
      <c r="I1304" s="9"/>
      <c r="J1304" s="68"/>
      <c r="K1304" s="68"/>
      <c r="L1304" s="68"/>
      <c r="M1304" s="229"/>
      <c r="N1304" s="68"/>
      <c r="O1304" s="68"/>
      <c r="P1304" s="68"/>
      <c r="Q1304" s="68"/>
      <c r="R1304" s="68"/>
    </row>
    <row r="1305" spans="1:18" ht="12" customHeight="1">
      <c r="A1305" s="221"/>
      <c r="I1305" s="9"/>
      <c r="J1305" s="68"/>
      <c r="K1305" s="68"/>
      <c r="L1305" s="68"/>
      <c r="M1305" s="229"/>
      <c r="N1305" s="68"/>
      <c r="O1305" s="68"/>
      <c r="P1305" s="68"/>
      <c r="Q1305" s="68"/>
      <c r="R1305" s="68"/>
    </row>
    <row r="1306" spans="1:18" ht="12" customHeight="1">
      <c r="A1306" s="221"/>
      <c r="I1306" s="9"/>
      <c r="J1306" s="68"/>
      <c r="K1306" s="68"/>
      <c r="L1306" s="68"/>
      <c r="M1306" s="229"/>
      <c r="N1306" s="68"/>
      <c r="O1306" s="68"/>
      <c r="P1306" s="68"/>
      <c r="Q1306" s="68"/>
      <c r="R1306" s="68"/>
    </row>
    <row r="1307" spans="1:18" ht="12" customHeight="1">
      <c r="A1307" s="221"/>
      <c r="I1307" s="9"/>
      <c r="J1307" s="68"/>
      <c r="K1307" s="68"/>
      <c r="L1307" s="68"/>
      <c r="M1307" s="229"/>
      <c r="N1307" s="68"/>
      <c r="O1307" s="68"/>
      <c r="P1307" s="68"/>
      <c r="Q1307" s="68"/>
      <c r="R1307" s="68"/>
    </row>
    <row r="1308" spans="1:18" ht="12" customHeight="1">
      <c r="A1308" s="221"/>
      <c r="I1308" s="9"/>
      <c r="J1308" s="68"/>
      <c r="K1308" s="68"/>
      <c r="L1308" s="68"/>
      <c r="M1308" s="229"/>
      <c r="N1308" s="68"/>
      <c r="O1308" s="68"/>
      <c r="P1308" s="68"/>
      <c r="Q1308" s="68"/>
      <c r="R1308" s="68"/>
    </row>
    <row r="1309" spans="1:18" ht="12" customHeight="1">
      <c r="A1309" s="221"/>
      <c r="I1309" s="9"/>
      <c r="J1309" s="68"/>
      <c r="K1309" s="68"/>
      <c r="L1309" s="68"/>
      <c r="M1309" s="229"/>
      <c r="N1309" s="68"/>
      <c r="O1309" s="68"/>
      <c r="P1309" s="68"/>
      <c r="Q1309" s="68"/>
      <c r="R1309" s="68"/>
    </row>
    <row r="1310" spans="1:18" ht="12" customHeight="1">
      <c r="A1310" s="221"/>
      <c r="I1310" s="9"/>
      <c r="J1310" s="68"/>
      <c r="K1310" s="68"/>
      <c r="L1310" s="68"/>
      <c r="M1310" s="229"/>
      <c r="N1310" s="68"/>
      <c r="O1310" s="68"/>
      <c r="P1310" s="68"/>
      <c r="Q1310" s="68"/>
      <c r="R1310" s="68"/>
    </row>
    <row r="1311" spans="1:18" ht="12" customHeight="1">
      <c r="A1311" s="221"/>
      <c r="I1311" s="9"/>
      <c r="J1311" s="68"/>
      <c r="K1311" s="68"/>
      <c r="L1311" s="68"/>
      <c r="M1311" s="229"/>
      <c r="N1311" s="68"/>
      <c r="O1311" s="68"/>
      <c r="P1311" s="68"/>
      <c r="Q1311" s="68"/>
      <c r="R1311" s="68"/>
    </row>
    <row r="1312" spans="1:18" ht="12" customHeight="1">
      <c r="A1312" s="221"/>
      <c r="I1312" s="9"/>
      <c r="J1312" s="68"/>
      <c r="K1312" s="68"/>
      <c r="L1312" s="68"/>
      <c r="M1312" s="229"/>
      <c r="N1312" s="68"/>
      <c r="O1312" s="68"/>
      <c r="P1312" s="68"/>
      <c r="Q1312" s="68"/>
      <c r="R1312" s="68"/>
    </row>
    <row r="1313" spans="1:18" ht="12" customHeight="1">
      <c r="A1313" s="221"/>
      <c r="I1313" s="9"/>
      <c r="J1313" s="68"/>
      <c r="K1313" s="68"/>
      <c r="L1313" s="68"/>
      <c r="M1313" s="229"/>
      <c r="N1313" s="68"/>
      <c r="O1313" s="68"/>
      <c r="P1313" s="68"/>
      <c r="Q1313" s="68"/>
      <c r="R1313" s="68"/>
    </row>
    <row r="1314" spans="1:18" ht="12" customHeight="1">
      <c r="A1314" s="221"/>
      <c r="I1314" s="9"/>
      <c r="J1314" s="68"/>
      <c r="K1314" s="68"/>
      <c r="L1314" s="68"/>
      <c r="M1314" s="229"/>
      <c r="N1314" s="68"/>
      <c r="O1314" s="68"/>
      <c r="P1314" s="68"/>
      <c r="Q1314" s="68"/>
      <c r="R1314" s="68"/>
    </row>
    <row r="1315" spans="1:18" ht="12" customHeight="1">
      <c r="A1315" s="221"/>
      <c r="I1315" s="9"/>
      <c r="J1315" s="68"/>
      <c r="K1315" s="68"/>
      <c r="L1315" s="68"/>
      <c r="M1315" s="229"/>
      <c r="N1315" s="68"/>
      <c r="O1315" s="68"/>
      <c r="P1315" s="68"/>
      <c r="Q1315" s="68"/>
      <c r="R1315" s="68"/>
    </row>
    <row r="1316" spans="1:18" ht="12" customHeight="1">
      <c r="A1316" s="221"/>
      <c r="I1316" s="9"/>
      <c r="J1316" s="68"/>
      <c r="K1316" s="68"/>
      <c r="L1316" s="68"/>
      <c r="M1316" s="229"/>
      <c r="N1316" s="68"/>
      <c r="O1316" s="68"/>
      <c r="P1316" s="68"/>
      <c r="Q1316" s="68"/>
      <c r="R1316" s="68"/>
    </row>
    <row r="1317" spans="1:18" ht="12" customHeight="1">
      <c r="A1317" s="221"/>
      <c r="I1317" s="9"/>
      <c r="J1317" s="68"/>
      <c r="K1317" s="68"/>
      <c r="L1317" s="68"/>
      <c r="M1317" s="229"/>
      <c r="N1317" s="68"/>
      <c r="O1317" s="68"/>
      <c r="P1317" s="68"/>
      <c r="Q1317" s="68"/>
      <c r="R1317" s="68"/>
    </row>
    <row r="1318" spans="1:18" ht="12" customHeight="1">
      <c r="A1318" s="221"/>
      <c r="I1318" s="9"/>
      <c r="J1318" s="68"/>
      <c r="K1318" s="68"/>
      <c r="L1318" s="68"/>
      <c r="M1318" s="229"/>
      <c r="N1318" s="68"/>
      <c r="O1318" s="68"/>
      <c r="P1318" s="68"/>
      <c r="Q1318" s="68"/>
      <c r="R1318" s="68"/>
    </row>
    <row r="1319" spans="1:18" ht="12" customHeight="1">
      <c r="A1319" s="221"/>
      <c r="I1319" s="9"/>
      <c r="J1319" s="68"/>
      <c r="K1319" s="68"/>
      <c r="L1319" s="68"/>
      <c r="M1319" s="229"/>
      <c r="N1319" s="68"/>
      <c r="O1319" s="68"/>
      <c r="P1319" s="68"/>
      <c r="Q1319" s="68"/>
      <c r="R1319" s="68"/>
    </row>
    <row r="1320" spans="1:18" ht="12" customHeight="1">
      <c r="A1320" s="221"/>
      <c r="I1320" s="9"/>
      <c r="J1320" s="68"/>
      <c r="K1320" s="68"/>
      <c r="L1320" s="68"/>
      <c r="M1320" s="229"/>
      <c r="N1320" s="68"/>
      <c r="O1320" s="68"/>
      <c r="P1320" s="68"/>
      <c r="Q1320" s="68"/>
      <c r="R1320" s="68"/>
    </row>
    <row r="1321" spans="1:18" ht="12" customHeight="1">
      <c r="A1321" s="221"/>
      <c r="I1321" s="9"/>
      <c r="J1321" s="68"/>
      <c r="K1321" s="68"/>
      <c r="L1321" s="68"/>
      <c r="M1321" s="229"/>
      <c r="N1321" s="68"/>
      <c r="O1321" s="68"/>
      <c r="P1321" s="68"/>
      <c r="Q1321" s="68"/>
      <c r="R1321" s="68"/>
    </row>
    <row r="1322" spans="1:18" ht="12" customHeight="1">
      <c r="A1322" s="221"/>
      <c r="I1322" s="9"/>
      <c r="J1322" s="68"/>
      <c r="K1322" s="68"/>
      <c r="L1322" s="68"/>
      <c r="M1322" s="229"/>
      <c r="N1322" s="68"/>
      <c r="O1322" s="68"/>
      <c r="P1322" s="68"/>
      <c r="Q1322" s="68"/>
      <c r="R1322" s="68"/>
    </row>
    <row r="1323" spans="1:18" ht="12" customHeight="1">
      <c r="A1323" s="221"/>
      <c r="I1323" s="9"/>
      <c r="J1323" s="68"/>
      <c r="K1323" s="68"/>
      <c r="L1323" s="68"/>
      <c r="M1323" s="229"/>
      <c r="N1323" s="68"/>
      <c r="O1323" s="68"/>
      <c r="P1323" s="68"/>
      <c r="Q1323" s="68"/>
      <c r="R1323" s="68"/>
    </row>
    <row r="1324" spans="1:18" ht="12" customHeight="1">
      <c r="A1324" s="221"/>
      <c r="I1324" s="9"/>
      <c r="J1324" s="68"/>
      <c r="K1324" s="68"/>
      <c r="L1324" s="68"/>
      <c r="M1324" s="229"/>
      <c r="N1324" s="68"/>
      <c r="O1324" s="68"/>
      <c r="P1324" s="68"/>
      <c r="Q1324" s="68"/>
      <c r="R1324" s="68"/>
    </row>
    <row r="1325" spans="1:18" ht="12" customHeight="1">
      <c r="A1325" s="221"/>
      <c r="I1325" s="9"/>
      <c r="J1325" s="68"/>
      <c r="K1325" s="68"/>
      <c r="L1325" s="68"/>
      <c r="M1325" s="229"/>
      <c r="N1325" s="68"/>
      <c r="O1325" s="68"/>
      <c r="P1325" s="68"/>
      <c r="Q1325" s="68"/>
      <c r="R1325" s="68"/>
    </row>
    <row r="1326" spans="1:18" ht="12" customHeight="1">
      <c r="A1326" s="221"/>
      <c r="I1326" s="9"/>
      <c r="J1326" s="68"/>
      <c r="K1326" s="68"/>
      <c r="L1326" s="68"/>
      <c r="M1326" s="229"/>
      <c r="N1326" s="68"/>
      <c r="O1326" s="68"/>
      <c r="P1326" s="68"/>
      <c r="Q1326" s="68"/>
      <c r="R1326" s="68"/>
    </row>
    <row r="1327" spans="1:18" ht="12" customHeight="1">
      <c r="A1327" s="221"/>
      <c r="I1327" s="9"/>
      <c r="J1327" s="68"/>
      <c r="K1327" s="68"/>
      <c r="L1327" s="68"/>
      <c r="M1327" s="229"/>
      <c r="N1327" s="68"/>
      <c r="O1327" s="68"/>
      <c r="P1327" s="68"/>
      <c r="Q1327" s="68"/>
      <c r="R1327" s="68"/>
    </row>
    <row r="1328" spans="1:18" ht="12" customHeight="1">
      <c r="A1328" s="221"/>
      <c r="I1328" s="9"/>
      <c r="J1328" s="68"/>
      <c r="K1328" s="68"/>
      <c r="L1328" s="68"/>
      <c r="M1328" s="229"/>
      <c r="N1328" s="68"/>
      <c r="O1328" s="68"/>
      <c r="P1328" s="68"/>
      <c r="Q1328" s="68"/>
      <c r="R1328" s="68"/>
    </row>
    <row r="1329" spans="1:18" ht="12" customHeight="1">
      <c r="A1329" s="221"/>
      <c r="I1329" s="9"/>
      <c r="J1329" s="68"/>
      <c r="K1329" s="68"/>
      <c r="L1329" s="68"/>
      <c r="M1329" s="229"/>
      <c r="N1329" s="68"/>
      <c r="O1329" s="68"/>
      <c r="P1329" s="68"/>
      <c r="Q1329" s="68"/>
      <c r="R1329" s="68"/>
    </row>
    <row r="1330" spans="1:18" ht="12" customHeight="1">
      <c r="A1330" s="221"/>
      <c r="I1330" s="9"/>
      <c r="J1330" s="68"/>
      <c r="K1330" s="68"/>
      <c r="L1330" s="68"/>
      <c r="M1330" s="229"/>
      <c r="N1330" s="68"/>
      <c r="O1330" s="68"/>
      <c r="P1330" s="68"/>
      <c r="Q1330" s="68"/>
      <c r="R1330" s="68"/>
    </row>
    <row r="1331" spans="1:18" ht="12" customHeight="1">
      <c r="A1331" s="221"/>
      <c r="I1331" s="9"/>
      <c r="J1331" s="68"/>
      <c r="K1331" s="68"/>
      <c r="L1331" s="68"/>
      <c r="M1331" s="229"/>
      <c r="N1331" s="68"/>
      <c r="O1331" s="68"/>
      <c r="P1331" s="68"/>
      <c r="Q1331" s="68"/>
      <c r="R1331" s="68"/>
    </row>
    <row r="1332" spans="1:18" ht="12" customHeight="1">
      <c r="A1332" s="221"/>
      <c r="I1332" s="9"/>
      <c r="J1332" s="68"/>
      <c r="K1332" s="68"/>
      <c r="L1332" s="68"/>
      <c r="M1332" s="229"/>
      <c r="N1332" s="68"/>
      <c r="O1332" s="68"/>
      <c r="P1332" s="68"/>
      <c r="Q1332" s="68"/>
      <c r="R1332" s="68"/>
    </row>
    <row r="1333" spans="1:18" ht="12" customHeight="1">
      <c r="A1333" s="221"/>
      <c r="I1333" s="9"/>
      <c r="J1333" s="68"/>
      <c r="K1333" s="68"/>
      <c r="L1333" s="68"/>
      <c r="M1333" s="229"/>
      <c r="N1333" s="68"/>
      <c r="O1333" s="68"/>
      <c r="P1333" s="68"/>
      <c r="Q1333" s="68"/>
      <c r="R1333" s="68"/>
    </row>
    <row r="1334" spans="1:18" ht="12" customHeight="1">
      <c r="A1334" s="221"/>
      <c r="I1334" s="9"/>
      <c r="J1334" s="68"/>
      <c r="K1334" s="68"/>
      <c r="L1334" s="68"/>
      <c r="M1334" s="229"/>
      <c r="N1334" s="68"/>
      <c r="O1334" s="68"/>
      <c r="P1334" s="68"/>
      <c r="Q1334" s="68"/>
      <c r="R1334" s="68"/>
    </row>
    <row r="1335" spans="1:18" ht="12" customHeight="1">
      <c r="A1335" s="221"/>
      <c r="I1335" s="9"/>
      <c r="J1335" s="68"/>
      <c r="K1335" s="68"/>
      <c r="L1335" s="68"/>
      <c r="M1335" s="229"/>
      <c r="N1335" s="68"/>
      <c r="O1335" s="68"/>
      <c r="P1335" s="68"/>
      <c r="Q1335" s="68"/>
      <c r="R1335" s="68"/>
    </row>
    <row r="1336" spans="1:18" ht="12" customHeight="1">
      <c r="A1336" s="221"/>
      <c r="I1336" s="9"/>
      <c r="J1336" s="68"/>
      <c r="K1336" s="68"/>
      <c r="L1336" s="68"/>
      <c r="M1336" s="229"/>
      <c r="N1336" s="68"/>
      <c r="O1336" s="68"/>
      <c r="P1336" s="68"/>
      <c r="Q1336" s="68"/>
      <c r="R1336" s="68"/>
    </row>
    <row r="1337" spans="1:18" ht="12" customHeight="1">
      <c r="A1337" s="221"/>
      <c r="I1337" s="9"/>
      <c r="J1337" s="68"/>
      <c r="K1337" s="68"/>
      <c r="L1337" s="68"/>
      <c r="M1337" s="229"/>
      <c r="N1337" s="68"/>
      <c r="O1337" s="68"/>
      <c r="P1337" s="68"/>
      <c r="Q1337" s="68"/>
      <c r="R1337" s="68"/>
    </row>
    <row r="1338" spans="1:18" ht="12" customHeight="1">
      <c r="A1338" s="221"/>
      <c r="I1338" s="9"/>
      <c r="J1338" s="68"/>
      <c r="K1338" s="68"/>
      <c r="L1338" s="68"/>
      <c r="M1338" s="229"/>
      <c r="N1338" s="68"/>
      <c r="O1338" s="68"/>
      <c r="P1338" s="68"/>
      <c r="Q1338" s="68"/>
      <c r="R1338" s="68"/>
    </row>
    <row r="1339" spans="1:18" ht="12" customHeight="1">
      <c r="A1339" s="221"/>
      <c r="I1339" s="9"/>
      <c r="J1339" s="68"/>
      <c r="K1339" s="68"/>
      <c r="L1339" s="68"/>
      <c r="M1339" s="229"/>
      <c r="N1339" s="68"/>
      <c r="O1339" s="68"/>
      <c r="P1339" s="68"/>
      <c r="Q1339" s="68"/>
      <c r="R1339" s="68"/>
    </row>
    <row r="1340" spans="1:18" ht="12" customHeight="1">
      <c r="A1340" s="221"/>
      <c r="I1340" s="9"/>
      <c r="J1340" s="68"/>
      <c r="K1340" s="68"/>
      <c r="L1340" s="68"/>
      <c r="M1340" s="229"/>
      <c r="N1340" s="68"/>
      <c r="O1340" s="68"/>
      <c r="P1340" s="68"/>
      <c r="Q1340" s="68"/>
      <c r="R1340" s="68"/>
    </row>
    <row r="1341" spans="1:18" ht="12" customHeight="1">
      <c r="A1341" s="221"/>
      <c r="I1341" s="9"/>
      <c r="J1341" s="68"/>
      <c r="K1341" s="68"/>
      <c r="L1341" s="68"/>
      <c r="M1341" s="229"/>
      <c r="N1341" s="68"/>
      <c r="O1341" s="68"/>
      <c r="P1341" s="68"/>
      <c r="Q1341" s="68"/>
      <c r="R1341" s="68"/>
    </row>
    <row r="1342" spans="1:18" ht="12" customHeight="1">
      <c r="A1342" s="221"/>
      <c r="I1342" s="9"/>
      <c r="J1342" s="68"/>
      <c r="K1342" s="68"/>
      <c r="L1342" s="68"/>
      <c r="M1342" s="229"/>
      <c r="N1342" s="68"/>
      <c r="O1342" s="68"/>
      <c r="P1342" s="68"/>
      <c r="Q1342" s="68"/>
      <c r="R1342" s="68"/>
    </row>
    <row r="1343" spans="1:18" ht="12" customHeight="1">
      <c r="A1343" s="221"/>
      <c r="I1343" s="9"/>
      <c r="J1343" s="68"/>
      <c r="K1343" s="68"/>
      <c r="L1343" s="68"/>
      <c r="M1343" s="229"/>
      <c r="N1343" s="68"/>
      <c r="O1343" s="68"/>
      <c r="P1343" s="68"/>
      <c r="Q1343" s="68"/>
      <c r="R1343" s="68"/>
    </row>
    <row r="1344" spans="1:18" ht="12" customHeight="1">
      <c r="A1344" s="221"/>
      <c r="I1344" s="9"/>
      <c r="J1344" s="68"/>
      <c r="K1344" s="68"/>
      <c r="L1344" s="68"/>
      <c r="M1344" s="229"/>
      <c r="N1344" s="68"/>
      <c r="O1344" s="68"/>
      <c r="P1344" s="68"/>
      <c r="Q1344" s="68"/>
      <c r="R1344" s="68"/>
    </row>
    <row r="1345" spans="1:18" ht="12" customHeight="1">
      <c r="A1345" s="221"/>
      <c r="I1345" s="9"/>
      <c r="J1345" s="68"/>
      <c r="K1345" s="68"/>
      <c r="L1345" s="68"/>
      <c r="M1345" s="229"/>
      <c r="N1345" s="68"/>
      <c r="O1345" s="68"/>
      <c r="P1345" s="68"/>
      <c r="Q1345" s="68"/>
      <c r="R1345" s="68"/>
    </row>
    <row r="1346" spans="1:18" ht="12" customHeight="1">
      <c r="A1346" s="221"/>
      <c r="I1346" s="9"/>
      <c r="J1346" s="68"/>
      <c r="K1346" s="68"/>
      <c r="L1346" s="68"/>
      <c r="M1346" s="229"/>
      <c r="N1346" s="68"/>
      <c r="O1346" s="68"/>
      <c r="P1346" s="68"/>
      <c r="Q1346" s="68"/>
      <c r="R1346" s="68"/>
    </row>
    <row r="1347" spans="1:18" ht="12" customHeight="1">
      <c r="A1347" s="221"/>
      <c r="I1347" s="9"/>
      <c r="J1347" s="68"/>
      <c r="K1347" s="68"/>
      <c r="L1347" s="68"/>
      <c r="M1347" s="229"/>
      <c r="N1347" s="68"/>
      <c r="O1347" s="68"/>
      <c r="P1347" s="68"/>
      <c r="Q1347" s="68"/>
      <c r="R1347" s="68"/>
    </row>
    <row r="1348" spans="1:18" ht="12" customHeight="1">
      <c r="A1348" s="221"/>
      <c r="I1348" s="9"/>
      <c r="J1348" s="68"/>
      <c r="K1348" s="68"/>
      <c r="L1348" s="68"/>
      <c r="M1348" s="229"/>
      <c r="N1348" s="68"/>
      <c r="O1348" s="68"/>
      <c r="P1348" s="68"/>
      <c r="Q1348" s="68"/>
      <c r="R1348" s="68"/>
    </row>
    <row r="1349" spans="1:18" ht="12" customHeight="1">
      <c r="A1349" s="221"/>
      <c r="I1349" s="9"/>
      <c r="J1349" s="68"/>
      <c r="K1349" s="68"/>
      <c r="L1349" s="68"/>
      <c r="M1349" s="229"/>
      <c r="N1349" s="68"/>
      <c r="O1349" s="68"/>
      <c r="P1349" s="68"/>
      <c r="Q1349" s="68"/>
      <c r="R1349" s="68"/>
    </row>
    <row r="1350" spans="1:18" ht="12" customHeight="1">
      <c r="A1350" s="221"/>
      <c r="I1350" s="9"/>
      <c r="J1350" s="68"/>
      <c r="K1350" s="68"/>
      <c r="L1350" s="68"/>
      <c r="M1350" s="229"/>
      <c r="N1350" s="68"/>
      <c r="O1350" s="68"/>
      <c r="P1350" s="68"/>
      <c r="Q1350" s="68"/>
      <c r="R1350" s="68"/>
    </row>
    <row r="1351" spans="1:18" ht="12" customHeight="1">
      <c r="A1351" s="221"/>
      <c r="I1351" s="9"/>
      <c r="J1351" s="68"/>
      <c r="K1351" s="68"/>
      <c r="L1351" s="68"/>
      <c r="M1351" s="229"/>
      <c r="N1351" s="68"/>
      <c r="O1351" s="68"/>
      <c r="P1351" s="68"/>
      <c r="Q1351" s="68"/>
      <c r="R1351" s="68"/>
    </row>
    <row r="1352" spans="1:18" ht="12" customHeight="1">
      <c r="A1352" s="221"/>
      <c r="I1352" s="9"/>
      <c r="J1352" s="68"/>
      <c r="K1352" s="68"/>
      <c r="L1352" s="68"/>
      <c r="M1352" s="229"/>
      <c r="N1352" s="68"/>
      <c r="O1352" s="68"/>
      <c r="P1352" s="68"/>
      <c r="Q1352" s="68"/>
      <c r="R1352" s="68"/>
    </row>
    <row r="1353" spans="1:18" ht="12" customHeight="1">
      <c r="A1353" s="221"/>
      <c r="I1353" s="9"/>
      <c r="J1353" s="68"/>
      <c r="K1353" s="68"/>
      <c r="L1353" s="68"/>
      <c r="M1353" s="229"/>
      <c r="N1353" s="68"/>
      <c r="O1353" s="68"/>
      <c r="P1353" s="68"/>
      <c r="Q1353" s="68"/>
      <c r="R1353" s="68"/>
    </row>
    <row r="1354" spans="1:18" ht="12" customHeight="1">
      <c r="A1354" s="221"/>
      <c r="I1354" s="9"/>
      <c r="J1354" s="68"/>
      <c r="K1354" s="68"/>
      <c r="L1354" s="68"/>
      <c r="M1354" s="229"/>
      <c r="N1354" s="68"/>
      <c r="O1354" s="68"/>
      <c r="P1354" s="68"/>
      <c r="Q1354" s="68"/>
      <c r="R1354" s="68"/>
    </row>
    <row r="1355" spans="1:18" ht="12" customHeight="1">
      <c r="A1355" s="221"/>
      <c r="I1355" s="9"/>
      <c r="J1355" s="68"/>
      <c r="K1355" s="68"/>
      <c r="L1355" s="68"/>
      <c r="M1355" s="229"/>
      <c r="N1355" s="68"/>
      <c r="O1355" s="68"/>
      <c r="P1355" s="68"/>
      <c r="Q1355" s="68"/>
      <c r="R1355" s="68"/>
    </row>
    <row r="1356" spans="1:18" ht="12" customHeight="1">
      <c r="A1356" s="221"/>
      <c r="I1356" s="9"/>
      <c r="J1356" s="68"/>
      <c r="K1356" s="68"/>
      <c r="L1356" s="68"/>
      <c r="M1356" s="229"/>
      <c r="N1356" s="68"/>
      <c r="O1356" s="68"/>
      <c r="P1356" s="68"/>
      <c r="Q1356" s="68"/>
      <c r="R1356" s="68"/>
    </row>
    <row r="1357" spans="1:18" ht="12" customHeight="1">
      <c r="A1357" s="221"/>
      <c r="I1357" s="9"/>
      <c r="J1357" s="68"/>
      <c r="K1357" s="68"/>
      <c r="L1357" s="68"/>
      <c r="M1357" s="229"/>
      <c r="N1357" s="68"/>
      <c r="O1357" s="68"/>
      <c r="P1357" s="68"/>
      <c r="Q1357" s="68"/>
      <c r="R1357" s="68"/>
    </row>
    <row r="1358" spans="1:18" ht="12" customHeight="1">
      <c r="A1358" s="221"/>
      <c r="I1358" s="9"/>
      <c r="J1358" s="68"/>
      <c r="K1358" s="68"/>
      <c r="L1358" s="68"/>
      <c r="M1358" s="229"/>
      <c r="N1358" s="68"/>
      <c r="O1358" s="68"/>
      <c r="P1358" s="68"/>
      <c r="Q1358" s="68"/>
      <c r="R1358" s="68"/>
    </row>
    <row r="1359" spans="1:18" ht="12" customHeight="1">
      <c r="A1359" s="221"/>
      <c r="I1359" s="9"/>
      <c r="J1359" s="68"/>
      <c r="K1359" s="68"/>
      <c r="L1359" s="68"/>
      <c r="M1359" s="229"/>
      <c r="N1359" s="68"/>
      <c r="O1359" s="68"/>
      <c r="P1359" s="68"/>
      <c r="Q1359" s="68"/>
      <c r="R1359" s="68"/>
    </row>
    <row r="1360" spans="1:18" ht="12" customHeight="1">
      <c r="A1360" s="221"/>
      <c r="I1360" s="9"/>
      <c r="J1360" s="68"/>
      <c r="K1360" s="68"/>
      <c r="L1360" s="68"/>
      <c r="M1360" s="229"/>
      <c r="N1360" s="68"/>
      <c r="O1360" s="68"/>
      <c r="P1360" s="68"/>
      <c r="Q1360" s="68"/>
      <c r="R1360" s="68"/>
    </row>
    <row r="1361" spans="1:18" ht="12" customHeight="1">
      <c r="A1361" s="221"/>
      <c r="I1361" s="9"/>
      <c r="J1361" s="68"/>
      <c r="K1361" s="68"/>
      <c r="L1361" s="68"/>
      <c r="M1361" s="229"/>
      <c r="N1361" s="68"/>
      <c r="O1361" s="68"/>
      <c r="P1361" s="68"/>
      <c r="Q1361" s="68"/>
      <c r="R1361" s="68"/>
    </row>
    <row r="1362" spans="1:18" ht="12" customHeight="1">
      <c r="A1362" s="221"/>
      <c r="I1362" s="9"/>
      <c r="J1362" s="68"/>
      <c r="K1362" s="68"/>
      <c r="L1362" s="68"/>
      <c r="M1362" s="229"/>
      <c r="N1362" s="68"/>
      <c r="O1362" s="68"/>
      <c r="P1362" s="68"/>
      <c r="Q1362" s="68"/>
      <c r="R1362" s="68"/>
    </row>
    <row r="1363" spans="1:18" ht="12" customHeight="1">
      <c r="A1363" s="221"/>
      <c r="I1363" s="9"/>
      <c r="J1363" s="68"/>
      <c r="K1363" s="68"/>
      <c r="L1363" s="68"/>
      <c r="M1363" s="229"/>
      <c r="N1363" s="68"/>
      <c r="O1363" s="68"/>
      <c r="P1363" s="68"/>
      <c r="Q1363" s="68"/>
      <c r="R1363" s="68"/>
    </row>
    <row r="1364" spans="1:18" ht="12" customHeight="1">
      <c r="A1364" s="221"/>
      <c r="I1364" s="9"/>
      <c r="J1364" s="68"/>
      <c r="K1364" s="68"/>
      <c r="L1364" s="68"/>
      <c r="M1364" s="229"/>
      <c r="N1364" s="68"/>
      <c r="O1364" s="68"/>
      <c r="P1364" s="68"/>
      <c r="Q1364" s="68"/>
      <c r="R1364" s="68"/>
    </row>
    <row r="1365" spans="1:18" ht="12" customHeight="1">
      <c r="A1365" s="221"/>
      <c r="I1365" s="9"/>
      <c r="J1365" s="68"/>
      <c r="K1365" s="68"/>
      <c r="L1365" s="68"/>
      <c r="M1365" s="229"/>
      <c r="N1365" s="68"/>
      <c r="O1365" s="68"/>
      <c r="P1365" s="68"/>
      <c r="Q1365" s="68"/>
      <c r="R1365" s="68"/>
    </row>
    <row r="1366" spans="1:18" ht="12" customHeight="1">
      <c r="A1366" s="221"/>
      <c r="I1366" s="9"/>
      <c r="J1366" s="68"/>
      <c r="K1366" s="68"/>
      <c r="L1366" s="68"/>
      <c r="M1366" s="229"/>
      <c r="N1366" s="68"/>
      <c r="O1366" s="68"/>
      <c r="P1366" s="68"/>
      <c r="Q1366" s="68"/>
      <c r="R1366" s="68"/>
    </row>
    <row r="1367" spans="1:18" ht="12" customHeight="1">
      <c r="A1367" s="221"/>
      <c r="I1367" s="9"/>
      <c r="J1367" s="68"/>
      <c r="K1367" s="68"/>
      <c r="L1367" s="68"/>
      <c r="M1367" s="229"/>
      <c r="N1367" s="68"/>
      <c r="O1367" s="68"/>
      <c r="P1367" s="68"/>
      <c r="Q1367" s="68"/>
      <c r="R1367" s="68"/>
    </row>
    <row r="1368" spans="1:18" ht="12" customHeight="1">
      <c r="A1368" s="221"/>
      <c r="I1368" s="9"/>
      <c r="J1368" s="68"/>
      <c r="K1368" s="68"/>
      <c r="L1368" s="68"/>
      <c r="M1368" s="229"/>
      <c r="N1368" s="68"/>
      <c r="O1368" s="68"/>
      <c r="P1368" s="68"/>
      <c r="Q1368" s="68"/>
      <c r="R1368" s="68"/>
    </row>
    <row r="1369" spans="1:18" ht="12" customHeight="1">
      <c r="A1369" s="221"/>
      <c r="I1369" s="9"/>
      <c r="J1369" s="68"/>
      <c r="K1369" s="68"/>
      <c r="L1369" s="68"/>
      <c r="M1369" s="229"/>
      <c r="N1369" s="68"/>
      <c r="O1369" s="68"/>
      <c r="P1369" s="68"/>
      <c r="Q1369" s="68"/>
      <c r="R1369" s="68"/>
    </row>
    <row r="1370" spans="1:18" ht="12" customHeight="1">
      <c r="A1370" s="221"/>
      <c r="I1370" s="9"/>
      <c r="J1370" s="68"/>
      <c r="K1370" s="68"/>
      <c r="L1370" s="68"/>
      <c r="M1370" s="229"/>
      <c r="N1370" s="68"/>
      <c r="O1370" s="68"/>
      <c r="P1370" s="68"/>
      <c r="Q1370" s="68"/>
      <c r="R1370" s="68"/>
    </row>
    <row r="1371" spans="1:18" ht="12" customHeight="1">
      <c r="A1371" s="221"/>
      <c r="I1371" s="9"/>
      <c r="J1371" s="68"/>
      <c r="K1371" s="68"/>
      <c r="L1371" s="68"/>
      <c r="M1371" s="229"/>
      <c r="N1371" s="68"/>
      <c r="O1371" s="68"/>
      <c r="P1371" s="68"/>
      <c r="Q1371" s="68"/>
      <c r="R1371" s="68"/>
    </row>
    <row r="1372" spans="1:18" ht="12" customHeight="1">
      <c r="A1372" s="221"/>
      <c r="I1372" s="9"/>
      <c r="J1372" s="68"/>
      <c r="K1372" s="68"/>
      <c r="L1372" s="68"/>
      <c r="M1372" s="229"/>
      <c r="N1372" s="68"/>
      <c r="O1372" s="68"/>
      <c r="P1372" s="68"/>
      <c r="Q1372" s="68"/>
      <c r="R1372" s="68"/>
    </row>
    <row r="1373" spans="1:18" ht="12" customHeight="1">
      <c r="A1373" s="221"/>
      <c r="I1373" s="9"/>
      <c r="J1373" s="68"/>
      <c r="K1373" s="68"/>
      <c r="L1373" s="68"/>
      <c r="M1373" s="229"/>
      <c r="N1373" s="68"/>
      <c r="O1373" s="68"/>
      <c r="P1373" s="68"/>
      <c r="Q1373" s="68"/>
      <c r="R1373" s="68"/>
    </row>
    <row r="1374" spans="1:18" ht="12" customHeight="1">
      <c r="A1374" s="221"/>
      <c r="I1374" s="9"/>
      <c r="J1374" s="68"/>
      <c r="K1374" s="68"/>
      <c r="L1374" s="68"/>
      <c r="M1374" s="229"/>
      <c r="N1374" s="68"/>
      <c r="O1374" s="68"/>
      <c r="P1374" s="68"/>
      <c r="Q1374" s="68"/>
      <c r="R1374" s="68"/>
    </row>
    <row r="1375" spans="1:18" ht="12" customHeight="1">
      <c r="A1375" s="221"/>
      <c r="I1375" s="9"/>
      <c r="J1375" s="68"/>
      <c r="K1375" s="68"/>
      <c r="L1375" s="68"/>
      <c r="M1375" s="229"/>
      <c r="N1375" s="68"/>
      <c r="O1375" s="68"/>
      <c r="P1375" s="68"/>
      <c r="Q1375" s="68"/>
      <c r="R1375" s="68"/>
    </row>
    <row r="1376" spans="1:18" ht="12" customHeight="1">
      <c r="A1376" s="221"/>
      <c r="I1376" s="9"/>
      <c r="J1376" s="68"/>
      <c r="K1376" s="68"/>
      <c r="L1376" s="68"/>
      <c r="M1376" s="229"/>
      <c r="N1376" s="68"/>
      <c r="O1376" s="68"/>
      <c r="P1376" s="68"/>
      <c r="Q1376" s="68"/>
      <c r="R1376" s="68"/>
    </row>
    <row r="1377" spans="1:18" ht="12" customHeight="1">
      <c r="A1377" s="221"/>
      <c r="I1377" s="9"/>
      <c r="J1377" s="68"/>
      <c r="K1377" s="68"/>
      <c r="L1377" s="68"/>
      <c r="M1377" s="229"/>
      <c r="N1377" s="68"/>
      <c r="O1377" s="68"/>
      <c r="P1377" s="68"/>
      <c r="Q1377" s="68"/>
      <c r="R1377" s="68"/>
    </row>
    <row r="1378" spans="1:18" ht="12" customHeight="1">
      <c r="A1378" s="221"/>
      <c r="I1378" s="9"/>
      <c r="J1378" s="68"/>
      <c r="K1378" s="68"/>
      <c r="L1378" s="68"/>
      <c r="M1378" s="229"/>
      <c r="N1378" s="68"/>
      <c r="O1378" s="68"/>
      <c r="P1378" s="68"/>
      <c r="Q1378" s="68"/>
      <c r="R1378" s="68"/>
    </row>
    <row r="1379" spans="1:18" ht="12" customHeight="1">
      <c r="A1379" s="221"/>
      <c r="I1379" s="9"/>
      <c r="J1379" s="68"/>
      <c r="K1379" s="68"/>
      <c r="L1379" s="68"/>
      <c r="M1379" s="229"/>
      <c r="N1379" s="68"/>
      <c r="O1379" s="68"/>
      <c r="P1379" s="68"/>
      <c r="Q1379" s="68"/>
      <c r="R1379" s="68"/>
    </row>
    <row r="1380" spans="1:18" ht="12" customHeight="1">
      <c r="A1380" s="221"/>
      <c r="I1380" s="9"/>
      <c r="J1380" s="68"/>
      <c r="K1380" s="68"/>
      <c r="L1380" s="68"/>
      <c r="M1380" s="229"/>
      <c r="N1380" s="68"/>
      <c r="O1380" s="68"/>
      <c r="P1380" s="68"/>
      <c r="Q1380" s="68"/>
      <c r="R1380" s="68"/>
    </row>
    <row r="1381" spans="1:18" ht="12" customHeight="1">
      <c r="A1381" s="221"/>
      <c r="I1381" s="9"/>
      <c r="J1381" s="68"/>
      <c r="K1381" s="68"/>
      <c r="L1381" s="68"/>
      <c r="M1381" s="229"/>
      <c r="N1381" s="68"/>
      <c r="O1381" s="68"/>
      <c r="P1381" s="68"/>
      <c r="Q1381" s="68"/>
      <c r="R1381" s="68"/>
    </row>
    <row r="1382" spans="1:18" ht="12" customHeight="1">
      <c r="A1382" s="221"/>
      <c r="I1382" s="9"/>
      <c r="J1382" s="68"/>
      <c r="K1382" s="68"/>
      <c r="L1382" s="68"/>
      <c r="M1382" s="229"/>
      <c r="N1382" s="68"/>
      <c r="O1382" s="68"/>
      <c r="P1382" s="68"/>
      <c r="Q1382" s="68"/>
      <c r="R1382" s="68"/>
    </row>
    <row r="1383" spans="1:18" ht="12" customHeight="1">
      <c r="A1383" s="221"/>
      <c r="I1383" s="9"/>
      <c r="J1383" s="68"/>
      <c r="K1383" s="68"/>
      <c r="L1383" s="68"/>
      <c r="M1383" s="229"/>
      <c r="N1383" s="68"/>
      <c r="O1383" s="68"/>
      <c r="P1383" s="68"/>
      <c r="Q1383" s="68"/>
      <c r="R1383" s="68"/>
    </row>
    <row r="1384" spans="1:18" ht="12" customHeight="1">
      <c r="A1384" s="221"/>
      <c r="I1384" s="9"/>
      <c r="J1384" s="68"/>
      <c r="K1384" s="68"/>
      <c r="L1384" s="68"/>
      <c r="M1384" s="229"/>
      <c r="N1384" s="68"/>
      <c r="O1384" s="68"/>
      <c r="P1384" s="68"/>
      <c r="Q1384" s="68"/>
      <c r="R1384" s="68"/>
    </row>
    <row r="1385" spans="1:18" ht="12" customHeight="1">
      <c r="A1385" s="221"/>
      <c r="I1385" s="9"/>
      <c r="J1385" s="68"/>
      <c r="K1385" s="68"/>
      <c r="L1385" s="68"/>
      <c r="M1385" s="229"/>
      <c r="N1385" s="68"/>
      <c r="O1385" s="68"/>
      <c r="P1385" s="68"/>
      <c r="Q1385" s="68"/>
      <c r="R1385" s="68"/>
    </row>
    <row r="1386" spans="1:18" ht="12" customHeight="1">
      <c r="A1386" s="221"/>
      <c r="I1386" s="9"/>
      <c r="J1386" s="68"/>
      <c r="K1386" s="68"/>
      <c r="L1386" s="68"/>
      <c r="M1386" s="229"/>
      <c r="N1386" s="68"/>
      <c r="O1386" s="68"/>
      <c r="P1386" s="68"/>
      <c r="Q1386" s="68"/>
      <c r="R1386" s="68"/>
    </row>
    <row r="1387" spans="1:18" ht="12" customHeight="1">
      <c r="A1387" s="221"/>
      <c r="I1387" s="9"/>
      <c r="J1387" s="68"/>
      <c r="K1387" s="68"/>
      <c r="L1387" s="68"/>
      <c r="M1387" s="229"/>
      <c r="N1387" s="68"/>
      <c r="O1387" s="68"/>
      <c r="P1387" s="68"/>
      <c r="Q1387" s="68"/>
      <c r="R1387" s="68"/>
    </row>
    <row r="1388" spans="1:18" ht="12" customHeight="1">
      <c r="A1388" s="221"/>
      <c r="I1388" s="9"/>
      <c r="J1388" s="68"/>
      <c r="K1388" s="68"/>
      <c r="L1388" s="68"/>
      <c r="M1388" s="229"/>
      <c r="N1388" s="68"/>
      <c r="O1388" s="68"/>
      <c r="P1388" s="68"/>
      <c r="Q1388" s="68"/>
      <c r="R1388" s="68"/>
    </row>
    <row r="1389" spans="1:18" ht="12" customHeight="1">
      <c r="A1389" s="221"/>
      <c r="I1389" s="9"/>
      <c r="J1389" s="68"/>
      <c r="K1389" s="68"/>
      <c r="L1389" s="68"/>
      <c r="M1389" s="229"/>
      <c r="N1389" s="68"/>
      <c r="O1389" s="68"/>
      <c r="P1389" s="68"/>
      <c r="Q1389" s="68"/>
      <c r="R1389" s="68"/>
    </row>
    <row r="1390" spans="1:18" ht="12" customHeight="1">
      <c r="A1390" s="221"/>
      <c r="I1390" s="9"/>
      <c r="J1390" s="68"/>
      <c r="K1390" s="68"/>
      <c r="L1390" s="68"/>
      <c r="M1390" s="229"/>
      <c r="N1390" s="68"/>
      <c r="O1390" s="68"/>
      <c r="P1390" s="68"/>
      <c r="Q1390" s="68"/>
      <c r="R1390" s="68"/>
    </row>
    <row r="1391" spans="1:18" ht="12" customHeight="1">
      <c r="A1391" s="221"/>
      <c r="I1391" s="9"/>
      <c r="J1391" s="68"/>
      <c r="K1391" s="68"/>
      <c r="L1391" s="68"/>
      <c r="M1391" s="229"/>
      <c r="N1391" s="68"/>
      <c r="O1391" s="68"/>
      <c r="P1391" s="68"/>
      <c r="Q1391" s="68"/>
      <c r="R1391" s="68"/>
    </row>
    <row r="1392" spans="1:18" ht="12" customHeight="1">
      <c r="A1392" s="221"/>
      <c r="I1392" s="9"/>
      <c r="J1392" s="68"/>
      <c r="K1392" s="68"/>
      <c r="L1392" s="68"/>
      <c r="M1392" s="229"/>
      <c r="N1392" s="68"/>
      <c r="O1392" s="68"/>
      <c r="P1392" s="68"/>
      <c r="Q1392" s="68"/>
      <c r="R1392" s="68"/>
    </row>
    <row r="1393" spans="1:18" ht="12" customHeight="1">
      <c r="A1393" s="221"/>
      <c r="I1393" s="9"/>
      <c r="J1393" s="68"/>
      <c r="K1393" s="68"/>
      <c r="L1393" s="68"/>
      <c r="M1393" s="229"/>
      <c r="N1393" s="68"/>
      <c r="O1393" s="68"/>
      <c r="P1393" s="68"/>
      <c r="Q1393" s="68"/>
      <c r="R1393" s="68"/>
    </row>
    <row r="1394" spans="1:18" ht="12" customHeight="1">
      <c r="A1394" s="221"/>
      <c r="I1394" s="9"/>
      <c r="J1394" s="68"/>
      <c r="K1394" s="68"/>
      <c r="L1394" s="68"/>
      <c r="M1394" s="229"/>
      <c r="N1394" s="68"/>
      <c r="O1394" s="68"/>
      <c r="P1394" s="68"/>
      <c r="Q1394" s="68"/>
      <c r="R1394" s="68"/>
    </row>
    <row r="1395" spans="1:18" ht="12" customHeight="1">
      <c r="A1395" s="221"/>
      <c r="I1395" s="9"/>
      <c r="J1395" s="68"/>
      <c r="K1395" s="68"/>
      <c r="L1395" s="68"/>
      <c r="M1395" s="229"/>
      <c r="N1395" s="68"/>
      <c r="O1395" s="68"/>
      <c r="P1395" s="68"/>
      <c r="Q1395" s="68"/>
      <c r="R1395" s="68"/>
    </row>
    <row r="1396" spans="1:18" ht="12" customHeight="1">
      <c r="A1396" s="221"/>
      <c r="I1396" s="9"/>
      <c r="J1396" s="68"/>
      <c r="K1396" s="68"/>
      <c r="L1396" s="68"/>
      <c r="M1396" s="229"/>
      <c r="N1396" s="68"/>
      <c r="O1396" s="68"/>
      <c r="P1396" s="68"/>
      <c r="Q1396" s="68"/>
      <c r="R1396" s="68"/>
    </row>
    <row r="1397" spans="1:18" ht="12" customHeight="1">
      <c r="A1397" s="221"/>
      <c r="I1397" s="9"/>
      <c r="J1397" s="68"/>
      <c r="K1397" s="68"/>
      <c r="L1397" s="68"/>
      <c r="M1397" s="229"/>
      <c r="N1397" s="68"/>
      <c r="O1397" s="68"/>
      <c r="P1397" s="68"/>
      <c r="Q1397" s="68"/>
      <c r="R1397" s="68"/>
    </row>
    <row r="1398" spans="1:18" ht="12" customHeight="1">
      <c r="A1398" s="221"/>
      <c r="I1398" s="9"/>
      <c r="J1398" s="68"/>
      <c r="K1398" s="68"/>
      <c r="L1398" s="68"/>
      <c r="M1398" s="229"/>
      <c r="N1398" s="68"/>
      <c r="O1398" s="68"/>
      <c r="P1398" s="68"/>
      <c r="Q1398" s="68"/>
      <c r="R1398" s="68"/>
    </row>
    <row r="1399" spans="1:18" ht="12" customHeight="1">
      <c r="A1399" s="221"/>
      <c r="I1399" s="9"/>
      <c r="J1399" s="68"/>
      <c r="K1399" s="68"/>
      <c r="L1399" s="68"/>
      <c r="M1399" s="229"/>
      <c r="N1399" s="68"/>
      <c r="O1399" s="68"/>
      <c r="P1399" s="68"/>
      <c r="Q1399" s="68"/>
      <c r="R1399" s="68"/>
    </row>
    <row r="1400" spans="1:18" ht="12" customHeight="1">
      <c r="A1400" s="221"/>
      <c r="I1400" s="9"/>
      <c r="J1400" s="68"/>
      <c r="K1400" s="68"/>
      <c r="L1400" s="68"/>
      <c r="M1400" s="229"/>
      <c r="N1400" s="68"/>
      <c r="O1400" s="68"/>
      <c r="P1400" s="68"/>
      <c r="Q1400" s="68"/>
      <c r="R1400" s="68"/>
    </row>
    <row r="1401" spans="1:18" ht="12" customHeight="1">
      <c r="A1401" s="221"/>
      <c r="I1401" s="9"/>
      <c r="J1401" s="68"/>
      <c r="K1401" s="68"/>
      <c r="L1401" s="68"/>
      <c r="M1401" s="229"/>
      <c r="N1401" s="68"/>
      <c r="O1401" s="68"/>
      <c r="P1401" s="68"/>
      <c r="Q1401" s="68"/>
      <c r="R1401" s="68"/>
    </row>
    <row r="1402" spans="1:18" ht="12" customHeight="1">
      <c r="A1402" s="221"/>
      <c r="I1402" s="9"/>
      <c r="J1402" s="68"/>
      <c r="K1402" s="68"/>
      <c r="L1402" s="68"/>
      <c r="M1402" s="229"/>
      <c r="N1402" s="68"/>
      <c r="O1402" s="68"/>
      <c r="P1402" s="68"/>
      <c r="Q1402" s="68"/>
      <c r="R1402" s="68"/>
    </row>
    <row r="1403" spans="1:18" ht="12" customHeight="1">
      <c r="A1403" s="221"/>
      <c r="I1403" s="9"/>
      <c r="J1403" s="68"/>
      <c r="K1403" s="68"/>
      <c r="L1403" s="68"/>
      <c r="M1403" s="229"/>
      <c r="N1403" s="68"/>
      <c r="O1403" s="68"/>
      <c r="P1403" s="68"/>
      <c r="Q1403" s="68"/>
      <c r="R1403" s="68"/>
    </row>
    <row r="1404" spans="1:18" ht="12" customHeight="1">
      <c r="A1404" s="221"/>
      <c r="I1404" s="9"/>
      <c r="J1404" s="68"/>
      <c r="K1404" s="68"/>
      <c r="L1404" s="68"/>
      <c r="M1404" s="229"/>
      <c r="N1404" s="68"/>
      <c r="O1404" s="68"/>
      <c r="P1404" s="68"/>
      <c r="Q1404" s="68"/>
      <c r="R1404" s="68"/>
    </row>
    <row r="1405" spans="1:18" ht="12" customHeight="1">
      <c r="A1405" s="221"/>
      <c r="I1405" s="9"/>
      <c r="J1405" s="68"/>
      <c r="K1405" s="68"/>
      <c r="L1405" s="68"/>
      <c r="M1405" s="229"/>
      <c r="N1405" s="68"/>
      <c r="O1405" s="68"/>
      <c r="P1405" s="68"/>
      <c r="Q1405" s="68"/>
      <c r="R1405" s="68"/>
    </row>
    <row r="1406" spans="1:18" ht="12" customHeight="1">
      <c r="A1406" s="221"/>
      <c r="I1406" s="9"/>
      <c r="J1406" s="68"/>
      <c r="K1406" s="68"/>
      <c r="L1406" s="68"/>
      <c r="M1406" s="229"/>
      <c r="N1406" s="68"/>
      <c r="O1406" s="68"/>
      <c r="P1406" s="68"/>
      <c r="Q1406" s="68"/>
      <c r="R1406" s="68"/>
    </row>
    <row r="1407" spans="1:18" ht="12" customHeight="1">
      <c r="A1407" s="221"/>
      <c r="I1407" s="9"/>
      <c r="J1407" s="68"/>
      <c r="K1407" s="68"/>
      <c r="L1407" s="68"/>
      <c r="M1407" s="229"/>
      <c r="N1407" s="68"/>
      <c r="O1407" s="68"/>
      <c r="P1407" s="68"/>
      <c r="Q1407" s="68"/>
      <c r="R1407" s="68"/>
    </row>
    <row r="1408" spans="1:18" ht="12" customHeight="1">
      <c r="A1408" s="221"/>
      <c r="I1408" s="9"/>
      <c r="J1408" s="68"/>
      <c r="K1408" s="68"/>
      <c r="L1408" s="68"/>
      <c r="M1408" s="229"/>
      <c r="N1408" s="68"/>
      <c r="O1408" s="68"/>
      <c r="P1408" s="68"/>
      <c r="Q1408" s="68"/>
      <c r="R1408" s="68"/>
    </row>
    <row r="1409" spans="1:18" ht="12" customHeight="1">
      <c r="A1409" s="221"/>
      <c r="I1409" s="9"/>
      <c r="J1409" s="68"/>
      <c r="K1409" s="68"/>
      <c r="L1409" s="68"/>
      <c r="M1409" s="229"/>
      <c r="N1409" s="68"/>
      <c r="O1409" s="68"/>
      <c r="P1409" s="68"/>
      <c r="Q1409" s="68"/>
      <c r="R1409" s="68"/>
    </row>
    <row r="1410" spans="1:18" ht="12" customHeight="1">
      <c r="A1410" s="221"/>
      <c r="I1410" s="9"/>
      <c r="J1410" s="68"/>
      <c r="K1410" s="68"/>
      <c r="L1410" s="68"/>
      <c r="M1410" s="229"/>
      <c r="N1410" s="68"/>
      <c r="O1410" s="68"/>
      <c r="P1410" s="68"/>
      <c r="Q1410" s="68"/>
      <c r="R1410" s="68"/>
    </row>
    <row r="1411" spans="1:18" ht="12" customHeight="1">
      <c r="A1411" s="221"/>
      <c r="I1411" s="9"/>
      <c r="J1411" s="68"/>
      <c r="K1411" s="68"/>
      <c r="L1411" s="68"/>
      <c r="M1411" s="229"/>
      <c r="N1411" s="68"/>
      <c r="O1411" s="68"/>
      <c r="P1411" s="68"/>
      <c r="Q1411" s="68"/>
      <c r="R1411" s="68"/>
    </row>
    <row r="1412" spans="1:18" ht="12" customHeight="1">
      <c r="A1412" s="221"/>
      <c r="I1412" s="9"/>
      <c r="J1412" s="68"/>
      <c r="K1412" s="68"/>
      <c r="L1412" s="68"/>
      <c r="M1412" s="229"/>
      <c r="N1412" s="68"/>
      <c r="O1412" s="68"/>
      <c r="P1412" s="68"/>
      <c r="Q1412" s="68"/>
      <c r="R1412" s="68"/>
    </row>
    <row r="1413" spans="1:18" ht="12" customHeight="1">
      <c r="A1413" s="221"/>
      <c r="I1413" s="9"/>
      <c r="J1413" s="68"/>
      <c r="K1413" s="68"/>
      <c r="L1413" s="68"/>
      <c r="M1413" s="229"/>
      <c r="N1413" s="68"/>
      <c r="O1413" s="68"/>
      <c r="P1413" s="68"/>
      <c r="Q1413" s="68"/>
      <c r="R1413" s="68"/>
    </row>
    <row r="1414" spans="1:18" ht="12" customHeight="1">
      <c r="A1414" s="221"/>
      <c r="I1414" s="9"/>
      <c r="J1414" s="68"/>
      <c r="K1414" s="68"/>
      <c r="L1414" s="68"/>
      <c r="M1414" s="229"/>
      <c r="N1414" s="68"/>
      <c r="O1414" s="68"/>
      <c r="P1414" s="68"/>
      <c r="Q1414" s="68"/>
      <c r="R1414" s="68"/>
    </row>
    <row r="1415" spans="1:18" ht="12" customHeight="1">
      <c r="A1415" s="221"/>
      <c r="I1415" s="9"/>
      <c r="J1415" s="68"/>
      <c r="K1415" s="68"/>
      <c r="L1415" s="68"/>
      <c r="M1415" s="229"/>
      <c r="N1415" s="68"/>
      <c r="O1415" s="68"/>
      <c r="P1415" s="68"/>
      <c r="Q1415" s="68"/>
      <c r="R1415" s="68"/>
    </row>
    <row r="1416" spans="1:18" ht="12" customHeight="1">
      <c r="A1416" s="221"/>
      <c r="I1416" s="9"/>
      <c r="J1416" s="68"/>
      <c r="K1416" s="68"/>
      <c r="L1416" s="68"/>
      <c r="M1416" s="229"/>
      <c r="N1416" s="68"/>
      <c r="O1416" s="68"/>
      <c r="P1416" s="68"/>
      <c r="Q1416" s="68"/>
      <c r="R1416" s="68"/>
    </row>
    <row r="1417" spans="1:18" ht="12" customHeight="1">
      <c r="A1417" s="221"/>
      <c r="I1417" s="9"/>
      <c r="J1417" s="68"/>
      <c r="K1417" s="68"/>
      <c r="L1417" s="68"/>
      <c r="M1417" s="229"/>
      <c r="N1417" s="68"/>
      <c r="O1417" s="68"/>
      <c r="P1417" s="68"/>
      <c r="Q1417" s="68"/>
      <c r="R1417" s="68"/>
    </row>
    <row r="1418" spans="1:18" ht="12" customHeight="1">
      <c r="A1418" s="221"/>
      <c r="I1418" s="9"/>
      <c r="J1418" s="68"/>
      <c r="K1418" s="68"/>
      <c r="L1418" s="68"/>
      <c r="M1418" s="229"/>
      <c r="N1418" s="68"/>
      <c r="O1418" s="68"/>
      <c r="P1418" s="68"/>
      <c r="Q1418" s="68"/>
      <c r="R1418" s="68"/>
    </row>
    <row r="1419" spans="1:18" ht="12" customHeight="1">
      <c r="A1419" s="221"/>
      <c r="I1419" s="9"/>
      <c r="J1419" s="68"/>
      <c r="K1419" s="68"/>
      <c r="L1419" s="68"/>
      <c r="M1419" s="229"/>
      <c r="N1419" s="68"/>
      <c r="O1419" s="68"/>
      <c r="P1419" s="68"/>
      <c r="Q1419" s="68"/>
      <c r="R1419" s="68"/>
    </row>
    <row r="1420" spans="1:18" ht="12" customHeight="1">
      <c r="A1420" s="221"/>
      <c r="I1420" s="9"/>
      <c r="J1420" s="68"/>
      <c r="K1420" s="68"/>
      <c r="L1420" s="68"/>
      <c r="M1420" s="229"/>
      <c r="N1420" s="68"/>
      <c r="O1420" s="68"/>
      <c r="P1420" s="68"/>
      <c r="Q1420" s="68"/>
      <c r="R1420" s="68"/>
    </row>
    <row r="1421" spans="1:18" ht="12" customHeight="1">
      <c r="A1421" s="221"/>
      <c r="I1421" s="9"/>
      <c r="J1421" s="68"/>
      <c r="K1421" s="68"/>
      <c r="L1421" s="68"/>
      <c r="M1421" s="229"/>
      <c r="N1421" s="68"/>
      <c r="O1421" s="68"/>
      <c r="P1421" s="68"/>
      <c r="Q1421" s="68"/>
      <c r="R1421" s="68"/>
    </row>
    <row r="1422" spans="1:18" ht="12" customHeight="1">
      <c r="A1422" s="221"/>
      <c r="I1422" s="9"/>
      <c r="J1422" s="68"/>
      <c r="K1422" s="68"/>
      <c r="L1422" s="68"/>
      <c r="M1422" s="229"/>
      <c r="N1422" s="68"/>
      <c r="O1422" s="68"/>
      <c r="P1422" s="68"/>
      <c r="Q1422" s="68"/>
      <c r="R1422" s="68"/>
    </row>
    <row r="1423" spans="1:18" ht="12" customHeight="1">
      <c r="A1423" s="221"/>
      <c r="I1423" s="9"/>
      <c r="J1423" s="68"/>
      <c r="K1423" s="68"/>
      <c r="L1423" s="68"/>
      <c r="M1423" s="229"/>
      <c r="N1423" s="68"/>
      <c r="O1423" s="68"/>
      <c r="P1423" s="68"/>
      <c r="Q1423" s="68"/>
      <c r="R1423" s="68"/>
    </row>
    <row r="1424" spans="1:18" ht="12" customHeight="1">
      <c r="A1424" s="221"/>
      <c r="I1424" s="9"/>
      <c r="J1424" s="68"/>
      <c r="K1424" s="68"/>
      <c r="L1424" s="68"/>
      <c r="M1424" s="229"/>
      <c r="N1424" s="68"/>
      <c r="O1424" s="68"/>
      <c r="P1424" s="68"/>
      <c r="Q1424" s="68"/>
      <c r="R1424" s="68"/>
    </row>
    <row r="1425" spans="1:18" ht="12" customHeight="1">
      <c r="A1425" s="221"/>
      <c r="I1425" s="9"/>
      <c r="J1425" s="68"/>
      <c r="K1425" s="68"/>
      <c r="L1425" s="68"/>
      <c r="M1425" s="229"/>
      <c r="N1425" s="68"/>
      <c r="O1425" s="68"/>
      <c r="P1425" s="68"/>
      <c r="Q1425" s="68"/>
      <c r="R1425" s="68"/>
    </row>
    <row r="1426" spans="1:18" ht="12" customHeight="1">
      <c r="A1426" s="221"/>
      <c r="I1426" s="9"/>
      <c r="J1426" s="68"/>
      <c r="K1426" s="68"/>
      <c r="L1426" s="68"/>
      <c r="M1426" s="229"/>
      <c r="N1426" s="68"/>
      <c r="O1426" s="68"/>
      <c r="P1426" s="68"/>
      <c r="Q1426" s="68"/>
      <c r="R1426" s="68"/>
    </row>
    <row r="1427" spans="1:18" ht="12" customHeight="1">
      <c r="A1427" s="221"/>
      <c r="I1427" s="9"/>
      <c r="J1427" s="68"/>
      <c r="K1427" s="68"/>
      <c r="L1427" s="68"/>
      <c r="M1427" s="229"/>
      <c r="N1427" s="68"/>
      <c r="O1427" s="68"/>
      <c r="P1427" s="68"/>
      <c r="Q1427" s="68"/>
      <c r="R1427" s="68"/>
    </row>
    <row r="1428" spans="1:18" ht="12" customHeight="1">
      <c r="A1428" s="221"/>
      <c r="I1428" s="9"/>
      <c r="J1428" s="68"/>
      <c r="K1428" s="68"/>
      <c r="L1428" s="68"/>
      <c r="M1428" s="229"/>
      <c r="N1428" s="68"/>
      <c r="O1428" s="68"/>
      <c r="P1428" s="68"/>
      <c r="Q1428" s="68"/>
      <c r="R1428" s="68"/>
    </row>
    <row r="1429" spans="1:18" ht="12" customHeight="1">
      <c r="A1429" s="221"/>
      <c r="I1429" s="9"/>
      <c r="J1429" s="68"/>
      <c r="K1429" s="68"/>
      <c r="L1429" s="68"/>
      <c r="M1429" s="229"/>
      <c r="N1429" s="68"/>
      <c r="O1429" s="68"/>
      <c r="P1429" s="68"/>
      <c r="Q1429" s="68"/>
      <c r="R1429" s="68"/>
    </row>
    <row r="1430" spans="1:18" ht="12" customHeight="1">
      <c r="A1430" s="221"/>
      <c r="I1430" s="9"/>
      <c r="J1430" s="68"/>
      <c r="K1430" s="68"/>
      <c r="L1430" s="68"/>
      <c r="M1430" s="229"/>
      <c r="N1430" s="68"/>
      <c r="O1430" s="68"/>
      <c r="P1430" s="68"/>
      <c r="Q1430" s="68"/>
      <c r="R1430" s="68"/>
    </row>
    <row r="1431" spans="1:18" ht="12" customHeight="1">
      <c r="A1431" s="221"/>
      <c r="I1431" s="9"/>
      <c r="J1431" s="68"/>
      <c r="K1431" s="68"/>
      <c r="L1431" s="68"/>
      <c r="M1431" s="229"/>
      <c r="N1431" s="68"/>
      <c r="O1431" s="68"/>
      <c r="P1431" s="68"/>
      <c r="Q1431" s="68"/>
      <c r="R1431" s="68"/>
    </row>
    <row r="1432" spans="1:18" ht="12" customHeight="1">
      <c r="A1432" s="221"/>
      <c r="I1432" s="9"/>
      <c r="J1432" s="68"/>
      <c r="K1432" s="68"/>
      <c r="L1432" s="68"/>
      <c r="M1432" s="229"/>
      <c r="N1432" s="68"/>
      <c r="O1432" s="68"/>
      <c r="P1432" s="68"/>
      <c r="Q1432" s="68"/>
      <c r="R1432" s="68"/>
    </row>
    <row r="1433" spans="1:18" ht="12" customHeight="1">
      <c r="A1433" s="221"/>
      <c r="I1433" s="9"/>
      <c r="J1433" s="68"/>
      <c r="K1433" s="68"/>
      <c r="L1433" s="68"/>
      <c r="M1433" s="229"/>
      <c r="N1433" s="68"/>
      <c r="O1433" s="68"/>
      <c r="P1433" s="68"/>
      <c r="Q1433" s="68"/>
      <c r="R1433" s="68"/>
    </row>
    <row r="1434" spans="1:18" ht="12" customHeight="1">
      <c r="A1434" s="221"/>
      <c r="I1434" s="9"/>
      <c r="J1434" s="68"/>
      <c r="K1434" s="68"/>
      <c r="L1434" s="68"/>
      <c r="M1434" s="229"/>
      <c r="N1434" s="68"/>
      <c r="O1434" s="68"/>
      <c r="P1434" s="68"/>
      <c r="Q1434" s="68"/>
      <c r="R1434" s="68"/>
    </row>
    <row r="1435" spans="1:18" ht="12" customHeight="1">
      <c r="A1435" s="221"/>
      <c r="I1435" s="9"/>
      <c r="J1435" s="68"/>
      <c r="K1435" s="68"/>
      <c r="L1435" s="68"/>
      <c r="M1435" s="229"/>
      <c r="N1435" s="68"/>
      <c r="O1435" s="68"/>
      <c r="P1435" s="68"/>
      <c r="Q1435" s="68"/>
      <c r="R1435" s="68"/>
    </row>
    <row r="1436" spans="1:18" ht="12" customHeight="1">
      <c r="A1436" s="221"/>
      <c r="I1436" s="9"/>
      <c r="J1436" s="68"/>
      <c r="K1436" s="68"/>
      <c r="L1436" s="68"/>
      <c r="M1436" s="229"/>
      <c r="N1436" s="68"/>
      <c r="O1436" s="68"/>
      <c r="P1436" s="68"/>
      <c r="Q1436" s="68"/>
      <c r="R1436" s="68"/>
    </row>
    <row r="1437" spans="1:18" ht="12" customHeight="1">
      <c r="A1437" s="221"/>
      <c r="I1437" s="9"/>
      <c r="J1437" s="68"/>
      <c r="K1437" s="68"/>
      <c r="L1437" s="68"/>
      <c r="M1437" s="229"/>
      <c r="N1437" s="68"/>
      <c r="O1437" s="68"/>
      <c r="P1437" s="68"/>
      <c r="Q1437" s="68"/>
      <c r="R1437" s="68"/>
    </row>
    <row r="1438" spans="1:18" ht="12" customHeight="1">
      <c r="A1438" s="221"/>
      <c r="I1438" s="9"/>
      <c r="J1438" s="68"/>
      <c r="K1438" s="68"/>
      <c r="L1438" s="68"/>
      <c r="M1438" s="229"/>
      <c r="N1438" s="68"/>
      <c r="O1438" s="68"/>
      <c r="P1438" s="68"/>
      <c r="Q1438" s="68"/>
      <c r="R1438" s="68"/>
    </row>
    <row r="1439" spans="1:18" ht="12" customHeight="1">
      <c r="A1439" s="221"/>
      <c r="I1439" s="9"/>
      <c r="J1439" s="68"/>
      <c r="K1439" s="68"/>
      <c r="L1439" s="68"/>
      <c r="M1439" s="229"/>
      <c r="N1439" s="68"/>
      <c r="O1439" s="68"/>
      <c r="P1439" s="68"/>
      <c r="Q1439" s="68"/>
      <c r="R1439" s="68"/>
    </row>
    <row r="1440" spans="1:18" ht="12" customHeight="1">
      <c r="A1440" s="221"/>
      <c r="I1440" s="9"/>
      <c r="J1440" s="68"/>
      <c r="K1440" s="68"/>
      <c r="L1440" s="68"/>
      <c r="M1440" s="229"/>
      <c r="N1440" s="68"/>
      <c r="O1440" s="68"/>
      <c r="P1440" s="68"/>
      <c r="Q1440" s="68"/>
      <c r="R1440" s="68"/>
    </row>
    <row r="1441" spans="1:18" ht="12" customHeight="1">
      <c r="A1441" s="221"/>
      <c r="I1441" s="9"/>
      <c r="J1441" s="68"/>
      <c r="K1441" s="68"/>
      <c r="L1441" s="68"/>
      <c r="M1441" s="229"/>
      <c r="N1441" s="68"/>
      <c r="O1441" s="68"/>
      <c r="P1441" s="68"/>
      <c r="Q1441" s="68"/>
      <c r="R1441" s="68"/>
    </row>
    <row r="1442" spans="1:18" ht="12" customHeight="1">
      <c r="A1442" s="221"/>
      <c r="I1442" s="9"/>
      <c r="J1442" s="68"/>
      <c r="K1442" s="68"/>
      <c r="L1442" s="68"/>
      <c r="M1442" s="229"/>
      <c r="N1442" s="68"/>
      <c r="O1442" s="68"/>
      <c r="P1442" s="68"/>
      <c r="Q1442" s="68"/>
      <c r="R1442" s="68"/>
    </row>
    <row r="1443" spans="1:18" ht="12" customHeight="1">
      <c r="A1443" s="221"/>
      <c r="I1443" s="9"/>
      <c r="J1443" s="68"/>
      <c r="K1443" s="68"/>
      <c r="L1443" s="68"/>
      <c r="M1443" s="229"/>
      <c r="N1443" s="68"/>
      <c r="O1443" s="68"/>
      <c r="P1443" s="68"/>
      <c r="Q1443" s="68"/>
      <c r="R1443" s="68"/>
    </row>
    <row r="1444" spans="1:18" ht="12" customHeight="1">
      <c r="A1444" s="221"/>
      <c r="I1444" s="9"/>
      <c r="J1444" s="68"/>
      <c r="K1444" s="68"/>
      <c r="L1444" s="68"/>
      <c r="M1444" s="229"/>
      <c r="N1444" s="68"/>
      <c r="O1444" s="68"/>
      <c r="P1444" s="68"/>
      <c r="Q1444" s="68"/>
      <c r="R1444" s="68"/>
    </row>
    <row r="1445" spans="1:18" ht="12" customHeight="1">
      <c r="A1445" s="221"/>
      <c r="I1445" s="9"/>
      <c r="J1445" s="68"/>
      <c r="K1445" s="68"/>
      <c r="L1445" s="68"/>
      <c r="M1445" s="229"/>
      <c r="N1445" s="68"/>
      <c r="O1445" s="68"/>
      <c r="P1445" s="68"/>
      <c r="Q1445" s="68"/>
      <c r="R1445" s="68"/>
    </row>
    <row r="1446" spans="1:18" ht="12" customHeight="1">
      <c r="A1446" s="221"/>
      <c r="I1446" s="9"/>
      <c r="J1446" s="68"/>
      <c r="K1446" s="68"/>
      <c r="L1446" s="68"/>
      <c r="M1446" s="229"/>
      <c r="N1446" s="68"/>
      <c r="O1446" s="68"/>
      <c r="P1446" s="68"/>
      <c r="Q1446" s="68"/>
      <c r="R1446" s="68"/>
    </row>
    <row r="1447" spans="1:18" ht="12" customHeight="1">
      <c r="A1447" s="221"/>
      <c r="I1447" s="9"/>
      <c r="J1447" s="68"/>
      <c r="K1447" s="68"/>
      <c r="L1447" s="68"/>
      <c r="M1447" s="229"/>
      <c r="N1447" s="68"/>
      <c r="O1447" s="68"/>
      <c r="P1447" s="68"/>
      <c r="Q1447" s="68"/>
      <c r="R1447" s="68"/>
    </row>
    <row r="1448" spans="1:18" ht="12" customHeight="1">
      <c r="A1448" s="221"/>
      <c r="I1448" s="9"/>
      <c r="J1448" s="68"/>
      <c r="K1448" s="68"/>
      <c r="L1448" s="68"/>
      <c r="M1448" s="229"/>
      <c r="N1448" s="68"/>
      <c r="O1448" s="68"/>
      <c r="P1448" s="68"/>
      <c r="Q1448" s="68"/>
      <c r="R1448" s="68"/>
    </row>
    <row r="1449" spans="1:18" ht="12" customHeight="1">
      <c r="A1449" s="221"/>
      <c r="I1449" s="9"/>
      <c r="J1449" s="68"/>
      <c r="K1449" s="68"/>
      <c r="L1449" s="68"/>
      <c r="M1449" s="229"/>
      <c r="N1449" s="68"/>
      <c r="O1449" s="68"/>
      <c r="P1449" s="68"/>
      <c r="Q1449" s="68"/>
      <c r="R1449" s="68"/>
    </row>
    <row r="1450" spans="1:18" ht="12" customHeight="1">
      <c r="A1450" s="221"/>
      <c r="I1450" s="9"/>
      <c r="J1450" s="68"/>
      <c r="K1450" s="68"/>
      <c r="L1450" s="68"/>
      <c r="M1450" s="229"/>
      <c r="N1450" s="68"/>
      <c r="O1450" s="68"/>
      <c r="P1450" s="68"/>
      <c r="Q1450" s="68"/>
      <c r="R1450" s="68"/>
    </row>
    <row r="1451" spans="1:18" ht="12" customHeight="1">
      <c r="A1451" s="221"/>
      <c r="I1451" s="9"/>
      <c r="J1451" s="68"/>
      <c r="K1451" s="68"/>
      <c r="L1451" s="68"/>
      <c r="M1451" s="229"/>
      <c r="N1451" s="68"/>
      <c r="O1451" s="68"/>
      <c r="P1451" s="68"/>
      <c r="Q1451" s="68"/>
      <c r="R1451" s="68"/>
    </row>
    <row r="1452" spans="1:18" ht="12" customHeight="1">
      <c r="A1452" s="221"/>
      <c r="I1452" s="9"/>
      <c r="J1452" s="68"/>
      <c r="K1452" s="68"/>
      <c r="L1452" s="68"/>
      <c r="M1452" s="229"/>
      <c r="N1452" s="68"/>
      <c r="O1452" s="68"/>
      <c r="P1452" s="68"/>
      <c r="Q1452" s="68"/>
      <c r="R1452" s="68"/>
    </row>
    <row r="1453" spans="1:18" ht="12" customHeight="1">
      <c r="A1453" s="221"/>
      <c r="I1453" s="9"/>
      <c r="J1453" s="68"/>
      <c r="K1453" s="68"/>
      <c r="L1453" s="68"/>
      <c r="M1453" s="229"/>
      <c r="N1453" s="68"/>
      <c r="O1453" s="68"/>
      <c r="P1453" s="68"/>
      <c r="Q1453" s="68"/>
      <c r="R1453" s="68"/>
    </row>
    <row r="1454" spans="1:18" ht="12" customHeight="1">
      <c r="A1454" s="221"/>
      <c r="I1454" s="9"/>
      <c r="J1454" s="68"/>
      <c r="K1454" s="68"/>
      <c r="L1454" s="68"/>
      <c r="M1454" s="229"/>
      <c r="N1454" s="68"/>
      <c r="O1454" s="68"/>
      <c r="P1454" s="68"/>
      <c r="Q1454" s="68"/>
      <c r="R1454" s="68"/>
    </row>
    <row r="1455" spans="1:18" ht="12" customHeight="1">
      <c r="A1455" s="221"/>
      <c r="I1455" s="9"/>
      <c r="J1455" s="68"/>
      <c r="K1455" s="68"/>
      <c r="L1455" s="68"/>
      <c r="M1455" s="229"/>
      <c r="N1455" s="68"/>
      <c r="O1455" s="68"/>
      <c r="P1455" s="68"/>
      <c r="Q1455" s="68"/>
      <c r="R1455" s="68"/>
    </row>
    <row r="1456" spans="1:18" ht="12" customHeight="1">
      <c r="A1456" s="221"/>
      <c r="I1456" s="9"/>
      <c r="J1456" s="68"/>
      <c r="K1456" s="68"/>
      <c r="L1456" s="68"/>
      <c r="M1456" s="229"/>
      <c r="N1456" s="68"/>
      <c r="O1456" s="68"/>
      <c r="P1456" s="68"/>
      <c r="Q1456" s="68"/>
      <c r="R1456" s="68"/>
    </row>
    <row r="1457" spans="1:18" ht="12" customHeight="1">
      <c r="A1457" s="221"/>
      <c r="I1457" s="9"/>
      <c r="J1457" s="68"/>
      <c r="K1457" s="68"/>
      <c r="L1457" s="68"/>
      <c r="M1457" s="229"/>
      <c r="N1457" s="68"/>
      <c r="O1457" s="68"/>
      <c r="P1457" s="68"/>
      <c r="Q1457" s="68"/>
      <c r="R1457" s="68"/>
    </row>
    <row r="1458" spans="1:18" ht="12" customHeight="1">
      <c r="A1458" s="221"/>
      <c r="I1458" s="9"/>
      <c r="J1458" s="68"/>
      <c r="K1458" s="68"/>
      <c r="L1458" s="68"/>
      <c r="M1458" s="229"/>
      <c r="N1458" s="68"/>
      <c r="O1458" s="68"/>
      <c r="P1458" s="68"/>
      <c r="Q1458" s="68"/>
      <c r="R1458" s="68"/>
    </row>
    <row r="1459" spans="1:18" ht="12" customHeight="1">
      <c r="A1459" s="221"/>
      <c r="I1459" s="9"/>
      <c r="J1459" s="68"/>
      <c r="K1459" s="68"/>
      <c r="L1459" s="68"/>
      <c r="M1459" s="229"/>
      <c r="N1459" s="68"/>
      <c r="O1459" s="68"/>
      <c r="P1459" s="68"/>
      <c r="Q1459" s="68"/>
      <c r="R1459" s="68"/>
    </row>
    <row r="1460" spans="1:18" ht="12" customHeight="1">
      <c r="A1460" s="221"/>
      <c r="I1460" s="9"/>
      <c r="J1460" s="68"/>
      <c r="K1460" s="68"/>
      <c r="L1460" s="68"/>
      <c r="M1460" s="229"/>
      <c r="N1460" s="68"/>
      <c r="O1460" s="68"/>
      <c r="P1460" s="68"/>
      <c r="Q1460" s="68"/>
      <c r="R1460" s="68"/>
    </row>
    <row r="1461" spans="1:18" ht="12" customHeight="1">
      <c r="A1461" s="221"/>
      <c r="I1461" s="9"/>
      <c r="J1461" s="68"/>
      <c r="K1461" s="68"/>
      <c r="L1461" s="68"/>
      <c r="M1461" s="229"/>
      <c r="N1461" s="68"/>
      <c r="O1461" s="68"/>
      <c r="P1461" s="68"/>
      <c r="Q1461" s="68"/>
      <c r="R1461" s="68"/>
    </row>
    <row r="1462" spans="1:18" ht="12" customHeight="1">
      <c r="A1462" s="221"/>
      <c r="I1462" s="9"/>
      <c r="J1462" s="68"/>
      <c r="K1462" s="68"/>
      <c r="L1462" s="68"/>
      <c r="M1462" s="229"/>
      <c r="N1462" s="68"/>
      <c r="O1462" s="68"/>
      <c r="P1462" s="68"/>
      <c r="Q1462" s="68"/>
      <c r="R1462" s="68"/>
    </row>
    <row r="1463" spans="1:18" ht="12" customHeight="1">
      <c r="A1463" s="221"/>
      <c r="I1463" s="9"/>
      <c r="J1463" s="68"/>
      <c r="K1463" s="68"/>
      <c r="L1463" s="68"/>
      <c r="M1463" s="229"/>
      <c r="N1463" s="68"/>
      <c r="O1463" s="68"/>
      <c r="P1463" s="68"/>
      <c r="Q1463" s="68"/>
      <c r="R1463" s="68"/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18145" r:id="rId3" name="btnReArrangeSFC">
          <controlPr defaultSize="0" autoLine="0" r:id="rId4">
            <anchor>
              <from>
                <xdr:col>0</xdr:col>
                <xdr:colOff>0</xdr:colOff>
                <xdr:row>0</xdr:row>
                <xdr:rowOff>19050</xdr:rowOff>
              </from>
              <to>
                <xdr:col>4</xdr:col>
                <xdr:colOff>333375</xdr:colOff>
                <xdr:row>3</xdr:row>
                <xdr:rowOff>9525</xdr:rowOff>
              </to>
            </anchor>
          </controlPr>
        </control>
      </mc:Choice>
      <mc:Fallback>
        <control shapeId="3718145" r:id="rId3" name="btnReArrangeSFC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N1432"/>
  <sheetViews>
    <sheetView zoomScale="115" zoomScaleNormal="115" workbookViewId="0">
      <selection activeCell="B17" sqref="B17"/>
    </sheetView>
  </sheetViews>
  <sheetFormatPr defaultColWidth="8.88671875" defaultRowHeight="12"/>
  <cols>
    <col min="1" max="1" width="5.77734375" style="270" customWidth="1"/>
    <col min="2" max="2" width="10.44140625" style="221" customWidth="1"/>
    <col min="3" max="3" width="9.109375" style="221" customWidth="1"/>
    <col min="4" max="4" width="8.88671875" style="1"/>
    <col min="5" max="5" width="7.44140625" style="1" customWidth="1"/>
    <col min="6" max="6" width="11.5546875" style="1" customWidth="1"/>
    <col min="7" max="7" width="11.21875" style="1" customWidth="1"/>
    <col min="8" max="8" width="6.5546875" style="1" customWidth="1"/>
    <col min="9" max="10" width="10.5546875" style="1" customWidth="1"/>
    <col min="11" max="11" width="0.6640625" style="243" customWidth="1"/>
    <col min="12" max="12" width="7.88671875" style="1" customWidth="1"/>
    <col min="13" max="13" width="10" style="1" customWidth="1"/>
    <col min="14" max="20" width="5.77734375" style="1" customWidth="1"/>
    <col min="21" max="21" width="10" style="1" bestFit="1" customWidth="1"/>
    <col min="22" max="22" width="11.109375" style="1" bestFit="1" customWidth="1"/>
    <col min="23" max="25" width="8.88671875" style="1"/>
    <col min="26" max="26" width="5.77734375" style="1" customWidth="1"/>
    <col min="27" max="39" width="8.88671875" style="1"/>
    <col min="40" max="40" width="11.109375" style="1" bestFit="1" customWidth="1"/>
    <col min="41" max="16384" width="8.88671875" style="1"/>
  </cols>
  <sheetData>
    <row r="1" spans="1:40" ht="12" customHeight="1">
      <c r="A1" s="239" t="s">
        <v>472</v>
      </c>
      <c r="B1" s="239" t="s">
        <v>469</v>
      </c>
      <c r="C1" s="239" t="s">
        <v>470</v>
      </c>
      <c r="D1" s="239" t="s">
        <v>87</v>
      </c>
      <c r="E1" s="238" t="s">
        <v>88</v>
      </c>
      <c r="F1" s="233" t="s">
        <v>50</v>
      </c>
      <c r="G1" s="235" t="s">
        <v>52</v>
      </c>
      <c r="H1" s="239" t="s">
        <v>436</v>
      </c>
      <c r="I1" s="239" t="s">
        <v>437</v>
      </c>
      <c r="J1" s="231" t="s">
        <v>59</v>
      </c>
      <c r="K1" s="240"/>
      <c r="L1" s="536" t="s">
        <v>56</v>
      </c>
      <c r="M1" s="537"/>
    </row>
    <row r="2" spans="1:40" ht="12.75" thickBot="1">
      <c r="A2" s="124"/>
      <c r="B2" s="124"/>
      <c r="C2" s="124"/>
      <c r="D2" s="124"/>
      <c r="E2" s="237"/>
      <c r="F2" s="234"/>
      <c r="G2" s="236"/>
      <c r="H2" s="124"/>
      <c r="I2" s="262">
        <f>SUM(I3:I1000)</f>
        <v>3.4786062919865287E-3</v>
      </c>
      <c r="J2" s="232"/>
      <c r="K2" s="241"/>
      <c r="L2" s="226" t="s">
        <v>57</v>
      </c>
      <c r="M2" s="227" t="s">
        <v>58</v>
      </c>
    </row>
    <row r="3" spans="1:40">
      <c r="A3" s="269" t="s">
        <v>509</v>
      </c>
      <c r="B3" s="221" t="s">
        <v>448</v>
      </c>
      <c r="C3" s="221" t="s">
        <v>447</v>
      </c>
      <c r="D3" s="228">
        <v>524</v>
      </c>
      <c r="E3" s="228">
        <v>1152</v>
      </c>
      <c r="F3" s="69">
        <v>1.5246144253840504E-9</v>
      </c>
      <c r="G3" s="228">
        <v>655903540.82351017</v>
      </c>
      <c r="H3" s="228">
        <v>272.39999999999998</v>
      </c>
      <c r="I3" s="69">
        <v>4.1530496947461526E-7</v>
      </c>
      <c r="J3" s="69">
        <f t="shared" ref="J3:J66" si="0">J2+F3</f>
        <v>1.5246144253840504E-9</v>
      </c>
      <c r="K3" s="242"/>
      <c r="L3" s="162">
        <v>0.10000000149011612</v>
      </c>
      <c r="M3" s="69">
        <v>8.390566217713058E-4</v>
      </c>
      <c r="O3" s="69"/>
    </row>
    <row r="4" spans="1:40">
      <c r="A4" s="269" t="s">
        <v>451</v>
      </c>
      <c r="B4" s="221" t="s">
        <v>448</v>
      </c>
      <c r="C4" s="221" t="s">
        <v>447</v>
      </c>
      <c r="D4" s="228">
        <v>524</v>
      </c>
      <c r="E4" s="228">
        <v>1156</v>
      </c>
      <c r="F4" s="69">
        <v>1.5246144253840504E-9</v>
      </c>
      <c r="G4" s="228">
        <v>655903540.82351017</v>
      </c>
      <c r="H4" s="228">
        <v>256.2</v>
      </c>
      <c r="I4" s="69">
        <v>3.9060621578339368E-7</v>
      </c>
      <c r="J4" s="69">
        <f t="shared" si="0"/>
        <v>3.0492288507681008E-9</v>
      </c>
      <c r="K4" s="242"/>
      <c r="L4" s="162">
        <v>0.20000000298023224</v>
      </c>
      <c r="M4" s="69">
        <v>8.390566217713058E-4</v>
      </c>
      <c r="N4" s="162"/>
      <c r="O4" s="69"/>
      <c r="V4" s="9"/>
    </row>
    <row r="5" spans="1:40">
      <c r="A5" s="269" t="s">
        <v>466</v>
      </c>
      <c r="B5" s="221" t="s">
        <v>449</v>
      </c>
      <c r="C5" s="221" t="s">
        <v>450</v>
      </c>
      <c r="D5" s="228">
        <v>481</v>
      </c>
      <c r="E5" s="228">
        <v>1416</v>
      </c>
      <c r="F5" s="69">
        <v>1.5093546968020952E-7</v>
      </c>
      <c r="G5" s="228">
        <v>6625347.9193374701</v>
      </c>
      <c r="H5" s="228">
        <v>251.5</v>
      </c>
      <c r="I5" s="69">
        <v>3.7960270624572694E-5</v>
      </c>
      <c r="J5" s="69">
        <f t="shared" si="0"/>
        <v>1.5398469853097761E-7</v>
      </c>
      <c r="K5" s="242"/>
      <c r="L5" s="162">
        <v>0.20000000298023224</v>
      </c>
      <c r="M5" s="69">
        <v>6.7114457488059998E-4</v>
      </c>
      <c r="N5" s="162"/>
      <c r="O5" s="69"/>
      <c r="P5" s="68"/>
      <c r="Q5" s="68"/>
      <c r="R5" s="68"/>
      <c r="S5" s="68"/>
      <c r="T5" s="68"/>
      <c r="U5" s="68"/>
      <c r="V5" s="68"/>
      <c r="W5" s="68"/>
      <c r="X5" s="68"/>
      <c r="Z5" s="68"/>
    </row>
    <row r="6" spans="1:40">
      <c r="A6" s="269" t="s">
        <v>467</v>
      </c>
      <c r="B6" s="221" t="s">
        <v>449</v>
      </c>
      <c r="C6" s="221" t="s">
        <v>450</v>
      </c>
      <c r="D6" s="228">
        <v>481</v>
      </c>
      <c r="E6" s="228">
        <v>1440</v>
      </c>
      <c r="F6" s="69">
        <v>1.5093546968020952E-7</v>
      </c>
      <c r="G6" s="228">
        <v>6625347.9193374701</v>
      </c>
      <c r="H6" s="228">
        <v>248.4</v>
      </c>
      <c r="I6" s="69">
        <v>3.7492370668564045E-5</v>
      </c>
      <c r="J6" s="69">
        <f t="shared" si="0"/>
        <v>3.0492016821118716E-7</v>
      </c>
      <c r="K6" s="242"/>
      <c r="L6" s="162">
        <v>0.30000001192092896</v>
      </c>
      <c r="M6" s="69">
        <v>6.7114457488059998E-4</v>
      </c>
      <c r="N6" s="162"/>
      <c r="O6" s="69"/>
      <c r="U6" s="230"/>
      <c r="V6" s="68"/>
      <c r="W6" s="68"/>
      <c r="AM6" s="162">
        <v>0.10000000149011612</v>
      </c>
      <c r="AN6" s="69">
        <v>9.4547830522060394E-3</v>
      </c>
    </row>
    <row r="7" spans="1:40">
      <c r="A7" s="269" t="s">
        <v>520</v>
      </c>
      <c r="B7" s="221" t="s">
        <v>449</v>
      </c>
      <c r="C7" s="221" t="s">
        <v>450</v>
      </c>
      <c r="D7" s="228">
        <v>479</v>
      </c>
      <c r="E7" s="228">
        <v>1582</v>
      </c>
      <c r="F7" s="69">
        <v>1.5093546968020952E-7</v>
      </c>
      <c r="G7" s="228">
        <v>6625347.9193374701</v>
      </c>
      <c r="H7" s="228">
        <v>240.1</v>
      </c>
      <c r="I7" s="69">
        <v>3.6239606270218304E-5</v>
      </c>
      <c r="J7" s="69">
        <f t="shared" si="0"/>
        <v>4.5585563789139668E-7</v>
      </c>
      <c r="K7" s="242"/>
      <c r="L7" s="162">
        <v>0.30000001192092896</v>
      </c>
      <c r="M7" s="69">
        <v>6.3557981047779322E-4</v>
      </c>
      <c r="N7" s="162"/>
      <c r="O7" s="69"/>
      <c r="U7" s="230"/>
      <c r="V7" s="68"/>
      <c r="W7" s="68"/>
      <c r="AM7" s="162">
        <v>0.20000000298023224</v>
      </c>
      <c r="AN7" s="69">
        <v>9.4547830522060394E-3</v>
      </c>
    </row>
    <row r="8" spans="1:40">
      <c r="A8" s="269" t="s">
        <v>468</v>
      </c>
      <c r="B8" s="221" t="s">
        <v>449</v>
      </c>
      <c r="C8" s="221" t="s">
        <v>450</v>
      </c>
      <c r="D8" s="228">
        <v>481</v>
      </c>
      <c r="E8" s="228">
        <v>988</v>
      </c>
      <c r="F8" s="69">
        <v>1.5093546968020952E-7</v>
      </c>
      <c r="G8" s="228">
        <v>6625347.9193374701</v>
      </c>
      <c r="H8" s="228">
        <v>231.8</v>
      </c>
      <c r="I8" s="69">
        <v>3.4986841871872569E-5</v>
      </c>
      <c r="J8" s="69">
        <f t="shared" si="0"/>
        <v>6.067911075716062E-7</v>
      </c>
      <c r="K8" s="242"/>
      <c r="L8" s="162">
        <v>0.40000000596046448</v>
      </c>
      <c r="M8" s="69">
        <v>6.3557981047779322E-4</v>
      </c>
      <c r="N8" s="162"/>
      <c r="O8" s="69"/>
      <c r="U8" s="230"/>
      <c r="V8" s="68"/>
      <c r="W8" s="68"/>
      <c r="AM8" s="162">
        <v>0.20000000298023224</v>
      </c>
      <c r="AN8" s="69">
        <v>4.9936501309275627E-3</v>
      </c>
    </row>
    <row r="9" spans="1:40">
      <c r="A9" s="269" t="s">
        <v>452</v>
      </c>
      <c r="B9" s="221" t="s">
        <v>448</v>
      </c>
      <c r="C9" s="221" t="s">
        <v>447</v>
      </c>
      <c r="D9" s="228">
        <v>524</v>
      </c>
      <c r="E9" s="228">
        <v>1160</v>
      </c>
      <c r="F9" s="69">
        <v>1.5246144253840504E-9</v>
      </c>
      <c r="G9" s="228">
        <v>655903540.82351017</v>
      </c>
      <c r="H9" s="228">
        <v>230.3</v>
      </c>
      <c r="I9" s="69">
        <v>3.5111870216594682E-7</v>
      </c>
      <c r="J9" s="69">
        <f t="shared" si="0"/>
        <v>6.083157219969902E-7</v>
      </c>
      <c r="K9" s="242"/>
      <c r="L9" s="162">
        <v>0.40000000596046448</v>
      </c>
      <c r="M9" s="69">
        <v>5.8322871336713433E-4</v>
      </c>
      <c r="N9" s="162"/>
      <c r="O9" s="69"/>
      <c r="U9" s="230"/>
      <c r="V9" s="68"/>
      <c r="W9" s="68"/>
      <c r="AM9" s="162">
        <v>0.30000001192092896</v>
      </c>
      <c r="AN9" s="69">
        <v>4.9936501309275627E-3</v>
      </c>
    </row>
    <row r="10" spans="1:40">
      <c r="A10" s="269" t="s">
        <v>455</v>
      </c>
      <c r="B10" s="221" t="s">
        <v>448</v>
      </c>
      <c r="C10" s="221" t="s">
        <v>447</v>
      </c>
      <c r="D10" s="228">
        <v>524</v>
      </c>
      <c r="E10" s="228">
        <v>1084</v>
      </c>
      <c r="F10" s="69">
        <v>1.5246144253840504E-9</v>
      </c>
      <c r="G10" s="228">
        <v>655903540.82351017</v>
      </c>
      <c r="H10" s="228">
        <v>228.2</v>
      </c>
      <c r="I10" s="69">
        <v>3.4791701187264025E-7</v>
      </c>
      <c r="J10" s="69">
        <f t="shared" si="0"/>
        <v>6.0984033642237421E-7</v>
      </c>
      <c r="K10" s="242"/>
      <c r="L10" s="162">
        <v>0.5</v>
      </c>
      <c r="M10" s="69">
        <v>5.8322871336713433E-4</v>
      </c>
      <c r="N10" s="162"/>
      <c r="O10" s="69"/>
      <c r="U10" s="230"/>
      <c r="V10" s="68"/>
      <c r="W10" s="68"/>
      <c r="AM10" s="162">
        <v>0.30000001192092896</v>
      </c>
      <c r="AN10" s="69">
        <v>4.4140620157122612E-3</v>
      </c>
    </row>
    <row r="11" spans="1:40">
      <c r="A11" s="269" t="s">
        <v>512</v>
      </c>
      <c r="B11" s="221" t="s">
        <v>448</v>
      </c>
      <c r="C11" s="221" t="s">
        <v>447</v>
      </c>
      <c r="D11" s="228">
        <v>524</v>
      </c>
      <c r="E11" s="228">
        <v>1088</v>
      </c>
      <c r="F11" s="69">
        <v>1.5246144253840504E-9</v>
      </c>
      <c r="G11" s="228">
        <v>655903540.82351017</v>
      </c>
      <c r="H11" s="228">
        <v>226.5</v>
      </c>
      <c r="I11" s="69">
        <v>3.4532516734948741E-7</v>
      </c>
      <c r="J11" s="69">
        <f t="shared" si="0"/>
        <v>6.1136495084775822E-7</v>
      </c>
      <c r="K11" s="242"/>
      <c r="L11" s="162">
        <v>0.5</v>
      </c>
      <c r="M11" s="69">
        <v>4.8772501759231091E-4</v>
      </c>
      <c r="N11" s="162"/>
      <c r="O11" s="69"/>
      <c r="U11" s="230"/>
      <c r="V11" s="68"/>
      <c r="W11" s="68"/>
      <c r="AM11" s="162">
        <v>0.40000000596046448</v>
      </c>
      <c r="AN11" s="69">
        <v>4.4140620157122612E-3</v>
      </c>
    </row>
    <row r="12" spans="1:40">
      <c r="A12" s="269" t="s">
        <v>510</v>
      </c>
      <c r="B12" s="221" t="s">
        <v>448</v>
      </c>
      <c r="C12" s="221" t="s">
        <v>447</v>
      </c>
      <c r="D12" s="228">
        <v>524</v>
      </c>
      <c r="E12" s="228">
        <v>1162</v>
      </c>
      <c r="F12" s="69">
        <v>1.5246144253840504E-9</v>
      </c>
      <c r="G12" s="228">
        <v>655903540.82351017</v>
      </c>
      <c r="H12" s="228">
        <v>225.8</v>
      </c>
      <c r="I12" s="69">
        <v>3.4425793725171857E-7</v>
      </c>
      <c r="J12" s="69">
        <f t="shared" si="0"/>
        <v>6.1288956527314223E-7</v>
      </c>
      <c r="K12" s="242"/>
      <c r="L12" s="162">
        <v>0.60000002384185791</v>
      </c>
      <c r="M12" s="69">
        <v>4.8772501759231091E-4</v>
      </c>
      <c r="N12" s="162"/>
      <c r="O12" s="69"/>
      <c r="U12" s="230"/>
      <c r="V12" s="68"/>
      <c r="W12" s="68"/>
      <c r="AM12" s="162">
        <v>0.40000000596046448</v>
      </c>
      <c r="AN12" s="69">
        <v>2.3954818025231361E-3</v>
      </c>
    </row>
    <row r="13" spans="1:40">
      <c r="A13" s="269" t="s">
        <v>456</v>
      </c>
      <c r="B13" s="221" t="s">
        <v>448</v>
      </c>
      <c r="C13" s="221" t="s">
        <v>447</v>
      </c>
      <c r="D13" s="228">
        <v>525</v>
      </c>
      <c r="E13" s="228">
        <v>1082</v>
      </c>
      <c r="F13" s="69">
        <v>1.5246144253840504E-9</v>
      </c>
      <c r="G13" s="228">
        <v>655903540.82351017</v>
      </c>
      <c r="H13" s="228">
        <v>218.7</v>
      </c>
      <c r="I13" s="69">
        <v>3.3343317483149181E-7</v>
      </c>
      <c r="J13" s="69">
        <f t="shared" si="0"/>
        <v>6.1441417969852623E-7</v>
      </c>
      <c r="K13" s="242"/>
      <c r="L13" s="162">
        <v>0.60000002384185791</v>
      </c>
      <c r="M13" s="69">
        <v>4.5940084964968264E-4</v>
      </c>
      <c r="N13" s="162"/>
      <c r="O13" s="69"/>
      <c r="U13" s="230"/>
      <c r="V13" s="68"/>
      <c r="W13" s="68"/>
      <c r="AM13" s="162">
        <v>0.5</v>
      </c>
      <c r="AN13" s="69">
        <v>2.3954818025231361E-3</v>
      </c>
    </row>
    <row r="14" spans="1:40">
      <c r="A14" s="269" t="s">
        <v>465</v>
      </c>
      <c r="B14" s="221" t="s">
        <v>449</v>
      </c>
      <c r="C14" s="221" t="s">
        <v>450</v>
      </c>
      <c r="D14" s="228">
        <v>389</v>
      </c>
      <c r="E14" s="228">
        <v>1312</v>
      </c>
      <c r="F14" s="69">
        <v>1.5093546968020952E-7</v>
      </c>
      <c r="G14" s="228">
        <v>6625347.9193374701</v>
      </c>
      <c r="H14" s="228">
        <v>214.7</v>
      </c>
      <c r="I14" s="69">
        <v>3.2405845340340979E-5</v>
      </c>
      <c r="J14" s="69">
        <f t="shared" si="0"/>
        <v>7.6534964937873575E-7</v>
      </c>
      <c r="K14" s="242"/>
      <c r="L14" s="162">
        <v>0.69999998807907104</v>
      </c>
      <c r="M14" s="69">
        <v>4.5940084964968264E-4</v>
      </c>
      <c r="N14" s="162"/>
      <c r="O14" s="69"/>
      <c r="U14" s="230"/>
      <c r="V14" s="68"/>
      <c r="W14" s="68"/>
      <c r="AM14" s="162">
        <v>0.5</v>
      </c>
      <c r="AN14" s="69">
        <v>2.388430992141366E-3</v>
      </c>
    </row>
    <row r="15" spans="1:40">
      <c r="A15" s="269" t="s">
        <v>464</v>
      </c>
      <c r="B15" s="221" t="s">
        <v>449</v>
      </c>
      <c r="C15" s="221" t="s">
        <v>450</v>
      </c>
      <c r="D15" s="228">
        <v>389</v>
      </c>
      <c r="E15" s="228">
        <v>972</v>
      </c>
      <c r="F15" s="69">
        <v>1.5093546968020952E-7</v>
      </c>
      <c r="G15" s="228">
        <v>6625347.9193374701</v>
      </c>
      <c r="H15" s="228">
        <v>202.4</v>
      </c>
      <c r="I15" s="69">
        <v>3.0549339063274407E-5</v>
      </c>
      <c r="J15" s="69">
        <f t="shared" si="0"/>
        <v>9.1628511905894527E-7</v>
      </c>
      <c r="K15" s="242"/>
      <c r="L15" s="162">
        <v>0.69999998807907104</v>
      </c>
      <c r="M15" s="69">
        <v>4.5845712884329259E-4</v>
      </c>
      <c r="N15" s="162"/>
      <c r="O15" s="69"/>
      <c r="U15" s="230"/>
      <c r="V15" s="68"/>
      <c r="W15" s="68"/>
      <c r="AM15" s="162">
        <v>0.60000002384185791</v>
      </c>
      <c r="AN15" s="69">
        <v>2.388430992141366E-3</v>
      </c>
    </row>
    <row r="16" spans="1:40">
      <c r="A16" s="269" t="s">
        <v>453</v>
      </c>
      <c r="B16" s="221" t="s">
        <v>448</v>
      </c>
      <c r="C16" s="221" t="s">
        <v>447</v>
      </c>
      <c r="D16" s="228">
        <v>524</v>
      </c>
      <c r="E16" s="228">
        <v>1158</v>
      </c>
      <c r="F16" s="69">
        <v>1.5246144253840504E-9</v>
      </c>
      <c r="G16" s="228">
        <v>655903540.82351017</v>
      </c>
      <c r="H16" s="228">
        <v>202</v>
      </c>
      <c r="I16" s="69">
        <v>3.0797211392757817E-7</v>
      </c>
      <c r="J16" s="69">
        <f t="shared" si="0"/>
        <v>9.1780973348432928E-7</v>
      </c>
      <c r="K16" s="242"/>
      <c r="L16" s="162">
        <v>0.80000001192092896</v>
      </c>
      <c r="M16" s="69">
        <v>4.5845712884329259E-4</v>
      </c>
      <c r="N16" s="162"/>
      <c r="O16" s="69"/>
      <c r="U16" s="230"/>
      <c r="V16" s="68"/>
      <c r="W16" s="68"/>
      <c r="AM16" s="162">
        <v>0.60000002384185791</v>
      </c>
      <c r="AN16" s="69">
        <v>2.3387949913740158E-3</v>
      </c>
    </row>
    <row r="17" spans="1:40">
      <c r="A17" s="269" t="s">
        <v>511</v>
      </c>
      <c r="B17" s="221" t="s">
        <v>448</v>
      </c>
      <c r="C17" s="221" t="s">
        <v>447</v>
      </c>
      <c r="D17" s="228">
        <v>524</v>
      </c>
      <c r="E17" s="228">
        <v>1094</v>
      </c>
      <c r="F17" s="69">
        <v>1.5246144253840504E-9</v>
      </c>
      <c r="G17" s="228">
        <v>655903540.82351017</v>
      </c>
      <c r="H17" s="228">
        <v>196.3</v>
      </c>
      <c r="I17" s="69">
        <v>2.9928181170288908E-7</v>
      </c>
      <c r="J17" s="69">
        <f t="shared" si="0"/>
        <v>9.1933434790971329E-7</v>
      </c>
      <c r="K17" s="242"/>
      <c r="L17" s="162">
        <v>0.80000001192092896</v>
      </c>
      <c r="M17" s="69">
        <v>4.2986491462215781E-4</v>
      </c>
      <c r="N17" s="162"/>
      <c r="O17" s="69"/>
      <c r="U17" s="230"/>
      <c r="V17" s="68"/>
      <c r="W17" s="68"/>
      <c r="AM17" s="162">
        <v>0.69999998807907104</v>
      </c>
      <c r="AN17" s="69">
        <v>2.3387949913740158E-3</v>
      </c>
    </row>
    <row r="18" spans="1:40">
      <c r="A18" s="269" t="s">
        <v>466</v>
      </c>
      <c r="B18" s="221" t="s">
        <v>446</v>
      </c>
      <c r="C18" s="221" t="s">
        <v>447</v>
      </c>
      <c r="D18" s="228">
        <v>526</v>
      </c>
      <c r="E18" s="228">
        <v>972</v>
      </c>
      <c r="F18" s="69">
        <v>1.5246144253840504E-9</v>
      </c>
      <c r="G18" s="228">
        <v>655903540.82351017</v>
      </c>
      <c r="H18" s="228">
        <v>192.2</v>
      </c>
      <c r="I18" s="69">
        <v>2.9303089255881445E-7</v>
      </c>
      <c r="J18" s="69">
        <f t="shared" si="0"/>
        <v>9.2085896233509729E-7</v>
      </c>
      <c r="K18" s="242"/>
      <c r="L18" s="162">
        <v>0.89999997615814209</v>
      </c>
      <c r="M18" s="69">
        <v>4.2986491462215781E-4</v>
      </c>
      <c r="N18" s="162"/>
      <c r="O18" s="69"/>
      <c r="U18" s="230"/>
      <c r="V18" s="68"/>
      <c r="W18" s="68"/>
      <c r="AM18" s="162">
        <v>0.69999998807907104</v>
      </c>
      <c r="AN18" s="69">
        <v>1.9674175418913364E-3</v>
      </c>
    </row>
    <row r="19" spans="1:40">
      <c r="A19" s="269" t="s">
        <v>454</v>
      </c>
      <c r="B19" s="221" t="s">
        <v>448</v>
      </c>
      <c r="C19" s="221" t="s">
        <v>447</v>
      </c>
      <c r="D19" s="228">
        <v>524</v>
      </c>
      <c r="E19" s="228">
        <v>1082</v>
      </c>
      <c r="F19" s="69">
        <v>1.5246144253840504E-9</v>
      </c>
      <c r="G19" s="228">
        <v>655903540.82351017</v>
      </c>
      <c r="H19" s="228">
        <v>187.2</v>
      </c>
      <c r="I19" s="69">
        <v>2.854078204318942E-7</v>
      </c>
      <c r="J19" s="69">
        <f t="shared" si="0"/>
        <v>9.223835767604813E-7</v>
      </c>
      <c r="K19" s="242"/>
      <c r="L19" s="162">
        <v>0.89999997615814209</v>
      </c>
      <c r="M19" s="69">
        <v>4.2518091504462063E-4</v>
      </c>
      <c r="N19" s="162"/>
      <c r="O19" s="69"/>
      <c r="U19" s="230"/>
      <c r="V19" s="68"/>
      <c r="W19" s="68"/>
      <c r="AM19" s="162">
        <v>0.80000001192092896</v>
      </c>
      <c r="AN19" s="69">
        <v>1.9674175418913364E-3</v>
      </c>
    </row>
    <row r="20" spans="1:40">
      <c r="A20" s="269" t="s">
        <v>519</v>
      </c>
      <c r="B20" s="221" t="s">
        <v>449</v>
      </c>
      <c r="C20" s="221" t="s">
        <v>450</v>
      </c>
      <c r="D20" s="228">
        <v>457</v>
      </c>
      <c r="E20" s="228">
        <v>1464</v>
      </c>
      <c r="F20" s="69">
        <v>1.5093546968020952E-7</v>
      </c>
      <c r="G20" s="228">
        <v>6625347.9193374701</v>
      </c>
      <c r="H20" s="228">
        <v>185.6</v>
      </c>
      <c r="I20" s="69">
        <v>2.8013623172646885E-5</v>
      </c>
      <c r="J20" s="69">
        <f t="shared" si="0"/>
        <v>1.0733190464406907E-6</v>
      </c>
      <c r="K20" s="242"/>
      <c r="L20" s="162">
        <v>1</v>
      </c>
      <c r="M20" s="69">
        <v>4.2518091504462063E-4</v>
      </c>
      <c r="N20" s="162"/>
      <c r="O20" s="69"/>
      <c r="U20" s="230"/>
      <c r="V20" s="68"/>
      <c r="W20" s="68"/>
      <c r="AM20" s="162">
        <v>0.80000001192092896</v>
      </c>
      <c r="AN20" s="69">
        <v>1.8201376078650355E-3</v>
      </c>
    </row>
    <row r="21" spans="1:40">
      <c r="A21" s="269" t="s">
        <v>463</v>
      </c>
      <c r="B21" s="221" t="s">
        <v>449</v>
      </c>
      <c r="C21" s="221" t="s">
        <v>450</v>
      </c>
      <c r="D21" s="228">
        <v>388</v>
      </c>
      <c r="E21" s="228">
        <v>1158</v>
      </c>
      <c r="F21" s="69">
        <v>1.5093546968020952E-7</v>
      </c>
      <c r="G21" s="228">
        <v>6625347.9193374701</v>
      </c>
      <c r="H21" s="228">
        <v>170.9</v>
      </c>
      <c r="I21" s="69">
        <v>2.5794871768347808E-5</v>
      </c>
      <c r="J21" s="69">
        <f t="shared" si="0"/>
        <v>1.2242545161209002E-6</v>
      </c>
      <c r="K21" s="242"/>
      <c r="L21" s="162">
        <v>1</v>
      </c>
      <c r="M21" s="69">
        <v>4.2495614616200328E-4</v>
      </c>
      <c r="N21" s="162"/>
      <c r="O21" s="69"/>
      <c r="U21" s="230"/>
      <c r="V21" s="68"/>
      <c r="W21" s="68"/>
      <c r="AM21" s="162">
        <v>0.89999997615814209</v>
      </c>
      <c r="AN21" s="69">
        <v>1.8201376078650355E-3</v>
      </c>
    </row>
    <row r="22" spans="1:40">
      <c r="A22" s="269" t="s">
        <v>457</v>
      </c>
      <c r="B22" s="221" t="s">
        <v>448</v>
      </c>
      <c r="C22" s="221" t="s">
        <v>447</v>
      </c>
      <c r="D22" s="228">
        <v>524</v>
      </c>
      <c r="E22" s="228">
        <v>912</v>
      </c>
      <c r="F22" s="69">
        <v>1.5246144253840504E-9</v>
      </c>
      <c r="G22" s="228">
        <v>655903540.82351017</v>
      </c>
      <c r="H22" s="228">
        <v>170.2</v>
      </c>
      <c r="I22" s="69">
        <v>2.5948937520036534E-7</v>
      </c>
      <c r="J22" s="69">
        <f t="shared" si="0"/>
        <v>1.2257791305462842E-6</v>
      </c>
      <c r="K22" s="242"/>
      <c r="L22" s="162">
        <v>1.1000000238418579</v>
      </c>
      <c r="M22" s="69">
        <v>4.2495614616200328E-4</v>
      </c>
      <c r="N22" s="162"/>
      <c r="O22" s="69"/>
      <c r="U22" s="230"/>
      <c r="V22" s="68"/>
      <c r="W22" s="68"/>
      <c r="AM22" s="162">
        <v>0.89999997615814209</v>
      </c>
      <c r="AN22" s="69">
        <v>1.6828994266688824E-3</v>
      </c>
    </row>
    <row r="23" spans="1:40">
      <c r="A23" s="269" t="s">
        <v>520</v>
      </c>
      <c r="B23" s="221" t="s">
        <v>446</v>
      </c>
      <c r="C23" s="221" t="s">
        <v>447</v>
      </c>
      <c r="D23" s="228">
        <v>524</v>
      </c>
      <c r="E23" s="228">
        <v>1468</v>
      </c>
      <c r="F23" s="69">
        <v>1.5246144253840504E-9</v>
      </c>
      <c r="G23" s="228">
        <v>655903540.82351017</v>
      </c>
      <c r="H23" s="228">
        <v>156.30000000000001</v>
      </c>
      <c r="I23" s="69">
        <v>2.382972346875271E-7</v>
      </c>
      <c r="J23" s="69">
        <f t="shared" si="0"/>
        <v>1.2273037449716682E-6</v>
      </c>
      <c r="K23" s="242"/>
      <c r="L23" s="162">
        <v>1.1000000238418579</v>
      </c>
      <c r="M23" s="69">
        <v>3.8838430191390216E-4</v>
      </c>
      <c r="N23" s="162"/>
      <c r="O23" s="69"/>
      <c r="U23" s="230"/>
      <c r="V23" s="68"/>
      <c r="W23" s="68"/>
      <c r="AM23" s="162">
        <v>1</v>
      </c>
      <c r="AN23" s="69">
        <v>1.6828994266688824E-3</v>
      </c>
    </row>
    <row r="24" spans="1:40">
      <c r="A24" s="269" t="s">
        <v>517</v>
      </c>
      <c r="B24" s="221" t="s">
        <v>446</v>
      </c>
      <c r="C24" s="221" t="s">
        <v>447</v>
      </c>
      <c r="D24" s="228">
        <v>524</v>
      </c>
      <c r="E24" s="228">
        <v>1224</v>
      </c>
      <c r="F24" s="69">
        <v>1.5246144253840504E-9</v>
      </c>
      <c r="G24" s="228">
        <v>655903540.82351017</v>
      </c>
      <c r="H24" s="228">
        <v>154.6</v>
      </c>
      <c r="I24" s="69">
        <v>2.3570539016437417E-7</v>
      </c>
      <c r="J24" s="69">
        <f t="shared" si="0"/>
        <v>1.2288283593970523E-6</v>
      </c>
      <c r="K24" s="242"/>
      <c r="L24" s="162">
        <v>1.2999999523162842</v>
      </c>
      <c r="M24" s="69">
        <v>3.8838430191390216E-4</v>
      </c>
      <c r="N24" s="162"/>
      <c r="O24" s="69"/>
      <c r="U24" s="230"/>
      <c r="V24" s="68"/>
      <c r="W24" s="68"/>
      <c r="AM24" s="162">
        <v>1</v>
      </c>
      <c r="AN24" s="69">
        <v>1.6117457998916507E-3</v>
      </c>
    </row>
    <row r="25" spans="1:40">
      <c r="A25" s="269" t="s">
        <v>517</v>
      </c>
      <c r="B25" s="221" t="s">
        <v>449</v>
      </c>
      <c r="C25" s="221" t="s">
        <v>450</v>
      </c>
      <c r="D25" s="228">
        <v>388</v>
      </c>
      <c r="E25" s="228">
        <v>966</v>
      </c>
      <c r="F25" s="69">
        <v>1.5093546968020952E-7</v>
      </c>
      <c r="G25" s="228">
        <v>6625347.9193374701</v>
      </c>
      <c r="H25" s="228">
        <v>143.4</v>
      </c>
      <c r="I25" s="69">
        <v>2.1644146352142046E-5</v>
      </c>
      <c r="J25" s="69">
        <f t="shared" si="0"/>
        <v>1.3797638290772618E-6</v>
      </c>
      <c r="K25" s="242"/>
      <c r="L25" s="162">
        <v>1.2999999523162842</v>
      </c>
      <c r="M25" s="69">
        <v>3.87934735044837E-4</v>
      </c>
      <c r="N25" s="162"/>
      <c r="O25" s="69"/>
      <c r="U25" s="230"/>
      <c r="V25" s="68"/>
      <c r="W25" s="68"/>
      <c r="AM25" s="162">
        <v>1.2000000476837158</v>
      </c>
      <c r="AN25" s="69">
        <v>1.6117457998916507E-3</v>
      </c>
    </row>
    <row r="26" spans="1:40">
      <c r="A26" s="269" t="s">
        <v>453</v>
      </c>
      <c r="B26" s="221" t="s">
        <v>1378</v>
      </c>
      <c r="C26" s="221" t="s">
        <v>447</v>
      </c>
      <c r="D26" s="228">
        <v>497</v>
      </c>
      <c r="E26" s="228">
        <v>1140</v>
      </c>
      <c r="F26" s="69">
        <v>4.1164630650000014E-8</v>
      </c>
      <c r="G26" s="228">
        <v>24292699.441480346</v>
      </c>
      <c r="H26" s="228">
        <v>143.19999999999999</v>
      </c>
      <c r="I26" s="69">
        <v>5.8947751090800015E-6</v>
      </c>
      <c r="J26" s="69">
        <f t="shared" si="0"/>
        <v>1.4209284597272619E-6</v>
      </c>
      <c r="K26" s="242"/>
      <c r="L26" s="162">
        <v>1.3999999761581421</v>
      </c>
      <c r="M26" s="69">
        <v>3.87934735044837E-4</v>
      </c>
      <c r="N26" s="162"/>
      <c r="O26" s="69"/>
      <c r="U26" s="230"/>
      <c r="V26" s="68"/>
      <c r="W26" s="68"/>
      <c r="AM26" s="162">
        <v>1.2000000476837158</v>
      </c>
      <c r="AN26" s="69">
        <v>1.5894594835117459E-3</v>
      </c>
    </row>
    <row r="27" spans="1:40">
      <c r="A27" s="269" t="s">
        <v>511</v>
      </c>
      <c r="B27" s="221" t="s">
        <v>1378</v>
      </c>
      <c r="C27" s="221" t="s">
        <v>447</v>
      </c>
      <c r="D27" s="228">
        <v>524</v>
      </c>
      <c r="E27" s="228">
        <v>972</v>
      </c>
      <c r="F27" s="69">
        <v>4.1164630650000014E-8</v>
      </c>
      <c r="G27" s="228">
        <v>24292699.441480346</v>
      </c>
      <c r="H27" s="228">
        <v>141.5</v>
      </c>
      <c r="I27" s="69">
        <v>5.8247952369750016E-6</v>
      </c>
      <c r="J27" s="69">
        <f t="shared" si="0"/>
        <v>1.462093090377262E-6</v>
      </c>
      <c r="K27" s="242"/>
      <c r="L27" s="162">
        <v>1.3999999761581421</v>
      </c>
      <c r="M27" s="69">
        <v>3.7579637137241662E-4</v>
      </c>
      <c r="N27" s="162"/>
      <c r="O27" s="69"/>
      <c r="U27" s="230"/>
      <c r="V27" s="68"/>
      <c r="W27" s="68"/>
      <c r="AM27" s="162">
        <v>1.3999999761581421</v>
      </c>
      <c r="AN27" s="69">
        <v>1.5894594835117459E-3</v>
      </c>
    </row>
    <row r="28" spans="1:40">
      <c r="A28" s="269" t="s">
        <v>451</v>
      </c>
      <c r="B28" s="221" t="s">
        <v>449</v>
      </c>
      <c r="C28" s="221" t="s">
        <v>447</v>
      </c>
      <c r="D28" s="228">
        <v>525</v>
      </c>
      <c r="E28" s="228">
        <v>1038</v>
      </c>
      <c r="F28" s="69">
        <v>1.5246007038405004E-9</v>
      </c>
      <c r="G28" s="228">
        <v>655909444.01440942</v>
      </c>
      <c r="H28" s="228">
        <v>139</v>
      </c>
      <c r="I28" s="69">
        <v>2.1191949783382957E-7</v>
      </c>
      <c r="J28" s="69">
        <f t="shared" si="0"/>
        <v>1.4636176910811025E-6</v>
      </c>
      <c r="K28" s="242"/>
      <c r="L28" s="162">
        <v>1.5</v>
      </c>
      <c r="M28" s="69">
        <v>3.7579637137241662E-4</v>
      </c>
      <c r="N28" s="162"/>
      <c r="O28" s="69"/>
      <c r="U28" s="230"/>
      <c r="V28" s="68"/>
      <c r="W28" s="68"/>
      <c r="AM28" s="162">
        <v>1.3999999761581421</v>
      </c>
      <c r="AN28" s="69">
        <v>1.5471541555598378E-3</v>
      </c>
    </row>
    <row r="29" spans="1:40">
      <c r="A29" s="269" t="s">
        <v>520</v>
      </c>
      <c r="B29" s="221" t="s">
        <v>446</v>
      </c>
      <c r="C29" s="221" t="s">
        <v>450</v>
      </c>
      <c r="D29" s="228">
        <v>481</v>
      </c>
      <c r="E29" s="228">
        <v>960</v>
      </c>
      <c r="F29" s="69">
        <v>1.5093682811302096E-7</v>
      </c>
      <c r="G29" s="228">
        <v>6625288.291146568</v>
      </c>
      <c r="H29" s="228">
        <v>139</v>
      </c>
      <c r="I29" s="69">
        <v>2.0980219107709914E-5</v>
      </c>
      <c r="J29" s="69">
        <f t="shared" si="0"/>
        <v>1.6145545191941235E-6</v>
      </c>
      <c r="K29" s="242"/>
      <c r="L29" s="162">
        <v>1.5</v>
      </c>
      <c r="M29" s="69">
        <v>3.6852361517958343E-4</v>
      </c>
      <c r="N29" s="162"/>
      <c r="O29" s="69"/>
      <c r="U29" s="230"/>
      <c r="V29" s="68"/>
      <c r="W29" s="68"/>
      <c r="AM29" s="162">
        <v>1.5</v>
      </c>
      <c r="AN29" s="69">
        <v>1.5471541555598378E-3</v>
      </c>
    </row>
    <row r="30" spans="1:40">
      <c r="A30" s="269" t="s">
        <v>514</v>
      </c>
      <c r="B30" s="221" t="s">
        <v>448</v>
      </c>
      <c r="C30" s="221" t="s">
        <v>447</v>
      </c>
      <c r="D30" s="228">
        <v>524</v>
      </c>
      <c r="E30" s="228">
        <v>908</v>
      </c>
      <c r="F30" s="69">
        <v>1.5246144253840504E-9</v>
      </c>
      <c r="G30" s="228">
        <v>655903540.82351017</v>
      </c>
      <c r="H30" s="228">
        <v>138.5</v>
      </c>
      <c r="I30" s="69">
        <v>2.1115909791569098E-7</v>
      </c>
      <c r="J30" s="69">
        <f t="shared" si="0"/>
        <v>1.6160791336195075E-6</v>
      </c>
      <c r="K30" s="242"/>
      <c r="L30" s="162">
        <v>1.7000000476837158</v>
      </c>
      <c r="M30" s="69">
        <v>3.6852361517958343E-4</v>
      </c>
      <c r="N30" s="162"/>
      <c r="O30" s="69"/>
      <c r="U30" s="230"/>
      <c r="V30" s="68"/>
      <c r="W30" s="68"/>
      <c r="AM30" s="162">
        <v>1.5</v>
      </c>
      <c r="AN30" s="69">
        <v>1.4733741991221905E-3</v>
      </c>
    </row>
    <row r="31" spans="1:40">
      <c r="A31" s="269" t="s">
        <v>509</v>
      </c>
      <c r="B31" s="221" t="s">
        <v>449</v>
      </c>
      <c r="C31" s="221" t="s">
        <v>447</v>
      </c>
      <c r="D31" s="228">
        <v>525</v>
      </c>
      <c r="E31" s="228">
        <v>1042</v>
      </c>
      <c r="F31" s="69">
        <v>1.5246007038405004E-9</v>
      </c>
      <c r="G31" s="228">
        <v>655909444.01440942</v>
      </c>
      <c r="H31" s="228">
        <v>137.30000000000001</v>
      </c>
      <c r="I31" s="69">
        <v>2.0932767663730073E-7</v>
      </c>
      <c r="J31" s="69">
        <f t="shared" si="0"/>
        <v>1.617603734323348E-6</v>
      </c>
      <c r="K31" s="242"/>
      <c r="L31" s="162">
        <v>1.7000000476837158</v>
      </c>
      <c r="M31" s="69">
        <v>3.5950183519162238E-4</v>
      </c>
      <c r="N31" s="162"/>
      <c r="O31" s="69"/>
      <c r="U31" s="230"/>
      <c r="V31" s="68"/>
      <c r="W31" s="68"/>
      <c r="AM31" s="162">
        <v>1.6000000238418579</v>
      </c>
      <c r="AN31" s="69">
        <v>1.4733741991221905E-3</v>
      </c>
    </row>
    <row r="32" spans="1:40">
      <c r="A32" s="269" t="s">
        <v>452</v>
      </c>
      <c r="B32" s="221" t="s">
        <v>1378</v>
      </c>
      <c r="C32" s="221" t="s">
        <v>447</v>
      </c>
      <c r="D32" s="228">
        <v>524</v>
      </c>
      <c r="E32" s="228">
        <v>1152</v>
      </c>
      <c r="F32" s="69">
        <v>4.1164630650000014E-8</v>
      </c>
      <c r="G32" s="228">
        <v>24292699.441480346</v>
      </c>
      <c r="H32" s="228">
        <v>136.5</v>
      </c>
      <c r="I32" s="69">
        <v>5.6189720837250021E-6</v>
      </c>
      <c r="J32" s="69">
        <f t="shared" si="0"/>
        <v>1.6587683649733481E-6</v>
      </c>
      <c r="K32" s="242"/>
      <c r="L32" s="162">
        <v>1.7999999523162842</v>
      </c>
      <c r="M32" s="69">
        <v>3.5950183519162238E-4</v>
      </c>
      <c r="N32" s="162"/>
      <c r="O32" s="69"/>
      <c r="U32" s="230"/>
      <c r="V32" s="68"/>
      <c r="W32" s="68"/>
      <c r="AM32" s="162">
        <v>1.6000000238418579</v>
      </c>
      <c r="AN32" s="69">
        <v>1.4660435263067484E-3</v>
      </c>
    </row>
    <row r="33" spans="1:40">
      <c r="A33" s="269" t="s">
        <v>518</v>
      </c>
      <c r="B33" s="221" t="s">
        <v>449</v>
      </c>
      <c r="C33" s="221" t="s">
        <v>447</v>
      </c>
      <c r="D33" s="228">
        <v>524</v>
      </c>
      <c r="E33" s="228">
        <v>938</v>
      </c>
      <c r="F33" s="69">
        <v>1.5246007038405004E-9</v>
      </c>
      <c r="G33" s="228">
        <v>655909444.01440942</v>
      </c>
      <c r="H33" s="228">
        <v>136</v>
      </c>
      <c r="I33" s="69">
        <v>2.0734569572230805E-7</v>
      </c>
      <c r="J33" s="69">
        <f t="shared" si="0"/>
        <v>1.6602929656771887E-6</v>
      </c>
      <c r="K33" s="242"/>
      <c r="L33" s="162">
        <v>1.7999999523162842</v>
      </c>
      <c r="M33" s="69">
        <v>3.3261047792620957E-4</v>
      </c>
      <c r="N33" s="162"/>
      <c r="O33" s="69"/>
      <c r="U33" s="230"/>
      <c r="V33" s="68"/>
      <c r="W33" s="68"/>
      <c r="AM33" s="162">
        <v>1.7000000476837158</v>
      </c>
      <c r="AN33" s="69">
        <v>1.4660435263067484E-3</v>
      </c>
    </row>
    <row r="34" spans="1:40">
      <c r="A34" s="269" t="s">
        <v>509</v>
      </c>
      <c r="B34" s="221" t="s">
        <v>475</v>
      </c>
      <c r="C34" s="221" t="s">
        <v>442</v>
      </c>
      <c r="D34" s="228">
        <v>524</v>
      </c>
      <c r="E34" s="228">
        <v>1448</v>
      </c>
      <c r="F34" s="69">
        <v>4.4577237522717891E-8</v>
      </c>
      <c r="G34" s="228">
        <v>22432973.768066496</v>
      </c>
      <c r="H34" s="228">
        <v>135.19999999999999</v>
      </c>
      <c r="I34" s="69">
        <v>6.0268425130714582E-6</v>
      </c>
      <c r="J34" s="69">
        <f t="shared" si="0"/>
        <v>1.7048702031999065E-6</v>
      </c>
      <c r="K34" s="242"/>
      <c r="L34" s="162">
        <v>1.8999999761581421</v>
      </c>
      <c r="M34" s="69">
        <v>3.3261047792620957E-4</v>
      </c>
      <c r="N34" s="162"/>
      <c r="O34" s="69"/>
      <c r="U34" s="230"/>
      <c r="V34" s="68"/>
      <c r="W34" s="68"/>
      <c r="AM34" s="162">
        <v>1.7000000476837158</v>
      </c>
      <c r="AN34" s="69">
        <v>1.4448907459154725E-3</v>
      </c>
    </row>
    <row r="35" spans="1:40">
      <c r="A35" s="269" t="s">
        <v>463</v>
      </c>
      <c r="B35" s="221" t="s">
        <v>446</v>
      </c>
      <c r="C35" s="221" t="s">
        <v>447</v>
      </c>
      <c r="D35" s="228">
        <v>525</v>
      </c>
      <c r="E35" s="228">
        <v>974</v>
      </c>
      <c r="F35" s="69">
        <v>1.5246144253840504E-9</v>
      </c>
      <c r="G35" s="228">
        <v>655903540.82351017</v>
      </c>
      <c r="H35" s="228">
        <v>134.5</v>
      </c>
      <c r="I35" s="69">
        <v>2.0506064021415479E-7</v>
      </c>
      <c r="J35" s="69">
        <f t="shared" si="0"/>
        <v>1.7063948176252905E-6</v>
      </c>
      <c r="K35" s="242"/>
      <c r="L35" s="162">
        <v>1.8999999761581421</v>
      </c>
      <c r="M35" s="69">
        <v>3.221282095182687E-4</v>
      </c>
      <c r="N35" s="162"/>
      <c r="O35" s="69"/>
      <c r="U35" s="230"/>
      <c r="V35" s="68"/>
      <c r="W35" s="68"/>
      <c r="AM35" s="162">
        <v>1.7999999523162842</v>
      </c>
      <c r="AN35" s="69">
        <v>1.4448907459154725E-3</v>
      </c>
    </row>
    <row r="36" spans="1:40">
      <c r="A36" s="269" t="s">
        <v>519</v>
      </c>
      <c r="B36" s="221" t="s">
        <v>446</v>
      </c>
      <c r="C36" s="221" t="s">
        <v>447</v>
      </c>
      <c r="D36" s="228">
        <v>524</v>
      </c>
      <c r="E36" s="228">
        <v>1498</v>
      </c>
      <c r="F36" s="69">
        <v>1.5246144253840504E-9</v>
      </c>
      <c r="G36" s="228">
        <v>655903540.82351017</v>
      </c>
      <c r="H36" s="228">
        <v>134</v>
      </c>
      <c r="I36" s="69">
        <v>2.0429833300146276E-7</v>
      </c>
      <c r="J36" s="69">
        <f t="shared" si="0"/>
        <v>1.7079194320506746E-6</v>
      </c>
      <c r="K36" s="242"/>
      <c r="L36" s="162">
        <v>2</v>
      </c>
      <c r="M36" s="69">
        <v>3.221282095182687E-4</v>
      </c>
      <c r="N36" s="162"/>
      <c r="O36" s="69"/>
      <c r="U36" s="230"/>
      <c r="V36" s="68"/>
      <c r="W36" s="68"/>
      <c r="AM36" s="162">
        <v>1.7999999523162842</v>
      </c>
      <c r="AN36" s="69">
        <v>1.4234582195058465E-3</v>
      </c>
    </row>
    <row r="37" spans="1:40">
      <c r="A37" s="269" t="s">
        <v>512</v>
      </c>
      <c r="B37" s="221" t="s">
        <v>1378</v>
      </c>
      <c r="C37" s="221" t="s">
        <v>447</v>
      </c>
      <c r="D37" s="228">
        <v>520</v>
      </c>
      <c r="E37" s="228">
        <v>974</v>
      </c>
      <c r="F37" s="69">
        <v>4.1164630650000014E-8</v>
      </c>
      <c r="G37" s="228">
        <v>24292699.441480346</v>
      </c>
      <c r="H37" s="228">
        <v>133.9</v>
      </c>
      <c r="I37" s="69">
        <v>5.5119440440350017E-6</v>
      </c>
      <c r="J37" s="69">
        <f t="shared" si="0"/>
        <v>1.7490840627006747E-6</v>
      </c>
      <c r="K37" s="242"/>
      <c r="L37" s="162">
        <v>2</v>
      </c>
      <c r="M37" s="69">
        <v>2.998732088599354E-4</v>
      </c>
      <c r="N37" s="162"/>
      <c r="O37" s="69"/>
      <c r="U37" s="230"/>
      <c r="V37" s="68"/>
      <c r="W37" s="68"/>
      <c r="AM37" s="162">
        <v>1.8999999761581421</v>
      </c>
      <c r="AN37" s="69">
        <v>1.4234582195058465E-3</v>
      </c>
    </row>
    <row r="38" spans="1:40">
      <c r="A38" s="269" t="s">
        <v>519</v>
      </c>
      <c r="B38" s="221" t="s">
        <v>446</v>
      </c>
      <c r="C38" s="221" t="s">
        <v>450</v>
      </c>
      <c r="D38" s="228">
        <v>481</v>
      </c>
      <c r="E38" s="228">
        <v>958</v>
      </c>
      <c r="F38" s="69">
        <v>1.5093682811302096E-7</v>
      </c>
      <c r="G38" s="228">
        <v>6625288.291146568</v>
      </c>
      <c r="H38" s="228">
        <v>133.69999999999999</v>
      </c>
      <c r="I38" s="69">
        <v>2.01802539187109E-5</v>
      </c>
      <c r="J38" s="69">
        <f t="shared" si="0"/>
        <v>1.9000208908136956E-6</v>
      </c>
      <c r="K38" s="242"/>
      <c r="L38" s="162">
        <v>2.2000000476837158</v>
      </c>
      <c r="M38" s="69">
        <v>2.998732088599354E-4</v>
      </c>
      <c r="N38" s="162"/>
      <c r="O38" s="69"/>
      <c r="U38" s="230"/>
      <c r="V38" s="68"/>
      <c r="W38" s="68"/>
      <c r="AM38" s="162">
        <v>1.8999999761581421</v>
      </c>
      <c r="AN38" s="69">
        <v>1.3952546287328005E-3</v>
      </c>
    </row>
    <row r="39" spans="1:40">
      <c r="A39" s="269" t="s">
        <v>468</v>
      </c>
      <c r="B39" s="221" t="s">
        <v>446</v>
      </c>
      <c r="C39" s="221" t="s">
        <v>447</v>
      </c>
      <c r="D39" s="228">
        <v>524</v>
      </c>
      <c r="E39" s="228">
        <v>1496</v>
      </c>
      <c r="F39" s="69">
        <v>1.5246144253840504E-9</v>
      </c>
      <c r="G39" s="228">
        <v>655903540.82351017</v>
      </c>
      <c r="H39" s="228">
        <v>132.80000000000001</v>
      </c>
      <c r="I39" s="69">
        <v>2.0246879569100192E-7</v>
      </c>
      <c r="J39" s="69">
        <f t="shared" si="0"/>
        <v>1.9015455052390796E-6</v>
      </c>
      <c r="K39" s="242"/>
      <c r="L39" s="162">
        <v>2.2000000476837158</v>
      </c>
      <c r="M39" s="69">
        <v>2.9964843997731805E-4</v>
      </c>
      <c r="N39" s="162"/>
      <c r="O39" s="69"/>
      <c r="U39" s="230"/>
      <c r="V39" s="68"/>
      <c r="W39" s="68"/>
      <c r="AM39" s="162">
        <v>2</v>
      </c>
      <c r="AN39" s="69">
        <v>1.3952546287328005E-3</v>
      </c>
    </row>
    <row r="40" spans="1:40">
      <c r="A40" s="269" t="s">
        <v>464</v>
      </c>
      <c r="B40" s="221" t="s">
        <v>446</v>
      </c>
      <c r="C40" s="221" t="s">
        <v>447</v>
      </c>
      <c r="D40" s="228">
        <v>525</v>
      </c>
      <c r="E40" s="228">
        <v>968</v>
      </c>
      <c r="F40" s="69">
        <v>1.5246144253840504E-9</v>
      </c>
      <c r="G40" s="228">
        <v>655903540.82351017</v>
      </c>
      <c r="H40" s="228">
        <v>132.4</v>
      </c>
      <c r="I40" s="69">
        <v>2.0185894992084828E-7</v>
      </c>
      <c r="J40" s="69">
        <f t="shared" si="0"/>
        <v>1.9030701196644636E-6</v>
      </c>
      <c r="K40" s="242"/>
      <c r="L40" s="162">
        <v>2.2999999523162842</v>
      </c>
      <c r="M40" s="69">
        <v>2.9964843997731805E-4</v>
      </c>
      <c r="N40" s="162"/>
      <c r="O40" s="69"/>
      <c r="U40" s="230"/>
      <c r="V40" s="68"/>
      <c r="W40" s="68"/>
      <c r="AM40" s="162">
        <v>2</v>
      </c>
      <c r="AN40" s="69">
        <v>1.3946099206805229E-3</v>
      </c>
    </row>
    <row r="41" spans="1:40">
      <c r="A41" s="269" t="s">
        <v>510</v>
      </c>
      <c r="B41" s="221" t="s">
        <v>449</v>
      </c>
      <c r="C41" s="221" t="s">
        <v>447</v>
      </c>
      <c r="D41" s="228">
        <v>524</v>
      </c>
      <c r="E41" s="228">
        <v>1042</v>
      </c>
      <c r="F41" s="69">
        <v>1.5246007038405004E-9</v>
      </c>
      <c r="G41" s="228">
        <v>655909444.01440942</v>
      </c>
      <c r="H41" s="228">
        <v>128.1</v>
      </c>
      <c r="I41" s="69">
        <v>1.9530135016196809E-7</v>
      </c>
      <c r="J41" s="69">
        <f t="shared" si="0"/>
        <v>1.9045947203683042E-6</v>
      </c>
      <c r="K41" s="242"/>
      <c r="L41" s="162">
        <v>2.2999999523162842</v>
      </c>
      <c r="M41" s="69">
        <v>2.9949596500955522E-4</v>
      </c>
      <c r="N41" s="162"/>
      <c r="O41" s="69"/>
      <c r="U41" s="230"/>
      <c r="V41" s="68"/>
      <c r="W41" s="68"/>
      <c r="AM41" s="162">
        <v>2.0999999046325684</v>
      </c>
      <c r="AN41" s="69">
        <v>1.3946099206805229E-3</v>
      </c>
    </row>
    <row r="42" spans="1:40">
      <c r="A42" s="269" t="s">
        <v>518</v>
      </c>
      <c r="B42" s="221" t="s">
        <v>449</v>
      </c>
      <c r="C42" s="221" t="s">
        <v>450</v>
      </c>
      <c r="D42" s="228">
        <v>391</v>
      </c>
      <c r="E42" s="228">
        <v>974</v>
      </c>
      <c r="F42" s="69">
        <v>1.5093546968020952E-7</v>
      </c>
      <c r="G42" s="228">
        <v>6625347.9193374701</v>
      </c>
      <c r="H42" s="228">
        <v>126.5</v>
      </c>
      <c r="I42" s="69">
        <v>1.9093336914546505E-5</v>
      </c>
      <c r="J42" s="69">
        <f t="shared" si="0"/>
        <v>2.0555301900485135E-6</v>
      </c>
      <c r="K42" s="242"/>
      <c r="L42" s="162">
        <v>2.5999999046325684</v>
      </c>
      <c r="M42" s="69">
        <v>2.9949596500955522E-4</v>
      </c>
      <c r="N42" s="162"/>
      <c r="O42" s="69"/>
      <c r="U42" s="230"/>
      <c r="V42" s="68"/>
      <c r="W42" s="68"/>
      <c r="AM42" s="162">
        <v>2.0999999046325684</v>
      </c>
      <c r="AN42" s="69">
        <v>1.373457140289247E-3</v>
      </c>
    </row>
    <row r="43" spans="1:40">
      <c r="A43" s="269" t="s">
        <v>459</v>
      </c>
      <c r="B43" s="221" t="s">
        <v>448</v>
      </c>
      <c r="C43" s="221" t="s">
        <v>447</v>
      </c>
      <c r="D43" s="228">
        <v>524</v>
      </c>
      <c r="E43" s="228">
        <v>906</v>
      </c>
      <c r="F43" s="69">
        <v>1.5246144253840504E-9</v>
      </c>
      <c r="G43" s="228">
        <v>655903540.82351017</v>
      </c>
      <c r="H43" s="228">
        <v>125.7</v>
      </c>
      <c r="I43" s="69">
        <v>1.9164403327077513E-7</v>
      </c>
      <c r="J43" s="69">
        <f t="shared" si="0"/>
        <v>2.0570548044738977E-6</v>
      </c>
      <c r="K43" s="242"/>
      <c r="L43" s="162">
        <v>2.5999999046325684</v>
      </c>
      <c r="M43" s="69">
        <v>2.9222320881672204E-4</v>
      </c>
      <c r="N43" s="162"/>
      <c r="O43" s="69"/>
      <c r="U43" s="230"/>
      <c r="V43" s="68"/>
      <c r="W43" s="68"/>
      <c r="AM43" s="162">
        <v>2.2000000476837158</v>
      </c>
      <c r="AN43" s="69">
        <v>1.373457140289247E-3</v>
      </c>
    </row>
    <row r="44" spans="1:40">
      <c r="A44" s="269" t="s">
        <v>451</v>
      </c>
      <c r="B44" s="221" t="s">
        <v>1378</v>
      </c>
      <c r="C44" s="221" t="s">
        <v>447</v>
      </c>
      <c r="D44" s="228">
        <v>524</v>
      </c>
      <c r="E44" s="228">
        <v>1150</v>
      </c>
      <c r="F44" s="69">
        <v>4.1164630650000014E-8</v>
      </c>
      <c r="G44" s="228">
        <v>24292699.441480346</v>
      </c>
      <c r="H44" s="228">
        <v>124.5</v>
      </c>
      <c r="I44" s="69">
        <v>5.1249965159250017E-6</v>
      </c>
      <c r="J44" s="69">
        <f t="shared" si="0"/>
        <v>2.0982194351238976E-6</v>
      </c>
      <c r="K44" s="242"/>
      <c r="L44" s="162">
        <v>2.9000000953674316</v>
      </c>
      <c r="M44" s="69">
        <v>2.9222320881672204E-4</v>
      </c>
      <c r="N44" s="162"/>
      <c r="O44" s="69"/>
      <c r="U44" s="230"/>
      <c r="V44" s="68"/>
      <c r="W44" s="68"/>
      <c r="AM44" s="162">
        <v>2.2000000476837158</v>
      </c>
      <c r="AN44" s="69">
        <v>1.3708781916648149E-3</v>
      </c>
    </row>
    <row r="45" spans="1:40">
      <c r="A45" s="269" t="s">
        <v>467</v>
      </c>
      <c r="B45" s="221" t="s">
        <v>446</v>
      </c>
      <c r="C45" s="221" t="s">
        <v>450</v>
      </c>
      <c r="D45" s="228">
        <v>479</v>
      </c>
      <c r="E45" s="228">
        <v>1484</v>
      </c>
      <c r="F45" s="69">
        <v>1.5093682811302096E-7</v>
      </c>
      <c r="G45" s="228">
        <v>6625288.291146568</v>
      </c>
      <c r="H45" s="228">
        <v>122.9</v>
      </c>
      <c r="I45" s="69">
        <v>1.8550136175090278E-5</v>
      </c>
      <c r="J45" s="69">
        <f t="shared" si="0"/>
        <v>2.2491562632369183E-6</v>
      </c>
      <c r="K45" s="242"/>
      <c r="L45" s="162">
        <v>2.9000000953674316</v>
      </c>
      <c r="M45" s="69">
        <v>2.8977144393138587E-4</v>
      </c>
      <c r="N45" s="162"/>
      <c r="O45" s="69"/>
      <c r="U45" s="230"/>
      <c r="V45" s="68"/>
      <c r="W45" s="68"/>
      <c r="AM45" s="162">
        <v>2.2999999523162842</v>
      </c>
      <c r="AN45" s="69">
        <v>1.3708781916648149E-3</v>
      </c>
    </row>
    <row r="46" spans="1:40">
      <c r="A46" s="269" t="s">
        <v>463</v>
      </c>
      <c r="B46" s="221" t="s">
        <v>449</v>
      </c>
      <c r="C46" s="221" t="s">
        <v>447</v>
      </c>
      <c r="D46" s="228">
        <v>524</v>
      </c>
      <c r="E46" s="228">
        <v>1202</v>
      </c>
      <c r="F46" s="69">
        <v>1.5246007038405004E-9</v>
      </c>
      <c r="G46" s="228">
        <v>655909444.01440942</v>
      </c>
      <c r="H46" s="228">
        <v>122.3</v>
      </c>
      <c r="I46" s="69">
        <v>1.864586660796932E-7</v>
      </c>
      <c r="J46" s="69">
        <f t="shared" si="0"/>
        <v>2.2506808639407589E-6</v>
      </c>
      <c r="K46" s="242"/>
      <c r="L46" s="162">
        <v>3.2000000476837158</v>
      </c>
      <c r="M46" s="69">
        <v>2.8977144393138587E-4</v>
      </c>
      <c r="N46" s="162"/>
      <c r="O46" s="69"/>
      <c r="U46" s="230"/>
      <c r="V46" s="68"/>
      <c r="W46" s="68"/>
      <c r="AM46" s="162">
        <v>2.2999999523162842</v>
      </c>
      <c r="AN46" s="69">
        <v>1.0219431715086102E-3</v>
      </c>
    </row>
    <row r="47" spans="1:40">
      <c r="A47" s="269" t="s">
        <v>451</v>
      </c>
      <c r="B47" s="221" t="s">
        <v>475</v>
      </c>
      <c r="C47" s="221" t="s">
        <v>442</v>
      </c>
      <c r="D47" s="228">
        <v>524</v>
      </c>
      <c r="E47" s="228">
        <v>1530</v>
      </c>
      <c r="F47" s="69">
        <v>4.4577237522717891E-8</v>
      </c>
      <c r="G47" s="228">
        <v>22432973.768066496</v>
      </c>
      <c r="H47" s="228">
        <v>121.7</v>
      </c>
      <c r="I47" s="69">
        <v>5.4250498065147675E-6</v>
      </c>
      <c r="J47" s="69">
        <f t="shared" si="0"/>
        <v>2.2952581014634768E-6</v>
      </c>
      <c r="K47" s="242"/>
      <c r="L47" s="162">
        <v>3.2000000476837158</v>
      </c>
      <c r="M47" s="69">
        <v>2.8249868773855269E-4</v>
      </c>
      <c r="N47" s="162"/>
      <c r="O47" s="69"/>
      <c r="U47" s="230"/>
      <c r="V47" s="68"/>
      <c r="W47" s="68"/>
      <c r="AM47" s="162">
        <v>2.4000000953674316</v>
      </c>
      <c r="AN47" s="69">
        <v>1.0219431715086102E-3</v>
      </c>
    </row>
    <row r="48" spans="1:40">
      <c r="A48" s="269" t="s">
        <v>468</v>
      </c>
      <c r="B48" s="221" t="s">
        <v>1378</v>
      </c>
      <c r="C48" s="221" t="s">
        <v>447</v>
      </c>
      <c r="D48" s="228">
        <v>526</v>
      </c>
      <c r="E48" s="228">
        <v>1036</v>
      </c>
      <c r="F48" s="69">
        <v>4.1164630650000014E-8</v>
      </c>
      <c r="G48" s="228">
        <v>24292699.441480346</v>
      </c>
      <c r="H48" s="228">
        <v>121.1</v>
      </c>
      <c r="I48" s="69">
        <v>4.9850367717150011E-6</v>
      </c>
      <c r="J48" s="69">
        <f t="shared" si="0"/>
        <v>2.3364227321134767E-6</v>
      </c>
      <c r="K48" s="242"/>
      <c r="L48" s="162">
        <v>3.2999999523162842</v>
      </c>
      <c r="M48" s="69">
        <v>2.8249868773855269E-4</v>
      </c>
      <c r="N48" s="162"/>
      <c r="O48" s="69"/>
      <c r="U48" s="230"/>
      <c r="V48" s="68"/>
      <c r="W48" s="68"/>
      <c r="AM48" s="162">
        <v>2.4000000953674316</v>
      </c>
      <c r="AN48" s="69">
        <v>1.0212983470410109E-3</v>
      </c>
    </row>
    <row r="49" spans="1:40">
      <c r="A49" s="269" t="s">
        <v>466</v>
      </c>
      <c r="B49" s="221" t="s">
        <v>446</v>
      </c>
      <c r="C49" s="221" t="s">
        <v>450</v>
      </c>
      <c r="D49" s="228">
        <v>481</v>
      </c>
      <c r="E49" s="228">
        <v>958</v>
      </c>
      <c r="F49" s="69">
        <v>1.5093682811302096E-7</v>
      </c>
      <c r="G49" s="228">
        <v>6625288.291146568</v>
      </c>
      <c r="H49" s="228">
        <v>120</v>
      </c>
      <c r="I49" s="69">
        <v>1.8112419373562514E-5</v>
      </c>
      <c r="J49" s="69">
        <f t="shared" si="0"/>
        <v>2.4873595602264974E-6</v>
      </c>
      <c r="K49" s="242"/>
      <c r="L49" s="162">
        <v>3.2999999523162842</v>
      </c>
      <c r="M49" s="69">
        <v>2.6009429711848497E-4</v>
      </c>
      <c r="N49" s="162"/>
      <c r="O49" s="69"/>
      <c r="U49" s="230"/>
      <c r="V49" s="68"/>
      <c r="W49" s="68"/>
      <c r="AM49" s="162">
        <v>2.5</v>
      </c>
      <c r="AN49" s="69">
        <v>1.0212983470410109E-3</v>
      </c>
    </row>
    <row r="50" spans="1:40">
      <c r="A50" s="269" t="s">
        <v>514</v>
      </c>
      <c r="B50" s="221" t="s">
        <v>1378</v>
      </c>
      <c r="C50" s="221" t="s">
        <v>447</v>
      </c>
      <c r="D50" s="228">
        <v>524</v>
      </c>
      <c r="E50" s="228">
        <v>872</v>
      </c>
      <c r="F50" s="69">
        <v>4.1164630650000014E-8</v>
      </c>
      <c r="G50" s="228">
        <v>24292699.441480346</v>
      </c>
      <c r="H50" s="228">
        <v>118.5</v>
      </c>
      <c r="I50" s="69">
        <v>4.8780087320250015E-6</v>
      </c>
      <c r="J50" s="69">
        <f t="shared" si="0"/>
        <v>2.5285241908764973E-6</v>
      </c>
      <c r="K50" s="242"/>
      <c r="L50" s="162">
        <v>3.5</v>
      </c>
      <c r="M50" s="69">
        <v>2.6009429711848497E-4</v>
      </c>
      <c r="N50" s="162"/>
      <c r="O50" s="69"/>
      <c r="U50" s="230"/>
      <c r="V50" s="68"/>
      <c r="W50" s="68"/>
      <c r="AM50" s="162">
        <v>2.5</v>
      </c>
      <c r="AN50" s="69">
        <v>1.0206536389887333E-3</v>
      </c>
    </row>
    <row r="51" spans="1:40">
      <c r="A51" s="269" t="s">
        <v>519</v>
      </c>
      <c r="B51" s="221" t="s">
        <v>443</v>
      </c>
      <c r="C51" s="221" t="s">
        <v>442</v>
      </c>
      <c r="D51" s="228">
        <v>524</v>
      </c>
      <c r="E51" s="228">
        <v>1566</v>
      </c>
      <c r="F51" s="69">
        <v>4.4576836327178993E-8</v>
      </c>
      <c r="G51" s="228">
        <v>22433175.666849397</v>
      </c>
      <c r="H51" s="228">
        <v>116.7</v>
      </c>
      <c r="I51" s="69">
        <v>5.2021167993817884E-6</v>
      </c>
      <c r="J51" s="69">
        <f t="shared" si="0"/>
        <v>2.5731010272036763E-6</v>
      </c>
      <c r="K51" s="242"/>
      <c r="L51" s="162">
        <v>3.5</v>
      </c>
      <c r="M51" s="69">
        <v>2.5568113778717816E-4</v>
      </c>
      <c r="N51" s="162"/>
      <c r="O51" s="69"/>
      <c r="U51" s="230"/>
      <c r="V51" s="68"/>
      <c r="W51" s="68"/>
      <c r="AM51" s="162">
        <v>2.5999999046325684</v>
      </c>
      <c r="AN51" s="69">
        <v>1.0206536389887333E-3</v>
      </c>
    </row>
    <row r="52" spans="1:40">
      <c r="A52" s="269" t="s">
        <v>520</v>
      </c>
      <c r="B52" s="221" t="s">
        <v>443</v>
      </c>
      <c r="C52" s="221" t="s">
        <v>442</v>
      </c>
      <c r="D52" s="228">
        <v>524</v>
      </c>
      <c r="E52" s="228">
        <v>1510</v>
      </c>
      <c r="F52" s="69">
        <v>4.4576836327178993E-8</v>
      </c>
      <c r="G52" s="228">
        <v>22433175.666849397</v>
      </c>
      <c r="H52" s="228">
        <v>116.7</v>
      </c>
      <c r="I52" s="69">
        <v>5.2021167993817884E-6</v>
      </c>
      <c r="J52" s="69">
        <f t="shared" si="0"/>
        <v>2.6176778635308552E-6</v>
      </c>
      <c r="K52" s="242"/>
      <c r="L52" s="162">
        <v>3.5999999046325684</v>
      </c>
      <c r="M52" s="69">
        <v>2.5568113778717816E-4</v>
      </c>
      <c r="N52" s="162"/>
      <c r="O52" s="69"/>
      <c r="U52" s="230"/>
      <c r="V52" s="68"/>
      <c r="W52" s="68"/>
      <c r="AM52" s="162">
        <v>2.5999999046325684</v>
      </c>
      <c r="AN52" s="69">
        <v>9.3623431166633964E-4</v>
      </c>
    </row>
    <row r="53" spans="1:40">
      <c r="A53" s="269" t="s">
        <v>514</v>
      </c>
      <c r="B53" s="221" t="s">
        <v>449</v>
      </c>
      <c r="C53" s="221" t="s">
        <v>447</v>
      </c>
      <c r="D53" s="228">
        <v>501</v>
      </c>
      <c r="E53" s="228">
        <v>872</v>
      </c>
      <c r="F53" s="69">
        <v>1.5246007038405004E-9</v>
      </c>
      <c r="G53" s="228">
        <v>655909444.01440942</v>
      </c>
      <c r="H53" s="228">
        <v>116.4</v>
      </c>
      <c r="I53" s="69">
        <v>1.7746352192703425E-7</v>
      </c>
      <c r="J53" s="69">
        <f t="shared" si="0"/>
        <v>2.6192024642346958E-6</v>
      </c>
      <c r="K53" s="242"/>
      <c r="L53" s="162">
        <v>3.5999999046325684</v>
      </c>
      <c r="M53" s="69">
        <v>2.5327395997010171E-4</v>
      </c>
      <c r="N53" s="162"/>
      <c r="O53" s="69"/>
      <c r="U53" s="230"/>
      <c r="V53" s="68"/>
      <c r="W53" s="68"/>
      <c r="AM53" s="162">
        <v>2.7000000476837158</v>
      </c>
      <c r="AN53" s="69">
        <v>9.3623431166633964E-4</v>
      </c>
    </row>
    <row r="54" spans="1:40">
      <c r="A54" s="269" t="s">
        <v>519</v>
      </c>
      <c r="B54" s="221" t="s">
        <v>449</v>
      </c>
      <c r="C54" s="221" t="s">
        <v>447</v>
      </c>
      <c r="D54" s="228">
        <v>524</v>
      </c>
      <c r="E54" s="228">
        <v>1046</v>
      </c>
      <c r="F54" s="69">
        <v>1.5246007038405004E-9</v>
      </c>
      <c r="G54" s="228">
        <v>655909444.01440942</v>
      </c>
      <c r="H54" s="228">
        <v>116.3</v>
      </c>
      <c r="I54" s="69">
        <v>1.7731106185665019E-7</v>
      </c>
      <c r="J54" s="69">
        <f t="shared" si="0"/>
        <v>2.6207270649385363E-6</v>
      </c>
      <c r="K54" s="242"/>
      <c r="L54" s="162">
        <v>3.7000000476837158</v>
      </c>
      <c r="M54" s="69">
        <v>2.5327395997010171E-4</v>
      </c>
      <c r="N54" s="162"/>
      <c r="O54" s="69"/>
      <c r="U54" s="230"/>
      <c r="V54" s="68"/>
      <c r="W54" s="68"/>
      <c r="AM54" s="162">
        <v>2.7000000476837158</v>
      </c>
      <c r="AN54" s="69">
        <v>9.3595444923266768E-4</v>
      </c>
    </row>
    <row r="55" spans="1:40">
      <c r="A55" s="269" t="s">
        <v>519</v>
      </c>
      <c r="B55" s="221" t="s">
        <v>1378</v>
      </c>
      <c r="C55" s="221" t="s">
        <v>447</v>
      </c>
      <c r="D55" s="228">
        <v>525</v>
      </c>
      <c r="E55" s="228">
        <v>1038</v>
      </c>
      <c r="F55" s="69">
        <v>4.1164630650000014E-8</v>
      </c>
      <c r="G55" s="228">
        <v>24292699.441480346</v>
      </c>
      <c r="H55" s="228">
        <v>116.1</v>
      </c>
      <c r="I55" s="69">
        <v>4.7792136184650016E-6</v>
      </c>
      <c r="J55" s="69">
        <f t="shared" si="0"/>
        <v>2.6618916955885362E-6</v>
      </c>
      <c r="K55" s="242"/>
      <c r="L55" s="162">
        <v>3.7000000476837158</v>
      </c>
      <c r="M55" s="69">
        <v>2.4705386022105813E-4</v>
      </c>
      <c r="N55" s="162"/>
      <c r="O55" s="69"/>
      <c r="U55" s="230"/>
      <c r="V55" s="68"/>
      <c r="W55" s="68"/>
      <c r="AM55" s="162">
        <v>2.9000000953674316</v>
      </c>
      <c r="AN55" s="69">
        <v>9.3595444923266768E-4</v>
      </c>
    </row>
    <row r="56" spans="1:40">
      <c r="A56" s="269" t="s">
        <v>459</v>
      </c>
      <c r="B56" s="221" t="s">
        <v>449</v>
      </c>
      <c r="C56" s="221" t="s">
        <v>447</v>
      </c>
      <c r="D56" s="228">
        <v>524</v>
      </c>
      <c r="E56" s="228">
        <v>872</v>
      </c>
      <c r="F56" s="69">
        <v>1.5246007038405004E-9</v>
      </c>
      <c r="G56" s="228">
        <v>655909444.01440942</v>
      </c>
      <c r="H56" s="228">
        <v>115.3</v>
      </c>
      <c r="I56" s="69">
        <v>1.7578646115280971E-7</v>
      </c>
      <c r="J56" s="69">
        <f t="shared" si="0"/>
        <v>2.6634162962923767E-6</v>
      </c>
      <c r="K56" s="242"/>
      <c r="L56" s="162">
        <v>4</v>
      </c>
      <c r="M56" s="69">
        <v>2.4705386022105813E-4</v>
      </c>
      <c r="N56" s="162"/>
      <c r="O56" s="69"/>
      <c r="U56" s="230"/>
      <c r="V56" s="68"/>
      <c r="W56" s="68"/>
      <c r="AM56" s="162">
        <v>2.9000000953674316</v>
      </c>
      <c r="AN56" s="69">
        <v>9.3530974118039012E-4</v>
      </c>
    </row>
    <row r="57" spans="1:40">
      <c r="A57" s="269" t="s">
        <v>465</v>
      </c>
      <c r="B57" s="221" t="s">
        <v>449</v>
      </c>
      <c r="C57" s="221" t="s">
        <v>447</v>
      </c>
      <c r="D57" s="228">
        <v>524</v>
      </c>
      <c r="E57" s="228">
        <v>934</v>
      </c>
      <c r="F57" s="69">
        <v>1.5246007038405004E-9</v>
      </c>
      <c r="G57" s="228">
        <v>655909444.01440942</v>
      </c>
      <c r="H57" s="228">
        <v>113.7</v>
      </c>
      <c r="I57" s="69">
        <v>1.733471000266649E-7</v>
      </c>
      <c r="J57" s="69">
        <f t="shared" si="0"/>
        <v>2.6649408969962173E-6</v>
      </c>
      <c r="K57" s="242"/>
      <c r="L57" s="162">
        <v>4</v>
      </c>
      <c r="M57" s="69">
        <v>2.2475581499747932E-4</v>
      </c>
      <c r="N57" s="162"/>
      <c r="O57" s="69"/>
      <c r="U57" s="230"/>
      <c r="V57" s="68"/>
      <c r="W57" s="68"/>
      <c r="AM57" s="162">
        <v>3</v>
      </c>
      <c r="AN57" s="69">
        <v>9.3530974118039012E-4</v>
      </c>
    </row>
    <row r="58" spans="1:40">
      <c r="A58" s="269" t="s">
        <v>454</v>
      </c>
      <c r="B58" s="221" t="s">
        <v>449</v>
      </c>
      <c r="C58" s="221" t="s">
        <v>447</v>
      </c>
      <c r="D58" s="228">
        <v>524</v>
      </c>
      <c r="E58" s="228">
        <v>1318</v>
      </c>
      <c r="F58" s="69">
        <v>1.5246007038405004E-9</v>
      </c>
      <c r="G58" s="228">
        <v>655909444.01440942</v>
      </c>
      <c r="H58" s="228">
        <v>112.5</v>
      </c>
      <c r="I58" s="69">
        <v>1.7151757918205631E-7</v>
      </c>
      <c r="J58" s="69">
        <f t="shared" si="0"/>
        <v>2.6664654977000578E-6</v>
      </c>
      <c r="K58" s="242"/>
      <c r="L58" s="162">
        <v>4.0999999046325684</v>
      </c>
      <c r="M58" s="69">
        <v>2.2475581499747932E-4</v>
      </c>
      <c r="N58" s="162"/>
      <c r="O58" s="69"/>
      <c r="U58" s="230"/>
      <c r="V58" s="68"/>
      <c r="W58" s="68"/>
      <c r="AM58" s="162">
        <v>3</v>
      </c>
      <c r="AN58" s="69">
        <v>9.2761416453868151E-4</v>
      </c>
    </row>
    <row r="59" spans="1:40">
      <c r="A59" s="269" t="s">
        <v>453</v>
      </c>
      <c r="B59" s="221" t="s">
        <v>449</v>
      </c>
      <c r="C59" s="221" t="s">
        <v>447</v>
      </c>
      <c r="D59" s="228">
        <v>520</v>
      </c>
      <c r="E59" s="228">
        <v>1040</v>
      </c>
      <c r="F59" s="69">
        <v>1.5246007038405004E-9</v>
      </c>
      <c r="G59" s="228">
        <v>655909444.01440942</v>
      </c>
      <c r="H59" s="228">
        <v>112.2</v>
      </c>
      <c r="I59" s="69">
        <v>1.7106019897090416E-7</v>
      </c>
      <c r="J59" s="69">
        <f t="shared" si="0"/>
        <v>2.6679900984038983E-6</v>
      </c>
      <c r="K59" s="242"/>
      <c r="L59" s="162">
        <v>4.0999999046325684</v>
      </c>
      <c r="M59" s="69">
        <v>2.246048825327307E-4</v>
      </c>
      <c r="N59" s="162"/>
      <c r="O59" s="69"/>
      <c r="U59" s="230"/>
      <c r="V59" s="68"/>
      <c r="W59" s="68"/>
      <c r="AM59" s="162">
        <v>3.0999999046325684</v>
      </c>
      <c r="AN59" s="69">
        <v>9.2761416453868151E-4</v>
      </c>
    </row>
    <row r="60" spans="1:40">
      <c r="A60" s="269" t="s">
        <v>518</v>
      </c>
      <c r="B60" s="221" t="s">
        <v>446</v>
      </c>
      <c r="C60" s="221" t="s">
        <v>447</v>
      </c>
      <c r="D60" s="228">
        <v>525</v>
      </c>
      <c r="E60" s="228">
        <v>972</v>
      </c>
      <c r="F60" s="69">
        <v>1.5246144253840504E-9</v>
      </c>
      <c r="G60" s="228">
        <v>655903540.82351017</v>
      </c>
      <c r="H60" s="228">
        <v>110.9</v>
      </c>
      <c r="I60" s="69">
        <v>1.6907973977509119E-7</v>
      </c>
      <c r="J60" s="69">
        <f t="shared" si="0"/>
        <v>2.6695147128292826E-6</v>
      </c>
      <c r="K60" s="242"/>
      <c r="L60" s="162">
        <v>4.1999998092651367</v>
      </c>
      <c r="M60" s="69">
        <v>2.246048825327307E-4</v>
      </c>
      <c r="N60" s="162"/>
      <c r="O60" s="69"/>
      <c r="U60" s="230"/>
      <c r="V60" s="68"/>
      <c r="W60" s="68"/>
      <c r="AM60" s="162">
        <v>3.0999999046325684</v>
      </c>
      <c r="AN60" s="69">
        <v>9.2696939827874303E-4</v>
      </c>
    </row>
    <row r="61" spans="1:40">
      <c r="A61" s="269" t="s">
        <v>509</v>
      </c>
      <c r="B61" s="221" t="s">
        <v>1378</v>
      </c>
      <c r="C61" s="221" t="s">
        <v>447</v>
      </c>
      <c r="D61" s="228">
        <v>524</v>
      </c>
      <c r="E61" s="228">
        <v>1150</v>
      </c>
      <c r="F61" s="69">
        <v>4.1164630650000014E-8</v>
      </c>
      <c r="G61" s="228">
        <v>24292699.441480346</v>
      </c>
      <c r="H61" s="228">
        <v>110.2</v>
      </c>
      <c r="I61" s="69">
        <v>4.5363422976300016E-6</v>
      </c>
      <c r="J61" s="69">
        <f t="shared" si="0"/>
        <v>2.7106793434792824E-6</v>
      </c>
      <c r="K61" s="242"/>
      <c r="L61" s="162">
        <v>4.1999998092651367</v>
      </c>
      <c r="M61" s="69">
        <v>2.0189861243125051E-4</v>
      </c>
      <c r="N61" s="162"/>
      <c r="O61" s="69"/>
      <c r="U61" s="230"/>
      <c r="V61" s="68"/>
      <c r="W61" s="68"/>
      <c r="AM61" s="162">
        <v>3.2000000476837158</v>
      </c>
      <c r="AN61" s="69">
        <v>9.2696939827874303E-4</v>
      </c>
    </row>
    <row r="62" spans="1:40">
      <c r="A62" s="269" t="s">
        <v>465</v>
      </c>
      <c r="B62" s="221" t="s">
        <v>446</v>
      </c>
      <c r="C62" s="221" t="s">
        <v>447</v>
      </c>
      <c r="D62" s="228">
        <v>524</v>
      </c>
      <c r="E62" s="228">
        <v>974</v>
      </c>
      <c r="F62" s="69">
        <v>1.5246144253840504E-9</v>
      </c>
      <c r="G62" s="228">
        <v>655903540.82351017</v>
      </c>
      <c r="H62" s="228">
        <v>109.4</v>
      </c>
      <c r="I62" s="69">
        <v>1.6679281813701513E-7</v>
      </c>
      <c r="J62" s="69">
        <f t="shared" si="0"/>
        <v>2.7122039579046667E-6</v>
      </c>
      <c r="K62" s="242"/>
      <c r="L62" s="162">
        <v>4.4000000953674316</v>
      </c>
      <c r="M62" s="69">
        <v>2.0189861243125051E-4</v>
      </c>
      <c r="N62" s="162"/>
      <c r="O62" s="69"/>
      <c r="U62" s="230"/>
      <c r="V62" s="68"/>
      <c r="W62" s="68"/>
      <c r="AM62" s="162">
        <v>3.2000000476837158</v>
      </c>
      <c r="AN62" s="69">
        <v>9.2668953584507108E-4</v>
      </c>
    </row>
    <row r="63" spans="1:40">
      <c r="A63" s="269" t="s">
        <v>460</v>
      </c>
      <c r="B63" s="221" t="s">
        <v>1378</v>
      </c>
      <c r="C63" s="221" t="s">
        <v>447</v>
      </c>
      <c r="D63" s="228">
        <v>524</v>
      </c>
      <c r="E63" s="228">
        <v>850</v>
      </c>
      <c r="F63" s="69">
        <v>4.1164630650000014E-8</v>
      </c>
      <c r="G63" s="228">
        <v>24292699.441480346</v>
      </c>
      <c r="H63" s="228">
        <v>107.9</v>
      </c>
      <c r="I63" s="69">
        <v>4.4416636471350019E-6</v>
      </c>
      <c r="J63" s="69">
        <f t="shared" si="0"/>
        <v>2.7533685885546666E-6</v>
      </c>
      <c r="K63" s="242"/>
      <c r="L63" s="162">
        <v>4.4000000953674316</v>
      </c>
      <c r="M63" s="69">
        <v>2.0185403991490602E-4</v>
      </c>
      <c r="N63" s="162"/>
      <c r="O63" s="69"/>
      <c r="U63" s="230"/>
      <c r="V63" s="68"/>
      <c r="W63" s="68"/>
      <c r="AM63" s="162">
        <v>3.2999999523162842</v>
      </c>
      <c r="AN63" s="69">
        <v>9.2668953584507108E-4</v>
      </c>
    </row>
    <row r="64" spans="1:40">
      <c r="A64" s="269" t="s">
        <v>468</v>
      </c>
      <c r="B64" s="221" t="s">
        <v>446</v>
      </c>
      <c r="C64" s="221" t="s">
        <v>450</v>
      </c>
      <c r="D64" s="228">
        <v>481</v>
      </c>
      <c r="E64" s="228">
        <v>960</v>
      </c>
      <c r="F64" s="69">
        <v>1.5093682811302096E-7</v>
      </c>
      <c r="G64" s="228">
        <v>6625288.291146568</v>
      </c>
      <c r="H64" s="228">
        <v>107.8</v>
      </c>
      <c r="I64" s="69">
        <v>1.6270990070583659E-5</v>
      </c>
      <c r="J64" s="69">
        <f t="shared" si="0"/>
        <v>2.9043054166676877E-6</v>
      </c>
      <c r="K64" s="242"/>
      <c r="L64" s="162">
        <v>4.5</v>
      </c>
      <c r="M64" s="69">
        <v>2.0185403991490602E-4</v>
      </c>
      <c r="N64" s="162"/>
      <c r="O64" s="69"/>
      <c r="U64" s="230"/>
      <c r="V64" s="68"/>
      <c r="W64" s="68"/>
      <c r="AM64" s="162">
        <v>3.2999999523162842</v>
      </c>
      <c r="AN64" s="69">
        <v>8.5318944184109569E-4</v>
      </c>
    </row>
    <row r="65" spans="1:40">
      <c r="A65" s="269" t="s">
        <v>515</v>
      </c>
      <c r="B65" s="221" t="s">
        <v>449</v>
      </c>
      <c r="C65" s="221" t="s">
        <v>447</v>
      </c>
      <c r="D65" s="228">
        <v>519</v>
      </c>
      <c r="E65" s="228">
        <v>870</v>
      </c>
      <c r="F65" s="69">
        <v>1.5246007038405004E-9</v>
      </c>
      <c r="G65" s="228">
        <v>655909444.01440942</v>
      </c>
      <c r="H65" s="228">
        <v>107.3</v>
      </c>
      <c r="I65" s="69">
        <v>1.6358965552208569E-7</v>
      </c>
      <c r="J65" s="69">
        <f t="shared" si="0"/>
        <v>2.9058300173715283E-6</v>
      </c>
      <c r="K65" s="242"/>
      <c r="L65" s="162">
        <v>4.5</v>
      </c>
      <c r="M65" s="69">
        <v>1.9744093879126012E-4</v>
      </c>
      <c r="N65" s="162"/>
      <c r="O65" s="69"/>
      <c r="U65" s="230"/>
      <c r="V65" s="68"/>
      <c r="W65" s="68"/>
      <c r="AM65" s="162">
        <v>3.5</v>
      </c>
      <c r="AN65" s="69">
        <v>8.5318944184109569E-4</v>
      </c>
    </row>
    <row r="66" spans="1:40">
      <c r="A66" s="269" t="s">
        <v>467</v>
      </c>
      <c r="B66" s="221" t="s">
        <v>446</v>
      </c>
      <c r="C66" s="221" t="s">
        <v>447</v>
      </c>
      <c r="D66" s="228">
        <v>524</v>
      </c>
      <c r="E66" s="228">
        <v>1500</v>
      </c>
      <c r="F66" s="69">
        <v>1.5246144253840504E-9</v>
      </c>
      <c r="G66" s="228">
        <v>655903540.82351017</v>
      </c>
      <c r="H66" s="228">
        <v>106.6</v>
      </c>
      <c r="I66" s="69">
        <v>1.6252389774593975E-7</v>
      </c>
      <c r="J66" s="69">
        <f t="shared" si="0"/>
        <v>2.9073546317969125E-6</v>
      </c>
      <c r="K66" s="242"/>
      <c r="L66" s="162">
        <v>5</v>
      </c>
      <c r="M66" s="69">
        <v>1.9744093879126012E-4</v>
      </c>
      <c r="N66" s="162"/>
      <c r="O66" s="69"/>
      <c r="U66" s="230"/>
      <c r="V66" s="68"/>
      <c r="W66" s="68"/>
      <c r="AM66" s="162">
        <v>3.5</v>
      </c>
      <c r="AN66" s="69">
        <v>7.7775516547262669E-4</v>
      </c>
    </row>
    <row r="67" spans="1:40">
      <c r="A67" s="269" t="s">
        <v>520</v>
      </c>
      <c r="B67" s="221" t="s">
        <v>449</v>
      </c>
      <c r="C67" s="221" t="s">
        <v>447</v>
      </c>
      <c r="D67" s="228">
        <v>524</v>
      </c>
      <c r="E67" s="228">
        <v>1040</v>
      </c>
      <c r="F67" s="69">
        <v>1.5246007038405004E-9</v>
      </c>
      <c r="G67" s="228">
        <v>655909444.01440942</v>
      </c>
      <c r="H67" s="228">
        <v>106.1</v>
      </c>
      <c r="I67" s="69">
        <v>1.6176013467747709E-7</v>
      </c>
      <c r="J67" s="69">
        <f t="shared" ref="J67:J130" si="1">J66+F67</f>
        <v>2.908879232500753E-6</v>
      </c>
      <c r="K67" s="242"/>
      <c r="L67" s="162">
        <v>5</v>
      </c>
      <c r="M67" s="69">
        <v>1.9302626606076956E-4</v>
      </c>
      <c r="N67" s="162"/>
      <c r="O67" s="69"/>
      <c r="U67" s="230"/>
      <c r="V67" s="68"/>
      <c r="W67" s="68"/>
      <c r="AM67" s="162">
        <v>3.5999999046325684</v>
      </c>
      <c r="AN67" s="69">
        <v>7.7775516547262669E-4</v>
      </c>
    </row>
    <row r="68" spans="1:40">
      <c r="A68" s="269" t="s">
        <v>456</v>
      </c>
      <c r="B68" s="221" t="s">
        <v>1378</v>
      </c>
      <c r="C68" s="221" t="s">
        <v>447</v>
      </c>
      <c r="D68" s="228">
        <v>524</v>
      </c>
      <c r="E68" s="228">
        <v>978</v>
      </c>
      <c r="F68" s="69">
        <v>4.1164630650000014E-8</v>
      </c>
      <c r="G68" s="228">
        <v>24292699.441480346</v>
      </c>
      <c r="H68" s="228">
        <v>106</v>
      </c>
      <c r="I68" s="69">
        <v>4.3634508489000015E-6</v>
      </c>
      <c r="J68" s="69">
        <f t="shared" si="1"/>
        <v>2.9500438631507529E-6</v>
      </c>
      <c r="K68" s="242"/>
      <c r="L68" s="162">
        <v>5.0999999046325684</v>
      </c>
      <c r="M68" s="69">
        <v>1.9302626606076956E-4</v>
      </c>
      <c r="N68" s="162"/>
      <c r="O68" s="69"/>
      <c r="U68" s="230"/>
      <c r="V68" s="68"/>
      <c r="W68" s="68"/>
      <c r="AM68" s="162">
        <v>3.5999999046325684</v>
      </c>
      <c r="AN68" s="69">
        <v>4.2882005800493062E-4</v>
      </c>
    </row>
    <row r="69" spans="1:40">
      <c r="A69" s="269" t="s">
        <v>517</v>
      </c>
      <c r="B69" s="221" t="s">
        <v>449</v>
      </c>
      <c r="C69" s="221" t="s">
        <v>447</v>
      </c>
      <c r="D69" s="228">
        <v>524</v>
      </c>
      <c r="E69" s="228">
        <v>934</v>
      </c>
      <c r="F69" s="69">
        <v>1.5246007038405004E-9</v>
      </c>
      <c r="G69" s="228">
        <v>655909444.01440942</v>
      </c>
      <c r="H69" s="228">
        <v>106</v>
      </c>
      <c r="I69" s="69">
        <v>1.6160767460709303E-7</v>
      </c>
      <c r="J69" s="69">
        <f t="shared" si="1"/>
        <v>2.9515684638545934E-6</v>
      </c>
      <c r="K69" s="242"/>
      <c r="L69" s="162">
        <v>5.0999999046325684</v>
      </c>
      <c r="M69" s="69">
        <v>1.9287531904410571E-4</v>
      </c>
      <c r="N69" s="162"/>
      <c r="O69" s="69"/>
      <c r="U69" s="230"/>
      <c r="V69" s="68"/>
      <c r="W69" s="68"/>
      <c r="AM69" s="162">
        <v>4.1999998092651367</v>
      </c>
      <c r="AN69" s="69">
        <v>4.2882005800493062E-4</v>
      </c>
    </row>
    <row r="70" spans="1:40">
      <c r="A70" s="269" t="s">
        <v>454</v>
      </c>
      <c r="B70" s="221" t="s">
        <v>1378</v>
      </c>
      <c r="C70" s="221" t="s">
        <v>447</v>
      </c>
      <c r="D70" s="228">
        <v>524</v>
      </c>
      <c r="E70" s="228">
        <v>970</v>
      </c>
      <c r="F70" s="69">
        <v>4.1164630650000014E-8</v>
      </c>
      <c r="G70" s="228">
        <v>24292699.441480346</v>
      </c>
      <c r="H70" s="228">
        <v>105</v>
      </c>
      <c r="I70" s="69">
        <v>4.3222862182500016E-6</v>
      </c>
      <c r="J70" s="69">
        <f t="shared" si="1"/>
        <v>2.9927330945045933E-6</v>
      </c>
      <c r="K70" s="242"/>
      <c r="L70" s="162">
        <v>5.3000001907348633</v>
      </c>
      <c r="M70" s="69">
        <v>1.9287531904410571E-4</v>
      </c>
      <c r="N70" s="162"/>
      <c r="O70" s="69"/>
      <c r="P70" s="68"/>
      <c r="Q70" s="68"/>
      <c r="R70" s="68"/>
      <c r="S70" s="68"/>
      <c r="T70" s="68"/>
      <c r="U70" s="230"/>
      <c r="V70" s="68"/>
      <c r="W70" s="68"/>
      <c r="X70" s="68"/>
      <c r="Z70" s="68"/>
      <c r="AM70" s="162">
        <v>4.1999998092651367</v>
      </c>
      <c r="AN70" s="69">
        <v>4.2817532084882259E-4</v>
      </c>
    </row>
    <row r="71" spans="1:40">
      <c r="A71" s="269" t="s">
        <v>453</v>
      </c>
      <c r="B71" s="221" t="s">
        <v>475</v>
      </c>
      <c r="C71" s="221" t="s">
        <v>442</v>
      </c>
      <c r="D71" s="228">
        <v>524</v>
      </c>
      <c r="E71" s="228">
        <v>1510</v>
      </c>
      <c r="F71" s="69">
        <v>4.4577237522717891E-8</v>
      </c>
      <c r="G71" s="228">
        <v>22432973.768066496</v>
      </c>
      <c r="H71" s="228">
        <v>103.7</v>
      </c>
      <c r="I71" s="69">
        <v>4.6226595311058457E-6</v>
      </c>
      <c r="J71" s="69">
        <f t="shared" si="1"/>
        <v>3.0373103320273112E-6</v>
      </c>
      <c r="K71" s="242"/>
      <c r="L71" s="162">
        <v>5.3000001907348633</v>
      </c>
      <c r="M71" s="69">
        <v>1.9257345411460847E-4</v>
      </c>
      <c r="N71" s="162"/>
      <c r="O71" s="69"/>
      <c r="P71" s="68"/>
      <c r="Q71" s="68"/>
      <c r="R71" s="68"/>
      <c r="S71" s="68"/>
      <c r="T71" s="68"/>
      <c r="U71" s="230"/>
      <c r="V71" s="68"/>
      <c r="W71" s="68"/>
      <c r="X71" s="68"/>
      <c r="Z71" s="68"/>
      <c r="AM71" s="162">
        <v>4.5</v>
      </c>
      <c r="AN71" s="69">
        <v>4.2817532084882259E-4</v>
      </c>
    </row>
    <row r="72" spans="1:40">
      <c r="A72" s="269" t="s">
        <v>463</v>
      </c>
      <c r="B72" s="221" t="s">
        <v>443</v>
      </c>
      <c r="C72" s="221" t="s">
        <v>442</v>
      </c>
      <c r="D72" s="228">
        <v>524</v>
      </c>
      <c r="E72" s="228">
        <v>1298</v>
      </c>
      <c r="F72" s="69">
        <v>4.4576836327178993E-8</v>
      </c>
      <c r="G72" s="228">
        <v>22433175.666849397</v>
      </c>
      <c r="H72" s="228">
        <v>103.4</v>
      </c>
      <c r="I72" s="69">
        <v>4.6092448762303078E-6</v>
      </c>
      <c r="J72" s="69">
        <f t="shared" si="1"/>
        <v>3.0818871683544902E-6</v>
      </c>
      <c r="K72" s="242"/>
      <c r="L72" s="162">
        <v>5.4000000953674316</v>
      </c>
      <c r="M72" s="69">
        <v>1.9257345411460847E-4</v>
      </c>
      <c r="N72" s="162"/>
      <c r="O72" s="69"/>
      <c r="P72" s="68"/>
      <c r="Q72" s="68"/>
      <c r="R72" s="68"/>
      <c r="S72" s="68"/>
      <c r="T72" s="68"/>
      <c r="U72" s="230"/>
      <c r="V72" s="68"/>
      <c r="W72" s="68"/>
      <c r="X72" s="68"/>
      <c r="Z72" s="68"/>
      <c r="AM72" s="162">
        <v>4.5</v>
      </c>
      <c r="AN72" s="69">
        <v>4.2624110938049853E-4</v>
      </c>
    </row>
    <row r="73" spans="1:40">
      <c r="A73" s="269" t="s">
        <v>456</v>
      </c>
      <c r="B73" s="221" t="s">
        <v>449</v>
      </c>
      <c r="C73" s="221" t="s">
        <v>447</v>
      </c>
      <c r="D73" s="228">
        <v>524</v>
      </c>
      <c r="E73" s="228">
        <v>1238</v>
      </c>
      <c r="F73" s="69">
        <v>1.5246007038405004E-9</v>
      </c>
      <c r="G73" s="228">
        <v>655909444.01440942</v>
      </c>
      <c r="H73" s="228">
        <v>103.1</v>
      </c>
      <c r="I73" s="69">
        <v>1.5718633256595557E-7</v>
      </c>
      <c r="J73" s="69">
        <f t="shared" si="1"/>
        <v>3.0834117690583307E-6</v>
      </c>
      <c r="K73" s="242"/>
      <c r="L73" s="162">
        <v>5.4000000953674316</v>
      </c>
      <c r="M73" s="69">
        <v>1.9136986520607024E-4</v>
      </c>
      <c r="N73" s="162"/>
      <c r="O73" s="69"/>
      <c r="P73" s="68"/>
      <c r="Q73" s="68"/>
      <c r="R73" s="68"/>
      <c r="S73" s="68"/>
      <c r="T73" s="68"/>
      <c r="U73" s="230"/>
      <c r="V73" s="68"/>
      <c r="W73" s="68"/>
      <c r="X73" s="68"/>
      <c r="Z73" s="68"/>
      <c r="AM73" s="162">
        <v>4.6999998092651367</v>
      </c>
      <c r="AN73" s="69">
        <v>4.2624110938049853E-4</v>
      </c>
    </row>
    <row r="74" spans="1:40">
      <c r="A74" s="269" t="s">
        <v>458</v>
      </c>
      <c r="B74" s="221" t="s">
        <v>448</v>
      </c>
      <c r="C74" s="221" t="s">
        <v>447</v>
      </c>
      <c r="D74" s="228">
        <v>525</v>
      </c>
      <c r="E74" s="228">
        <v>914</v>
      </c>
      <c r="F74" s="69">
        <v>1.5246144253840504E-9</v>
      </c>
      <c r="G74" s="228">
        <v>655903540.82351017</v>
      </c>
      <c r="H74" s="228">
        <v>102.3</v>
      </c>
      <c r="I74" s="69">
        <v>1.5596805571678834E-7</v>
      </c>
      <c r="J74" s="69">
        <f t="shared" si="1"/>
        <v>3.0849363834837149E-6</v>
      </c>
      <c r="K74" s="242"/>
      <c r="L74" s="162">
        <v>5.5</v>
      </c>
      <c r="M74" s="69">
        <v>1.9136986520607024E-4</v>
      </c>
      <c r="N74" s="162"/>
      <c r="O74" s="69"/>
      <c r="P74" s="68"/>
      <c r="Q74" s="68"/>
      <c r="R74" s="68"/>
      <c r="S74" s="68"/>
      <c r="T74" s="68"/>
      <c r="U74" s="230"/>
      <c r="V74" s="68"/>
      <c r="W74" s="68"/>
      <c r="X74" s="68"/>
      <c r="Z74" s="68"/>
      <c r="AM74" s="162">
        <v>4.6999998092651367</v>
      </c>
      <c r="AN74" s="69">
        <v>4.2559637222439051E-4</v>
      </c>
    </row>
    <row r="75" spans="1:40">
      <c r="A75" s="269" t="s">
        <v>452</v>
      </c>
      <c r="B75" s="221" t="s">
        <v>449</v>
      </c>
      <c r="C75" s="221" t="s">
        <v>447</v>
      </c>
      <c r="D75" s="228">
        <v>524</v>
      </c>
      <c r="E75" s="228">
        <v>1042</v>
      </c>
      <c r="F75" s="69">
        <v>1.5246007038405004E-9</v>
      </c>
      <c r="G75" s="228">
        <v>655909444.01440942</v>
      </c>
      <c r="H75" s="228">
        <v>100.4</v>
      </c>
      <c r="I75" s="69">
        <v>1.5306991066558626E-7</v>
      </c>
      <c r="J75" s="69">
        <f t="shared" si="1"/>
        <v>3.0864609841875555E-6</v>
      </c>
      <c r="K75" s="242"/>
      <c r="L75" s="162">
        <v>5.5</v>
      </c>
      <c r="M75" s="69">
        <v>1.9117434567306191E-4</v>
      </c>
      <c r="N75" s="162"/>
      <c r="O75" s="69"/>
      <c r="P75" s="68"/>
      <c r="Q75" s="68"/>
      <c r="R75" s="68"/>
      <c r="S75" s="68"/>
      <c r="T75" s="68"/>
      <c r="U75" s="230"/>
      <c r="V75" s="68"/>
      <c r="W75" s="68"/>
      <c r="X75" s="68"/>
      <c r="Z75" s="68"/>
      <c r="AM75" s="162">
        <v>4.8000001907348633</v>
      </c>
      <c r="AN75" s="69">
        <v>4.2559637222439051E-4</v>
      </c>
    </row>
    <row r="76" spans="1:40">
      <c r="A76" s="269" t="s">
        <v>452</v>
      </c>
      <c r="B76" s="221" t="s">
        <v>475</v>
      </c>
      <c r="C76" s="221" t="s">
        <v>442</v>
      </c>
      <c r="D76" s="228">
        <v>524</v>
      </c>
      <c r="E76" s="228">
        <v>1572</v>
      </c>
      <c r="F76" s="69">
        <v>4.4577237522717891E-8</v>
      </c>
      <c r="G76" s="228">
        <v>22432973.768066496</v>
      </c>
      <c r="H76" s="228">
        <v>100.3</v>
      </c>
      <c r="I76" s="69">
        <v>4.4710969235286047E-6</v>
      </c>
      <c r="J76" s="69">
        <f t="shared" si="1"/>
        <v>3.1310382217102734E-6</v>
      </c>
      <c r="K76" s="242"/>
      <c r="L76" s="162">
        <v>5.8000001907348633</v>
      </c>
      <c r="M76" s="69">
        <v>1.9117434567306191E-4</v>
      </c>
      <c r="N76" s="162"/>
      <c r="O76" s="69"/>
      <c r="P76" s="68"/>
      <c r="Q76" s="68"/>
      <c r="R76" s="68"/>
      <c r="S76" s="68"/>
      <c r="T76" s="68"/>
      <c r="U76" s="230"/>
      <c r="V76" s="68"/>
      <c r="W76" s="68"/>
      <c r="X76" s="68"/>
      <c r="Z76" s="68"/>
      <c r="AM76" s="162">
        <v>4.8000001907348633</v>
      </c>
      <c r="AN76" s="69">
        <v>4.2495163506828249E-4</v>
      </c>
    </row>
    <row r="77" spans="1:40">
      <c r="A77" s="269" t="s">
        <v>517</v>
      </c>
      <c r="B77" s="221" t="s">
        <v>1378</v>
      </c>
      <c r="C77" s="221" t="s">
        <v>447</v>
      </c>
      <c r="D77" s="228">
        <v>525</v>
      </c>
      <c r="E77" s="228">
        <v>932</v>
      </c>
      <c r="F77" s="69">
        <v>4.1164630650000014E-8</v>
      </c>
      <c r="G77" s="228">
        <v>24292699.441480346</v>
      </c>
      <c r="H77" s="228">
        <v>99.6</v>
      </c>
      <c r="I77" s="69">
        <v>4.0999972127400012E-6</v>
      </c>
      <c r="J77" s="69">
        <f t="shared" si="1"/>
        <v>3.1722028523602732E-6</v>
      </c>
      <c r="K77" s="242"/>
      <c r="L77" s="162">
        <v>5.8000001907348633</v>
      </c>
      <c r="M77" s="69">
        <v>1.6892090206965804E-4</v>
      </c>
      <c r="N77" s="162"/>
      <c r="O77" s="69"/>
      <c r="P77" s="68"/>
      <c r="Q77" s="68"/>
      <c r="R77" s="68"/>
      <c r="S77" s="68"/>
      <c r="T77" s="68"/>
      <c r="U77" s="230"/>
      <c r="V77" s="68"/>
      <c r="W77" s="68"/>
      <c r="X77" s="68"/>
      <c r="Z77" s="68"/>
      <c r="AM77" s="162">
        <v>4.9000000953674316</v>
      </c>
      <c r="AN77" s="69">
        <v>4.2495163506828249E-4</v>
      </c>
    </row>
    <row r="78" spans="1:40">
      <c r="A78" s="269" t="s">
        <v>458</v>
      </c>
      <c r="B78" s="221" t="s">
        <v>449</v>
      </c>
      <c r="C78" s="221" t="s">
        <v>447</v>
      </c>
      <c r="D78" s="228">
        <v>525</v>
      </c>
      <c r="E78" s="228">
        <v>874</v>
      </c>
      <c r="F78" s="69">
        <v>1.5246007038405004E-9</v>
      </c>
      <c r="G78" s="228">
        <v>655909444.01440942</v>
      </c>
      <c r="H78" s="228">
        <v>99.1</v>
      </c>
      <c r="I78" s="69">
        <v>1.5108792975059358E-7</v>
      </c>
      <c r="J78" s="69">
        <f t="shared" si="1"/>
        <v>3.1737274530641138E-6</v>
      </c>
      <c r="K78" s="242"/>
      <c r="L78" s="162">
        <v>6.0999999046325684</v>
      </c>
      <c r="M78" s="69">
        <v>1.6892090206965804E-4</v>
      </c>
      <c r="N78" s="162"/>
      <c r="O78" s="69"/>
      <c r="P78" s="68"/>
      <c r="Q78" s="68"/>
      <c r="R78" s="68"/>
      <c r="S78" s="68"/>
      <c r="T78" s="68"/>
      <c r="U78" s="230"/>
      <c r="V78" s="68"/>
      <c r="W78" s="68"/>
      <c r="X78" s="68"/>
      <c r="Z78" s="68"/>
      <c r="AM78" s="162">
        <v>4.9000000953674316</v>
      </c>
      <c r="AN78" s="69">
        <v>3.9304487290792167E-4</v>
      </c>
    </row>
    <row r="79" spans="1:40">
      <c r="A79" s="269" t="s">
        <v>459</v>
      </c>
      <c r="B79" s="221" t="s">
        <v>1378</v>
      </c>
      <c r="C79" s="221" t="s">
        <v>447</v>
      </c>
      <c r="D79" s="228">
        <v>500</v>
      </c>
      <c r="E79" s="228">
        <v>854</v>
      </c>
      <c r="F79" s="69">
        <v>4.1164630650000014E-8</v>
      </c>
      <c r="G79" s="228">
        <v>24292699.441480346</v>
      </c>
      <c r="H79" s="228">
        <v>96.1</v>
      </c>
      <c r="I79" s="69">
        <v>3.9559210054650011E-6</v>
      </c>
      <c r="J79" s="69">
        <f t="shared" si="1"/>
        <v>3.2148920837141137E-6</v>
      </c>
      <c r="K79" s="242"/>
      <c r="L79" s="162">
        <v>6.0999999046325684</v>
      </c>
      <c r="M79" s="69">
        <v>1.6887631500139832E-4</v>
      </c>
      <c r="N79" s="162"/>
      <c r="O79" s="69"/>
      <c r="P79" s="68"/>
      <c r="Q79" s="68"/>
      <c r="R79" s="68"/>
      <c r="S79" s="68"/>
      <c r="T79" s="68"/>
      <c r="U79" s="230"/>
      <c r="V79" s="68"/>
      <c r="W79" s="68"/>
      <c r="X79" s="68"/>
      <c r="Z79" s="68"/>
      <c r="AM79" s="162">
        <v>5</v>
      </c>
      <c r="AN79" s="69">
        <v>3.9304487290792167E-4</v>
      </c>
    </row>
    <row r="80" spans="1:40">
      <c r="A80" s="269" t="s">
        <v>518</v>
      </c>
      <c r="B80" s="221" t="s">
        <v>443</v>
      </c>
      <c r="C80" s="221" t="s">
        <v>442</v>
      </c>
      <c r="D80" s="228">
        <v>524</v>
      </c>
      <c r="E80" s="228">
        <v>1292</v>
      </c>
      <c r="F80" s="69">
        <v>4.4576836327178993E-8</v>
      </c>
      <c r="G80" s="228">
        <v>22433175.666849397</v>
      </c>
      <c r="H80" s="228">
        <v>95.8</v>
      </c>
      <c r="I80" s="69">
        <v>4.2704609201437471E-6</v>
      </c>
      <c r="J80" s="69">
        <f t="shared" si="1"/>
        <v>3.2594689200412926E-6</v>
      </c>
      <c r="K80" s="242"/>
      <c r="L80" s="162">
        <v>6.3000001907348633</v>
      </c>
      <c r="M80" s="69">
        <v>1.6887631500139832E-4</v>
      </c>
      <c r="N80" s="162"/>
      <c r="O80" s="69"/>
      <c r="P80" s="68"/>
      <c r="Q80" s="68"/>
      <c r="R80" s="68"/>
      <c r="S80" s="68"/>
      <c r="T80" s="68"/>
      <c r="U80" s="230"/>
      <c r="V80" s="68"/>
      <c r="W80" s="68"/>
      <c r="X80" s="68"/>
      <c r="Z80" s="68"/>
      <c r="AM80" s="162">
        <v>5</v>
      </c>
      <c r="AN80" s="69">
        <v>3.6995793925598264E-4</v>
      </c>
    </row>
    <row r="81" spans="1:40">
      <c r="A81" s="269" t="s">
        <v>517</v>
      </c>
      <c r="B81" s="221" t="s">
        <v>443</v>
      </c>
      <c r="C81" s="221" t="s">
        <v>442</v>
      </c>
      <c r="D81" s="228">
        <v>524</v>
      </c>
      <c r="E81" s="228">
        <v>1370</v>
      </c>
      <c r="F81" s="69">
        <v>4.4576836327178993E-8</v>
      </c>
      <c r="G81" s="228">
        <v>22433175.666849397</v>
      </c>
      <c r="H81" s="228">
        <v>95.2</v>
      </c>
      <c r="I81" s="69">
        <v>4.2437148183474401E-6</v>
      </c>
      <c r="J81" s="69">
        <f t="shared" si="1"/>
        <v>3.3040457563684716E-6</v>
      </c>
      <c r="K81" s="242"/>
      <c r="L81" s="162">
        <v>6.3000001907348633</v>
      </c>
      <c r="M81" s="69">
        <v>1.6446317022200674E-4</v>
      </c>
      <c r="N81" s="162"/>
      <c r="O81" s="69"/>
      <c r="P81" s="68"/>
      <c r="Q81" s="68"/>
      <c r="R81" s="68"/>
      <c r="S81" s="68"/>
      <c r="T81" s="68"/>
      <c r="U81" s="230"/>
      <c r="V81" s="68"/>
      <c r="W81" s="68"/>
      <c r="X81" s="68"/>
      <c r="Z81" s="68"/>
      <c r="AM81" s="162">
        <v>5.4000000953674316</v>
      </c>
      <c r="AN81" s="69">
        <v>3.6995793925598264E-4</v>
      </c>
    </row>
    <row r="82" spans="1:40">
      <c r="A82" s="269" t="s">
        <v>455</v>
      </c>
      <c r="B82" s="221" t="s">
        <v>449</v>
      </c>
      <c r="C82" s="221" t="s">
        <v>447</v>
      </c>
      <c r="D82" s="228">
        <v>519</v>
      </c>
      <c r="E82" s="228">
        <v>940</v>
      </c>
      <c r="F82" s="69">
        <v>1.5246007038405004E-9</v>
      </c>
      <c r="G82" s="228">
        <v>655909444.01440942</v>
      </c>
      <c r="H82" s="228">
        <v>95</v>
      </c>
      <c r="I82" s="69">
        <v>1.4483706686484755E-7</v>
      </c>
      <c r="J82" s="69">
        <f t="shared" si="1"/>
        <v>3.3055703570723122E-6</v>
      </c>
      <c r="K82" s="242"/>
      <c r="L82" s="162">
        <v>6.5</v>
      </c>
      <c r="M82" s="69">
        <v>1.6446317022200674E-4</v>
      </c>
      <c r="N82" s="162"/>
      <c r="O82" s="69"/>
      <c r="U82" s="230"/>
      <c r="V82" s="68"/>
      <c r="W82" s="68"/>
      <c r="AM82" s="162">
        <v>5.4000000953674316</v>
      </c>
      <c r="AN82" s="69">
        <v>3.3100036671385169E-4</v>
      </c>
    </row>
    <row r="83" spans="1:40">
      <c r="A83" s="269" t="s">
        <v>513</v>
      </c>
      <c r="B83" s="221" t="s">
        <v>448</v>
      </c>
      <c r="C83" s="221" t="s">
        <v>447</v>
      </c>
      <c r="D83" s="228">
        <v>519</v>
      </c>
      <c r="E83" s="228">
        <v>912</v>
      </c>
      <c r="F83" s="69">
        <v>1.5246144253840504E-9</v>
      </c>
      <c r="G83" s="228">
        <v>655903540.82351017</v>
      </c>
      <c r="H83" s="228">
        <v>94.7</v>
      </c>
      <c r="I83" s="69">
        <v>1.4438098608386958E-7</v>
      </c>
      <c r="J83" s="69">
        <f t="shared" si="1"/>
        <v>3.3070949714976964E-6</v>
      </c>
      <c r="K83" s="242"/>
      <c r="L83" s="162">
        <v>6.5</v>
      </c>
      <c r="M83" s="69">
        <v>1.4220971206668764E-4</v>
      </c>
      <c r="N83" s="162"/>
      <c r="O83" s="69"/>
      <c r="U83" s="230"/>
      <c r="V83" s="68"/>
      <c r="W83" s="68"/>
      <c r="AM83" s="162">
        <v>5.5</v>
      </c>
      <c r="AN83" s="69">
        <v>3.3100036671385169E-4</v>
      </c>
    </row>
    <row r="84" spans="1:40">
      <c r="A84" s="269" t="s">
        <v>465</v>
      </c>
      <c r="B84" s="221" t="s">
        <v>1378</v>
      </c>
      <c r="C84" s="221" t="s">
        <v>447</v>
      </c>
      <c r="D84" s="228">
        <v>524</v>
      </c>
      <c r="E84" s="228">
        <v>936</v>
      </c>
      <c r="F84" s="69">
        <v>4.1164630650000014E-8</v>
      </c>
      <c r="G84" s="228">
        <v>24292699.441480346</v>
      </c>
      <c r="H84" s="228">
        <v>91.9</v>
      </c>
      <c r="I84" s="69">
        <v>3.7830295567350015E-6</v>
      </c>
      <c r="J84" s="69">
        <f t="shared" si="1"/>
        <v>3.3482596021476963E-6</v>
      </c>
      <c r="K84" s="242"/>
      <c r="L84" s="162">
        <v>7</v>
      </c>
      <c r="M84" s="69">
        <v>1.4220971206668764E-4</v>
      </c>
      <c r="N84" s="162"/>
      <c r="O84" s="69"/>
      <c r="U84" s="230"/>
      <c r="V84" s="68"/>
      <c r="W84" s="68"/>
      <c r="AM84" s="162">
        <v>5.5</v>
      </c>
      <c r="AN84" s="69">
        <v>3.239495272282511E-4</v>
      </c>
    </row>
    <row r="85" spans="1:40">
      <c r="A85" s="269" t="s">
        <v>464</v>
      </c>
      <c r="B85" s="221" t="s">
        <v>1378</v>
      </c>
      <c r="C85" s="221" t="s">
        <v>447</v>
      </c>
      <c r="D85" s="228">
        <v>524</v>
      </c>
      <c r="E85" s="228">
        <v>932</v>
      </c>
      <c r="F85" s="69">
        <v>4.1164630650000014E-8</v>
      </c>
      <c r="G85" s="228">
        <v>24292699.441480346</v>
      </c>
      <c r="H85" s="228">
        <v>91.5</v>
      </c>
      <c r="I85" s="69">
        <v>3.7665637044750014E-6</v>
      </c>
      <c r="J85" s="69">
        <f t="shared" si="1"/>
        <v>3.3894242327976962E-6</v>
      </c>
      <c r="K85" s="242"/>
      <c r="L85" s="162">
        <v>7</v>
      </c>
      <c r="M85" s="69">
        <v>1.4100612315814942E-4</v>
      </c>
      <c r="N85" s="162"/>
      <c r="O85" s="69"/>
      <c r="U85" s="230"/>
      <c r="V85" s="68"/>
      <c r="W85" s="68"/>
      <c r="AM85" s="162">
        <v>5.5999999046325684</v>
      </c>
      <c r="AN85" s="69">
        <v>3.239495272282511E-4</v>
      </c>
    </row>
    <row r="86" spans="1:40">
      <c r="A86" s="269" t="s">
        <v>515</v>
      </c>
      <c r="B86" s="221" t="s">
        <v>443</v>
      </c>
      <c r="C86" s="221" t="s">
        <v>442</v>
      </c>
      <c r="D86" s="228">
        <v>519</v>
      </c>
      <c r="E86" s="228">
        <v>1112</v>
      </c>
      <c r="F86" s="69">
        <v>4.4576836327178993E-8</v>
      </c>
      <c r="G86" s="228">
        <v>22433175.666849397</v>
      </c>
      <c r="H86" s="228">
        <v>91</v>
      </c>
      <c r="I86" s="69">
        <v>4.0564921057732882E-6</v>
      </c>
      <c r="J86" s="69">
        <f t="shared" si="1"/>
        <v>3.4340010691248751E-6</v>
      </c>
      <c r="K86" s="242"/>
      <c r="L86" s="162">
        <v>7.3000001907348633</v>
      </c>
      <c r="M86" s="69">
        <v>1.4100612315814942E-4</v>
      </c>
      <c r="N86" s="162"/>
      <c r="O86" s="69"/>
      <c r="U86" s="230"/>
      <c r="V86" s="68"/>
      <c r="W86" s="68"/>
      <c r="AM86" s="162">
        <v>5.5999999046325684</v>
      </c>
      <c r="AN86" s="69">
        <v>3.2330479007214308E-4</v>
      </c>
    </row>
    <row r="87" spans="1:40">
      <c r="A87" s="269" t="s">
        <v>467</v>
      </c>
      <c r="B87" s="221" t="s">
        <v>449</v>
      </c>
      <c r="C87" s="221" t="s">
        <v>447</v>
      </c>
      <c r="D87" s="228">
        <v>524</v>
      </c>
      <c r="E87" s="228">
        <v>1046</v>
      </c>
      <c r="F87" s="69">
        <v>1.5246007038405004E-9</v>
      </c>
      <c r="G87" s="228">
        <v>655909444.01440942</v>
      </c>
      <c r="H87" s="228">
        <v>90.3</v>
      </c>
      <c r="I87" s="69">
        <v>1.376714435567972E-7</v>
      </c>
      <c r="J87" s="69">
        <f t="shared" si="1"/>
        <v>3.4355256698287157E-6</v>
      </c>
      <c r="K87" s="242"/>
      <c r="L87" s="162">
        <v>7.3000001907348633</v>
      </c>
      <c r="M87" s="69">
        <v>1.1860173981403932E-4</v>
      </c>
      <c r="N87" s="162"/>
      <c r="O87" s="69"/>
      <c r="U87" s="230"/>
      <c r="V87" s="68"/>
      <c r="W87" s="68"/>
      <c r="AM87" s="162">
        <v>6.3000001907348633</v>
      </c>
      <c r="AN87" s="69">
        <v>3.2330479007214308E-4</v>
      </c>
    </row>
    <row r="88" spans="1:40">
      <c r="A88" s="269" t="s">
        <v>511</v>
      </c>
      <c r="B88" s="221" t="s">
        <v>449</v>
      </c>
      <c r="C88" s="221" t="s">
        <v>447</v>
      </c>
      <c r="D88" s="228">
        <v>519</v>
      </c>
      <c r="E88" s="228">
        <v>940</v>
      </c>
      <c r="F88" s="69">
        <v>1.5246007038405004E-9</v>
      </c>
      <c r="G88" s="228">
        <v>655909444.01440942</v>
      </c>
      <c r="H88" s="228">
        <v>90.1</v>
      </c>
      <c r="I88" s="69">
        <v>1.3736652341602908E-7</v>
      </c>
      <c r="J88" s="69">
        <f t="shared" si="1"/>
        <v>3.4370502705325562E-6</v>
      </c>
      <c r="K88" s="242"/>
      <c r="L88" s="162">
        <v>7.4000000953674316</v>
      </c>
      <c r="M88" s="69">
        <v>1.1860173981403932E-4</v>
      </c>
      <c r="N88" s="162"/>
      <c r="O88" s="69"/>
      <c r="U88" s="230"/>
      <c r="V88" s="68"/>
      <c r="W88" s="68"/>
      <c r="AM88" s="162">
        <v>6.3000001907348633</v>
      </c>
      <c r="AN88" s="69">
        <v>3.2137057860381901E-4</v>
      </c>
    </row>
    <row r="89" spans="1:40">
      <c r="A89" s="269" t="s">
        <v>515</v>
      </c>
      <c r="B89" s="221" t="s">
        <v>448</v>
      </c>
      <c r="C89" s="221" t="s">
        <v>447</v>
      </c>
      <c r="D89" s="228">
        <v>524</v>
      </c>
      <c r="E89" s="228">
        <v>818</v>
      </c>
      <c r="F89" s="69">
        <v>1.5246144253840504E-9</v>
      </c>
      <c r="G89" s="228">
        <v>655903540.82351017</v>
      </c>
      <c r="H89" s="228">
        <v>89.9</v>
      </c>
      <c r="I89" s="69">
        <v>1.3706283684202614E-7</v>
      </c>
      <c r="J89" s="69">
        <f t="shared" si="1"/>
        <v>3.4385748849579404E-6</v>
      </c>
      <c r="K89" s="242"/>
      <c r="L89" s="162">
        <v>7.4000000953674316</v>
      </c>
      <c r="M89" s="69">
        <v>1.1840622028103098E-4</v>
      </c>
      <c r="N89" s="162"/>
      <c r="O89" s="69"/>
      <c r="U89" s="230"/>
      <c r="V89" s="68"/>
      <c r="W89" s="68"/>
      <c r="AM89" s="162">
        <v>6.5</v>
      </c>
      <c r="AN89" s="69">
        <v>3.2137057860381901E-4</v>
      </c>
    </row>
    <row r="90" spans="1:40">
      <c r="A90" s="269" t="s">
        <v>464</v>
      </c>
      <c r="B90" s="221" t="s">
        <v>449</v>
      </c>
      <c r="C90" s="221" t="s">
        <v>447</v>
      </c>
      <c r="D90" s="228">
        <v>525</v>
      </c>
      <c r="E90" s="228">
        <v>936</v>
      </c>
      <c r="F90" s="69">
        <v>1.5246007038405004E-9</v>
      </c>
      <c r="G90" s="228">
        <v>655909444.01440942</v>
      </c>
      <c r="H90" s="228">
        <v>87.7</v>
      </c>
      <c r="I90" s="69">
        <v>1.3370748172681189E-7</v>
      </c>
      <c r="J90" s="69">
        <f t="shared" si="1"/>
        <v>3.440099485661781E-6</v>
      </c>
      <c r="K90" s="242"/>
      <c r="L90" s="162">
        <v>7.5999999046325684</v>
      </c>
      <c r="M90" s="69">
        <v>1.1840622028103098E-4</v>
      </c>
      <c r="N90" s="162"/>
      <c r="O90" s="69"/>
      <c r="U90" s="230"/>
      <c r="V90" s="68"/>
      <c r="W90" s="68"/>
      <c r="AM90" s="162">
        <v>6.5</v>
      </c>
      <c r="AN90" s="69">
        <v>3.1943636713549495E-4</v>
      </c>
    </row>
    <row r="91" spans="1:40">
      <c r="A91" s="269" t="s">
        <v>455</v>
      </c>
      <c r="B91" s="221" t="s">
        <v>1378</v>
      </c>
      <c r="C91" s="221" t="s">
        <v>447</v>
      </c>
      <c r="D91" s="228">
        <v>524</v>
      </c>
      <c r="E91" s="228">
        <v>976</v>
      </c>
      <c r="F91" s="69">
        <v>4.1164630650000014E-8</v>
      </c>
      <c r="G91" s="228">
        <v>24292699.441480346</v>
      </c>
      <c r="H91" s="228">
        <v>83.6</v>
      </c>
      <c r="I91" s="69">
        <v>3.4413631223400008E-6</v>
      </c>
      <c r="J91" s="69">
        <f t="shared" si="1"/>
        <v>3.4812641163117808E-6</v>
      </c>
      <c r="K91" s="242"/>
      <c r="L91" s="162">
        <v>7.5999999046325684</v>
      </c>
      <c r="M91" s="69">
        <v>9.6152769401669502E-5</v>
      </c>
      <c r="N91" s="162"/>
      <c r="O91" s="69"/>
      <c r="U91" s="230"/>
      <c r="V91" s="68"/>
      <c r="W91" s="68"/>
      <c r="AM91" s="162">
        <v>6.6999998092651367</v>
      </c>
      <c r="AN91" s="69">
        <v>3.1943636713549495E-4</v>
      </c>
    </row>
    <row r="92" spans="1:40">
      <c r="A92" s="269" t="s">
        <v>465</v>
      </c>
      <c r="B92" s="221" t="s">
        <v>443</v>
      </c>
      <c r="C92" s="221" t="s">
        <v>442</v>
      </c>
      <c r="D92" s="228">
        <v>524</v>
      </c>
      <c r="E92" s="228">
        <v>1310</v>
      </c>
      <c r="F92" s="69">
        <v>4.4576836327178993E-8</v>
      </c>
      <c r="G92" s="228">
        <v>22433175.666849397</v>
      </c>
      <c r="H92" s="228">
        <v>83.6</v>
      </c>
      <c r="I92" s="69">
        <v>3.7266235169521635E-6</v>
      </c>
      <c r="J92" s="69">
        <f t="shared" si="1"/>
        <v>3.5258409526389598E-6</v>
      </c>
      <c r="K92" s="242"/>
      <c r="L92" s="162">
        <v>9.6999998092651367</v>
      </c>
      <c r="M92" s="69">
        <v>9.6152769401669502E-5</v>
      </c>
      <c r="N92" s="162"/>
      <c r="O92" s="69"/>
      <c r="U92" s="230"/>
      <c r="V92" s="68"/>
      <c r="W92" s="68"/>
      <c r="AM92" s="162">
        <v>6.6999998092651367</v>
      </c>
      <c r="AN92" s="69">
        <v>3.1879162997938693E-4</v>
      </c>
    </row>
    <row r="93" spans="1:40">
      <c r="A93" s="269" t="s">
        <v>460</v>
      </c>
      <c r="B93" s="221" t="s">
        <v>448</v>
      </c>
      <c r="C93" s="221" t="s">
        <v>447</v>
      </c>
      <c r="D93" s="228">
        <v>525</v>
      </c>
      <c r="E93" s="228">
        <v>776</v>
      </c>
      <c r="F93" s="69">
        <v>1.5246144253840504E-9</v>
      </c>
      <c r="G93" s="228">
        <v>655903540.82351017</v>
      </c>
      <c r="H93" s="228">
        <v>83.3</v>
      </c>
      <c r="I93" s="69">
        <v>1.2700038163449138E-7</v>
      </c>
      <c r="J93" s="69">
        <f t="shared" si="1"/>
        <v>3.527365567064344E-6</v>
      </c>
      <c r="K93" s="242"/>
      <c r="L93" s="162">
        <v>9.6999998092651367</v>
      </c>
      <c r="M93" s="69">
        <v>9.6151241450570524E-5</v>
      </c>
      <c r="N93" s="162"/>
      <c r="O93" s="69"/>
      <c r="U93" s="230"/>
      <c r="V93" s="68"/>
      <c r="W93" s="68"/>
      <c r="AM93" s="162">
        <v>7</v>
      </c>
      <c r="AN93" s="69">
        <v>3.1879162997938693E-4</v>
      </c>
    </row>
    <row r="94" spans="1:40">
      <c r="A94" s="269" t="s">
        <v>515</v>
      </c>
      <c r="B94" s="221" t="s">
        <v>1378</v>
      </c>
      <c r="C94" s="221" t="s">
        <v>447</v>
      </c>
      <c r="D94" s="228">
        <v>525</v>
      </c>
      <c r="E94" s="228">
        <v>836</v>
      </c>
      <c r="F94" s="69">
        <v>4.1164630650000014E-8</v>
      </c>
      <c r="G94" s="228">
        <v>24292699.441480346</v>
      </c>
      <c r="H94" s="228">
        <v>82.6</v>
      </c>
      <c r="I94" s="69">
        <v>3.4001984916900009E-6</v>
      </c>
      <c r="J94" s="69">
        <f t="shared" si="1"/>
        <v>3.5685301977143439E-6</v>
      </c>
      <c r="K94" s="242"/>
      <c r="L94" s="162">
        <v>10.100000381469727</v>
      </c>
      <c r="M94" s="69">
        <v>9.6151241450570524E-5</v>
      </c>
      <c r="N94" s="162"/>
      <c r="O94" s="69"/>
      <c r="U94" s="230"/>
      <c r="V94" s="68"/>
      <c r="W94" s="68"/>
      <c r="AM94" s="162">
        <v>7</v>
      </c>
      <c r="AN94" s="69">
        <v>3.1298899557441473E-4</v>
      </c>
    </row>
    <row r="95" spans="1:40">
      <c r="A95" s="269" t="s">
        <v>510</v>
      </c>
      <c r="B95" s="221" t="s">
        <v>1378</v>
      </c>
      <c r="C95" s="221" t="s">
        <v>447</v>
      </c>
      <c r="D95" s="228">
        <v>500</v>
      </c>
      <c r="E95" s="228">
        <v>1148</v>
      </c>
      <c r="F95" s="69">
        <v>4.1164630650000014E-8</v>
      </c>
      <c r="G95" s="228">
        <v>24292699.441480346</v>
      </c>
      <c r="H95" s="228">
        <v>81.8</v>
      </c>
      <c r="I95" s="69">
        <v>3.367266787170001E-6</v>
      </c>
      <c r="J95" s="69">
        <f t="shared" si="1"/>
        <v>3.6096948283643438E-6</v>
      </c>
      <c r="K95" s="242"/>
      <c r="L95" s="162">
        <v>10.100000381469727</v>
      </c>
      <c r="M95" s="69">
        <v>9.1738096671178937E-5</v>
      </c>
      <c r="N95" s="162"/>
      <c r="O95" s="69"/>
      <c r="U95" s="230"/>
      <c r="V95" s="68"/>
      <c r="W95" s="68"/>
      <c r="AM95" s="162">
        <v>7.6999998092651367</v>
      </c>
      <c r="AN95" s="69">
        <v>3.1298899557441473E-4</v>
      </c>
    </row>
    <row r="96" spans="1:40">
      <c r="A96" s="269" t="s">
        <v>464</v>
      </c>
      <c r="B96" s="221" t="s">
        <v>446</v>
      </c>
      <c r="C96" s="221" t="s">
        <v>450</v>
      </c>
      <c r="D96" s="228">
        <v>387</v>
      </c>
      <c r="E96" s="228">
        <v>960</v>
      </c>
      <c r="F96" s="69">
        <v>1.5093682811302096E-7</v>
      </c>
      <c r="G96" s="228">
        <v>6625288.291146568</v>
      </c>
      <c r="H96" s="228">
        <v>81.5</v>
      </c>
      <c r="I96" s="69">
        <v>1.2301351491211209E-5</v>
      </c>
      <c r="J96" s="69">
        <f t="shared" si="1"/>
        <v>3.7606316564773646E-6</v>
      </c>
      <c r="K96" s="242"/>
      <c r="L96" s="162">
        <v>10.300000190734863</v>
      </c>
      <c r="M96" s="69">
        <v>9.1738096671178937E-5</v>
      </c>
      <c r="N96" s="162"/>
      <c r="O96" s="69"/>
      <c r="U96" s="230"/>
      <c r="V96" s="68"/>
      <c r="W96" s="68"/>
      <c r="AM96" s="162">
        <v>7.6999998092651367</v>
      </c>
      <c r="AN96" s="69">
        <v>3.0992820393294096E-4</v>
      </c>
    </row>
    <row r="97" spans="1:40">
      <c r="A97" s="269" t="s">
        <v>457</v>
      </c>
      <c r="B97" s="221" t="s">
        <v>1378</v>
      </c>
      <c r="C97" s="221" t="s">
        <v>447</v>
      </c>
      <c r="D97" s="228">
        <v>524</v>
      </c>
      <c r="E97" s="228">
        <v>838</v>
      </c>
      <c r="F97" s="69">
        <v>4.1164630650000014E-8</v>
      </c>
      <c r="G97" s="228">
        <v>24292699.441480346</v>
      </c>
      <c r="H97" s="228">
        <v>79.8</v>
      </c>
      <c r="I97" s="69">
        <v>3.2849375258700008E-6</v>
      </c>
      <c r="J97" s="69">
        <f t="shared" si="1"/>
        <v>3.8017962871273645E-6</v>
      </c>
      <c r="K97" s="242"/>
      <c r="L97" s="162">
        <v>10.300000190734863</v>
      </c>
      <c r="M97" s="69">
        <v>9.1288529802113771E-5</v>
      </c>
      <c r="N97" s="162"/>
      <c r="O97" s="69"/>
      <c r="U97" s="230"/>
      <c r="V97" s="68"/>
      <c r="W97" s="68"/>
      <c r="AM97" s="162">
        <v>8.1999998092651367</v>
      </c>
      <c r="AN97" s="69">
        <v>3.0992820393294096E-4</v>
      </c>
    </row>
    <row r="98" spans="1:40">
      <c r="A98" s="269" t="s">
        <v>520</v>
      </c>
      <c r="B98" s="221" t="s">
        <v>1378</v>
      </c>
      <c r="C98" s="221" t="s">
        <v>447</v>
      </c>
      <c r="D98" s="228">
        <v>524</v>
      </c>
      <c r="E98" s="228">
        <v>1034</v>
      </c>
      <c r="F98" s="69">
        <v>4.1164630650000014E-8</v>
      </c>
      <c r="G98" s="228">
        <v>24292699.441480346</v>
      </c>
      <c r="H98" s="228">
        <v>78.3</v>
      </c>
      <c r="I98" s="69">
        <v>3.223190579895001E-6</v>
      </c>
      <c r="J98" s="69">
        <f t="shared" si="1"/>
        <v>3.8429609177773644E-6</v>
      </c>
      <c r="K98" s="242"/>
      <c r="L98" s="162">
        <v>10.399999618530273</v>
      </c>
      <c r="M98" s="69">
        <v>9.1288529802113771E-5</v>
      </c>
      <c r="N98" s="162"/>
      <c r="O98" s="69"/>
      <c r="U98" s="230"/>
      <c r="V98" s="68"/>
      <c r="W98" s="68"/>
      <c r="AM98" s="162">
        <v>8.1999998092651367</v>
      </c>
      <c r="AN98" s="69">
        <v>3.0287736444734037E-4</v>
      </c>
    </row>
    <row r="99" spans="1:40">
      <c r="A99" s="269" t="s">
        <v>468</v>
      </c>
      <c r="B99" s="221" t="s">
        <v>449</v>
      </c>
      <c r="C99" s="221" t="s">
        <v>447</v>
      </c>
      <c r="D99" s="228">
        <v>524</v>
      </c>
      <c r="E99" s="228">
        <v>1038</v>
      </c>
      <c r="F99" s="69">
        <v>1.5246007038405004E-9</v>
      </c>
      <c r="G99" s="228">
        <v>655909444.01440942</v>
      </c>
      <c r="H99" s="228">
        <v>78.2</v>
      </c>
      <c r="I99" s="69">
        <v>1.1922377504032715E-7</v>
      </c>
      <c r="J99" s="69">
        <f t="shared" si="1"/>
        <v>3.8444855184812049E-6</v>
      </c>
      <c r="K99" s="242"/>
      <c r="L99" s="162">
        <v>10.399999618530273</v>
      </c>
      <c r="M99" s="69">
        <v>9.124395000981167E-5</v>
      </c>
      <c r="N99" s="162"/>
      <c r="O99" s="69"/>
      <c r="P99" s="68"/>
      <c r="Q99" s="68"/>
      <c r="R99" s="68"/>
      <c r="S99" s="68"/>
      <c r="T99" s="68"/>
      <c r="U99" s="230"/>
      <c r="V99" s="68"/>
      <c r="W99" s="68"/>
      <c r="X99" s="68"/>
      <c r="Z99" s="68"/>
      <c r="AM99" s="162">
        <v>8.3999996185302734</v>
      </c>
      <c r="AN99" s="69">
        <v>3.0287736444734037E-4</v>
      </c>
    </row>
    <row r="100" spans="1:40">
      <c r="A100" s="269" t="s">
        <v>467</v>
      </c>
      <c r="B100" s="221" t="s">
        <v>443</v>
      </c>
      <c r="C100" s="221" t="s">
        <v>442</v>
      </c>
      <c r="D100" s="228">
        <v>524</v>
      </c>
      <c r="E100" s="228">
        <v>1606</v>
      </c>
      <c r="F100" s="69">
        <v>4.4576836327178993E-8</v>
      </c>
      <c r="G100" s="228">
        <v>22433175.666849397</v>
      </c>
      <c r="H100" s="228">
        <v>77.400000000000006</v>
      </c>
      <c r="I100" s="69">
        <v>3.4502471317236541E-6</v>
      </c>
      <c r="J100" s="69">
        <f t="shared" si="1"/>
        <v>3.8890623548083839E-6</v>
      </c>
      <c r="K100" s="242"/>
      <c r="L100" s="162">
        <v>10.5</v>
      </c>
      <c r="M100" s="69">
        <v>9.124395000981167E-5</v>
      </c>
      <c r="N100" s="162"/>
      <c r="O100" s="69"/>
      <c r="P100" s="68"/>
      <c r="Q100" s="68"/>
      <c r="R100" s="68"/>
      <c r="S100" s="68"/>
      <c r="T100" s="68"/>
      <c r="U100" s="230"/>
      <c r="V100" s="68"/>
      <c r="W100" s="68"/>
      <c r="X100" s="68"/>
      <c r="Z100" s="68"/>
      <c r="AM100" s="162">
        <v>8.3999996185302734</v>
      </c>
      <c r="AN100" s="69">
        <v>2.7097060228697956E-4</v>
      </c>
    </row>
    <row r="101" spans="1:40">
      <c r="A101" s="269" t="s">
        <v>460</v>
      </c>
      <c r="B101" s="221" t="s">
        <v>449</v>
      </c>
      <c r="C101" s="221" t="s">
        <v>447</v>
      </c>
      <c r="D101" s="228">
        <v>524</v>
      </c>
      <c r="E101" s="228">
        <v>860</v>
      </c>
      <c r="F101" s="69">
        <v>1.5246007038405004E-9</v>
      </c>
      <c r="G101" s="228">
        <v>655909444.01440942</v>
      </c>
      <c r="H101" s="228">
        <v>76.900000000000006</v>
      </c>
      <c r="I101" s="69">
        <v>1.1724179412533449E-7</v>
      </c>
      <c r="J101" s="69">
        <f t="shared" si="1"/>
        <v>3.8905869555122244E-6</v>
      </c>
      <c r="K101" s="242"/>
      <c r="L101" s="162">
        <v>10.5</v>
      </c>
      <c r="M101" s="69">
        <v>9.1019166575279087E-5</v>
      </c>
      <c r="N101" s="162"/>
      <c r="O101" s="69"/>
      <c r="P101" s="68"/>
      <c r="Q101" s="68"/>
      <c r="R101" s="68"/>
      <c r="S101" s="68"/>
      <c r="T101" s="68"/>
      <c r="U101" s="230"/>
      <c r="V101" s="68"/>
      <c r="W101" s="68"/>
      <c r="X101" s="68"/>
      <c r="Z101" s="68"/>
      <c r="AM101" s="162">
        <v>8.6000003814697266</v>
      </c>
      <c r="AN101" s="69">
        <v>2.7097060228697956E-4</v>
      </c>
    </row>
    <row r="102" spans="1:40">
      <c r="A102" s="269" t="s">
        <v>468</v>
      </c>
      <c r="B102" s="221" t="s">
        <v>443</v>
      </c>
      <c r="C102" s="221" t="s">
        <v>442</v>
      </c>
      <c r="D102" s="228">
        <v>524</v>
      </c>
      <c r="E102" s="228">
        <v>1588</v>
      </c>
      <c r="F102" s="69">
        <v>4.4576836327178993E-8</v>
      </c>
      <c r="G102" s="228">
        <v>22433175.666849397</v>
      </c>
      <c r="H102" s="228">
        <v>76.7</v>
      </c>
      <c r="I102" s="69">
        <v>3.4190433462946287E-6</v>
      </c>
      <c r="J102" s="69">
        <f t="shared" si="1"/>
        <v>3.9351637918394034E-6</v>
      </c>
      <c r="K102" s="242"/>
      <c r="L102" s="162">
        <v>10.600000381469727</v>
      </c>
      <c r="M102" s="69">
        <v>9.1019166575279087E-5</v>
      </c>
      <c r="N102" s="162"/>
      <c r="O102" s="69"/>
      <c r="U102" s="230"/>
      <c r="V102" s="68"/>
      <c r="W102" s="68"/>
      <c r="AM102" s="162">
        <v>8.6000003814697266</v>
      </c>
      <c r="AN102" s="69">
        <v>2.4981788010336459E-4</v>
      </c>
    </row>
    <row r="103" spans="1:40">
      <c r="A103" s="269" t="s">
        <v>516</v>
      </c>
      <c r="B103" s="221" t="s">
        <v>1378</v>
      </c>
      <c r="C103" s="221" t="s">
        <v>447</v>
      </c>
      <c r="D103" s="228">
        <v>524</v>
      </c>
      <c r="E103" s="228">
        <v>848</v>
      </c>
      <c r="F103" s="69">
        <v>4.1164630650000014E-8</v>
      </c>
      <c r="G103" s="228">
        <v>24292699.441480346</v>
      </c>
      <c r="H103" s="228">
        <v>76.099999999999994</v>
      </c>
      <c r="I103" s="69">
        <v>3.1326283924650007E-6</v>
      </c>
      <c r="J103" s="69">
        <f t="shared" si="1"/>
        <v>3.9763284224894033E-6</v>
      </c>
      <c r="K103" s="242"/>
      <c r="L103" s="162">
        <v>10.600000381469727</v>
      </c>
      <c r="M103" s="69">
        <v>8.6455082055181265E-5</v>
      </c>
      <c r="N103" s="162"/>
      <c r="O103" s="69"/>
      <c r="U103" s="230"/>
      <c r="V103" s="68"/>
      <c r="W103" s="68"/>
      <c r="AM103" s="162">
        <v>8.8000001907348633</v>
      </c>
      <c r="AN103" s="69">
        <v>2.4981788010336459E-4</v>
      </c>
    </row>
    <row r="104" spans="1:40">
      <c r="A104" s="269" t="s">
        <v>510</v>
      </c>
      <c r="B104" s="221" t="s">
        <v>475</v>
      </c>
      <c r="C104" s="221" t="s">
        <v>442</v>
      </c>
      <c r="D104" s="228">
        <v>524</v>
      </c>
      <c r="E104" s="228">
        <v>1562</v>
      </c>
      <c r="F104" s="69">
        <v>4.4577237522717891E-8</v>
      </c>
      <c r="G104" s="228">
        <v>22432973.768066496</v>
      </c>
      <c r="H104" s="228">
        <v>76</v>
      </c>
      <c r="I104" s="69">
        <v>3.3878700517265595E-6</v>
      </c>
      <c r="J104" s="69">
        <f t="shared" si="1"/>
        <v>4.0209056600121216E-6</v>
      </c>
      <c r="K104" s="242"/>
      <c r="L104" s="162">
        <v>10.699999809265137</v>
      </c>
      <c r="M104" s="69">
        <v>8.6455082055181265E-5</v>
      </c>
      <c r="N104" s="162"/>
      <c r="O104" s="69"/>
      <c r="U104" s="230"/>
      <c r="V104" s="68"/>
      <c r="W104" s="68"/>
      <c r="AM104" s="162">
        <v>8.8000001907348633</v>
      </c>
      <c r="AN104" s="69">
        <v>2.4083282914943993E-4</v>
      </c>
    </row>
    <row r="105" spans="1:40">
      <c r="A105" s="269" t="s">
        <v>463</v>
      </c>
      <c r="B105" s="221" t="s">
        <v>1378</v>
      </c>
      <c r="C105" s="221" t="s">
        <v>447</v>
      </c>
      <c r="D105" s="228">
        <v>524</v>
      </c>
      <c r="E105" s="228">
        <v>936</v>
      </c>
      <c r="F105" s="69">
        <v>4.1164630650000014E-8</v>
      </c>
      <c r="G105" s="228">
        <v>24292699.441480346</v>
      </c>
      <c r="H105" s="228">
        <v>75.599999999999994</v>
      </c>
      <c r="I105" s="69">
        <v>3.1120460771400008E-6</v>
      </c>
      <c r="J105" s="69">
        <f t="shared" si="1"/>
        <v>4.0620702906621215E-6</v>
      </c>
      <c r="K105" s="242"/>
      <c r="L105" s="162">
        <v>10.699999809265137</v>
      </c>
      <c r="M105" s="69">
        <v>8.6230305896606296E-5</v>
      </c>
      <c r="N105" s="162"/>
      <c r="O105" s="69"/>
      <c r="U105" s="230"/>
      <c r="V105" s="68"/>
      <c r="W105" s="68"/>
      <c r="AM105" s="162">
        <v>9.1000003814697266</v>
      </c>
      <c r="AN105" s="69">
        <v>2.4083282914943993E-4</v>
      </c>
    </row>
    <row r="106" spans="1:40">
      <c r="A106" s="269" t="s">
        <v>516</v>
      </c>
      <c r="B106" s="221" t="s">
        <v>449</v>
      </c>
      <c r="C106" s="221" t="s">
        <v>447</v>
      </c>
      <c r="D106" s="228">
        <v>500</v>
      </c>
      <c r="E106" s="228">
        <v>874</v>
      </c>
      <c r="F106" s="69">
        <v>1.5246007038405004E-9</v>
      </c>
      <c r="G106" s="228">
        <v>655909444.01440942</v>
      </c>
      <c r="H106" s="228">
        <v>75.5</v>
      </c>
      <c r="I106" s="69">
        <v>1.1510735313995778E-7</v>
      </c>
      <c r="J106" s="69">
        <f t="shared" si="1"/>
        <v>4.063594891365962E-6</v>
      </c>
      <c r="K106" s="242"/>
      <c r="L106" s="162">
        <v>11</v>
      </c>
      <c r="M106" s="69">
        <v>8.6230305896606296E-5</v>
      </c>
      <c r="N106" s="162"/>
      <c r="O106" s="69"/>
      <c r="U106" s="230"/>
      <c r="V106" s="68"/>
      <c r="W106" s="68"/>
      <c r="AM106" s="162">
        <v>9.1000003814697266</v>
      </c>
      <c r="AN106" s="69">
        <v>2.4018810654524714E-4</v>
      </c>
    </row>
    <row r="107" spans="1:40">
      <c r="A107" s="269" t="s">
        <v>466</v>
      </c>
      <c r="B107" s="221" t="s">
        <v>1378</v>
      </c>
      <c r="C107" s="221" t="s">
        <v>447</v>
      </c>
      <c r="D107" s="228">
        <v>526</v>
      </c>
      <c r="E107" s="228">
        <v>1034</v>
      </c>
      <c r="F107" s="69">
        <v>4.1164630650000014E-8</v>
      </c>
      <c r="G107" s="228">
        <v>24292699.441480346</v>
      </c>
      <c r="H107" s="228">
        <v>74.2</v>
      </c>
      <c r="I107" s="69">
        <v>3.0544155942300012E-6</v>
      </c>
      <c r="J107" s="69">
        <f t="shared" si="1"/>
        <v>4.1047595220159619E-6</v>
      </c>
      <c r="K107" s="242"/>
      <c r="L107" s="162">
        <v>11</v>
      </c>
      <c r="M107" s="69">
        <v>8.181719749700278E-5</v>
      </c>
      <c r="N107" s="162"/>
      <c r="O107" s="69"/>
      <c r="U107" s="230"/>
      <c r="V107" s="68"/>
      <c r="W107" s="68"/>
      <c r="AM107" s="162">
        <v>9.3999996185302734</v>
      </c>
      <c r="AN107" s="69">
        <v>2.4018810654524714E-4</v>
      </c>
    </row>
    <row r="108" spans="1:40">
      <c r="A108" s="269" t="s">
        <v>464</v>
      </c>
      <c r="B108" s="221" t="s">
        <v>443</v>
      </c>
      <c r="C108" s="221" t="s">
        <v>442</v>
      </c>
      <c r="D108" s="228">
        <v>525</v>
      </c>
      <c r="E108" s="228">
        <v>1330</v>
      </c>
      <c r="F108" s="69">
        <v>4.4576836327178993E-8</v>
      </c>
      <c r="G108" s="228">
        <v>22433175.666849397</v>
      </c>
      <c r="H108" s="228">
        <v>72.7</v>
      </c>
      <c r="I108" s="69">
        <v>3.2407360009859128E-6</v>
      </c>
      <c r="J108" s="69">
        <f t="shared" si="1"/>
        <v>4.1493363583431409E-6</v>
      </c>
      <c r="K108" s="242"/>
      <c r="L108" s="162">
        <v>11.100000381469727</v>
      </c>
      <c r="M108" s="69">
        <v>8.181719749700278E-5</v>
      </c>
      <c r="N108" s="162"/>
      <c r="O108" s="69"/>
      <c r="U108" s="230"/>
      <c r="V108" s="68"/>
      <c r="W108" s="68"/>
      <c r="AM108" s="162">
        <v>9.3999996185302734</v>
      </c>
      <c r="AN108" s="69">
        <v>2.0828134438488632E-4</v>
      </c>
    </row>
    <row r="109" spans="1:40">
      <c r="A109" s="269" t="s">
        <v>463</v>
      </c>
      <c r="B109" s="221" t="s">
        <v>446</v>
      </c>
      <c r="C109" s="221" t="s">
        <v>450</v>
      </c>
      <c r="D109" s="228">
        <v>391</v>
      </c>
      <c r="E109" s="228">
        <v>956</v>
      </c>
      <c r="F109" s="69">
        <v>1.5093682811302096E-7</v>
      </c>
      <c r="G109" s="228">
        <v>6625288.291146568</v>
      </c>
      <c r="H109" s="228">
        <v>71.400000000000006</v>
      </c>
      <c r="I109" s="69">
        <v>1.0776889527269697E-5</v>
      </c>
      <c r="J109" s="69">
        <f t="shared" si="1"/>
        <v>4.300273186456162E-6</v>
      </c>
      <c r="K109" s="242"/>
      <c r="L109" s="162">
        <v>11.100000381469727</v>
      </c>
      <c r="M109" s="69">
        <v>8.1592414062470198E-5</v>
      </c>
      <c r="N109" s="162"/>
      <c r="O109" s="69"/>
      <c r="U109" s="230"/>
      <c r="V109" s="68"/>
      <c r="W109" s="68"/>
      <c r="AM109" s="162">
        <v>10.5</v>
      </c>
      <c r="AN109" s="69">
        <v>2.0828134438488632E-4</v>
      </c>
    </row>
    <row r="110" spans="1:40">
      <c r="A110" s="269" t="s">
        <v>518</v>
      </c>
      <c r="B110" s="221" t="s">
        <v>446</v>
      </c>
      <c r="C110" s="221" t="s">
        <v>450</v>
      </c>
      <c r="D110" s="228">
        <v>387</v>
      </c>
      <c r="E110" s="228">
        <v>958</v>
      </c>
      <c r="F110" s="69">
        <v>1.5093682811302096E-7</v>
      </c>
      <c r="G110" s="228">
        <v>6625288.291146568</v>
      </c>
      <c r="H110" s="228">
        <v>71.3</v>
      </c>
      <c r="I110" s="69">
        <v>1.0761795844458395E-5</v>
      </c>
      <c r="J110" s="69">
        <f t="shared" si="1"/>
        <v>4.4512100145691832E-6</v>
      </c>
      <c r="K110" s="242"/>
      <c r="L110" s="162">
        <v>11.199999809265137</v>
      </c>
      <c r="M110" s="69">
        <v>8.1592414062470198E-5</v>
      </c>
      <c r="N110" s="162"/>
      <c r="O110" s="69"/>
      <c r="U110" s="230"/>
      <c r="V110" s="68"/>
      <c r="W110" s="68"/>
      <c r="AM110" s="162">
        <v>10.5</v>
      </c>
      <c r="AN110" s="69">
        <v>1.9204799900762737E-4</v>
      </c>
    </row>
    <row r="111" spans="1:40">
      <c r="A111" s="269" t="s">
        <v>517</v>
      </c>
      <c r="B111" s="221" t="s">
        <v>446</v>
      </c>
      <c r="C111" s="221" t="s">
        <v>450</v>
      </c>
      <c r="D111" s="228">
        <v>388</v>
      </c>
      <c r="E111" s="228">
        <v>960</v>
      </c>
      <c r="F111" s="69">
        <v>1.5093682811302096E-7</v>
      </c>
      <c r="G111" s="228">
        <v>6625288.291146568</v>
      </c>
      <c r="H111" s="228">
        <v>70.3</v>
      </c>
      <c r="I111" s="69">
        <v>1.0610859016345374E-5</v>
      </c>
      <c r="J111" s="69">
        <f t="shared" si="1"/>
        <v>4.6021468426822044E-6</v>
      </c>
      <c r="K111" s="242"/>
      <c r="L111" s="162">
        <v>11.199999809265137</v>
      </c>
      <c r="M111" s="69">
        <v>8.0388825153931975E-5</v>
      </c>
      <c r="N111" s="162"/>
      <c r="O111" s="69"/>
      <c r="U111" s="230"/>
      <c r="V111" s="68"/>
      <c r="W111" s="68"/>
      <c r="AM111" s="162">
        <v>11.600000381469727</v>
      </c>
      <c r="AN111" s="69">
        <v>1.9204799900762737E-4</v>
      </c>
    </row>
    <row r="112" spans="1:40">
      <c r="A112" s="269" t="s">
        <v>467</v>
      </c>
      <c r="B112" s="221" t="s">
        <v>1378</v>
      </c>
      <c r="C112" s="221" t="s">
        <v>447</v>
      </c>
      <c r="D112" s="228">
        <v>525</v>
      </c>
      <c r="E112" s="228">
        <v>1036</v>
      </c>
      <c r="F112" s="69">
        <v>4.1164630650000014E-8</v>
      </c>
      <c r="G112" s="228">
        <v>24292699.441480346</v>
      </c>
      <c r="H112" s="228">
        <v>70.3</v>
      </c>
      <c r="I112" s="69">
        <v>2.893873534695001E-6</v>
      </c>
      <c r="J112" s="69">
        <f t="shared" si="1"/>
        <v>4.6433114733322043E-6</v>
      </c>
      <c r="K112" s="242"/>
      <c r="L112" s="162">
        <v>11.5</v>
      </c>
      <c r="M112" s="69">
        <v>8.0388825153931975E-5</v>
      </c>
      <c r="N112" s="162"/>
      <c r="O112" s="69"/>
      <c r="U112" s="230"/>
      <c r="V112" s="68"/>
      <c r="W112" s="68"/>
      <c r="AM112" s="162">
        <v>11.600000381469727</v>
      </c>
      <c r="AN112" s="69">
        <v>1.708952768240124E-4</v>
      </c>
    </row>
    <row r="113" spans="1:40">
      <c r="A113" s="269" t="s">
        <v>466</v>
      </c>
      <c r="B113" s="221" t="s">
        <v>443</v>
      </c>
      <c r="C113" s="221" t="s">
        <v>442</v>
      </c>
      <c r="D113" s="228">
        <v>525</v>
      </c>
      <c r="E113" s="228">
        <v>1550</v>
      </c>
      <c r="F113" s="69">
        <v>4.4576836327178993E-8</v>
      </c>
      <c r="G113" s="228">
        <v>22433175.666849397</v>
      </c>
      <c r="H113" s="228">
        <v>69.900000000000006</v>
      </c>
      <c r="I113" s="69">
        <v>3.1159208592698118E-6</v>
      </c>
      <c r="J113" s="69">
        <f t="shared" si="1"/>
        <v>4.6878883096593833E-6</v>
      </c>
      <c r="K113" s="242"/>
      <c r="L113" s="162">
        <v>11.5</v>
      </c>
      <c r="M113" s="69">
        <v>7.4772091466002166E-5</v>
      </c>
      <c r="N113" s="162"/>
      <c r="O113" s="69"/>
      <c r="U113" s="230"/>
      <c r="V113" s="68"/>
      <c r="W113" s="68"/>
      <c r="AM113" s="162">
        <v>12.300000190734863</v>
      </c>
      <c r="AN113" s="69">
        <v>1.708952768240124E-4</v>
      </c>
    </row>
    <row r="114" spans="1:40">
      <c r="A114" s="269" t="s">
        <v>513</v>
      </c>
      <c r="B114" s="221" t="s">
        <v>449</v>
      </c>
      <c r="C114" s="221" t="s">
        <v>447</v>
      </c>
      <c r="D114" s="228">
        <v>524</v>
      </c>
      <c r="E114" s="228">
        <v>866</v>
      </c>
      <c r="F114" s="69">
        <v>1.5246007038405004E-9</v>
      </c>
      <c r="G114" s="228">
        <v>655909444.01440942</v>
      </c>
      <c r="H114" s="228">
        <v>69.599999999999994</v>
      </c>
      <c r="I114" s="69">
        <v>1.0611220898729882E-7</v>
      </c>
      <c r="J114" s="69">
        <f t="shared" si="1"/>
        <v>4.6894129103632238E-6</v>
      </c>
      <c r="K114" s="242"/>
      <c r="L114" s="162">
        <v>11.699999809265137</v>
      </c>
      <c r="M114" s="69">
        <v>7.4772091466002166E-5</v>
      </c>
      <c r="N114" s="162"/>
      <c r="O114" s="69"/>
      <c r="U114" s="230"/>
      <c r="V114" s="68"/>
      <c r="W114" s="68"/>
      <c r="AM114" s="162">
        <v>12.300000190734863</v>
      </c>
      <c r="AN114" s="69">
        <v>1.6171278548426926E-4</v>
      </c>
    </row>
    <row r="115" spans="1:40">
      <c r="A115" s="269" t="s">
        <v>461</v>
      </c>
      <c r="B115" s="221" t="s">
        <v>448</v>
      </c>
      <c r="C115" s="221" t="s">
        <v>447</v>
      </c>
      <c r="D115" s="228">
        <v>524</v>
      </c>
      <c r="E115" s="228">
        <v>810</v>
      </c>
      <c r="F115" s="69">
        <v>1.5246144253840504E-9</v>
      </c>
      <c r="G115" s="228">
        <v>655903540.82351017</v>
      </c>
      <c r="H115" s="228">
        <v>69.3</v>
      </c>
      <c r="I115" s="69">
        <v>1.0565577967911468E-7</v>
      </c>
      <c r="J115" s="69">
        <f t="shared" si="1"/>
        <v>4.6909375247886076E-6</v>
      </c>
      <c r="K115" s="242"/>
      <c r="L115" s="162">
        <v>11.699999809265137</v>
      </c>
      <c r="M115" s="69">
        <v>7.3568509833421558E-5</v>
      </c>
      <c r="N115" s="162"/>
      <c r="O115" s="69"/>
      <c r="U115" s="230"/>
      <c r="V115" s="68"/>
      <c r="W115" s="68"/>
      <c r="AM115" s="162">
        <v>13.300000190734863</v>
      </c>
      <c r="AN115" s="69">
        <v>1.6171278548426926E-4</v>
      </c>
    </row>
    <row r="116" spans="1:40">
      <c r="A116" s="269" t="s">
        <v>518</v>
      </c>
      <c r="B116" s="221" t="s">
        <v>1378</v>
      </c>
      <c r="C116" s="221" t="s">
        <v>447</v>
      </c>
      <c r="D116" s="228">
        <v>524</v>
      </c>
      <c r="E116" s="228">
        <v>922</v>
      </c>
      <c r="F116" s="69">
        <v>4.1164630650000014E-8</v>
      </c>
      <c r="G116" s="228">
        <v>24292699.441480346</v>
      </c>
      <c r="H116" s="228">
        <v>66.3</v>
      </c>
      <c r="I116" s="69">
        <v>2.729215012095001E-6</v>
      </c>
      <c r="J116" s="69">
        <f t="shared" si="1"/>
        <v>4.7321021554386075E-6</v>
      </c>
      <c r="K116" s="242"/>
      <c r="L116" s="162">
        <v>12</v>
      </c>
      <c r="M116" s="69">
        <v>7.3568509833421558E-5</v>
      </c>
      <c r="N116" s="162"/>
      <c r="O116" s="69"/>
      <c r="U116" s="230"/>
      <c r="V116" s="68"/>
      <c r="W116" s="68"/>
      <c r="AM116" s="162">
        <v>13.300000190734863</v>
      </c>
      <c r="AN116" s="69">
        <v>1.6106804832816124E-4</v>
      </c>
    </row>
    <row r="117" spans="1:40">
      <c r="A117" s="269" t="s">
        <v>513</v>
      </c>
      <c r="B117" s="221" t="s">
        <v>1378</v>
      </c>
      <c r="C117" s="221" t="s">
        <v>447</v>
      </c>
      <c r="D117" s="228">
        <v>524</v>
      </c>
      <c r="E117" s="228">
        <v>868</v>
      </c>
      <c r="F117" s="69">
        <v>4.1164630650000014E-8</v>
      </c>
      <c r="G117" s="228">
        <v>24292699.441480346</v>
      </c>
      <c r="H117" s="228">
        <v>65.3</v>
      </c>
      <c r="I117" s="69">
        <v>2.6880503814450007E-6</v>
      </c>
      <c r="J117" s="69">
        <f t="shared" si="1"/>
        <v>4.7732667860886074E-6</v>
      </c>
      <c r="K117" s="242"/>
      <c r="L117" s="162">
        <v>12</v>
      </c>
      <c r="M117" s="69">
        <v>7.3417570092715323E-5</v>
      </c>
      <c r="N117" s="162"/>
      <c r="O117" s="69"/>
      <c r="U117" s="230"/>
      <c r="V117" s="68"/>
      <c r="W117" s="68"/>
      <c r="AM117" s="162">
        <v>13.600000381469727</v>
      </c>
      <c r="AN117" s="69">
        <v>1.6106804832816124E-4</v>
      </c>
    </row>
    <row r="118" spans="1:40">
      <c r="A118" s="269" t="s">
        <v>462</v>
      </c>
      <c r="B118" s="221" t="s">
        <v>448</v>
      </c>
      <c r="C118" s="221" t="s">
        <v>447</v>
      </c>
      <c r="D118" s="228">
        <v>524</v>
      </c>
      <c r="E118" s="228">
        <v>870</v>
      </c>
      <c r="F118" s="69">
        <v>1.5246144253840504E-9</v>
      </c>
      <c r="G118" s="228">
        <v>655903540.82351017</v>
      </c>
      <c r="H118" s="228">
        <v>64.900000000000006</v>
      </c>
      <c r="I118" s="69">
        <v>9.8947476207424881E-8</v>
      </c>
      <c r="J118" s="69">
        <f t="shared" si="1"/>
        <v>4.7747914005139912E-6</v>
      </c>
      <c r="K118" s="242"/>
      <c r="L118" s="162">
        <v>12.199999809265137</v>
      </c>
      <c r="M118" s="69">
        <v>7.3417570092715323E-5</v>
      </c>
      <c r="N118" s="162"/>
      <c r="O118" s="69"/>
      <c r="U118" s="230"/>
      <c r="V118" s="68"/>
      <c r="W118" s="68"/>
      <c r="AM118" s="162">
        <v>13.600000381469727</v>
      </c>
      <c r="AN118" s="69">
        <v>1.3991532614454627E-4</v>
      </c>
    </row>
    <row r="119" spans="1:40">
      <c r="A119" s="269" t="s">
        <v>462</v>
      </c>
      <c r="B119" s="221" t="s">
        <v>449</v>
      </c>
      <c r="C119" s="221" t="s">
        <v>447</v>
      </c>
      <c r="D119" s="228">
        <v>525</v>
      </c>
      <c r="E119" s="228">
        <v>868</v>
      </c>
      <c r="F119" s="69">
        <v>1.5246007038405004E-9</v>
      </c>
      <c r="G119" s="228">
        <v>655909444.01440942</v>
      </c>
      <c r="H119" s="228">
        <v>62.7</v>
      </c>
      <c r="I119" s="69">
        <v>9.5592464130799386E-8</v>
      </c>
      <c r="J119" s="69">
        <f t="shared" si="1"/>
        <v>4.7763160012178317E-6</v>
      </c>
      <c r="K119" s="242"/>
      <c r="L119" s="162">
        <v>12.199999809265137</v>
      </c>
      <c r="M119" s="69">
        <v>7.3266637627966702E-5</v>
      </c>
      <c r="N119" s="162"/>
      <c r="O119" s="69"/>
      <c r="U119" s="230"/>
      <c r="V119" s="68"/>
      <c r="W119" s="68"/>
      <c r="AM119" s="162">
        <v>13.899999618530273</v>
      </c>
      <c r="AN119" s="69">
        <v>1.3991532614454627E-4</v>
      </c>
    </row>
    <row r="120" spans="1:40">
      <c r="A120" s="269" t="s">
        <v>516</v>
      </c>
      <c r="B120" s="221" t="s">
        <v>448</v>
      </c>
      <c r="C120" s="221" t="s">
        <v>447</v>
      </c>
      <c r="D120" s="228">
        <v>524</v>
      </c>
      <c r="E120" s="228">
        <v>826</v>
      </c>
      <c r="F120" s="69">
        <v>1.5246144253840504E-9</v>
      </c>
      <c r="G120" s="228">
        <v>655903540.82351017</v>
      </c>
      <c r="H120" s="228">
        <v>62.3</v>
      </c>
      <c r="I120" s="69">
        <v>9.498347870142634E-8</v>
      </c>
      <c r="J120" s="69">
        <f t="shared" si="1"/>
        <v>4.7778406156432155E-6</v>
      </c>
      <c r="K120" s="242"/>
      <c r="L120" s="162">
        <v>12.300000190734863</v>
      </c>
      <c r="M120" s="69">
        <v>7.3266637627966702E-5</v>
      </c>
      <c r="N120" s="162"/>
      <c r="O120" s="69"/>
      <c r="U120" s="230"/>
      <c r="V120" s="68"/>
      <c r="W120" s="68"/>
      <c r="AM120" s="162">
        <v>13.899999618530273</v>
      </c>
      <c r="AN120" s="69">
        <v>1.3798111467622221E-4</v>
      </c>
    </row>
    <row r="121" spans="1:40">
      <c r="A121" s="269" t="s">
        <v>462</v>
      </c>
      <c r="B121" s="221" t="s">
        <v>1378</v>
      </c>
      <c r="C121" s="221" t="s">
        <v>447</v>
      </c>
      <c r="D121" s="228">
        <v>524</v>
      </c>
      <c r="E121" s="228">
        <v>852</v>
      </c>
      <c r="F121" s="69">
        <v>4.1164630650000014E-8</v>
      </c>
      <c r="G121" s="228">
        <v>24292699.441480346</v>
      </c>
      <c r="H121" s="228">
        <v>62.2</v>
      </c>
      <c r="I121" s="69">
        <v>2.5604400264300012E-6</v>
      </c>
      <c r="J121" s="69">
        <f t="shared" si="1"/>
        <v>4.8190052462932154E-6</v>
      </c>
      <c r="K121" s="242"/>
      <c r="L121" s="162">
        <v>12.300000190734863</v>
      </c>
      <c r="M121" s="69">
        <v>6.8853485572617501E-5</v>
      </c>
      <c r="N121" s="162"/>
      <c r="O121" s="69"/>
      <c r="U121" s="230"/>
      <c r="V121" s="68"/>
      <c r="W121" s="68"/>
      <c r="AM121" s="162">
        <v>14.100000381469727</v>
      </c>
      <c r="AN121" s="69">
        <v>1.3798111467622221E-4</v>
      </c>
    </row>
    <row r="122" spans="1:40">
      <c r="A122" s="269" t="s">
        <v>460</v>
      </c>
      <c r="B122" s="221" t="s">
        <v>446</v>
      </c>
      <c r="C122" s="221" t="s">
        <v>447</v>
      </c>
      <c r="D122" s="228">
        <v>519</v>
      </c>
      <c r="E122" s="228">
        <v>928</v>
      </c>
      <c r="F122" s="69">
        <v>1.5246144253840504E-9</v>
      </c>
      <c r="G122" s="228">
        <v>655903540.82351017</v>
      </c>
      <c r="H122" s="228">
        <v>62.1</v>
      </c>
      <c r="I122" s="69">
        <v>9.4678555816349533E-8</v>
      </c>
      <c r="J122" s="69">
        <f t="shared" si="1"/>
        <v>4.8205298607185992E-6</v>
      </c>
      <c r="K122" s="242"/>
      <c r="L122" s="162">
        <v>12.399999618530273</v>
      </c>
      <c r="M122" s="69">
        <v>6.8853485572617501E-5</v>
      </c>
      <c r="N122" s="162"/>
      <c r="O122" s="69"/>
      <c r="U122" s="230"/>
      <c r="V122" s="68"/>
      <c r="W122" s="68"/>
      <c r="AM122" s="162">
        <v>14.100000381469727</v>
      </c>
      <c r="AN122" s="69">
        <v>1.3733639207202941E-4</v>
      </c>
    </row>
    <row r="123" spans="1:40">
      <c r="A123" s="269" t="s">
        <v>515</v>
      </c>
      <c r="B123" s="221" t="s">
        <v>446</v>
      </c>
      <c r="C123" s="221" t="s">
        <v>447</v>
      </c>
      <c r="D123" s="228">
        <v>525</v>
      </c>
      <c r="E123" s="228">
        <v>928</v>
      </c>
      <c r="F123" s="69">
        <v>1.5246144253840504E-9</v>
      </c>
      <c r="G123" s="228">
        <v>655903540.82351017</v>
      </c>
      <c r="H123" s="228">
        <v>61.1</v>
      </c>
      <c r="I123" s="69">
        <v>9.3153941390965486E-8</v>
      </c>
      <c r="J123" s="69">
        <f t="shared" si="1"/>
        <v>4.822054475143983E-6</v>
      </c>
      <c r="K123" s="242"/>
      <c r="L123" s="162">
        <v>12.399999618530273</v>
      </c>
      <c r="M123" s="69">
        <v>6.4440340793225914E-5</v>
      </c>
      <c r="N123" s="162"/>
      <c r="O123" s="69"/>
      <c r="U123" s="230"/>
      <c r="V123" s="68"/>
      <c r="W123" s="68"/>
      <c r="AM123" s="162">
        <v>15.100000381469727</v>
      </c>
      <c r="AN123" s="69">
        <v>1.3733639207202941E-4</v>
      </c>
    </row>
    <row r="124" spans="1:40">
      <c r="A124" s="269" t="s">
        <v>461</v>
      </c>
      <c r="B124" s="221" t="s">
        <v>449</v>
      </c>
      <c r="C124" s="221" t="s">
        <v>447</v>
      </c>
      <c r="D124" s="228">
        <v>524</v>
      </c>
      <c r="E124" s="228">
        <v>862</v>
      </c>
      <c r="F124" s="69">
        <v>1.5246007038405004E-9</v>
      </c>
      <c r="G124" s="228">
        <v>655909444.01440942</v>
      </c>
      <c r="H124" s="228">
        <v>60.6</v>
      </c>
      <c r="I124" s="69">
        <v>9.2390802652734329E-8</v>
      </c>
      <c r="J124" s="69">
        <f t="shared" si="1"/>
        <v>4.8235790758478235E-6</v>
      </c>
      <c r="K124" s="242"/>
      <c r="L124" s="162">
        <v>12.600000381469727</v>
      </c>
      <c r="M124" s="69">
        <v>6.4440340793225914E-5</v>
      </c>
      <c r="N124" s="162"/>
      <c r="O124" s="69"/>
      <c r="U124" s="230"/>
      <c r="V124" s="68"/>
      <c r="W124" s="68"/>
      <c r="AM124" s="162">
        <v>15.100000381469727</v>
      </c>
      <c r="AN124" s="69">
        <v>1.3427558587864041E-4</v>
      </c>
    </row>
    <row r="125" spans="1:40">
      <c r="A125" s="269" t="s">
        <v>512</v>
      </c>
      <c r="B125" s="221" t="s">
        <v>449</v>
      </c>
      <c r="C125" s="221" t="s">
        <v>447</v>
      </c>
      <c r="D125" s="228">
        <v>524</v>
      </c>
      <c r="E125" s="228">
        <v>936</v>
      </c>
      <c r="F125" s="69">
        <v>1.5246007038405004E-9</v>
      </c>
      <c r="G125" s="228">
        <v>655909444.01440942</v>
      </c>
      <c r="H125" s="228">
        <v>59.8</v>
      </c>
      <c r="I125" s="69">
        <v>9.1171122089661927E-8</v>
      </c>
      <c r="J125" s="69">
        <f t="shared" si="1"/>
        <v>4.8251036765516641E-6</v>
      </c>
      <c r="K125" s="242"/>
      <c r="L125" s="162">
        <v>12.600000381469727</v>
      </c>
      <c r="M125" s="69">
        <v>6.4395768276881427E-5</v>
      </c>
      <c r="N125" s="162"/>
      <c r="O125" s="69"/>
      <c r="U125" s="230"/>
      <c r="V125" s="68"/>
      <c r="W125" s="68"/>
      <c r="AM125" s="162">
        <v>18.399999618530273</v>
      </c>
      <c r="AN125" s="69">
        <v>1.3427558587864041E-4</v>
      </c>
    </row>
    <row r="126" spans="1:40">
      <c r="A126" s="269" t="s">
        <v>461</v>
      </c>
      <c r="B126" s="221" t="s">
        <v>446</v>
      </c>
      <c r="C126" s="221" t="s">
        <v>447</v>
      </c>
      <c r="D126" s="228">
        <v>519</v>
      </c>
      <c r="E126" s="228">
        <v>934</v>
      </c>
      <c r="F126" s="69">
        <v>1.5246144253840504E-9</v>
      </c>
      <c r="G126" s="228">
        <v>655903540.82351017</v>
      </c>
      <c r="H126" s="228">
        <v>57</v>
      </c>
      <c r="I126" s="69">
        <v>8.6903022246890868E-8</v>
      </c>
      <c r="J126" s="69">
        <f t="shared" si="1"/>
        <v>4.8266282909770479E-6</v>
      </c>
      <c r="K126" s="242"/>
      <c r="L126" s="162">
        <v>12.699999809265137</v>
      </c>
      <c r="M126" s="69">
        <v>6.4395768276881427E-5</v>
      </c>
      <c r="N126" s="162"/>
      <c r="O126" s="69"/>
      <c r="U126" s="230"/>
      <c r="V126" s="68"/>
      <c r="W126" s="68"/>
      <c r="AM126" s="162">
        <v>18.399999618530273</v>
      </c>
      <c r="AN126" s="69">
        <v>1.3363084872253239E-4</v>
      </c>
    </row>
    <row r="127" spans="1:40">
      <c r="A127" s="269" t="s">
        <v>466</v>
      </c>
      <c r="B127" s="221" t="s">
        <v>449</v>
      </c>
      <c r="C127" s="221" t="s">
        <v>447</v>
      </c>
      <c r="D127" s="228">
        <v>525</v>
      </c>
      <c r="E127" s="228">
        <v>1028</v>
      </c>
      <c r="F127" s="69">
        <v>1.5246007038405004E-9</v>
      </c>
      <c r="G127" s="228">
        <v>655909444.01440942</v>
      </c>
      <c r="H127" s="228">
        <v>55.1</v>
      </c>
      <c r="I127" s="69">
        <v>8.4005498781611573E-8</v>
      </c>
      <c r="J127" s="69">
        <f t="shared" si="1"/>
        <v>4.8281528916808884E-6</v>
      </c>
      <c r="K127" s="242"/>
      <c r="L127" s="162">
        <v>12.699999809265137</v>
      </c>
      <c r="M127" s="69">
        <v>6.3192179368343204E-5</v>
      </c>
      <c r="N127" s="162"/>
      <c r="O127" s="69"/>
      <c r="U127" s="230"/>
      <c r="V127" s="68"/>
      <c r="W127" s="68"/>
      <c r="AM127" s="162">
        <v>18.700000762939453</v>
      </c>
      <c r="AN127" s="69">
        <v>1.3363084872253239E-4</v>
      </c>
    </row>
    <row r="128" spans="1:40">
      <c r="A128" s="269" t="s">
        <v>516</v>
      </c>
      <c r="B128" s="221" t="s">
        <v>446</v>
      </c>
      <c r="C128" s="221" t="s">
        <v>447</v>
      </c>
      <c r="D128" s="228">
        <v>524</v>
      </c>
      <c r="E128" s="228">
        <v>936</v>
      </c>
      <c r="F128" s="69">
        <v>1.5246144253840504E-9</v>
      </c>
      <c r="G128" s="228">
        <v>655903540.82351017</v>
      </c>
      <c r="H128" s="228">
        <v>49.6</v>
      </c>
      <c r="I128" s="69">
        <v>7.5620875499048899E-8</v>
      </c>
      <c r="J128" s="69">
        <f t="shared" si="1"/>
        <v>4.8296775061062722E-6</v>
      </c>
      <c r="K128" s="242"/>
      <c r="L128" s="162">
        <v>12.899999618530273</v>
      </c>
      <c r="M128" s="69">
        <v>6.3192179368343204E-5</v>
      </c>
      <c r="N128" s="162"/>
      <c r="O128" s="69"/>
      <c r="U128" s="230"/>
      <c r="V128" s="68"/>
      <c r="W128" s="68"/>
      <c r="AM128" s="162">
        <v>18.700000762939453</v>
      </c>
      <c r="AN128" s="69">
        <v>1.329861261183396E-4</v>
      </c>
    </row>
    <row r="129" spans="1:40">
      <c r="A129" s="269" t="s">
        <v>516</v>
      </c>
      <c r="B129" s="221" t="s">
        <v>449</v>
      </c>
      <c r="C129" s="221" t="s">
        <v>450</v>
      </c>
      <c r="D129" s="228">
        <v>296</v>
      </c>
      <c r="E129" s="228">
        <v>952</v>
      </c>
      <c r="F129" s="69">
        <v>1.5093546968020952E-7</v>
      </c>
      <c r="G129" s="228">
        <v>6625347.9193374701</v>
      </c>
      <c r="H129" s="228">
        <v>49</v>
      </c>
      <c r="I129" s="69">
        <v>7.3958380143302662E-6</v>
      </c>
      <c r="J129" s="69">
        <f t="shared" si="1"/>
        <v>4.9806129757864815E-6</v>
      </c>
      <c r="K129" s="242"/>
      <c r="L129" s="162">
        <v>12.899999618530273</v>
      </c>
      <c r="M129" s="69">
        <v>5.8779070968739688E-5</v>
      </c>
      <c r="N129" s="162"/>
      <c r="O129" s="69"/>
      <c r="U129" s="230"/>
      <c r="V129" s="68"/>
      <c r="W129" s="68"/>
      <c r="AM129" s="162">
        <v>18.799999237060547</v>
      </c>
      <c r="AN129" s="69">
        <v>1.329861261183396E-4</v>
      </c>
    </row>
    <row r="130" spans="1:40">
      <c r="A130" s="269" t="s">
        <v>461</v>
      </c>
      <c r="B130" s="221" t="s">
        <v>1378</v>
      </c>
      <c r="C130" s="221" t="s">
        <v>447</v>
      </c>
      <c r="D130" s="228">
        <v>524</v>
      </c>
      <c r="E130" s="228">
        <v>838</v>
      </c>
      <c r="F130" s="69">
        <v>4.1164630650000014E-8</v>
      </c>
      <c r="G130" s="228">
        <v>24292699.441480346</v>
      </c>
      <c r="H130" s="228">
        <v>49</v>
      </c>
      <c r="I130" s="69">
        <v>2.0170669018500008E-6</v>
      </c>
      <c r="J130" s="69">
        <f t="shared" si="1"/>
        <v>5.0217776064364814E-6</v>
      </c>
      <c r="K130" s="242"/>
      <c r="L130" s="162">
        <v>13</v>
      </c>
      <c r="M130" s="69">
        <v>5.8779070968739688E-5</v>
      </c>
      <c r="N130" s="162"/>
      <c r="O130" s="69"/>
      <c r="U130" s="230"/>
      <c r="V130" s="68"/>
      <c r="W130" s="68"/>
      <c r="AM130" s="162">
        <v>18.799999237060547</v>
      </c>
      <c r="AN130" s="69">
        <v>1.299253199249506E-4</v>
      </c>
    </row>
    <row r="131" spans="1:40">
      <c r="A131" s="269" t="s">
        <v>465</v>
      </c>
      <c r="B131" s="221" t="s">
        <v>446</v>
      </c>
      <c r="C131" s="221" t="s">
        <v>450</v>
      </c>
      <c r="D131" s="228">
        <v>389</v>
      </c>
      <c r="E131" s="228">
        <v>956</v>
      </c>
      <c r="F131" s="69">
        <v>1.5093682811302096E-7</v>
      </c>
      <c r="G131" s="228">
        <v>6625288.291146568</v>
      </c>
      <c r="H131" s="228">
        <v>43.4</v>
      </c>
      <c r="I131" s="69">
        <v>6.5506583401051099E-6</v>
      </c>
      <c r="J131" s="69">
        <f t="shared" ref="J131:J194" si="2">J130+F131</f>
        <v>5.1727144345495026E-6</v>
      </c>
      <c r="K131" s="242"/>
      <c r="L131" s="162">
        <v>13</v>
      </c>
      <c r="M131" s="69">
        <v>5.436596620711498E-5</v>
      </c>
      <c r="N131" s="162"/>
      <c r="O131" s="69"/>
      <c r="U131" s="230"/>
      <c r="V131" s="68"/>
      <c r="W131" s="68"/>
      <c r="AM131" s="162">
        <v>19.899999618530273</v>
      </c>
      <c r="AN131" s="69">
        <v>1.299253199249506E-4</v>
      </c>
    </row>
    <row r="132" spans="1:40">
      <c r="A132" s="269" t="s">
        <v>456</v>
      </c>
      <c r="B132" s="221" t="s">
        <v>475</v>
      </c>
      <c r="C132" s="221" t="s">
        <v>442</v>
      </c>
      <c r="D132" s="228">
        <v>525</v>
      </c>
      <c r="E132" s="228">
        <v>1318</v>
      </c>
      <c r="F132" s="69">
        <v>4.4577237522717891E-8</v>
      </c>
      <c r="G132" s="228">
        <v>22432973.768066496</v>
      </c>
      <c r="H132" s="228">
        <v>42.2</v>
      </c>
      <c r="I132" s="69">
        <v>1.8811594234586952E-6</v>
      </c>
      <c r="J132" s="69">
        <f t="shared" si="2"/>
        <v>5.2172916720722209E-6</v>
      </c>
      <c r="K132" s="242"/>
      <c r="L132" s="162">
        <v>13.199999809265137</v>
      </c>
      <c r="M132" s="69">
        <v>5.436596620711498E-5</v>
      </c>
      <c r="N132" s="162"/>
      <c r="O132" s="69"/>
      <c r="U132" s="230"/>
      <c r="V132" s="68"/>
      <c r="W132" s="68"/>
      <c r="AM132" s="162">
        <v>19.899999618530273</v>
      </c>
      <c r="AN132" s="69">
        <v>1.2799110845662653E-4</v>
      </c>
    </row>
    <row r="133" spans="1:40">
      <c r="A133" s="269" t="s">
        <v>453</v>
      </c>
      <c r="B133" s="221" t="s">
        <v>444</v>
      </c>
      <c r="C133" s="221" t="s">
        <v>442</v>
      </c>
      <c r="D133" s="228">
        <v>497</v>
      </c>
      <c r="E133" s="228">
        <v>1470</v>
      </c>
      <c r="F133" s="69">
        <v>1.2035866167E-6</v>
      </c>
      <c r="G133" s="228">
        <v>830850.04944787861</v>
      </c>
      <c r="H133" s="228">
        <v>39.6</v>
      </c>
      <c r="I133" s="69">
        <v>4.7662030021320003E-5</v>
      </c>
      <c r="J133" s="69">
        <f t="shared" si="2"/>
        <v>6.4208782887722211E-6</v>
      </c>
      <c r="K133" s="242"/>
      <c r="L133" s="162">
        <v>13.199999809265137</v>
      </c>
      <c r="M133" s="69">
        <v>5.4364438256016001E-5</v>
      </c>
      <c r="N133" s="162"/>
      <c r="O133" s="69"/>
      <c r="U133" s="230"/>
      <c r="V133" s="68"/>
      <c r="W133" s="68"/>
      <c r="AM133" s="162">
        <v>20.299999237060547</v>
      </c>
      <c r="AN133" s="69">
        <v>1.2799110845662653E-4</v>
      </c>
    </row>
    <row r="134" spans="1:40">
      <c r="A134" s="269" t="s">
        <v>512</v>
      </c>
      <c r="B134" s="221" t="s">
        <v>475</v>
      </c>
      <c r="C134" s="221" t="s">
        <v>442</v>
      </c>
      <c r="D134" s="228">
        <v>524</v>
      </c>
      <c r="E134" s="228">
        <v>1236</v>
      </c>
      <c r="F134" s="69">
        <v>4.4577237522717891E-8</v>
      </c>
      <c r="G134" s="228">
        <v>22432973.768066496</v>
      </c>
      <c r="H134" s="228">
        <v>39.200000000000003</v>
      </c>
      <c r="I134" s="69">
        <v>1.7474277108905414E-6</v>
      </c>
      <c r="J134" s="69">
        <f t="shared" si="2"/>
        <v>6.4654555262949394E-6</v>
      </c>
      <c r="K134" s="242"/>
      <c r="L134" s="162">
        <v>13.399999618530273</v>
      </c>
      <c r="M134" s="69">
        <v>5.4364438256016001E-5</v>
      </c>
      <c r="N134" s="162"/>
      <c r="O134" s="69"/>
      <c r="U134" s="230"/>
      <c r="V134" s="68"/>
      <c r="W134" s="68"/>
      <c r="AM134" s="162">
        <v>20.299999237060547</v>
      </c>
      <c r="AN134" s="69">
        <v>1.2493030226323754E-4</v>
      </c>
    </row>
    <row r="135" spans="1:40">
      <c r="A135" s="269" t="s">
        <v>517</v>
      </c>
      <c r="B135" s="221" t="s">
        <v>439</v>
      </c>
      <c r="C135" s="221" t="s">
        <v>438</v>
      </c>
      <c r="D135" s="228">
        <v>524</v>
      </c>
      <c r="E135" s="228">
        <v>1264</v>
      </c>
      <c r="F135" s="69">
        <v>2.2478237881484456E-7</v>
      </c>
      <c r="G135" s="228">
        <v>4448747.2962625325</v>
      </c>
      <c r="H135" s="228">
        <v>38.5</v>
      </c>
      <c r="I135" s="69">
        <v>8.6541215843715148E-6</v>
      </c>
      <c r="J135" s="69">
        <f t="shared" si="2"/>
        <v>6.6902379051097836E-6</v>
      </c>
      <c r="K135" s="242"/>
      <c r="L135" s="162">
        <v>13.399999618530273</v>
      </c>
      <c r="M135" s="69">
        <v>5.436291394289583E-5</v>
      </c>
      <c r="N135" s="162"/>
      <c r="O135" s="69"/>
      <c r="U135" s="230"/>
      <c r="V135" s="68"/>
      <c r="W135" s="68"/>
      <c r="AM135" s="162">
        <v>21.399999618530273</v>
      </c>
      <c r="AN135" s="69">
        <v>1.2493030226323754E-4</v>
      </c>
    </row>
    <row r="136" spans="1:40">
      <c r="A136" s="269" t="s">
        <v>511</v>
      </c>
      <c r="B136" s="221" t="s">
        <v>475</v>
      </c>
      <c r="C136" s="221" t="s">
        <v>442</v>
      </c>
      <c r="D136" s="228">
        <v>524</v>
      </c>
      <c r="E136" s="228">
        <v>1212</v>
      </c>
      <c r="F136" s="69">
        <v>4.4577237522717891E-8</v>
      </c>
      <c r="G136" s="228">
        <v>22432973.768066496</v>
      </c>
      <c r="H136" s="228">
        <v>37.200000000000003</v>
      </c>
      <c r="I136" s="69">
        <v>1.6582732358451056E-6</v>
      </c>
      <c r="J136" s="69">
        <f t="shared" si="2"/>
        <v>6.7348151426325019E-6</v>
      </c>
      <c r="K136" s="242"/>
      <c r="L136" s="162">
        <v>13.699999809265137</v>
      </c>
      <c r="M136" s="69">
        <v>5.436291394289583E-5</v>
      </c>
      <c r="N136" s="162"/>
      <c r="O136" s="69"/>
      <c r="U136" s="230"/>
      <c r="V136" s="68"/>
      <c r="W136" s="68"/>
      <c r="AM136" s="162">
        <v>21.399999618530273</v>
      </c>
      <c r="AN136" s="69">
        <v>1.1574779637157917E-4</v>
      </c>
    </row>
    <row r="137" spans="1:40">
      <c r="A137" s="269" t="s">
        <v>465</v>
      </c>
      <c r="B137" s="221" t="s">
        <v>439</v>
      </c>
      <c r="C137" s="221" t="s">
        <v>438</v>
      </c>
      <c r="D137" s="228">
        <v>524</v>
      </c>
      <c r="E137" s="228">
        <v>1232</v>
      </c>
      <c r="F137" s="69">
        <v>2.2478237881484456E-7</v>
      </c>
      <c r="G137" s="228">
        <v>4448747.2962625325</v>
      </c>
      <c r="H137" s="228">
        <v>36.1</v>
      </c>
      <c r="I137" s="69">
        <v>8.1146438752158894E-6</v>
      </c>
      <c r="J137" s="69">
        <f t="shared" si="2"/>
        <v>6.9595975214473461E-6</v>
      </c>
      <c r="K137" s="242"/>
      <c r="L137" s="162">
        <v>13.699999809265137</v>
      </c>
      <c r="M137" s="69">
        <v>4.9949769163504243E-5</v>
      </c>
      <c r="N137" s="162"/>
      <c r="O137" s="69"/>
      <c r="U137" s="230"/>
      <c r="V137" s="68"/>
      <c r="W137" s="68"/>
      <c r="AM137" s="162">
        <v>23.799999237060547</v>
      </c>
      <c r="AN137" s="69">
        <v>1.1574779637157917E-4</v>
      </c>
    </row>
    <row r="138" spans="1:40">
      <c r="A138" s="269" t="s">
        <v>515</v>
      </c>
      <c r="B138" s="221" t="s">
        <v>446</v>
      </c>
      <c r="C138" s="221" t="s">
        <v>450</v>
      </c>
      <c r="D138" s="228">
        <v>297</v>
      </c>
      <c r="E138" s="228">
        <v>936</v>
      </c>
      <c r="F138" s="69">
        <v>1.5093682811302096E-7</v>
      </c>
      <c r="G138" s="228">
        <v>6625288.291146568</v>
      </c>
      <c r="H138" s="228">
        <v>35.700000000000003</v>
      </c>
      <c r="I138" s="69">
        <v>5.3884447636348484E-6</v>
      </c>
      <c r="J138" s="69">
        <f t="shared" si="2"/>
        <v>7.1105343495603673E-6</v>
      </c>
      <c r="K138" s="242"/>
      <c r="L138" s="162">
        <v>13.800000190734863</v>
      </c>
      <c r="M138" s="69">
        <v>4.9949769163504243E-5</v>
      </c>
      <c r="N138" s="162"/>
      <c r="O138" s="69"/>
      <c r="U138" s="230"/>
      <c r="V138" s="68"/>
      <c r="W138" s="68"/>
      <c r="AM138" s="162">
        <v>23.799999237060547</v>
      </c>
      <c r="AN138" s="69">
        <v>1.1381358490325511E-4</v>
      </c>
    </row>
    <row r="139" spans="1:40">
      <c r="A139" s="269" t="s">
        <v>458</v>
      </c>
      <c r="B139" s="221" t="s">
        <v>1378</v>
      </c>
      <c r="C139" s="221" t="s">
        <v>447</v>
      </c>
      <c r="D139" s="228">
        <v>524</v>
      </c>
      <c r="E139" s="228">
        <v>866</v>
      </c>
      <c r="F139" s="69">
        <v>4.1164630650000014E-8</v>
      </c>
      <c r="G139" s="228">
        <v>24292699.441480346</v>
      </c>
      <c r="H139" s="228">
        <v>34.799999999999997</v>
      </c>
      <c r="I139" s="69">
        <v>1.4325291466200003E-6</v>
      </c>
      <c r="J139" s="69">
        <f t="shared" si="2"/>
        <v>7.1516989802103672E-6</v>
      </c>
      <c r="K139" s="242"/>
      <c r="L139" s="162">
        <v>13.800000190734863</v>
      </c>
      <c r="M139" s="69">
        <v>4.9860613216878846E-5</v>
      </c>
      <c r="N139" s="162"/>
      <c r="O139" s="69"/>
      <c r="U139" s="230"/>
      <c r="V139" s="68"/>
      <c r="W139" s="68"/>
      <c r="AM139" s="162">
        <v>24</v>
      </c>
      <c r="AN139" s="69">
        <v>1.1381358490325511E-4</v>
      </c>
    </row>
    <row r="140" spans="1:40">
      <c r="A140" s="269" t="s">
        <v>457</v>
      </c>
      <c r="B140" s="221" t="s">
        <v>449</v>
      </c>
      <c r="C140" s="221" t="s">
        <v>447</v>
      </c>
      <c r="D140" s="228">
        <v>519</v>
      </c>
      <c r="E140" s="228">
        <v>856</v>
      </c>
      <c r="F140" s="69">
        <v>1.5246007038405004E-9</v>
      </c>
      <c r="G140" s="228">
        <v>655909444.01440942</v>
      </c>
      <c r="H140" s="228">
        <v>34.299999999999997</v>
      </c>
      <c r="I140" s="69">
        <v>5.2293804141729161E-8</v>
      </c>
      <c r="J140" s="69">
        <f t="shared" si="2"/>
        <v>7.1532235809142077E-6</v>
      </c>
      <c r="K140" s="242"/>
      <c r="L140" s="162">
        <v>13.899999618530273</v>
      </c>
      <c r="M140" s="69">
        <v>4.9860613216878846E-5</v>
      </c>
      <c r="N140" s="162"/>
      <c r="O140" s="69"/>
      <c r="U140" s="230"/>
      <c r="V140" s="68"/>
      <c r="W140" s="68"/>
      <c r="AM140" s="162">
        <v>24</v>
      </c>
      <c r="AN140" s="69">
        <v>1.131688550231047E-4</v>
      </c>
    </row>
    <row r="141" spans="1:40">
      <c r="A141" s="269" t="s">
        <v>464</v>
      </c>
      <c r="B141" s="221" t="s">
        <v>439</v>
      </c>
      <c r="C141" s="221" t="s">
        <v>438</v>
      </c>
      <c r="D141" s="228">
        <v>525</v>
      </c>
      <c r="E141" s="228">
        <v>1292</v>
      </c>
      <c r="F141" s="69">
        <v>2.2478237881484456E-7</v>
      </c>
      <c r="G141" s="228">
        <v>4448747.2962625325</v>
      </c>
      <c r="H141" s="228">
        <v>32.799999999999997</v>
      </c>
      <c r="I141" s="69">
        <v>7.3728620251269007E-6</v>
      </c>
      <c r="J141" s="69">
        <f t="shared" si="2"/>
        <v>7.3780059597290519E-6</v>
      </c>
      <c r="K141" s="242"/>
      <c r="L141" s="162">
        <v>13.899999618530273</v>
      </c>
      <c r="M141" s="69">
        <v>4.9709677114151418E-5</v>
      </c>
      <c r="N141" s="162"/>
      <c r="O141" s="69"/>
      <c r="U141" s="230"/>
      <c r="V141" s="68"/>
      <c r="W141" s="68"/>
      <c r="AM141" s="162">
        <v>24.600000381469727</v>
      </c>
      <c r="AN141" s="69">
        <v>1.131688550231047E-4</v>
      </c>
    </row>
    <row r="142" spans="1:40">
      <c r="A142" s="269" t="s">
        <v>454</v>
      </c>
      <c r="B142" s="221" t="s">
        <v>475</v>
      </c>
      <c r="C142" s="221" t="s">
        <v>442</v>
      </c>
      <c r="D142" s="228">
        <v>524</v>
      </c>
      <c r="E142" s="228">
        <v>1214</v>
      </c>
      <c r="F142" s="69">
        <v>4.4577237522717891E-8</v>
      </c>
      <c r="G142" s="228">
        <v>22432973.768066496</v>
      </c>
      <c r="H142" s="228">
        <v>32.700000000000003</v>
      </c>
      <c r="I142" s="69">
        <v>1.4576756669928751E-6</v>
      </c>
      <c r="J142" s="69">
        <f t="shared" si="2"/>
        <v>7.4225831972517702E-6</v>
      </c>
      <c r="K142" s="242"/>
      <c r="L142" s="162">
        <v>14</v>
      </c>
      <c r="M142" s="69">
        <v>4.9709677114151418E-5</v>
      </c>
      <c r="N142" s="162"/>
      <c r="O142" s="69"/>
      <c r="U142" s="230"/>
      <c r="V142" s="68"/>
      <c r="W142" s="68"/>
      <c r="AM142" s="162">
        <v>24.600000381469727</v>
      </c>
      <c r="AN142" s="69">
        <v>1.1123464355478063E-4</v>
      </c>
    </row>
    <row r="143" spans="1:40">
      <c r="A143" s="269" t="s">
        <v>459</v>
      </c>
      <c r="B143" s="221" t="s">
        <v>443</v>
      </c>
      <c r="C143" s="221" t="s">
        <v>442</v>
      </c>
      <c r="D143" s="228">
        <v>524</v>
      </c>
      <c r="E143" s="228">
        <v>832</v>
      </c>
      <c r="F143" s="69">
        <v>4.4576836327178993E-8</v>
      </c>
      <c r="G143" s="228">
        <v>22433175.666849397</v>
      </c>
      <c r="H143" s="228">
        <v>32.5</v>
      </c>
      <c r="I143" s="69">
        <v>1.4487471806333173E-6</v>
      </c>
      <c r="J143" s="69">
        <f t="shared" si="2"/>
        <v>7.4671600335789492E-6</v>
      </c>
      <c r="K143" s="242"/>
      <c r="L143" s="162">
        <v>14</v>
      </c>
      <c r="M143" s="69">
        <v>4.9665100959828123E-5</v>
      </c>
      <c r="N143" s="162"/>
      <c r="O143" s="69"/>
      <c r="U143" s="230"/>
      <c r="V143" s="68"/>
      <c r="W143" s="68"/>
      <c r="AM143" s="162">
        <v>25.200000762939453</v>
      </c>
      <c r="AN143" s="69">
        <v>1.1123464355478063E-4</v>
      </c>
    </row>
    <row r="144" spans="1:40">
      <c r="A144" s="269" t="s">
        <v>515</v>
      </c>
      <c r="B144" s="221" t="s">
        <v>439</v>
      </c>
      <c r="C144" s="221" t="s">
        <v>438</v>
      </c>
      <c r="D144" s="228">
        <v>519</v>
      </c>
      <c r="E144" s="228">
        <v>1140</v>
      </c>
      <c r="F144" s="69">
        <v>2.2478237881484456E-7</v>
      </c>
      <c r="G144" s="228">
        <v>4448747.2962625325</v>
      </c>
      <c r="H144" s="228">
        <v>32.200000000000003</v>
      </c>
      <c r="I144" s="69">
        <v>7.2379925978379952E-6</v>
      </c>
      <c r="J144" s="69">
        <f t="shared" si="2"/>
        <v>7.6919424123937942E-6</v>
      </c>
      <c r="K144" s="242"/>
      <c r="L144" s="162">
        <v>14.100000381469727</v>
      </c>
      <c r="M144" s="69">
        <v>4.9665100959828123E-5</v>
      </c>
      <c r="N144" s="162"/>
      <c r="O144" s="69"/>
      <c r="U144" s="230"/>
      <c r="V144" s="68"/>
      <c r="W144" s="68"/>
      <c r="AM144" s="162">
        <v>25.200000762939453</v>
      </c>
      <c r="AN144" s="69">
        <v>1.1058990639867261E-4</v>
      </c>
    </row>
    <row r="145" spans="1:40">
      <c r="A145" s="269" t="s">
        <v>519</v>
      </c>
      <c r="B145" s="221" t="s">
        <v>448</v>
      </c>
      <c r="C145" s="221" t="s">
        <v>450</v>
      </c>
      <c r="D145" s="228">
        <v>480</v>
      </c>
      <c r="E145" s="228">
        <v>1036</v>
      </c>
      <c r="F145" s="69">
        <v>1.5093682811302096E-7</v>
      </c>
      <c r="G145" s="228">
        <v>6625288.291146568</v>
      </c>
      <c r="H145" s="228">
        <v>32.200000000000003</v>
      </c>
      <c r="I145" s="69">
        <v>4.8601658652392756E-6</v>
      </c>
      <c r="J145" s="69">
        <f t="shared" si="2"/>
        <v>7.8428792405068145E-6</v>
      </c>
      <c r="K145" s="242"/>
      <c r="L145" s="162">
        <v>14.100000381469727</v>
      </c>
      <c r="M145" s="69">
        <v>4.9620524805504829E-5</v>
      </c>
      <c r="N145" s="162"/>
      <c r="O145" s="69"/>
      <c r="U145" s="230"/>
      <c r="V145" s="68"/>
      <c r="W145" s="68"/>
      <c r="AM145" s="162">
        <v>26.899999618530273</v>
      </c>
      <c r="AN145" s="69">
        <v>1.1058990639867261E-4</v>
      </c>
    </row>
    <row r="146" spans="1:40">
      <c r="A146" s="269" t="s">
        <v>461</v>
      </c>
      <c r="B146" s="221" t="s">
        <v>449</v>
      </c>
      <c r="C146" s="221" t="s">
        <v>450</v>
      </c>
      <c r="D146" s="228">
        <v>291</v>
      </c>
      <c r="E146" s="228">
        <v>940</v>
      </c>
      <c r="F146" s="69">
        <v>1.5093546968020952E-7</v>
      </c>
      <c r="G146" s="228">
        <v>6625347.9193374701</v>
      </c>
      <c r="H146" s="228">
        <v>31</v>
      </c>
      <c r="I146" s="69">
        <v>4.6789995600864953E-6</v>
      </c>
      <c r="J146" s="69">
        <f t="shared" si="2"/>
        <v>7.9938147101870238E-6</v>
      </c>
      <c r="K146" s="242"/>
      <c r="L146" s="162">
        <v>14.199999809265137</v>
      </c>
      <c r="M146" s="69">
        <v>4.9620524805504829E-5</v>
      </c>
      <c r="N146" s="162"/>
      <c r="O146" s="69"/>
      <c r="U146" s="230"/>
      <c r="V146" s="68"/>
      <c r="W146" s="68"/>
      <c r="AM146" s="162">
        <v>26.899999618530273</v>
      </c>
      <c r="AN146" s="69">
        <v>1.1031002941308543E-4</v>
      </c>
    </row>
    <row r="147" spans="1:40">
      <c r="A147" s="269" t="s">
        <v>519</v>
      </c>
      <c r="B147" s="221" t="s">
        <v>439</v>
      </c>
      <c r="C147" s="221" t="s">
        <v>438</v>
      </c>
      <c r="D147" s="228">
        <v>524</v>
      </c>
      <c r="E147" s="228">
        <v>1508</v>
      </c>
      <c r="F147" s="69">
        <v>2.2478237881484456E-7</v>
      </c>
      <c r="G147" s="228">
        <v>4448747.2962625325</v>
      </c>
      <c r="H147" s="228">
        <v>28.3</v>
      </c>
      <c r="I147" s="69">
        <v>6.361341320460101E-6</v>
      </c>
      <c r="J147" s="69">
        <f t="shared" si="2"/>
        <v>8.218597089001868E-6</v>
      </c>
      <c r="K147" s="242"/>
      <c r="L147" s="162">
        <v>14.199999809265137</v>
      </c>
      <c r="M147" s="69">
        <v>4.9619000492384657E-5</v>
      </c>
      <c r="N147" s="162"/>
      <c r="O147" s="69"/>
      <c r="U147" s="230"/>
      <c r="V147" s="68"/>
      <c r="W147" s="68"/>
      <c r="AM147" s="162">
        <v>28.5</v>
      </c>
      <c r="AN147" s="69">
        <v>1.1031002941308543E-4</v>
      </c>
    </row>
    <row r="148" spans="1:40">
      <c r="A148" s="269" t="s">
        <v>455</v>
      </c>
      <c r="B148" s="221" t="s">
        <v>475</v>
      </c>
      <c r="C148" s="221" t="s">
        <v>442</v>
      </c>
      <c r="D148" s="228">
        <v>524</v>
      </c>
      <c r="E148" s="228">
        <v>1232</v>
      </c>
      <c r="F148" s="69">
        <v>4.4577237522717891E-8</v>
      </c>
      <c r="G148" s="228">
        <v>22432973.768066496</v>
      </c>
      <c r="H148" s="228">
        <v>28.2</v>
      </c>
      <c r="I148" s="69">
        <v>1.2570780981406445E-6</v>
      </c>
      <c r="J148" s="69">
        <f t="shared" si="2"/>
        <v>8.2631743265245855E-6</v>
      </c>
      <c r="K148" s="242"/>
      <c r="L148" s="162">
        <v>14.399999618530273</v>
      </c>
      <c r="M148" s="69">
        <v>4.9619000492384657E-5</v>
      </c>
      <c r="N148" s="162"/>
      <c r="O148" s="69"/>
      <c r="U148" s="230"/>
      <c r="V148" s="68"/>
      <c r="W148" s="68"/>
      <c r="AM148" s="162">
        <v>28.5</v>
      </c>
      <c r="AN148" s="69">
        <v>1.1003014515154064E-4</v>
      </c>
    </row>
    <row r="149" spans="1:40">
      <c r="A149" s="269" t="s">
        <v>467</v>
      </c>
      <c r="B149" s="221" t="s">
        <v>448</v>
      </c>
      <c r="C149" s="221" t="s">
        <v>447</v>
      </c>
      <c r="D149" s="228">
        <v>524</v>
      </c>
      <c r="E149" s="228">
        <v>1018</v>
      </c>
      <c r="F149" s="69">
        <v>1.5246144253840504E-9</v>
      </c>
      <c r="G149" s="228">
        <v>655903540.82351017</v>
      </c>
      <c r="H149" s="228">
        <v>27</v>
      </c>
      <c r="I149" s="69">
        <v>4.1164589485369364E-8</v>
      </c>
      <c r="J149" s="69">
        <f t="shared" si="2"/>
        <v>8.2646989409499701E-6</v>
      </c>
      <c r="K149" s="242"/>
      <c r="L149" s="162">
        <v>14.399999618530273</v>
      </c>
      <c r="M149" s="69">
        <v>4.9574420700082555E-5</v>
      </c>
      <c r="N149" s="162"/>
      <c r="O149" s="69"/>
      <c r="U149" s="230"/>
      <c r="V149" s="68"/>
      <c r="W149" s="68"/>
      <c r="AM149" s="162">
        <v>31.899999618530273</v>
      </c>
      <c r="AN149" s="69">
        <v>1.1003014515154064E-4</v>
      </c>
    </row>
    <row r="150" spans="1:40">
      <c r="A150" s="269" t="s">
        <v>464</v>
      </c>
      <c r="B150" s="221" t="s">
        <v>443</v>
      </c>
      <c r="C150" s="221" t="s">
        <v>476</v>
      </c>
      <c r="D150" s="228">
        <v>389</v>
      </c>
      <c r="E150" s="228">
        <v>1366</v>
      </c>
      <c r="F150" s="69">
        <v>4.4131067963907217E-6</v>
      </c>
      <c r="G150" s="228">
        <v>226597.73400857969</v>
      </c>
      <c r="H150" s="228">
        <v>26.9</v>
      </c>
      <c r="I150" s="69">
        <v>1.1871257282291041E-4</v>
      </c>
      <c r="J150" s="69">
        <f t="shared" si="2"/>
        <v>1.2677805737340693E-5</v>
      </c>
      <c r="K150" s="242"/>
      <c r="L150" s="162">
        <v>14.600000381469727</v>
      </c>
      <c r="M150" s="69">
        <v>4.9574420700082555E-5</v>
      </c>
      <c r="N150" s="162"/>
      <c r="O150" s="69"/>
      <c r="U150" s="230"/>
      <c r="V150" s="68"/>
      <c r="W150" s="68"/>
      <c r="AM150" s="162">
        <v>31.899999618530273</v>
      </c>
      <c r="AN150" s="69">
        <v>8.6943218775559217E-5</v>
      </c>
    </row>
    <row r="151" spans="1:40">
      <c r="A151" s="269" t="s">
        <v>520</v>
      </c>
      <c r="B151" s="221" t="s">
        <v>439</v>
      </c>
      <c r="C151" s="221" t="s">
        <v>438</v>
      </c>
      <c r="D151" s="228">
        <v>524</v>
      </c>
      <c r="E151" s="228">
        <v>1472</v>
      </c>
      <c r="F151" s="69">
        <v>2.2478237881484456E-7</v>
      </c>
      <c r="G151" s="228">
        <v>4448747.2962625325</v>
      </c>
      <c r="H151" s="228">
        <v>26.9</v>
      </c>
      <c r="I151" s="69">
        <v>6.0466459901193182E-6</v>
      </c>
      <c r="J151" s="69">
        <f t="shared" si="2"/>
        <v>1.2902588116155537E-5</v>
      </c>
      <c r="K151" s="242"/>
      <c r="L151" s="162">
        <v>14.600000381469727</v>
      </c>
      <c r="M151" s="69">
        <v>4.9198701162822545E-5</v>
      </c>
      <c r="N151" s="162"/>
      <c r="O151" s="69"/>
      <c r="U151" s="230"/>
      <c r="V151" s="68"/>
      <c r="W151" s="68"/>
      <c r="AM151" s="162">
        <v>33</v>
      </c>
      <c r="AN151" s="69">
        <v>8.6943218775559217E-5</v>
      </c>
    </row>
    <row r="152" spans="1:40">
      <c r="A152" s="269" t="s">
        <v>468</v>
      </c>
      <c r="B152" s="221" t="s">
        <v>448</v>
      </c>
      <c r="C152" s="221" t="s">
        <v>447</v>
      </c>
      <c r="D152" s="228">
        <v>501</v>
      </c>
      <c r="E152" s="228">
        <v>1026</v>
      </c>
      <c r="F152" s="69">
        <v>1.5246144253840504E-9</v>
      </c>
      <c r="G152" s="228">
        <v>655903540.82351017</v>
      </c>
      <c r="H152" s="228">
        <v>26.1</v>
      </c>
      <c r="I152" s="69">
        <v>3.979243650252372E-8</v>
      </c>
      <c r="J152" s="69">
        <f t="shared" si="2"/>
        <v>1.2904112730580922E-5</v>
      </c>
      <c r="K152" s="242"/>
      <c r="L152" s="162">
        <v>14.800000190734863</v>
      </c>
      <c r="M152" s="69">
        <v>4.9198701162822545E-5</v>
      </c>
      <c r="N152" s="162"/>
      <c r="O152" s="69"/>
      <c r="U152" s="230"/>
      <c r="V152" s="68"/>
      <c r="W152" s="68"/>
      <c r="AM152" s="162">
        <v>33</v>
      </c>
      <c r="AN152" s="69">
        <v>8.6663334514014423E-5</v>
      </c>
    </row>
    <row r="153" spans="1:40">
      <c r="A153" s="269" t="s">
        <v>468</v>
      </c>
      <c r="B153" s="221" t="s">
        <v>443</v>
      </c>
      <c r="C153" s="221" t="s">
        <v>476</v>
      </c>
      <c r="D153" s="228">
        <v>481</v>
      </c>
      <c r="E153" s="228">
        <v>1390</v>
      </c>
      <c r="F153" s="69">
        <v>4.4131067963907217E-6</v>
      </c>
      <c r="G153" s="228">
        <v>226597.73400857969</v>
      </c>
      <c r="H153" s="228">
        <v>25.5</v>
      </c>
      <c r="I153" s="69">
        <v>1.1253422330796341E-4</v>
      </c>
      <c r="J153" s="69">
        <f t="shared" si="2"/>
        <v>1.7317219526971644E-5</v>
      </c>
      <c r="K153" s="242"/>
      <c r="L153" s="162">
        <v>14.800000190734863</v>
      </c>
      <c r="M153" s="69">
        <v>4.7993591579142958E-5</v>
      </c>
      <c r="N153" s="162"/>
      <c r="O153" s="69"/>
      <c r="U153" s="230"/>
      <c r="V153" s="68"/>
      <c r="W153" s="68"/>
      <c r="AM153" s="162">
        <v>34.200000762939453</v>
      </c>
      <c r="AN153" s="69">
        <v>8.6663334514014423E-5</v>
      </c>
    </row>
    <row r="154" spans="1:40">
      <c r="A154" s="269" t="s">
        <v>460</v>
      </c>
      <c r="B154" s="221" t="s">
        <v>449</v>
      </c>
      <c r="C154" s="221" t="s">
        <v>450</v>
      </c>
      <c r="D154" s="228">
        <v>297</v>
      </c>
      <c r="E154" s="228">
        <v>918</v>
      </c>
      <c r="F154" s="69">
        <v>1.5093546968020952E-7</v>
      </c>
      <c r="G154" s="228">
        <v>6625347.9193374701</v>
      </c>
      <c r="H154" s="228">
        <v>25.4</v>
      </c>
      <c r="I154" s="69">
        <v>3.8337609298773217E-6</v>
      </c>
      <c r="J154" s="69">
        <f t="shared" si="2"/>
        <v>1.7468154996651855E-5</v>
      </c>
      <c r="K154" s="242"/>
      <c r="L154" s="162">
        <v>14.899999618530273</v>
      </c>
      <c r="M154" s="69">
        <v>4.7993591579142958E-5</v>
      </c>
      <c r="N154" s="162"/>
      <c r="O154" s="69"/>
      <c r="U154" s="230"/>
      <c r="V154" s="68"/>
      <c r="W154" s="68"/>
      <c r="AM154" s="162">
        <v>34.200000762939453</v>
      </c>
      <c r="AN154" s="69">
        <v>8.4729123045690358E-5</v>
      </c>
    </row>
    <row r="155" spans="1:40">
      <c r="A155" s="269" t="s">
        <v>519</v>
      </c>
      <c r="B155" s="221" t="s">
        <v>448</v>
      </c>
      <c r="C155" s="221" t="s">
        <v>447</v>
      </c>
      <c r="D155" s="228">
        <v>524</v>
      </c>
      <c r="E155" s="228">
        <v>1014</v>
      </c>
      <c r="F155" s="69">
        <v>1.5246144253840504E-9</v>
      </c>
      <c r="G155" s="228">
        <v>655903540.82351017</v>
      </c>
      <c r="H155" s="228">
        <v>25.2</v>
      </c>
      <c r="I155" s="69">
        <v>3.842028351967807E-8</v>
      </c>
      <c r="J155" s="69">
        <f t="shared" si="2"/>
        <v>1.7469679611077238E-5</v>
      </c>
      <c r="K155" s="242"/>
      <c r="L155" s="162">
        <v>14.899999618530273</v>
      </c>
      <c r="M155" s="69">
        <v>4.7949015424819663E-5</v>
      </c>
      <c r="N155" s="162"/>
      <c r="O155" s="69"/>
      <c r="U155" s="230"/>
      <c r="V155" s="68"/>
      <c r="W155" s="68"/>
      <c r="AM155" s="162">
        <v>35.299999237060547</v>
      </c>
      <c r="AN155" s="69">
        <v>8.4729123045690358E-5</v>
      </c>
    </row>
    <row r="156" spans="1:40">
      <c r="A156" s="269" t="s">
        <v>520</v>
      </c>
      <c r="B156" s="221" t="s">
        <v>443</v>
      </c>
      <c r="C156" s="221" t="s">
        <v>476</v>
      </c>
      <c r="D156" s="228">
        <v>479</v>
      </c>
      <c r="E156" s="228">
        <v>1650</v>
      </c>
      <c r="F156" s="69">
        <v>4.4131067963907217E-6</v>
      </c>
      <c r="G156" s="228">
        <v>226597.73400857969</v>
      </c>
      <c r="H156" s="228">
        <v>23.6</v>
      </c>
      <c r="I156" s="69">
        <v>1.0414932039482103E-4</v>
      </c>
      <c r="J156" s="69">
        <f t="shared" si="2"/>
        <v>2.1882786407467959E-5</v>
      </c>
      <c r="K156" s="242"/>
      <c r="L156" s="162">
        <v>15</v>
      </c>
      <c r="M156" s="69">
        <v>4.7949015424819663E-5</v>
      </c>
      <c r="N156" s="162"/>
      <c r="O156" s="69"/>
      <c r="U156" s="230"/>
      <c r="V156" s="68"/>
      <c r="W156" s="68"/>
      <c r="AM156" s="162">
        <v>35.299999237060547</v>
      </c>
      <c r="AN156" s="69">
        <v>8.4705985500477254E-5</v>
      </c>
    </row>
    <row r="157" spans="1:40">
      <c r="A157" s="269" t="s">
        <v>451</v>
      </c>
      <c r="B157" s="221" t="s">
        <v>474</v>
      </c>
      <c r="C157" s="221" t="s">
        <v>438</v>
      </c>
      <c r="D157" s="228">
        <v>524</v>
      </c>
      <c r="E157" s="228">
        <v>1498</v>
      </c>
      <c r="F157" s="69">
        <v>2.247844018764845E-7</v>
      </c>
      <c r="G157" s="228">
        <v>4448707.2574968273</v>
      </c>
      <c r="H157" s="228">
        <v>23.1</v>
      </c>
      <c r="I157" s="69">
        <v>5.1925196833467924E-6</v>
      </c>
      <c r="J157" s="69">
        <f t="shared" si="2"/>
        <v>2.2107570809344443E-5</v>
      </c>
      <c r="K157" s="242"/>
      <c r="L157" s="162">
        <v>15</v>
      </c>
      <c r="M157" s="69">
        <v>4.6745426516281441E-5</v>
      </c>
      <c r="N157" s="162"/>
      <c r="O157" s="69"/>
      <c r="U157" s="230"/>
      <c r="V157" s="68"/>
      <c r="W157" s="68"/>
      <c r="AM157" s="162">
        <v>39.200000762939453</v>
      </c>
      <c r="AN157" s="69">
        <v>8.4705985500477254E-5</v>
      </c>
    </row>
    <row r="158" spans="1:40">
      <c r="A158" s="269" t="s">
        <v>464</v>
      </c>
      <c r="B158" s="221" t="s">
        <v>448</v>
      </c>
      <c r="C158" s="221" t="s">
        <v>450</v>
      </c>
      <c r="D158" s="228">
        <v>390</v>
      </c>
      <c r="E158" s="228">
        <v>980</v>
      </c>
      <c r="F158" s="69">
        <v>1.5093682811302096E-7</v>
      </c>
      <c r="G158" s="228">
        <v>6625288.291146568</v>
      </c>
      <c r="H158" s="228">
        <v>23.1</v>
      </c>
      <c r="I158" s="69">
        <v>3.4866407294107843E-6</v>
      </c>
      <c r="J158" s="69">
        <f t="shared" si="2"/>
        <v>2.2258507637457463E-5</v>
      </c>
      <c r="K158" s="242"/>
      <c r="L158" s="162">
        <v>15.300000190734863</v>
      </c>
      <c r="M158" s="69">
        <v>4.6745426516281441E-5</v>
      </c>
      <c r="N158" s="162"/>
      <c r="O158" s="69"/>
      <c r="U158" s="230"/>
      <c r="V158" s="68"/>
      <c r="W158" s="68"/>
      <c r="AM158" s="162">
        <v>39.200000762939453</v>
      </c>
      <c r="AN158" s="69">
        <v>8.4402970969676971E-5</v>
      </c>
    </row>
    <row r="159" spans="1:40">
      <c r="A159" s="269" t="s">
        <v>520</v>
      </c>
      <c r="B159" s="221" t="s">
        <v>448</v>
      </c>
      <c r="C159" s="221" t="s">
        <v>450</v>
      </c>
      <c r="D159" s="228">
        <v>481</v>
      </c>
      <c r="E159" s="228">
        <v>1034</v>
      </c>
      <c r="F159" s="69">
        <v>1.5093682811302096E-7</v>
      </c>
      <c r="G159" s="228">
        <v>6625288.291146568</v>
      </c>
      <c r="H159" s="228">
        <v>23.1</v>
      </c>
      <c r="I159" s="69">
        <v>3.4866407294107843E-6</v>
      </c>
      <c r="J159" s="69">
        <f t="shared" si="2"/>
        <v>2.2409444465570483E-5</v>
      </c>
      <c r="K159" s="242"/>
      <c r="L159" s="162">
        <v>15.300000190734863</v>
      </c>
      <c r="M159" s="69">
        <v>4.6594490413554013E-5</v>
      </c>
      <c r="N159" s="162"/>
      <c r="O159" s="69"/>
      <c r="U159" s="230"/>
      <c r="V159" s="68"/>
      <c r="W159" s="68"/>
      <c r="AM159" s="162">
        <v>39.799999237060547</v>
      </c>
      <c r="AN159" s="69">
        <v>8.4402970969676971E-5</v>
      </c>
    </row>
    <row r="160" spans="1:40">
      <c r="A160" s="269" t="s">
        <v>518</v>
      </c>
      <c r="B160" s="221" t="s">
        <v>439</v>
      </c>
      <c r="C160" s="221" t="s">
        <v>438</v>
      </c>
      <c r="D160" s="228">
        <v>524</v>
      </c>
      <c r="E160" s="228">
        <v>1234</v>
      </c>
      <c r="F160" s="69">
        <v>2.2478237881484456E-7</v>
      </c>
      <c r="G160" s="228">
        <v>4448747.2962625325</v>
      </c>
      <c r="H160" s="228">
        <v>22.7</v>
      </c>
      <c r="I160" s="69">
        <v>5.1025599990969712E-6</v>
      </c>
      <c r="J160" s="69">
        <f t="shared" si="2"/>
        <v>2.2634226844385328E-5</v>
      </c>
      <c r="K160" s="242"/>
      <c r="L160" s="162">
        <v>16.200000762939453</v>
      </c>
      <c r="M160" s="69">
        <v>4.6594490413554013E-5</v>
      </c>
      <c r="N160" s="162"/>
      <c r="O160" s="69"/>
      <c r="U160" s="230"/>
      <c r="V160" s="68"/>
      <c r="W160" s="68"/>
      <c r="AM160" s="162">
        <v>39.799999237060547</v>
      </c>
      <c r="AN160" s="69">
        <v>8.4379833424463868E-5</v>
      </c>
    </row>
    <row r="161" spans="1:40">
      <c r="A161" s="269" t="s">
        <v>466</v>
      </c>
      <c r="B161" s="221" t="s">
        <v>443</v>
      </c>
      <c r="C161" s="221" t="s">
        <v>476</v>
      </c>
      <c r="D161" s="228">
        <v>481</v>
      </c>
      <c r="E161" s="228">
        <v>1374</v>
      </c>
      <c r="F161" s="69">
        <v>4.4131067963907217E-6</v>
      </c>
      <c r="G161" s="228">
        <v>226597.73400857969</v>
      </c>
      <c r="H161" s="228">
        <v>22.7</v>
      </c>
      <c r="I161" s="69">
        <v>1.0017752427806938E-4</v>
      </c>
      <c r="J161" s="69">
        <f t="shared" si="2"/>
        <v>2.7047333640776048E-5</v>
      </c>
      <c r="K161" s="242"/>
      <c r="L161" s="162">
        <v>16.200000762939453</v>
      </c>
      <c r="M161" s="69">
        <v>4.2030445911223069E-5</v>
      </c>
      <c r="N161" s="162"/>
      <c r="O161" s="69"/>
      <c r="U161" s="230"/>
      <c r="V161" s="68"/>
      <c r="W161" s="68"/>
      <c r="AM161" s="162">
        <v>40.099998474121094</v>
      </c>
      <c r="AN161" s="69">
        <v>8.4379833424463868E-5</v>
      </c>
    </row>
    <row r="162" spans="1:40">
      <c r="A162" s="269" t="s">
        <v>515</v>
      </c>
      <c r="B162" s="221" t="s">
        <v>449</v>
      </c>
      <c r="C162" s="221" t="s">
        <v>450</v>
      </c>
      <c r="D162" s="228">
        <v>291</v>
      </c>
      <c r="E162" s="228">
        <v>900</v>
      </c>
      <c r="F162" s="69">
        <v>1.5093546968020952E-7</v>
      </c>
      <c r="G162" s="228">
        <v>6625347.9193374701</v>
      </c>
      <c r="H162" s="228">
        <v>22.3</v>
      </c>
      <c r="I162" s="69">
        <v>3.3658609738686725E-6</v>
      </c>
      <c r="J162" s="69">
        <f t="shared" si="2"/>
        <v>2.7198269110456259E-5</v>
      </c>
      <c r="K162" s="242"/>
      <c r="L162" s="162">
        <v>16.299999237060547</v>
      </c>
      <c r="M162" s="69">
        <v>4.2030445911223069E-5</v>
      </c>
      <c r="N162" s="162"/>
      <c r="O162" s="69"/>
      <c r="U162" s="230"/>
      <c r="V162" s="68"/>
      <c r="W162" s="68"/>
      <c r="AM162" s="162">
        <v>40.099998474121094</v>
      </c>
      <c r="AN162" s="69">
        <v>7.5197334808763117E-5</v>
      </c>
    </row>
    <row r="163" spans="1:40">
      <c r="A163" s="269" t="s">
        <v>452</v>
      </c>
      <c r="B163" s="221" t="s">
        <v>444</v>
      </c>
      <c r="C163" s="221" t="s">
        <v>442</v>
      </c>
      <c r="D163" s="228">
        <v>524</v>
      </c>
      <c r="E163" s="228">
        <v>1544</v>
      </c>
      <c r="F163" s="69">
        <v>1.2035866167E-6</v>
      </c>
      <c r="G163" s="228">
        <v>830850.04944787861</v>
      </c>
      <c r="H163" s="228">
        <v>21.5</v>
      </c>
      <c r="I163" s="69">
        <v>2.587711225905E-5</v>
      </c>
      <c r="J163" s="69">
        <f t="shared" si="2"/>
        <v>2.8401855727156261E-5</v>
      </c>
      <c r="K163" s="242"/>
      <c r="L163" s="162">
        <v>16.299999237060547</v>
      </c>
      <c r="M163" s="69">
        <v>4.1879509808495641E-5</v>
      </c>
      <c r="N163" s="162"/>
      <c r="O163" s="69"/>
      <c r="U163" s="230"/>
      <c r="V163" s="68"/>
      <c r="W163" s="68"/>
      <c r="AM163" s="162">
        <v>40.900001525878906</v>
      </c>
      <c r="AN163" s="69">
        <v>7.5197334808763117E-5</v>
      </c>
    </row>
    <row r="164" spans="1:40">
      <c r="A164" s="269" t="s">
        <v>468</v>
      </c>
      <c r="B164" s="221" t="s">
        <v>448</v>
      </c>
      <c r="C164" s="221" t="s">
        <v>450</v>
      </c>
      <c r="D164" s="228">
        <v>481</v>
      </c>
      <c r="E164" s="228">
        <v>1038</v>
      </c>
      <c r="F164" s="69">
        <v>1.5093682811302096E-7</v>
      </c>
      <c r="G164" s="228">
        <v>6625288.291146568</v>
      </c>
      <c r="H164" s="228">
        <v>21.4</v>
      </c>
      <c r="I164" s="69">
        <v>3.2300481216186483E-6</v>
      </c>
      <c r="J164" s="69">
        <f t="shared" si="2"/>
        <v>2.8552792555269281E-5</v>
      </c>
      <c r="K164" s="242"/>
      <c r="L164" s="162">
        <v>16.5</v>
      </c>
      <c r="M164" s="69">
        <v>4.1879509808495641E-5</v>
      </c>
      <c r="N164" s="162"/>
      <c r="O164" s="69"/>
      <c r="U164" s="230"/>
      <c r="V164" s="68"/>
      <c r="W164" s="68"/>
      <c r="AM164" s="162">
        <v>40.900001525878906</v>
      </c>
      <c r="AN164" s="69">
        <v>7.5174197263550013E-5</v>
      </c>
    </row>
    <row r="165" spans="1:40">
      <c r="A165" s="269" t="s">
        <v>509</v>
      </c>
      <c r="B165" s="221" t="s">
        <v>444</v>
      </c>
      <c r="C165" s="221" t="s">
        <v>442</v>
      </c>
      <c r="D165" s="228">
        <v>524</v>
      </c>
      <c r="E165" s="228">
        <v>1470</v>
      </c>
      <c r="F165" s="69">
        <v>1.2035866167E-6</v>
      </c>
      <c r="G165" s="228">
        <v>830850.04944787861</v>
      </c>
      <c r="H165" s="228">
        <v>20.8</v>
      </c>
      <c r="I165" s="69">
        <v>2.5034601627360003E-5</v>
      </c>
      <c r="J165" s="69">
        <f t="shared" si="2"/>
        <v>2.9756379171969282E-5</v>
      </c>
      <c r="K165" s="242"/>
      <c r="L165" s="162">
        <v>16.5</v>
      </c>
      <c r="M165" s="69">
        <v>4.0675924537936226E-5</v>
      </c>
      <c r="N165" s="162"/>
      <c r="O165" s="69"/>
      <c r="U165" s="230"/>
      <c r="V165" s="68"/>
      <c r="W165" s="68"/>
      <c r="AM165" s="162">
        <v>42.799999237060547</v>
      </c>
      <c r="AN165" s="69">
        <v>7.5174197263550013E-5</v>
      </c>
    </row>
    <row r="166" spans="1:40">
      <c r="A166" s="269" t="s">
        <v>467</v>
      </c>
      <c r="B166" s="221" t="s">
        <v>443</v>
      </c>
      <c r="C166" s="221" t="s">
        <v>476</v>
      </c>
      <c r="D166" s="228">
        <v>481</v>
      </c>
      <c r="E166" s="228">
        <v>1468</v>
      </c>
      <c r="F166" s="69">
        <v>4.4131067963907217E-6</v>
      </c>
      <c r="G166" s="228">
        <v>226597.73400857969</v>
      </c>
      <c r="H166" s="228">
        <v>20.2</v>
      </c>
      <c r="I166" s="69">
        <v>8.9144757287092571E-5</v>
      </c>
      <c r="J166" s="69">
        <f t="shared" si="2"/>
        <v>3.4169485968360006E-5</v>
      </c>
      <c r="K166" s="242"/>
      <c r="L166" s="162">
        <v>16.600000381469727</v>
      </c>
      <c r="M166" s="69">
        <v>4.0675924537936226E-5</v>
      </c>
      <c r="N166" s="162"/>
      <c r="O166" s="69"/>
      <c r="P166" s="68"/>
      <c r="Q166" s="68"/>
      <c r="R166" s="68"/>
      <c r="S166" s="68"/>
      <c r="T166" s="68"/>
      <c r="U166" s="230"/>
      <c r="V166" s="68"/>
      <c r="W166" s="68"/>
      <c r="X166" s="68"/>
      <c r="Z166" s="68"/>
      <c r="AM166" s="162">
        <v>42.799999237060547</v>
      </c>
      <c r="AN166" s="69">
        <v>7.5151066994294524E-5</v>
      </c>
    </row>
    <row r="167" spans="1:40">
      <c r="A167" s="269" t="s">
        <v>468</v>
      </c>
      <c r="B167" s="221" t="s">
        <v>439</v>
      </c>
      <c r="C167" s="221" t="s">
        <v>438</v>
      </c>
      <c r="D167" s="228">
        <v>524</v>
      </c>
      <c r="E167" s="228">
        <v>1554</v>
      </c>
      <c r="F167" s="69">
        <v>2.2478237881484456E-7</v>
      </c>
      <c r="G167" s="228">
        <v>4448747.2962625325</v>
      </c>
      <c r="H167" s="228">
        <v>19.7</v>
      </c>
      <c r="I167" s="69">
        <v>4.4282128626524378E-6</v>
      </c>
      <c r="J167" s="69">
        <f t="shared" si="2"/>
        <v>3.4394268347174854E-5</v>
      </c>
      <c r="K167" s="242"/>
      <c r="L167" s="162">
        <v>16.600000381469727</v>
      </c>
      <c r="M167" s="69">
        <v>4.0523464122088626E-5</v>
      </c>
      <c r="N167" s="162"/>
      <c r="O167" s="69"/>
      <c r="P167" s="68"/>
      <c r="Q167" s="68"/>
      <c r="R167" s="68"/>
      <c r="S167" s="68"/>
      <c r="T167" s="68"/>
      <c r="U167" s="230"/>
      <c r="V167" s="68"/>
      <c r="W167" s="68"/>
      <c r="X167" s="68"/>
      <c r="Z167" s="68"/>
      <c r="AM167" s="162">
        <v>45.200000762939453</v>
      </c>
      <c r="AN167" s="69">
        <v>7.5151066994294524E-5</v>
      </c>
    </row>
    <row r="168" spans="1:40">
      <c r="A168" s="269" t="s">
        <v>516</v>
      </c>
      <c r="B168" s="221" t="s">
        <v>443</v>
      </c>
      <c r="C168" s="221" t="s">
        <v>442</v>
      </c>
      <c r="D168" s="228">
        <v>500</v>
      </c>
      <c r="E168" s="228">
        <v>1008</v>
      </c>
      <c r="F168" s="69">
        <v>4.4576836327178993E-8</v>
      </c>
      <c r="G168" s="228">
        <v>22433175.666849397</v>
      </c>
      <c r="H168" s="228">
        <v>19.2</v>
      </c>
      <c r="I168" s="69">
        <v>8.5587525748183666E-7</v>
      </c>
      <c r="J168" s="69">
        <f t="shared" si="2"/>
        <v>3.4438845183502034E-5</v>
      </c>
      <c r="K168" s="242"/>
      <c r="L168" s="162">
        <v>17.200000762939453</v>
      </c>
      <c r="M168" s="69">
        <v>4.0523464122088626E-5</v>
      </c>
      <c r="N168" s="162"/>
      <c r="O168" s="69"/>
      <c r="P168" s="68"/>
      <c r="Q168" s="68"/>
      <c r="R168" s="68"/>
      <c r="S168" s="68"/>
      <c r="T168" s="68"/>
      <c r="U168" s="230"/>
      <c r="V168" s="68"/>
      <c r="W168" s="68"/>
      <c r="X168" s="68"/>
      <c r="Z168" s="68"/>
      <c r="AM168" s="162">
        <v>45.200000762939453</v>
      </c>
      <c r="AN168" s="69">
        <v>7.5127929449081421E-5</v>
      </c>
    </row>
    <row r="169" spans="1:40">
      <c r="A169" s="269" t="s">
        <v>452</v>
      </c>
      <c r="B169" s="221" t="s">
        <v>474</v>
      </c>
      <c r="C169" s="221" t="s">
        <v>438</v>
      </c>
      <c r="D169" s="228">
        <v>524</v>
      </c>
      <c r="E169" s="228">
        <v>1498</v>
      </c>
      <c r="F169" s="69">
        <v>2.247844018764845E-7</v>
      </c>
      <c r="G169" s="228">
        <v>4448707.2574968273</v>
      </c>
      <c r="H169" s="228">
        <v>18.7</v>
      </c>
      <c r="I169" s="69">
        <v>4.2034683150902598E-6</v>
      </c>
      <c r="J169" s="69">
        <f t="shared" si="2"/>
        <v>3.4663629585378518E-5</v>
      </c>
      <c r="K169" s="242"/>
      <c r="L169" s="162">
        <v>17.200000762939453</v>
      </c>
      <c r="M169" s="69">
        <v>4.0521939808968455E-5</v>
      </c>
      <c r="N169" s="162"/>
      <c r="O169" s="69"/>
      <c r="P169" s="68"/>
      <c r="Q169" s="68"/>
      <c r="R169" s="68"/>
      <c r="S169" s="68"/>
      <c r="T169" s="68"/>
      <c r="U169" s="230"/>
      <c r="V169" s="68"/>
      <c r="W169" s="68"/>
      <c r="X169" s="68"/>
      <c r="Z169" s="68"/>
      <c r="AM169" s="162">
        <v>45.599998474121094</v>
      </c>
      <c r="AN169" s="69">
        <v>7.5127929449081421E-5</v>
      </c>
    </row>
    <row r="170" spans="1:40">
      <c r="A170" s="269" t="s">
        <v>460</v>
      </c>
      <c r="B170" s="221" t="s">
        <v>446</v>
      </c>
      <c r="C170" s="221" t="s">
        <v>450</v>
      </c>
      <c r="D170" s="228">
        <v>296</v>
      </c>
      <c r="E170" s="228">
        <v>946</v>
      </c>
      <c r="F170" s="69">
        <v>1.5093682811302096E-7</v>
      </c>
      <c r="G170" s="228">
        <v>6625288.291146568</v>
      </c>
      <c r="H170" s="228">
        <v>18.399999999999999</v>
      </c>
      <c r="I170" s="69">
        <v>2.7772376372795856E-6</v>
      </c>
      <c r="J170" s="69">
        <f t="shared" si="2"/>
        <v>3.4814566413491538E-5</v>
      </c>
      <c r="K170" s="242"/>
      <c r="L170" s="162">
        <v>17.399999618530273</v>
      </c>
      <c r="M170" s="69">
        <v>4.0521939808968455E-5</v>
      </c>
      <c r="N170" s="162"/>
      <c r="O170" s="69"/>
      <c r="P170" s="68"/>
      <c r="Q170" s="68"/>
      <c r="R170" s="68"/>
      <c r="S170" s="68"/>
      <c r="T170" s="68"/>
      <c r="U170" s="230"/>
      <c r="V170" s="68"/>
      <c r="W170" s="68"/>
      <c r="X170" s="68"/>
      <c r="Z170" s="68"/>
      <c r="AM170" s="162">
        <v>45.599998474121094</v>
      </c>
      <c r="AN170" s="69">
        <v>7.3193717980757356E-5</v>
      </c>
    </row>
    <row r="171" spans="1:40">
      <c r="A171" s="269" t="s">
        <v>460</v>
      </c>
      <c r="B171" s="221" t="s">
        <v>443</v>
      </c>
      <c r="C171" s="221" t="s">
        <v>442</v>
      </c>
      <c r="D171" s="228">
        <v>524</v>
      </c>
      <c r="E171" s="228">
        <v>1084</v>
      </c>
      <c r="F171" s="69">
        <v>4.4576836327178993E-8</v>
      </c>
      <c r="G171" s="228">
        <v>22433175.666849397</v>
      </c>
      <c r="H171" s="228">
        <v>18.2</v>
      </c>
      <c r="I171" s="69">
        <v>8.1129842115465769E-7</v>
      </c>
      <c r="J171" s="69">
        <f t="shared" si="2"/>
        <v>3.4859143249818718E-5</v>
      </c>
      <c r="K171" s="242"/>
      <c r="L171" s="162">
        <v>17.399999618530273</v>
      </c>
      <c r="M171" s="69">
        <v>3.9318350900430232E-5</v>
      </c>
      <c r="N171" s="162"/>
      <c r="O171" s="69"/>
      <c r="P171" s="68"/>
      <c r="Q171" s="68"/>
      <c r="R171" s="68"/>
      <c r="S171" s="68"/>
      <c r="T171" s="68"/>
      <c r="U171" s="230"/>
      <c r="V171" s="68"/>
      <c r="W171" s="68"/>
      <c r="X171" s="68"/>
      <c r="Z171" s="68"/>
      <c r="AM171" s="162">
        <v>47</v>
      </c>
      <c r="AN171" s="69">
        <v>7.3193717980757356E-5</v>
      </c>
    </row>
    <row r="172" spans="1:40">
      <c r="A172" s="269" t="s">
        <v>465</v>
      </c>
      <c r="B172" s="221" t="s">
        <v>443</v>
      </c>
      <c r="C172" s="221" t="s">
        <v>476</v>
      </c>
      <c r="D172" s="228">
        <v>389</v>
      </c>
      <c r="E172" s="228">
        <v>1266</v>
      </c>
      <c r="F172" s="69">
        <v>4.4131067963907217E-6</v>
      </c>
      <c r="G172" s="228">
        <v>226597.73400857969</v>
      </c>
      <c r="H172" s="228">
        <v>18.2</v>
      </c>
      <c r="I172" s="69">
        <v>8.0318543694311129E-5</v>
      </c>
      <c r="J172" s="69">
        <f t="shared" si="2"/>
        <v>3.9272250046209439E-5</v>
      </c>
      <c r="K172" s="242"/>
      <c r="L172" s="162">
        <v>17.700000762939453</v>
      </c>
      <c r="M172" s="69">
        <v>3.9318350900430232E-5</v>
      </c>
      <c r="N172" s="162"/>
      <c r="O172" s="69"/>
      <c r="P172" s="68"/>
      <c r="Q172" s="68"/>
      <c r="R172" s="68"/>
      <c r="S172" s="68"/>
      <c r="T172" s="68"/>
      <c r="U172" s="230"/>
      <c r="V172" s="68"/>
      <c r="W172" s="68"/>
      <c r="X172" s="68"/>
      <c r="Z172" s="68"/>
      <c r="AM172" s="162">
        <v>47</v>
      </c>
      <c r="AN172" s="69">
        <v>7.3170580435544252E-5</v>
      </c>
    </row>
    <row r="173" spans="1:40">
      <c r="A173" s="269" t="s">
        <v>520</v>
      </c>
      <c r="B173" s="221" t="s">
        <v>441</v>
      </c>
      <c r="C173" s="221" t="s">
        <v>442</v>
      </c>
      <c r="D173" s="228">
        <v>524</v>
      </c>
      <c r="E173" s="228">
        <v>1430</v>
      </c>
      <c r="F173" s="69">
        <v>4.4577237522717891E-8</v>
      </c>
      <c r="G173" s="228">
        <v>22432973.768066496</v>
      </c>
      <c r="H173" s="228">
        <v>17.7</v>
      </c>
      <c r="I173" s="69">
        <v>7.8901710415210667E-7</v>
      </c>
      <c r="J173" s="69">
        <f t="shared" si="2"/>
        <v>3.9316827283732154E-5</v>
      </c>
      <c r="K173" s="242"/>
      <c r="L173" s="162">
        <v>17.700000762939453</v>
      </c>
      <c r="M173" s="69">
        <v>3.9316826587310061E-5</v>
      </c>
      <c r="N173" s="162"/>
      <c r="O173" s="69"/>
      <c r="P173" s="68"/>
      <c r="Q173" s="68"/>
      <c r="R173" s="68"/>
      <c r="S173" s="68"/>
      <c r="T173" s="68"/>
      <c r="U173" s="230"/>
      <c r="V173" s="68"/>
      <c r="W173" s="68"/>
      <c r="X173" s="68"/>
      <c r="Z173" s="68"/>
      <c r="AM173" s="162">
        <v>47.099998474121094</v>
      </c>
      <c r="AN173" s="69">
        <v>7.3170580435544252E-5</v>
      </c>
    </row>
    <row r="174" spans="1:40">
      <c r="A174" s="269" t="s">
        <v>464</v>
      </c>
      <c r="B174" s="221" t="s">
        <v>448</v>
      </c>
      <c r="C174" s="221" t="s">
        <v>447</v>
      </c>
      <c r="D174" s="228">
        <v>524</v>
      </c>
      <c r="E174" s="228">
        <v>968</v>
      </c>
      <c r="F174" s="69">
        <v>1.5246144253840504E-9</v>
      </c>
      <c r="G174" s="228">
        <v>655903540.82351017</v>
      </c>
      <c r="H174" s="228">
        <v>17.399999999999999</v>
      </c>
      <c r="I174" s="69">
        <v>2.6528291001682473E-8</v>
      </c>
      <c r="J174" s="69">
        <f t="shared" si="2"/>
        <v>3.9318351898157537E-5</v>
      </c>
      <c r="K174" s="242"/>
      <c r="L174" s="162">
        <v>18.200000762939453</v>
      </c>
      <c r="M174" s="69">
        <v>3.9316826587310061E-5</v>
      </c>
      <c r="N174" s="162"/>
      <c r="O174" s="69"/>
      <c r="P174" s="68"/>
      <c r="Q174" s="68"/>
      <c r="R174" s="68"/>
      <c r="S174" s="68"/>
      <c r="T174" s="68"/>
      <c r="U174" s="230"/>
      <c r="V174" s="68"/>
      <c r="W174" s="68"/>
      <c r="X174" s="68"/>
      <c r="Z174" s="68"/>
      <c r="AM174" s="162">
        <v>47.099998474121094</v>
      </c>
      <c r="AN174" s="69">
        <v>7.3147450166288763E-5</v>
      </c>
    </row>
    <row r="175" spans="1:40">
      <c r="A175" s="269" t="s">
        <v>520</v>
      </c>
      <c r="B175" s="221" t="s">
        <v>444</v>
      </c>
      <c r="C175" s="221" t="s">
        <v>442</v>
      </c>
      <c r="D175" s="228">
        <v>524</v>
      </c>
      <c r="E175" s="228">
        <v>1478</v>
      </c>
      <c r="F175" s="69">
        <v>1.2035866167E-6</v>
      </c>
      <c r="G175" s="228">
        <v>830850.04944787861</v>
      </c>
      <c r="H175" s="228">
        <v>17.2</v>
      </c>
      <c r="I175" s="69">
        <v>2.0701689807239999E-5</v>
      </c>
      <c r="J175" s="69">
        <f t="shared" si="2"/>
        <v>4.0521938514857538E-5</v>
      </c>
      <c r="K175" s="242"/>
      <c r="L175" s="162">
        <v>18.200000762939453</v>
      </c>
      <c r="M175" s="69">
        <v>3.9272250432986766E-5</v>
      </c>
      <c r="N175" s="162"/>
      <c r="O175" s="69"/>
      <c r="P175" s="68"/>
      <c r="Q175" s="68"/>
      <c r="R175" s="68"/>
      <c r="S175" s="68"/>
      <c r="T175" s="68"/>
      <c r="U175" s="230"/>
      <c r="V175" s="68"/>
      <c r="W175" s="68"/>
      <c r="X175" s="68"/>
      <c r="Z175" s="68"/>
      <c r="AM175" s="162">
        <v>47.5</v>
      </c>
      <c r="AN175" s="69">
        <v>7.3147450166288763E-5</v>
      </c>
    </row>
    <row r="176" spans="1:40">
      <c r="A176" s="269" t="s">
        <v>462</v>
      </c>
      <c r="B176" s="221" t="s">
        <v>446</v>
      </c>
      <c r="C176" s="221" t="s">
        <v>447</v>
      </c>
      <c r="D176" s="228">
        <v>524</v>
      </c>
      <c r="E176" s="228">
        <v>916</v>
      </c>
      <c r="F176" s="69">
        <v>1.5246144253840504E-9</v>
      </c>
      <c r="G176" s="228">
        <v>655903540.82351017</v>
      </c>
      <c r="H176" s="228">
        <v>16.600000000000001</v>
      </c>
      <c r="I176" s="69">
        <v>2.530859946137524E-8</v>
      </c>
      <c r="J176" s="69">
        <f t="shared" si="2"/>
        <v>4.0523463129282921E-5</v>
      </c>
      <c r="K176" s="242"/>
      <c r="L176" s="162">
        <v>18.399999618530273</v>
      </c>
      <c r="M176" s="69">
        <v>3.9272250432986766E-5</v>
      </c>
      <c r="N176" s="162"/>
      <c r="O176" s="69"/>
      <c r="P176" s="68"/>
      <c r="Q176" s="68"/>
      <c r="R176" s="68"/>
      <c r="S176" s="68"/>
      <c r="T176" s="68"/>
      <c r="U176" s="230"/>
      <c r="V176" s="68"/>
      <c r="W176" s="68"/>
      <c r="X176" s="68"/>
      <c r="Z176" s="68"/>
      <c r="AM176" s="162">
        <v>47.5</v>
      </c>
      <c r="AN176" s="69">
        <v>7.312431262107566E-5</v>
      </c>
    </row>
    <row r="177" spans="1:40">
      <c r="A177" s="269" t="s">
        <v>462</v>
      </c>
      <c r="B177" s="221" t="s">
        <v>446</v>
      </c>
      <c r="C177" s="221" t="s">
        <v>450</v>
      </c>
      <c r="D177" s="228">
        <v>297</v>
      </c>
      <c r="E177" s="228">
        <v>930</v>
      </c>
      <c r="F177" s="69">
        <v>1.5093682811302096E-7</v>
      </c>
      <c r="G177" s="228">
        <v>6625288.291146568</v>
      </c>
      <c r="H177" s="228">
        <v>16.5</v>
      </c>
      <c r="I177" s="69">
        <v>2.490457663864846E-6</v>
      </c>
      <c r="J177" s="69">
        <f t="shared" si="2"/>
        <v>4.0674399957395942E-5</v>
      </c>
      <c r="K177" s="242"/>
      <c r="L177" s="162">
        <v>18.399999618530273</v>
      </c>
      <c r="M177" s="69">
        <v>3.4814565879059955E-5</v>
      </c>
      <c r="N177" s="162"/>
      <c r="O177" s="69"/>
      <c r="P177" s="68"/>
      <c r="Q177" s="68"/>
      <c r="R177" s="68"/>
      <c r="S177" s="68"/>
      <c r="T177" s="68"/>
      <c r="U177" s="230"/>
      <c r="V177" s="68"/>
      <c r="W177" s="68"/>
      <c r="X177" s="68"/>
      <c r="Z177" s="68"/>
      <c r="AM177" s="162">
        <v>49.799999237060547</v>
      </c>
      <c r="AN177" s="69">
        <v>7.312431262107566E-5</v>
      </c>
    </row>
    <row r="178" spans="1:40">
      <c r="A178" s="269" t="s">
        <v>466</v>
      </c>
      <c r="B178" s="221" t="s">
        <v>448</v>
      </c>
      <c r="C178" s="221" t="s">
        <v>447</v>
      </c>
      <c r="D178" s="228">
        <v>524</v>
      </c>
      <c r="E178" s="228">
        <v>1032</v>
      </c>
      <c r="F178" s="69">
        <v>1.5246144253840504E-9</v>
      </c>
      <c r="G178" s="228">
        <v>655903540.82351017</v>
      </c>
      <c r="H178" s="228">
        <v>16.5</v>
      </c>
      <c r="I178" s="69">
        <v>2.515613801883683E-8</v>
      </c>
      <c r="J178" s="69">
        <f t="shared" si="2"/>
        <v>4.0675924571821325E-5</v>
      </c>
      <c r="K178" s="242"/>
      <c r="L178" s="162">
        <v>18.700000762939453</v>
      </c>
      <c r="M178" s="69">
        <v>3.4814565879059955E-5</v>
      </c>
      <c r="N178" s="162"/>
      <c r="O178" s="69"/>
      <c r="U178" s="230"/>
      <c r="V178" s="68"/>
      <c r="W178" s="68"/>
      <c r="AM178" s="162">
        <v>49.799999237060547</v>
      </c>
      <c r="AN178" s="69">
        <v>7.2284659836441278E-5</v>
      </c>
    </row>
    <row r="179" spans="1:40">
      <c r="A179" s="269" t="s">
        <v>519</v>
      </c>
      <c r="B179" s="221" t="s">
        <v>444</v>
      </c>
      <c r="C179" s="221" t="s">
        <v>442</v>
      </c>
      <c r="D179" s="228">
        <v>525</v>
      </c>
      <c r="E179" s="228">
        <v>1422</v>
      </c>
      <c r="F179" s="69">
        <v>1.2035866167E-6</v>
      </c>
      <c r="G179" s="228">
        <v>830850.04944787861</v>
      </c>
      <c r="H179" s="228">
        <v>16.3</v>
      </c>
      <c r="I179" s="69">
        <v>1.9618461852210001E-5</v>
      </c>
      <c r="J179" s="69">
        <f t="shared" si="2"/>
        <v>4.1879511188521326E-5</v>
      </c>
      <c r="K179" s="242"/>
      <c r="L179" s="162">
        <v>18.700000762939453</v>
      </c>
      <c r="M179" s="69">
        <v>3.4663629776332527E-5</v>
      </c>
      <c r="N179" s="162"/>
      <c r="O179" s="69"/>
      <c r="U179" s="230"/>
      <c r="V179" s="68"/>
      <c r="W179" s="68"/>
      <c r="AM179" s="162">
        <v>52.299999237060547</v>
      </c>
      <c r="AN179" s="69">
        <v>7.2284659836441278E-5</v>
      </c>
    </row>
    <row r="180" spans="1:40">
      <c r="A180" s="269" t="s">
        <v>462</v>
      </c>
      <c r="B180" s="221" t="s">
        <v>449</v>
      </c>
      <c r="C180" s="221" t="s">
        <v>450</v>
      </c>
      <c r="D180" s="228">
        <v>297</v>
      </c>
      <c r="E180" s="228">
        <v>910</v>
      </c>
      <c r="F180" s="69">
        <v>1.5093546968020952E-7</v>
      </c>
      <c r="G180" s="228">
        <v>6625347.9193374701</v>
      </c>
      <c r="H180" s="228">
        <v>16.2</v>
      </c>
      <c r="I180" s="69">
        <v>2.4451546088193942E-6</v>
      </c>
      <c r="J180" s="69">
        <f t="shared" si="2"/>
        <v>4.2030446658201537E-5</v>
      </c>
      <c r="K180" s="242"/>
      <c r="L180" s="162">
        <v>19.200000762939453</v>
      </c>
      <c r="M180" s="69">
        <v>3.4663629776332527E-5</v>
      </c>
      <c r="N180" s="162"/>
      <c r="O180" s="69"/>
      <c r="U180" s="230"/>
      <c r="V180" s="68"/>
      <c r="W180" s="68"/>
      <c r="AM180" s="162">
        <v>52.299999237060547</v>
      </c>
      <c r="AN180" s="69">
        <v>7.1445007051806897E-5</v>
      </c>
    </row>
    <row r="181" spans="1:40">
      <c r="A181" s="269" t="s">
        <v>517</v>
      </c>
      <c r="B181" s="221" t="s">
        <v>443</v>
      </c>
      <c r="C181" s="221" t="s">
        <v>476</v>
      </c>
      <c r="D181" s="228">
        <v>388</v>
      </c>
      <c r="E181" s="228">
        <v>1248</v>
      </c>
      <c r="F181" s="69">
        <v>4.4131067963907217E-6</v>
      </c>
      <c r="G181" s="228">
        <v>226597.73400857969</v>
      </c>
      <c r="H181" s="228">
        <v>15.3</v>
      </c>
      <c r="I181" s="69">
        <v>6.7520533984778043E-5</v>
      </c>
      <c r="J181" s="69">
        <f t="shared" si="2"/>
        <v>4.6443553454592258E-5</v>
      </c>
      <c r="K181" s="242"/>
      <c r="L181" s="162">
        <v>19.200000762939453</v>
      </c>
      <c r="M181" s="69">
        <v>3.4438846341799945E-5</v>
      </c>
      <c r="N181" s="162"/>
      <c r="O181" s="69"/>
      <c r="U181" s="230"/>
      <c r="V181" s="68"/>
      <c r="W181" s="68"/>
      <c r="AM181" s="162">
        <v>56</v>
      </c>
      <c r="AN181" s="69">
        <v>7.1445007051806897E-5</v>
      </c>
    </row>
    <row r="182" spans="1:40">
      <c r="A182" s="269" t="s">
        <v>466</v>
      </c>
      <c r="B182" s="221" t="s">
        <v>448</v>
      </c>
      <c r="C182" s="221" t="s">
        <v>450</v>
      </c>
      <c r="D182" s="228">
        <v>455</v>
      </c>
      <c r="E182" s="228">
        <v>1022</v>
      </c>
      <c r="F182" s="69">
        <v>1.5093682811302096E-7</v>
      </c>
      <c r="G182" s="228">
        <v>6625288.291146568</v>
      </c>
      <c r="H182" s="228">
        <v>15.3</v>
      </c>
      <c r="I182" s="69">
        <v>2.3093334701292209E-6</v>
      </c>
      <c r="J182" s="69">
        <f t="shared" si="2"/>
        <v>4.6594490282705278E-5</v>
      </c>
      <c r="K182" s="242"/>
      <c r="L182" s="162">
        <v>19.700000762939453</v>
      </c>
      <c r="M182" s="69">
        <v>3.4438846341799945E-5</v>
      </c>
      <c r="N182" s="162"/>
      <c r="O182" s="69"/>
      <c r="U182" s="230"/>
      <c r="V182" s="68"/>
      <c r="W182" s="68"/>
      <c r="AM182" s="162">
        <v>56</v>
      </c>
      <c r="AN182" s="69">
        <v>7.1421876782551408E-5</v>
      </c>
    </row>
    <row r="183" spans="1:40">
      <c r="A183" s="269" t="s">
        <v>467</v>
      </c>
      <c r="B183" s="221" t="s">
        <v>448</v>
      </c>
      <c r="C183" s="221" t="s">
        <v>450</v>
      </c>
      <c r="D183" s="228">
        <v>476</v>
      </c>
      <c r="E183" s="228">
        <v>1036</v>
      </c>
      <c r="F183" s="69">
        <v>1.5093682811302096E-7</v>
      </c>
      <c r="G183" s="228">
        <v>6625288.291146568</v>
      </c>
      <c r="H183" s="228">
        <v>15</v>
      </c>
      <c r="I183" s="69">
        <v>2.2640524216953143E-6</v>
      </c>
      <c r="J183" s="69">
        <f t="shared" si="2"/>
        <v>4.6745427110818298E-5</v>
      </c>
      <c r="K183" s="242"/>
      <c r="L183" s="162">
        <v>19.700000762939453</v>
      </c>
      <c r="M183" s="69">
        <v>3.4394266549497843E-5</v>
      </c>
      <c r="N183" s="162"/>
      <c r="O183" s="69"/>
      <c r="U183" s="230"/>
      <c r="V183" s="68"/>
      <c r="W183" s="68"/>
      <c r="AM183" s="162">
        <v>56.299999237060547</v>
      </c>
      <c r="AN183" s="69">
        <v>7.1421876782551408E-5</v>
      </c>
    </row>
    <row r="184" spans="1:40">
      <c r="A184" s="269" t="s">
        <v>451</v>
      </c>
      <c r="B184" s="221" t="s">
        <v>444</v>
      </c>
      <c r="C184" s="221" t="s">
        <v>442</v>
      </c>
      <c r="D184" s="228">
        <v>524</v>
      </c>
      <c r="E184" s="228">
        <v>1430</v>
      </c>
      <c r="F184" s="69">
        <v>1.2035866167E-6</v>
      </c>
      <c r="G184" s="228">
        <v>830850.04944787861</v>
      </c>
      <c r="H184" s="228">
        <v>14.9</v>
      </c>
      <c r="I184" s="69">
        <v>1.7933440588829999E-5</v>
      </c>
      <c r="J184" s="69">
        <f t="shared" si="2"/>
        <v>4.7949013727518299E-5</v>
      </c>
      <c r="K184" s="242"/>
      <c r="L184" s="162">
        <v>20.200000762939453</v>
      </c>
      <c r="M184" s="69">
        <v>3.4394266549497843E-5</v>
      </c>
      <c r="N184" s="162"/>
      <c r="O184" s="69"/>
      <c r="U184" s="230"/>
      <c r="V184" s="68"/>
      <c r="W184" s="68"/>
      <c r="AM184" s="162">
        <v>56.299999237060547</v>
      </c>
      <c r="AN184" s="69">
        <v>7.1398739237338305E-5</v>
      </c>
    </row>
    <row r="185" spans="1:40">
      <c r="A185" s="269" t="s">
        <v>519</v>
      </c>
      <c r="B185" s="221" t="s">
        <v>441</v>
      </c>
      <c r="C185" s="221" t="s">
        <v>442</v>
      </c>
      <c r="D185" s="228">
        <v>524</v>
      </c>
      <c r="E185" s="228">
        <v>1418</v>
      </c>
      <c r="F185" s="69">
        <v>4.4577237522717891E-8</v>
      </c>
      <c r="G185" s="228">
        <v>22432973.768066496</v>
      </c>
      <c r="H185" s="228">
        <v>14.8</v>
      </c>
      <c r="I185" s="69">
        <v>6.5974311533622478E-7</v>
      </c>
      <c r="J185" s="69">
        <f t="shared" si="2"/>
        <v>4.7993590965041015E-5</v>
      </c>
      <c r="K185" s="242"/>
      <c r="L185" s="162">
        <v>20.200000762939453</v>
      </c>
      <c r="M185" s="69">
        <v>3.4169486752944067E-5</v>
      </c>
      <c r="N185" s="162"/>
      <c r="O185" s="69"/>
      <c r="U185" s="230"/>
      <c r="V185" s="68"/>
      <c r="W185" s="68"/>
      <c r="AM185" s="162">
        <v>57.200000762939453</v>
      </c>
      <c r="AN185" s="69">
        <v>7.1398739237338305E-5</v>
      </c>
    </row>
    <row r="186" spans="1:40">
      <c r="A186" s="269" t="s">
        <v>465</v>
      </c>
      <c r="B186" s="159" t="s">
        <v>448</v>
      </c>
      <c r="C186" s="159" t="s">
        <v>447</v>
      </c>
      <c r="D186" s="228">
        <v>525</v>
      </c>
      <c r="E186" s="228">
        <v>976</v>
      </c>
      <c r="F186" s="69">
        <v>1.5246144253840504E-9</v>
      </c>
      <c r="G186" s="228">
        <v>655903540.82351017</v>
      </c>
      <c r="H186" s="228">
        <v>14.6</v>
      </c>
      <c r="I186" s="69">
        <v>2.2259370610607136E-8</v>
      </c>
      <c r="J186" s="69">
        <f t="shared" si="2"/>
        <v>4.7995115579466398E-5</v>
      </c>
      <c r="K186" s="242"/>
      <c r="L186" s="162">
        <v>20.799999237060547</v>
      </c>
      <c r="M186" s="69">
        <v>3.4169486752944067E-5</v>
      </c>
      <c r="N186" s="162"/>
      <c r="O186" s="69"/>
      <c r="U186" s="230"/>
      <c r="V186" s="68"/>
      <c r="W186" s="68"/>
      <c r="AM186" s="162">
        <v>57.200000762939453</v>
      </c>
      <c r="AN186" s="69">
        <v>6.8761371949221939E-5</v>
      </c>
    </row>
    <row r="187" spans="1:40">
      <c r="A187" s="269" t="s">
        <v>468</v>
      </c>
      <c r="B187" s="221" t="s">
        <v>444</v>
      </c>
      <c r="C187" s="221" t="s">
        <v>442</v>
      </c>
      <c r="D187" s="228">
        <v>526</v>
      </c>
      <c r="E187" s="228">
        <v>1456</v>
      </c>
      <c r="F187" s="69">
        <v>1.2035866167E-6</v>
      </c>
      <c r="G187" s="228">
        <v>830850.04944787861</v>
      </c>
      <c r="H187" s="228">
        <v>14.6</v>
      </c>
      <c r="I187" s="69">
        <v>1.7572364603819999E-5</v>
      </c>
      <c r="J187" s="69">
        <f t="shared" si="2"/>
        <v>4.9198702196166399E-5</v>
      </c>
      <c r="K187" s="242"/>
      <c r="L187" s="162">
        <v>20.799999237060547</v>
      </c>
      <c r="M187" s="69">
        <v>2.9756378353340551E-5</v>
      </c>
      <c r="N187" s="162"/>
      <c r="O187" s="69"/>
      <c r="U187" s="230"/>
      <c r="V187" s="68"/>
      <c r="W187" s="68"/>
      <c r="AM187" s="162">
        <v>57.400001525878906</v>
      </c>
      <c r="AN187" s="69">
        <v>6.8761371949221939E-5</v>
      </c>
    </row>
    <row r="188" spans="1:40">
      <c r="A188" s="269" t="s">
        <v>453</v>
      </c>
      <c r="B188" s="221" t="s">
        <v>474</v>
      </c>
      <c r="C188" s="221" t="s">
        <v>438</v>
      </c>
      <c r="D188" s="228">
        <v>524</v>
      </c>
      <c r="E188" s="228">
        <v>1526</v>
      </c>
      <c r="F188" s="69">
        <v>2.247844018764845E-7</v>
      </c>
      <c r="G188" s="228">
        <v>4448707.2574968273</v>
      </c>
      <c r="H188" s="228">
        <v>14.4</v>
      </c>
      <c r="I188" s="69">
        <v>3.2368953870213768E-6</v>
      </c>
      <c r="J188" s="69">
        <f t="shared" si="2"/>
        <v>4.9423486598042883E-5</v>
      </c>
      <c r="K188" s="242"/>
      <c r="L188" s="162">
        <v>21.399999618530273</v>
      </c>
      <c r="M188" s="69">
        <v>2.9756378353340551E-5</v>
      </c>
      <c r="N188" s="162"/>
      <c r="O188" s="69"/>
      <c r="U188" s="230"/>
      <c r="V188" s="68"/>
      <c r="W188" s="68"/>
      <c r="AM188" s="162">
        <v>57.400001525878906</v>
      </c>
      <c r="AN188" s="69">
        <v>6.873824167996645E-5</v>
      </c>
    </row>
    <row r="189" spans="1:40">
      <c r="A189" s="269" t="s">
        <v>513</v>
      </c>
      <c r="B189" s="221" t="s">
        <v>449</v>
      </c>
      <c r="C189" s="221" t="s">
        <v>450</v>
      </c>
      <c r="D189" s="228">
        <v>221</v>
      </c>
      <c r="E189" s="228">
        <v>768</v>
      </c>
      <c r="F189" s="69">
        <v>1.5093546968020952E-7</v>
      </c>
      <c r="G189" s="228">
        <v>6625347.9193374701</v>
      </c>
      <c r="H189" s="228">
        <v>14.4</v>
      </c>
      <c r="I189" s="69">
        <v>2.1734707633950172E-6</v>
      </c>
      <c r="J189" s="69">
        <f t="shared" si="2"/>
        <v>4.9574422067723094E-5</v>
      </c>
      <c r="K189" s="242"/>
      <c r="L189" s="162">
        <v>21.399999618530273</v>
      </c>
      <c r="M189" s="69">
        <v>2.8552793082781136E-5</v>
      </c>
      <c r="N189" s="162"/>
      <c r="O189" s="69"/>
      <c r="U189" s="230"/>
      <c r="V189" s="68"/>
      <c r="W189" s="68"/>
      <c r="AM189" s="162">
        <v>57.799999237060547</v>
      </c>
      <c r="AN189" s="69">
        <v>6.873824167996645E-5</v>
      </c>
    </row>
    <row r="190" spans="1:40">
      <c r="A190" s="269" t="s">
        <v>462</v>
      </c>
      <c r="B190" s="221" t="s">
        <v>443</v>
      </c>
      <c r="C190" s="221" t="s">
        <v>442</v>
      </c>
      <c r="D190" s="228">
        <v>525</v>
      </c>
      <c r="E190" s="228">
        <v>980</v>
      </c>
      <c r="F190" s="69">
        <v>4.4576836327178993E-8</v>
      </c>
      <c r="G190" s="228">
        <v>22433175.666849397</v>
      </c>
      <c r="H190" s="228">
        <v>14.2</v>
      </c>
      <c r="I190" s="69">
        <v>6.3299107584594169E-7</v>
      </c>
      <c r="J190" s="69">
        <f t="shared" si="2"/>
        <v>4.9618998904050274E-5</v>
      </c>
      <c r="K190" s="242"/>
      <c r="L190" s="162">
        <v>21.5</v>
      </c>
      <c r="M190" s="69">
        <v>2.8552793082781136E-5</v>
      </c>
      <c r="N190" s="162"/>
      <c r="O190" s="69"/>
      <c r="U190" s="230"/>
      <c r="V190" s="68"/>
      <c r="W190" s="68"/>
      <c r="AM190" s="162">
        <v>57.799999237060547</v>
      </c>
      <c r="AN190" s="69">
        <v>6.6100874391850084E-5</v>
      </c>
    </row>
    <row r="191" spans="1:40">
      <c r="A191" s="269" t="s">
        <v>520</v>
      </c>
      <c r="B191" s="221" t="s">
        <v>448</v>
      </c>
      <c r="C191" s="221" t="s">
        <v>447</v>
      </c>
      <c r="D191" s="228">
        <v>524</v>
      </c>
      <c r="E191" s="228">
        <v>1012</v>
      </c>
      <c r="F191" s="69">
        <v>1.5246144253840504E-9</v>
      </c>
      <c r="G191" s="228">
        <v>655903540.82351017</v>
      </c>
      <c r="H191" s="228">
        <v>14.1</v>
      </c>
      <c r="I191" s="69">
        <v>2.1497063397915109E-8</v>
      </c>
      <c r="J191" s="69">
        <f t="shared" si="2"/>
        <v>4.9620523518475657E-5</v>
      </c>
      <c r="K191" s="242"/>
      <c r="L191" s="162">
        <v>21.5</v>
      </c>
      <c r="M191" s="69">
        <v>2.8401855161064304E-5</v>
      </c>
      <c r="N191" s="162"/>
      <c r="O191" s="69"/>
      <c r="U191" s="230"/>
      <c r="V191" s="68"/>
      <c r="W191" s="68"/>
      <c r="AM191" s="162">
        <v>60.900001525878906</v>
      </c>
      <c r="AN191" s="69">
        <v>6.6100874391850084E-5</v>
      </c>
    </row>
    <row r="192" spans="1:40">
      <c r="A192" s="269" t="s">
        <v>466</v>
      </c>
      <c r="B192" s="221" t="s">
        <v>441</v>
      </c>
      <c r="C192" s="221" t="s">
        <v>442</v>
      </c>
      <c r="D192" s="228">
        <v>526</v>
      </c>
      <c r="E192" s="228">
        <v>1430</v>
      </c>
      <c r="F192" s="69">
        <v>4.4577237522717891E-8</v>
      </c>
      <c r="G192" s="228">
        <v>22432973.768066496</v>
      </c>
      <c r="H192" s="228">
        <v>14</v>
      </c>
      <c r="I192" s="69">
        <v>6.240813253180505E-7</v>
      </c>
      <c r="J192" s="69">
        <f t="shared" si="2"/>
        <v>4.9665100755998373E-5</v>
      </c>
      <c r="K192" s="242"/>
      <c r="L192" s="162">
        <v>22.299999237060547</v>
      </c>
      <c r="M192" s="69">
        <v>2.8401855161064304E-5</v>
      </c>
      <c r="N192" s="162"/>
      <c r="O192" s="69"/>
      <c r="U192" s="230"/>
      <c r="V192" s="68"/>
      <c r="W192" s="68"/>
      <c r="AM192" s="162">
        <v>60.900001525878906</v>
      </c>
      <c r="AN192" s="69">
        <v>6.6077736846636981E-5</v>
      </c>
    </row>
    <row r="193" spans="1:40">
      <c r="A193" s="269" t="s">
        <v>514</v>
      </c>
      <c r="B193" s="221" t="s">
        <v>443</v>
      </c>
      <c r="C193" s="221" t="s">
        <v>442</v>
      </c>
      <c r="D193" s="228">
        <v>501</v>
      </c>
      <c r="E193" s="228">
        <v>798</v>
      </c>
      <c r="F193" s="69">
        <v>4.4576836327178993E-8</v>
      </c>
      <c r="G193" s="228">
        <v>22433175.666849397</v>
      </c>
      <c r="H193" s="228">
        <v>13.9</v>
      </c>
      <c r="I193" s="69">
        <v>6.1961802494778806E-7</v>
      </c>
      <c r="J193" s="69">
        <f t="shared" si="2"/>
        <v>4.9709677592325552E-5</v>
      </c>
      <c r="K193" s="242"/>
      <c r="L193" s="162">
        <v>22.299999237060547</v>
      </c>
      <c r="M193" s="69">
        <v>2.7198269890504889E-5</v>
      </c>
      <c r="N193" s="162"/>
      <c r="O193" s="69"/>
      <c r="U193" s="230"/>
      <c r="V193" s="68"/>
      <c r="W193" s="68"/>
      <c r="AM193" s="162">
        <v>61.700000762939453</v>
      </c>
      <c r="AN193" s="69">
        <v>6.6077736846636981E-5</v>
      </c>
    </row>
    <row r="194" spans="1:40">
      <c r="A194" s="269" t="s">
        <v>516</v>
      </c>
      <c r="B194" s="221" t="s">
        <v>446</v>
      </c>
      <c r="C194" s="221" t="s">
        <v>450</v>
      </c>
      <c r="D194" s="228">
        <v>292</v>
      </c>
      <c r="E194" s="228">
        <v>940</v>
      </c>
      <c r="F194" s="69">
        <v>1.5093682811302096E-7</v>
      </c>
      <c r="G194" s="228">
        <v>6625288.291146568</v>
      </c>
      <c r="H194" s="228">
        <v>13.8</v>
      </c>
      <c r="I194" s="69">
        <v>2.0829282279596896E-6</v>
      </c>
      <c r="J194" s="69">
        <f t="shared" si="2"/>
        <v>4.9860614420438573E-5</v>
      </c>
      <c r="K194" s="242"/>
      <c r="L194" s="162">
        <v>22.700000762939453</v>
      </c>
      <c r="M194" s="69">
        <v>2.7198269890504889E-5</v>
      </c>
      <c r="N194" s="162"/>
      <c r="O194" s="69"/>
      <c r="P194" s="68"/>
      <c r="Q194" s="68"/>
      <c r="R194" s="68"/>
      <c r="S194" s="68"/>
      <c r="T194" s="68"/>
      <c r="U194" s="230"/>
      <c r="V194" s="68"/>
      <c r="W194" s="68"/>
      <c r="X194" s="68"/>
      <c r="Z194" s="68"/>
      <c r="AM194" s="162">
        <v>61.700000762939453</v>
      </c>
      <c r="AN194" s="69">
        <v>6.6054606577381492E-5</v>
      </c>
    </row>
    <row r="195" spans="1:40">
      <c r="A195" s="269" t="s">
        <v>467</v>
      </c>
      <c r="B195" s="221" t="s">
        <v>441</v>
      </c>
      <c r="C195" s="221" t="s">
        <v>442</v>
      </c>
      <c r="D195" s="228">
        <v>524</v>
      </c>
      <c r="E195" s="228">
        <v>1432</v>
      </c>
      <c r="F195" s="69">
        <v>4.4577237522717891E-8</v>
      </c>
      <c r="G195" s="228">
        <v>22432973.768066496</v>
      </c>
      <c r="H195" s="228">
        <v>13.7</v>
      </c>
      <c r="I195" s="69">
        <v>6.1070815406123505E-7</v>
      </c>
      <c r="J195" s="69">
        <f t="shared" ref="J195:J258" si="3">J194+F195</f>
        <v>4.9905191657961288E-5</v>
      </c>
      <c r="K195" s="242"/>
      <c r="L195" s="162">
        <v>22.700000762939453</v>
      </c>
      <c r="M195" s="69">
        <v>2.7047333787777461E-5</v>
      </c>
      <c r="N195" s="162"/>
      <c r="O195" s="69"/>
      <c r="P195" s="68"/>
      <c r="Q195" s="68"/>
      <c r="R195" s="68"/>
      <c r="S195" s="68"/>
      <c r="T195" s="68"/>
      <c r="U195" s="230"/>
      <c r="V195" s="68"/>
      <c r="W195" s="68"/>
      <c r="X195" s="68"/>
      <c r="Z195" s="68"/>
      <c r="AM195" s="162">
        <v>62.599998474121094</v>
      </c>
      <c r="AN195" s="69">
        <v>6.6054606577381492E-5</v>
      </c>
    </row>
    <row r="196" spans="1:40">
      <c r="A196" s="269" t="s">
        <v>468</v>
      </c>
      <c r="B196" s="221" t="s">
        <v>441</v>
      </c>
      <c r="C196" s="221" t="s">
        <v>442</v>
      </c>
      <c r="D196" s="228">
        <v>524</v>
      </c>
      <c r="E196" s="228">
        <v>1420</v>
      </c>
      <c r="F196" s="69">
        <v>4.4577237522717891E-8</v>
      </c>
      <c r="G196" s="228">
        <v>22432973.768066496</v>
      </c>
      <c r="H196" s="228">
        <v>13.7</v>
      </c>
      <c r="I196" s="69">
        <v>6.1070815406123505E-7</v>
      </c>
      <c r="J196" s="69">
        <f t="shared" si="3"/>
        <v>4.9949768895484004E-5</v>
      </c>
      <c r="K196" s="242"/>
      <c r="L196" s="162">
        <v>23.100000381469727</v>
      </c>
      <c r="M196" s="69">
        <v>2.7047333787777461E-5</v>
      </c>
      <c r="N196" s="162"/>
      <c r="O196" s="69"/>
      <c r="P196" s="68"/>
      <c r="Q196" s="68"/>
      <c r="R196" s="68"/>
      <c r="S196" s="68"/>
      <c r="T196" s="68"/>
      <c r="U196" s="230"/>
      <c r="V196" s="68"/>
      <c r="W196" s="68"/>
      <c r="X196" s="68"/>
      <c r="Z196" s="68"/>
      <c r="AM196" s="162">
        <v>62.599998474121094</v>
      </c>
      <c r="AN196" s="69">
        <v>6.4120395109057426E-5</v>
      </c>
    </row>
    <row r="197" spans="1:40">
      <c r="A197" s="269" t="s">
        <v>519</v>
      </c>
      <c r="B197" s="221" t="s">
        <v>441</v>
      </c>
      <c r="C197" s="221" t="s">
        <v>476</v>
      </c>
      <c r="D197" s="228">
        <v>481</v>
      </c>
      <c r="E197" s="228">
        <v>1520</v>
      </c>
      <c r="F197" s="69">
        <v>4.413146514749072E-6</v>
      </c>
      <c r="G197" s="228">
        <v>226595.69462693427</v>
      </c>
      <c r="H197" s="228">
        <v>13.4</v>
      </c>
      <c r="I197" s="69">
        <v>5.9136163297637569E-5</v>
      </c>
      <c r="J197" s="69">
        <f t="shared" si="3"/>
        <v>5.4362915410233074E-5</v>
      </c>
      <c r="K197" s="242"/>
      <c r="L197" s="162">
        <v>23.100000381469727</v>
      </c>
      <c r="M197" s="69">
        <v>2.2409443772630766E-5</v>
      </c>
      <c r="N197" s="162"/>
      <c r="O197" s="69"/>
      <c r="P197" s="68"/>
      <c r="Q197" s="68"/>
      <c r="R197" s="68"/>
      <c r="S197" s="68"/>
      <c r="T197" s="68"/>
      <c r="U197" s="230"/>
      <c r="V197" s="68"/>
      <c r="W197" s="68"/>
      <c r="X197" s="68"/>
      <c r="Z197" s="68"/>
      <c r="AM197" s="162">
        <v>63</v>
      </c>
      <c r="AN197" s="69">
        <v>6.4120395109057426E-5</v>
      </c>
    </row>
    <row r="198" spans="1:40">
      <c r="A198" s="269" t="s">
        <v>463</v>
      </c>
      <c r="B198" s="221" t="s">
        <v>448</v>
      </c>
      <c r="C198" s="221" t="s">
        <v>447</v>
      </c>
      <c r="D198" s="228">
        <v>524</v>
      </c>
      <c r="E198" s="228">
        <v>946</v>
      </c>
      <c r="F198" s="69">
        <v>1.5246144253840504E-9</v>
      </c>
      <c r="G198" s="228">
        <v>655903540.82351017</v>
      </c>
      <c r="H198" s="228">
        <v>13.2</v>
      </c>
      <c r="I198" s="69">
        <v>2.0124910415069465E-8</v>
      </c>
      <c r="J198" s="69">
        <f t="shared" si="3"/>
        <v>5.4364440024658457E-5</v>
      </c>
      <c r="K198" s="242"/>
      <c r="L198" s="162">
        <v>23.600000381469727</v>
      </c>
      <c r="M198" s="69">
        <v>2.2409443772630766E-5</v>
      </c>
      <c r="N198" s="162"/>
      <c r="O198" s="69"/>
      <c r="U198" s="230"/>
      <c r="V198" s="68"/>
      <c r="W198" s="68"/>
      <c r="AM198" s="162">
        <v>63</v>
      </c>
      <c r="AN198" s="69">
        <v>6.1483027820941061E-5</v>
      </c>
    </row>
    <row r="199" spans="1:40">
      <c r="A199" s="269" t="s">
        <v>518</v>
      </c>
      <c r="B199" s="221" t="s">
        <v>448</v>
      </c>
      <c r="C199" s="221" t="s">
        <v>447</v>
      </c>
      <c r="D199" s="228">
        <v>524</v>
      </c>
      <c r="E199" s="228">
        <v>934</v>
      </c>
      <c r="F199" s="69">
        <v>1.5246144253840504E-9</v>
      </c>
      <c r="G199" s="228">
        <v>655903540.82351017</v>
      </c>
      <c r="H199" s="228">
        <v>13</v>
      </c>
      <c r="I199" s="69">
        <v>1.9819987529992655E-8</v>
      </c>
      <c r="J199" s="69">
        <f t="shared" si="3"/>
        <v>5.436596463908384E-5</v>
      </c>
      <c r="K199" s="242"/>
      <c r="L199" s="162">
        <v>23.600000381469727</v>
      </c>
      <c r="M199" s="69">
        <v>2.1882786313653924E-5</v>
      </c>
      <c r="N199" s="162"/>
      <c r="O199" s="69"/>
      <c r="U199" s="230"/>
      <c r="V199" s="68"/>
      <c r="W199" s="68"/>
      <c r="AM199" s="162">
        <v>63.700000762939453</v>
      </c>
      <c r="AN199" s="69">
        <v>6.1483027820941061E-5</v>
      </c>
    </row>
    <row r="200" spans="1:40">
      <c r="A200" s="269" t="s">
        <v>463</v>
      </c>
      <c r="B200" s="221" t="s">
        <v>443</v>
      </c>
      <c r="C200" s="221" t="s">
        <v>476</v>
      </c>
      <c r="D200" s="228">
        <v>388</v>
      </c>
      <c r="E200" s="228">
        <v>1088</v>
      </c>
      <c r="F200" s="69">
        <v>4.4131067963907217E-6</v>
      </c>
      <c r="G200" s="228">
        <v>226597.73400857969</v>
      </c>
      <c r="H200" s="228">
        <v>12.9</v>
      </c>
      <c r="I200" s="69">
        <v>5.6929077673440315E-5</v>
      </c>
      <c r="J200" s="69">
        <f t="shared" si="3"/>
        <v>5.8779071435474561E-5</v>
      </c>
      <c r="K200" s="242"/>
      <c r="L200" s="162">
        <v>25.200000762939453</v>
      </c>
      <c r="M200" s="69">
        <v>2.1882786313653924E-5</v>
      </c>
      <c r="N200" s="162"/>
      <c r="O200" s="69"/>
      <c r="U200" s="230"/>
      <c r="V200" s="68"/>
      <c r="W200" s="68"/>
      <c r="AM200" s="162">
        <v>63.700000762939453</v>
      </c>
      <c r="AN200" s="69">
        <v>5.8845660532824695E-5</v>
      </c>
    </row>
    <row r="201" spans="1:40">
      <c r="A201" s="269" t="s">
        <v>518</v>
      </c>
      <c r="B201" s="221" t="s">
        <v>443</v>
      </c>
      <c r="C201" s="221" t="s">
        <v>476</v>
      </c>
      <c r="D201" s="228">
        <v>391</v>
      </c>
      <c r="E201" s="228">
        <v>1292</v>
      </c>
      <c r="F201" s="69">
        <v>4.4131067963907217E-6</v>
      </c>
      <c r="G201" s="228">
        <v>226597.73400857969</v>
      </c>
      <c r="H201" s="228">
        <v>12.7</v>
      </c>
      <c r="I201" s="69">
        <v>5.6046456314162161E-5</v>
      </c>
      <c r="J201" s="69">
        <f t="shared" si="3"/>
        <v>6.3192178231865289E-5</v>
      </c>
      <c r="K201" s="242"/>
      <c r="L201" s="162">
        <v>25.200000762939453</v>
      </c>
      <c r="M201" s="69">
        <v>1.7469679733039811E-5</v>
      </c>
      <c r="N201" s="162"/>
      <c r="O201" s="69"/>
      <c r="U201" s="230"/>
      <c r="V201" s="68"/>
      <c r="W201" s="68"/>
      <c r="AM201" s="162">
        <v>64.199996948242188</v>
      </c>
      <c r="AN201" s="69">
        <v>5.8845660532824695E-5</v>
      </c>
    </row>
    <row r="202" spans="1:40">
      <c r="A202" s="269" t="s">
        <v>510</v>
      </c>
      <c r="B202" s="221" t="s">
        <v>444</v>
      </c>
      <c r="C202" s="221" t="s">
        <v>442</v>
      </c>
      <c r="D202" s="228">
        <v>500</v>
      </c>
      <c r="E202" s="228">
        <v>1480</v>
      </c>
      <c r="F202" s="69">
        <v>1.2035866167E-6</v>
      </c>
      <c r="G202" s="228">
        <v>830850.04944787861</v>
      </c>
      <c r="H202" s="228">
        <v>12.6</v>
      </c>
      <c r="I202" s="69">
        <v>1.516519137042E-5</v>
      </c>
      <c r="J202" s="69">
        <f t="shared" si="3"/>
        <v>6.4395764848565283E-5</v>
      </c>
      <c r="K202" s="242"/>
      <c r="L202" s="162">
        <v>25.399999618530273</v>
      </c>
      <c r="M202" s="69">
        <v>1.7469679733039811E-5</v>
      </c>
      <c r="N202" s="162"/>
      <c r="O202" s="69"/>
      <c r="U202" s="230"/>
      <c r="V202" s="68"/>
      <c r="W202" s="68"/>
      <c r="AM202" s="162">
        <v>64.199996948242188</v>
      </c>
      <c r="AN202" s="69">
        <v>5.8822526625590399E-5</v>
      </c>
    </row>
    <row r="203" spans="1:40">
      <c r="A203" s="269" t="s">
        <v>461</v>
      </c>
      <c r="B203" s="221" t="s">
        <v>443</v>
      </c>
      <c r="C203" s="221" t="s">
        <v>442</v>
      </c>
      <c r="D203" s="228">
        <v>524</v>
      </c>
      <c r="E203" s="228">
        <v>998</v>
      </c>
      <c r="F203" s="69">
        <v>4.4576836327178993E-8</v>
      </c>
      <c r="G203" s="228">
        <v>22433175.666849397</v>
      </c>
      <c r="H203" s="228">
        <v>12.4</v>
      </c>
      <c r="I203" s="69">
        <v>5.527527704570195E-7</v>
      </c>
      <c r="J203" s="69">
        <f t="shared" si="3"/>
        <v>6.4440341684892456E-5</v>
      </c>
      <c r="K203" s="242"/>
      <c r="L203" s="162">
        <v>25.399999618530273</v>
      </c>
      <c r="M203" s="69">
        <v>1.746815541991964E-5</v>
      </c>
      <c r="N203" s="162"/>
      <c r="O203" s="69"/>
      <c r="U203" s="230"/>
      <c r="V203" s="68"/>
      <c r="W203" s="68"/>
      <c r="AM203" s="162">
        <v>64.699996948242188</v>
      </c>
      <c r="AN203" s="69">
        <v>5.8822526625590399E-5</v>
      </c>
    </row>
    <row r="204" spans="1:40">
      <c r="A204" s="269" t="s">
        <v>463</v>
      </c>
      <c r="B204" s="221" t="s">
        <v>441</v>
      </c>
      <c r="C204" s="221" t="s">
        <v>476</v>
      </c>
      <c r="D204" s="228">
        <v>391</v>
      </c>
      <c r="E204" s="228">
        <v>1256</v>
      </c>
      <c r="F204" s="69">
        <v>4.413146514749072E-6</v>
      </c>
      <c r="G204" s="228">
        <v>226595.69462693427</v>
      </c>
      <c r="H204" s="228">
        <v>12.3</v>
      </c>
      <c r="I204" s="69">
        <v>5.4281702131413588E-5</v>
      </c>
      <c r="J204" s="69">
        <f t="shared" si="3"/>
        <v>6.8853488199641533E-5</v>
      </c>
      <c r="K204" s="242"/>
      <c r="L204" s="162">
        <v>25.5</v>
      </c>
      <c r="M204" s="69">
        <v>1.746815541991964E-5</v>
      </c>
      <c r="N204" s="162"/>
      <c r="O204" s="69"/>
      <c r="U204" s="230"/>
      <c r="V204" s="68"/>
      <c r="W204" s="68"/>
      <c r="AM204" s="162">
        <v>64.699996948242188</v>
      </c>
      <c r="AN204" s="69">
        <v>5.8799392718356103E-5</v>
      </c>
    </row>
    <row r="205" spans="1:40">
      <c r="A205" s="269" t="s">
        <v>467</v>
      </c>
      <c r="B205" s="221" t="s">
        <v>441</v>
      </c>
      <c r="C205" s="221" t="s">
        <v>476</v>
      </c>
      <c r="D205" s="228">
        <v>479</v>
      </c>
      <c r="E205" s="228">
        <v>1376</v>
      </c>
      <c r="F205" s="69">
        <v>4.413146514749072E-6</v>
      </c>
      <c r="G205" s="228">
        <v>226595.69462693427</v>
      </c>
      <c r="H205" s="228">
        <v>12.2</v>
      </c>
      <c r="I205" s="69">
        <v>5.3840387479938678E-5</v>
      </c>
      <c r="J205" s="69">
        <f t="shared" si="3"/>
        <v>7.326663471439061E-5</v>
      </c>
      <c r="K205" s="242"/>
      <c r="L205" s="162">
        <v>25.5</v>
      </c>
      <c r="M205" s="69">
        <v>1.7317219317192212E-5</v>
      </c>
      <c r="N205" s="162"/>
      <c r="O205" s="69"/>
      <c r="U205" s="230"/>
      <c r="V205" s="68"/>
      <c r="W205" s="68"/>
      <c r="AM205" s="162">
        <v>65.300003051757812</v>
      </c>
      <c r="AN205" s="69">
        <v>5.8799392718356103E-5</v>
      </c>
    </row>
    <row r="206" spans="1:40">
      <c r="A206" s="269" t="s">
        <v>463</v>
      </c>
      <c r="B206" s="221" t="s">
        <v>448</v>
      </c>
      <c r="C206" s="221" t="s">
        <v>450</v>
      </c>
      <c r="D206" s="228">
        <v>387</v>
      </c>
      <c r="E206" s="228">
        <v>954</v>
      </c>
      <c r="F206" s="69">
        <v>1.5093682811302096E-7</v>
      </c>
      <c r="G206" s="228">
        <v>6625288.291146568</v>
      </c>
      <c r="H206" s="228">
        <v>12</v>
      </c>
      <c r="I206" s="69">
        <v>1.8112419373562516E-6</v>
      </c>
      <c r="J206" s="69">
        <f t="shared" si="3"/>
        <v>7.3417571542503638E-5</v>
      </c>
      <c r="K206" s="242"/>
      <c r="L206" s="162">
        <v>26.100000381469727</v>
      </c>
      <c r="M206" s="69">
        <v>1.7317219317192212E-5</v>
      </c>
      <c r="N206" s="162"/>
      <c r="O206" s="69"/>
      <c r="U206" s="230"/>
      <c r="V206" s="68"/>
      <c r="W206" s="68"/>
      <c r="AM206" s="162">
        <v>65.300003051757812</v>
      </c>
      <c r="AN206" s="69">
        <v>5.8776258811121807E-5</v>
      </c>
    </row>
    <row r="207" spans="1:40">
      <c r="A207" s="269" t="s">
        <v>458</v>
      </c>
      <c r="B207" s="221" t="s">
        <v>449</v>
      </c>
      <c r="C207" s="221" t="s">
        <v>450</v>
      </c>
      <c r="D207" s="228">
        <v>218</v>
      </c>
      <c r="E207" s="228">
        <v>738</v>
      </c>
      <c r="F207" s="69">
        <v>1.5093546968020952E-7</v>
      </c>
      <c r="G207" s="228">
        <v>6625347.9193374701</v>
      </c>
      <c r="H207" s="228">
        <v>11.7</v>
      </c>
      <c r="I207" s="69">
        <v>1.7659449952584513E-6</v>
      </c>
      <c r="J207" s="69">
        <f t="shared" si="3"/>
        <v>7.3568507012183849E-5</v>
      </c>
      <c r="K207" s="242"/>
      <c r="L207" s="162">
        <v>26.100000381469727</v>
      </c>
      <c r="M207" s="69">
        <v>1.2904112736578099E-5</v>
      </c>
      <c r="N207" s="162"/>
      <c r="O207" s="69"/>
      <c r="U207" s="230"/>
      <c r="V207" s="68"/>
      <c r="W207" s="68"/>
      <c r="AM207" s="162">
        <v>65.699996948242188</v>
      </c>
      <c r="AN207" s="69">
        <v>5.8776258811121807E-5</v>
      </c>
    </row>
    <row r="208" spans="1:40">
      <c r="A208" s="269" t="s">
        <v>454</v>
      </c>
      <c r="B208" s="221" t="s">
        <v>444</v>
      </c>
      <c r="C208" s="221" t="s">
        <v>442</v>
      </c>
      <c r="D208" s="228">
        <v>524</v>
      </c>
      <c r="E208" s="228">
        <v>1474</v>
      </c>
      <c r="F208" s="69">
        <v>1.2035866167E-6</v>
      </c>
      <c r="G208" s="228">
        <v>830850.04944787861</v>
      </c>
      <c r="H208" s="228">
        <v>11.5</v>
      </c>
      <c r="I208" s="69">
        <v>1.3841246092050001E-5</v>
      </c>
      <c r="J208" s="69">
        <f t="shared" si="3"/>
        <v>7.4772093628883843E-5</v>
      </c>
      <c r="K208" s="242"/>
      <c r="L208" s="162">
        <v>26.899999618530273</v>
      </c>
      <c r="M208" s="69">
        <v>1.2904112736578099E-5</v>
      </c>
      <c r="N208" s="162"/>
      <c r="O208" s="69"/>
      <c r="U208" s="230"/>
      <c r="V208" s="68"/>
      <c r="W208" s="68"/>
      <c r="AM208" s="162">
        <v>65.699996948242188</v>
      </c>
      <c r="AN208" s="69">
        <v>5.6138891523005441E-5</v>
      </c>
    </row>
    <row r="209" spans="1:40">
      <c r="A209" s="269" t="s">
        <v>520</v>
      </c>
      <c r="B209" s="221" t="s">
        <v>441</v>
      </c>
      <c r="C209" s="221" t="s">
        <v>476</v>
      </c>
      <c r="D209" s="228">
        <v>481</v>
      </c>
      <c r="E209" s="228">
        <v>1440</v>
      </c>
      <c r="F209" s="69">
        <v>4.413146514749072E-6</v>
      </c>
      <c r="G209" s="228">
        <v>226595.69462693427</v>
      </c>
      <c r="H209" s="228">
        <v>11.2</v>
      </c>
      <c r="I209" s="69">
        <v>4.9427240965189601E-5</v>
      </c>
      <c r="J209" s="69">
        <f t="shared" si="3"/>
        <v>7.918524014363292E-5</v>
      </c>
      <c r="K209" s="242"/>
      <c r="L209" s="162">
        <v>26.899999618530273</v>
      </c>
      <c r="M209" s="69">
        <v>1.2902588423457928E-5</v>
      </c>
      <c r="N209" s="162"/>
      <c r="O209" s="69"/>
      <c r="U209" s="230"/>
      <c r="V209" s="68"/>
      <c r="W209" s="68"/>
      <c r="AM209" s="162">
        <v>67.699996948242188</v>
      </c>
      <c r="AN209" s="69">
        <v>5.6138891523005441E-5</v>
      </c>
    </row>
    <row r="210" spans="1:40">
      <c r="A210" s="269" t="s">
        <v>467</v>
      </c>
      <c r="B210" s="221" t="s">
        <v>444</v>
      </c>
      <c r="C210" s="221" t="s">
        <v>442</v>
      </c>
      <c r="D210" s="228">
        <v>525</v>
      </c>
      <c r="E210" s="228">
        <v>1468</v>
      </c>
      <c r="F210" s="69">
        <v>1.2035866167E-6</v>
      </c>
      <c r="G210" s="228">
        <v>830850.04944787861</v>
      </c>
      <c r="H210" s="228">
        <v>11.2</v>
      </c>
      <c r="I210" s="69">
        <v>1.3480170107039999E-5</v>
      </c>
      <c r="J210" s="69">
        <f t="shared" si="3"/>
        <v>8.0388826760332914E-5</v>
      </c>
      <c r="K210" s="242"/>
      <c r="L210" s="162">
        <v>27</v>
      </c>
      <c r="M210" s="69">
        <v>1.2902588423457928E-5</v>
      </c>
      <c r="N210" s="162"/>
      <c r="O210" s="69"/>
      <c r="U210" s="230"/>
      <c r="V210" s="68"/>
      <c r="W210" s="68"/>
      <c r="AM210" s="162">
        <v>67.699996948242188</v>
      </c>
      <c r="AN210" s="69">
        <v>5.3501527872867882E-5</v>
      </c>
    </row>
    <row r="211" spans="1:40">
      <c r="A211" s="269" t="s">
        <v>466</v>
      </c>
      <c r="B211" s="221" t="s">
        <v>444</v>
      </c>
      <c r="C211" s="221" t="s">
        <v>442</v>
      </c>
      <c r="D211" s="228">
        <v>526</v>
      </c>
      <c r="E211" s="228">
        <v>1446</v>
      </c>
      <c r="F211" s="69">
        <v>1.2035866167E-6</v>
      </c>
      <c r="G211" s="228">
        <v>830850.04944787861</v>
      </c>
      <c r="H211" s="228">
        <v>11.1</v>
      </c>
      <c r="I211" s="69">
        <v>1.335981144537E-5</v>
      </c>
      <c r="J211" s="69">
        <f t="shared" si="3"/>
        <v>8.1592413377032909E-5</v>
      </c>
      <c r="K211" s="242"/>
      <c r="L211" s="162">
        <v>27</v>
      </c>
      <c r="M211" s="69">
        <v>8.2646993178059347E-6</v>
      </c>
      <c r="N211" s="162"/>
      <c r="O211" s="69"/>
      <c r="U211" s="230"/>
      <c r="V211" s="68"/>
      <c r="W211" s="68"/>
      <c r="AM211" s="162">
        <v>69.199996948242188</v>
      </c>
      <c r="AN211" s="69">
        <v>5.3501527872867882E-5</v>
      </c>
    </row>
    <row r="212" spans="1:40">
      <c r="A212" s="269" t="s">
        <v>467</v>
      </c>
      <c r="B212" s="221" t="s">
        <v>439</v>
      </c>
      <c r="C212" s="221" t="s">
        <v>438</v>
      </c>
      <c r="D212" s="228">
        <v>524</v>
      </c>
      <c r="E212" s="228">
        <v>1504</v>
      </c>
      <c r="F212" s="69">
        <v>2.2478237881484456E-7</v>
      </c>
      <c r="G212" s="228">
        <v>4448747.2962625325</v>
      </c>
      <c r="H212" s="228">
        <v>11</v>
      </c>
      <c r="I212" s="69">
        <v>2.4726061669632903E-6</v>
      </c>
      <c r="J212" s="69">
        <f t="shared" si="3"/>
        <v>8.1817195755847749E-5</v>
      </c>
      <c r="K212" s="242"/>
      <c r="L212" s="162">
        <v>28.200000762939453</v>
      </c>
      <c r="M212" s="69">
        <v>8.2646993178059347E-6</v>
      </c>
      <c r="N212" s="162"/>
      <c r="O212" s="69"/>
      <c r="U212" s="230"/>
      <c r="V212" s="68"/>
      <c r="W212" s="68"/>
      <c r="AM212" s="162">
        <v>69.199996948242188</v>
      </c>
      <c r="AN212" s="69">
        <v>5.2856797992717475E-5</v>
      </c>
    </row>
    <row r="213" spans="1:40">
      <c r="A213" s="269" t="s">
        <v>519</v>
      </c>
      <c r="B213" s="221" t="s">
        <v>443</v>
      </c>
      <c r="C213" s="221" t="s">
        <v>476</v>
      </c>
      <c r="D213" s="228">
        <v>457</v>
      </c>
      <c r="E213" s="228">
        <v>1438</v>
      </c>
      <c r="F213" s="69">
        <v>4.4131067963907217E-6</v>
      </c>
      <c r="G213" s="228">
        <v>226597.73400857969</v>
      </c>
      <c r="H213" s="228">
        <v>10.7</v>
      </c>
      <c r="I213" s="69">
        <v>4.7220242721380719E-5</v>
      </c>
      <c r="J213" s="69">
        <f t="shared" si="3"/>
        <v>8.6230302552238477E-5</v>
      </c>
      <c r="K213" s="242"/>
      <c r="L213" s="162">
        <v>28.200000762939453</v>
      </c>
      <c r="M213" s="69">
        <v>8.2631740951910615E-6</v>
      </c>
      <c r="N213" s="162"/>
      <c r="O213" s="69"/>
      <c r="U213" s="230"/>
      <c r="V213" s="68"/>
      <c r="W213" s="68"/>
      <c r="AM213" s="162">
        <v>72.300003051757813</v>
      </c>
      <c r="AN213" s="69">
        <v>5.2856797992717475E-5</v>
      </c>
    </row>
    <row r="214" spans="1:40">
      <c r="A214" s="269" t="s">
        <v>466</v>
      </c>
      <c r="B214" s="221" t="s">
        <v>439</v>
      </c>
      <c r="C214" s="221" t="s">
        <v>438</v>
      </c>
      <c r="D214" s="228">
        <v>525</v>
      </c>
      <c r="E214" s="228">
        <v>1522</v>
      </c>
      <c r="F214" s="69">
        <v>2.2478237881484456E-7</v>
      </c>
      <c r="G214" s="228">
        <v>4448747.2962625325</v>
      </c>
      <c r="H214" s="228">
        <v>10.6</v>
      </c>
      <c r="I214" s="69">
        <v>2.382693215437352E-6</v>
      </c>
      <c r="J214" s="69">
        <f t="shared" si="3"/>
        <v>8.6455084931053318E-5</v>
      </c>
      <c r="K214" s="242"/>
      <c r="L214" s="162">
        <v>28.299999237060547</v>
      </c>
      <c r="M214" s="69">
        <v>8.2631740951910615E-6</v>
      </c>
      <c r="N214" s="162"/>
      <c r="O214" s="69"/>
      <c r="U214" s="230"/>
      <c r="V214" s="68"/>
      <c r="W214" s="68"/>
      <c r="AM214" s="162">
        <v>72.300003051757813</v>
      </c>
      <c r="AN214" s="69">
        <v>5.0219430704601109E-5</v>
      </c>
    </row>
    <row r="215" spans="1:40">
      <c r="A215" s="269" t="s">
        <v>461</v>
      </c>
      <c r="B215" s="221" t="s">
        <v>446</v>
      </c>
      <c r="C215" s="221" t="s">
        <v>450</v>
      </c>
      <c r="D215" s="228">
        <v>296</v>
      </c>
      <c r="E215" s="228">
        <v>882</v>
      </c>
      <c r="F215" s="69">
        <v>1.5093682811302096E-7</v>
      </c>
      <c r="G215" s="228">
        <v>6625288.291146568</v>
      </c>
      <c r="H215" s="228">
        <v>10.5</v>
      </c>
      <c r="I215" s="69">
        <v>1.5848366951867202E-6</v>
      </c>
      <c r="J215" s="69">
        <f t="shared" si="3"/>
        <v>8.6606021759166345E-5</v>
      </c>
      <c r="K215" s="242"/>
      <c r="L215" s="162">
        <v>28.299999237060547</v>
      </c>
      <c r="M215" s="69">
        <v>8.218597031373065E-6</v>
      </c>
      <c r="N215" s="162"/>
      <c r="O215" s="69"/>
      <c r="U215" s="230"/>
      <c r="V215" s="68"/>
      <c r="W215" s="68"/>
      <c r="AM215" s="162">
        <v>73.199996948242188</v>
      </c>
      <c r="AN215" s="69">
        <v>5.0219430704601109E-5</v>
      </c>
    </row>
    <row r="216" spans="1:40">
      <c r="A216" s="269" t="s">
        <v>466</v>
      </c>
      <c r="B216" s="221" t="s">
        <v>441</v>
      </c>
      <c r="C216" s="221" t="s">
        <v>476</v>
      </c>
      <c r="D216" s="228">
        <v>481</v>
      </c>
      <c r="E216" s="228">
        <v>1442</v>
      </c>
      <c r="F216" s="69">
        <v>4.413146514749072E-6</v>
      </c>
      <c r="G216" s="228">
        <v>226595.69462693427</v>
      </c>
      <c r="H216" s="228">
        <v>10.5</v>
      </c>
      <c r="I216" s="69">
        <v>4.6338038404865255E-5</v>
      </c>
      <c r="J216" s="69">
        <f t="shared" si="3"/>
        <v>9.1019168273915422E-5</v>
      </c>
      <c r="K216" s="242"/>
      <c r="L216" s="162">
        <v>31</v>
      </c>
      <c r="M216" s="69">
        <v>8.218597031373065E-6</v>
      </c>
      <c r="N216" s="162"/>
      <c r="O216" s="69"/>
      <c r="U216" s="230"/>
      <c r="V216" s="68"/>
      <c r="W216" s="68"/>
      <c r="AM216" s="162">
        <v>73.199996948242188</v>
      </c>
      <c r="AN216" s="69">
        <v>4.9379777919966727E-5</v>
      </c>
    </row>
    <row r="217" spans="1:40">
      <c r="A217" s="269" t="s">
        <v>509</v>
      </c>
      <c r="B217" s="221" t="s">
        <v>474</v>
      </c>
      <c r="C217" s="221" t="s">
        <v>438</v>
      </c>
      <c r="D217" s="228">
        <v>524</v>
      </c>
      <c r="E217" s="228">
        <v>1434</v>
      </c>
      <c r="F217" s="69">
        <v>2.247844018764845E-7</v>
      </c>
      <c r="G217" s="228">
        <v>4448707.2574968273</v>
      </c>
      <c r="H217" s="228">
        <v>10.4</v>
      </c>
      <c r="I217" s="69">
        <v>2.3377577795154387E-6</v>
      </c>
      <c r="J217" s="69">
        <f t="shared" si="3"/>
        <v>9.1243952675791913E-5</v>
      </c>
      <c r="K217" s="242"/>
      <c r="L217" s="162">
        <v>31</v>
      </c>
      <c r="M217" s="69">
        <v>7.993814506335184E-6</v>
      </c>
      <c r="N217" s="162"/>
      <c r="O217" s="69"/>
      <c r="U217" s="230"/>
      <c r="V217" s="68"/>
      <c r="W217" s="68"/>
      <c r="AM217" s="162">
        <v>73.5</v>
      </c>
      <c r="AN217" s="69">
        <v>4.9379777919966727E-5</v>
      </c>
    </row>
    <row r="218" spans="1:40">
      <c r="A218" s="269" t="s">
        <v>517</v>
      </c>
      <c r="B218" s="221" t="s">
        <v>441</v>
      </c>
      <c r="C218" s="221" t="s">
        <v>442</v>
      </c>
      <c r="D218" s="228">
        <v>524</v>
      </c>
      <c r="E218" s="228">
        <v>1150</v>
      </c>
      <c r="F218" s="69">
        <v>4.4577237522717891E-8</v>
      </c>
      <c r="G218" s="228">
        <v>22432973.768066496</v>
      </c>
      <c r="H218" s="228">
        <v>10.3</v>
      </c>
      <c r="I218" s="69">
        <v>4.5914554648399433E-7</v>
      </c>
      <c r="J218" s="69">
        <f t="shared" si="3"/>
        <v>9.1288529913314628E-5</v>
      </c>
      <c r="K218" s="242"/>
      <c r="L218" s="162">
        <v>32.200000762939453</v>
      </c>
      <c r="M218" s="69">
        <v>7.993814506335184E-6</v>
      </c>
      <c r="N218" s="162"/>
      <c r="O218" s="69"/>
      <c r="U218" s="230"/>
      <c r="V218" s="68"/>
      <c r="W218" s="68"/>
      <c r="AM218" s="162">
        <v>73.5</v>
      </c>
      <c r="AN218" s="69">
        <v>4.9356644012732431E-5</v>
      </c>
    </row>
    <row r="219" spans="1:40">
      <c r="A219" s="269" t="s">
        <v>510</v>
      </c>
      <c r="B219" s="221" t="s">
        <v>474</v>
      </c>
      <c r="C219" s="221" t="s">
        <v>438</v>
      </c>
      <c r="D219" s="228">
        <v>524</v>
      </c>
      <c r="E219" s="228">
        <v>1490</v>
      </c>
      <c r="F219" s="69">
        <v>2.247844018764845E-7</v>
      </c>
      <c r="G219" s="228">
        <v>4448707.2574968273</v>
      </c>
      <c r="H219" s="228">
        <v>10.1</v>
      </c>
      <c r="I219" s="69">
        <v>2.2703224589524932E-6</v>
      </c>
      <c r="J219" s="69">
        <f t="shared" si="3"/>
        <v>9.1513314315191119E-5</v>
      </c>
      <c r="K219" s="242"/>
      <c r="L219" s="162">
        <v>32.200000762939453</v>
      </c>
      <c r="M219" s="69">
        <v>7.8428793131024577E-6</v>
      </c>
      <c r="N219" s="162"/>
      <c r="O219" s="69"/>
      <c r="U219" s="230"/>
      <c r="V219" s="68"/>
      <c r="W219" s="68"/>
      <c r="AM219" s="162">
        <v>74</v>
      </c>
      <c r="AN219" s="69">
        <v>4.9356644012732431E-5</v>
      </c>
    </row>
    <row r="220" spans="1:40">
      <c r="A220" s="269" t="s">
        <v>463</v>
      </c>
      <c r="B220" s="221" t="s">
        <v>439</v>
      </c>
      <c r="C220" s="221" t="s">
        <v>438</v>
      </c>
      <c r="D220" s="228">
        <v>524</v>
      </c>
      <c r="E220" s="228">
        <v>1206</v>
      </c>
      <c r="F220" s="69">
        <v>2.2478237881484456E-7</v>
      </c>
      <c r="G220" s="228">
        <v>4448747.2962625325</v>
      </c>
      <c r="H220" s="228">
        <v>10.1</v>
      </c>
      <c r="I220" s="69">
        <v>2.2703020260299299E-6</v>
      </c>
      <c r="J220" s="69">
        <f t="shared" si="3"/>
        <v>9.173809669400596E-5</v>
      </c>
      <c r="K220" s="242"/>
      <c r="L220" s="162">
        <v>32.5</v>
      </c>
      <c r="M220" s="69">
        <v>7.8428793131024577E-6</v>
      </c>
      <c r="N220" s="162"/>
      <c r="O220" s="69"/>
      <c r="U220" s="230"/>
      <c r="V220" s="68"/>
      <c r="W220" s="68"/>
      <c r="AM220" s="162">
        <v>74</v>
      </c>
      <c r="AN220" s="69">
        <v>4.9333510105498135E-5</v>
      </c>
    </row>
    <row r="221" spans="1:40">
      <c r="A221" s="269" t="s">
        <v>468</v>
      </c>
      <c r="B221" s="221" t="s">
        <v>441</v>
      </c>
      <c r="C221" s="221" t="s">
        <v>476</v>
      </c>
      <c r="D221" s="228">
        <v>481</v>
      </c>
      <c r="E221" s="228">
        <v>1420</v>
      </c>
      <c r="F221" s="69">
        <v>4.413146514749072E-6</v>
      </c>
      <c r="G221" s="228">
        <v>226595.69462693427</v>
      </c>
      <c r="H221" s="228">
        <v>9.6999999999999993</v>
      </c>
      <c r="I221" s="69">
        <v>4.2807521193065992E-5</v>
      </c>
      <c r="J221" s="69">
        <f t="shared" si="3"/>
        <v>9.6151243208755037E-5</v>
      </c>
      <c r="K221" s="242"/>
      <c r="L221" s="162">
        <v>32.5</v>
      </c>
      <c r="M221" s="69">
        <v>7.4671602305897977E-6</v>
      </c>
      <c r="N221" s="162"/>
      <c r="O221" s="69"/>
      <c r="U221" s="230"/>
      <c r="V221" s="68"/>
      <c r="W221" s="68"/>
      <c r="AM221" s="162">
        <v>76.5</v>
      </c>
      <c r="AN221" s="69">
        <v>4.9333510105498135E-5</v>
      </c>
    </row>
    <row r="222" spans="1:40">
      <c r="A222" s="269" t="s">
        <v>517</v>
      </c>
      <c r="B222" s="221" t="s">
        <v>448</v>
      </c>
      <c r="C222" s="221" t="s">
        <v>447</v>
      </c>
      <c r="D222" s="228">
        <v>524</v>
      </c>
      <c r="E222" s="228">
        <v>954</v>
      </c>
      <c r="F222" s="69">
        <v>1.5246144253840504E-9</v>
      </c>
      <c r="G222" s="228">
        <v>655903540.82351017</v>
      </c>
      <c r="H222" s="228">
        <v>7.6</v>
      </c>
      <c r="I222" s="69">
        <v>1.1587069632918783E-8</v>
      </c>
      <c r="J222" s="69">
        <f t="shared" si="3"/>
        <v>9.6152767823180427E-5</v>
      </c>
      <c r="K222" s="242"/>
      <c r="L222" s="162">
        <v>32.700000762939453</v>
      </c>
      <c r="M222" s="69">
        <v>7.4671602305897977E-6</v>
      </c>
      <c r="N222" s="162"/>
      <c r="O222" s="69"/>
      <c r="U222" s="230"/>
      <c r="V222" s="68"/>
      <c r="W222" s="68"/>
      <c r="AM222" s="162">
        <v>76.5</v>
      </c>
      <c r="AN222" s="69">
        <v>4.9310376198263839E-5</v>
      </c>
    </row>
    <row r="223" spans="1:40">
      <c r="A223" s="269" t="s">
        <v>468</v>
      </c>
      <c r="B223" s="221" t="s">
        <v>439</v>
      </c>
      <c r="C223" s="221" t="s">
        <v>508</v>
      </c>
      <c r="D223" s="228">
        <v>481</v>
      </c>
      <c r="E223" s="228">
        <v>1364</v>
      </c>
      <c r="F223" s="69">
        <v>2.2253455502669612E-5</v>
      </c>
      <c r="G223" s="228">
        <v>44936.841376389209</v>
      </c>
      <c r="H223" s="228">
        <v>7.4</v>
      </c>
      <c r="I223" s="69">
        <v>1.6467557071975512E-4</v>
      </c>
      <c r="J223" s="69">
        <f t="shared" si="3"/>
        <v>1.1840622332585005E-4</v>
      </c>
      <c r="K223" s="242"/>
      <c r="L223" s="162">
        <v>32.700000762939453</v>
      </c>
      <c r="M223" s="69">
        <v>7.4225831667718012E-6</v>
      </c>
      <c r="N223" s="162"/>
      <c r="O223" s="69"/>
      <c r="U223" s="230"/>
      <c r="V223" s="68"/>
      <c r="W223" s="68"/>
      <c r="AM223" s="162">
        <v>78.599998474121094</v>
      </c>
      <c r="AN223" s="69">
        <v>4.9310376198263839E-5</v>
      </c>
    </row>
    <row r="224" spans="1:40">
      <c r="A224" s="269" t="s">
        <v>465</v>
      </c>
      <c r="B224" s="221" t="s">
        <v>441</v>
      </c>
      <c r="C224" s="221" t="s">
        <v>442</v>
      </c>
      <c r="D224" s="228">
        <v>524</v>
      </c>
      <c r="E224" s="228">
        <v>1150</v>
      </c>
      <c r="F224" s="69">
        <v>4.4577237522717891E-8</v>
      </c>
      <c r="G224" s="228">
        <v>22432973.768066496</v>
      </c>
      <c r="H224" s="228">
        <v>7.3</v>
      </c>
      <c r="I224" s="69">
        <v>3.2541383391584059E-7</v>
      </c>
      <c r="J224" s="69">
        <f t="shared" si="3"/>
        <v>1.1845080056337276E-4</v>
      </c>
      <c r="K224" s="242"/>
      <c r="L224" s="162">
        <v>32.799999237060547</v>
      </c>
      <c r="M224" s="69">
        <v>7.4225831667718012E-6</v>
      </c>
      <c r="N224" s="162"/>
      <c r="O224" s="69"/>
      <c r="U224" s="230"/>
      <c r="V224" s="68"/>
      <c r="W224" s="68"/>
      <c r="AM224" s="162">
        <v>78.599998474121094</v>
      </c>
      <c r="AN224" s="69">
        <v>4.9287242291029543E-5</v>
      </c>
    </row>
    <row r="225" spans="1:40">
      <c r="A225" s="269" t="s">
        <v>518</v>
      </c>
      <c r="B225" s="221" t="s">
        <v>448</v>
      </c>
      <c r="C225" s="221" t="s">
        <v>450</v>
      </c>
      <c r="D225" s="228">
        <v>387</v>
      </c>
      <c r="E225" s="228">
        <v>964</v>
      </c>
      <c r="F225" s="69">
        <v>1.5093682811302096E-7</v>
      </c>
      <c r="G225" s="228">
        <v>6625288.291146568</v>
      </c>
      <c r="H225" s="228">
        <v>7.3</v>
      </c>
      <c r="I225" s="69">
        <v>1.101838845225053E-6</v>
      </c>
      <c r="J225" s="69">
        <f t="shared" si="3"/>
        <v>1.1860173739148579E-4</v>
      </c>
      <c r="K225" s="242"/>
      <c r="L225" s="162">
        <v>32.799999237060547</v>
      </c>
      <c r="M225" s="69">
        <v>7.3780061029538047E-6</v>
      </c>
      <c r="N225" s="162"/>
      <c r="O225" s="69"/>
      <c r="U225" s="230"/>
      <c r="V225" s="68"/>
      <c r="W225" s="68"/>
      <c r="AM225" s="162">
        <v>79</v>
      </c>
      <c r="AN225" s="69">
        <v>4.9287242291029543E-5</v>
      </c>
    </row>
    <row r="226" spans="1:40">
      <c r="A226" s="269" t="s">
        <v>464</v>
      </c>
      <c r="B226" s="221" t="s">
        <v>439</v>
      </c>
      <c r="C226" s="221" t="s">
        <v>508</v>
      </c>
      <c r="D226" s="228">
        <v>389</v>
      </c>
      <c r="E226" s="228">
        <v>1334</v>
      </c>
      <c r="F226" s="69">
        <v>2.2253455502669612E-5</v>
      </c>
      <c r="G226" s="228">
        <v>44936.841376389209</v>
      </c>
      <c r="H226" s="228">
        <v>7</v>
      </c>
      <c r="I226" s="69">
        <v>1.5577418851868728E-4</v>
      </c>
      <c r="J226" s="69">
        <f t="shared" si="3"/>
        <v>1.4085519289415541E-4</v>
      </c>
      <c r="K226" s="242"/>
      <c r="L226" s="162">
        <v>34.299999237060547</v>
      </c>
      <c r="M226" s="69">
        <v>7.3780061029538047E-6</v>
      </c>
      <c r="N226" s="162"/>
      <c r="O226" s="69"/>
      <c r="U226" s="230"/>
      <c r="V226" s="68"/>
      <c r="W226" s="68"/>
      <c r="AM226" s="162">
        <v>79</v>
      </c>
      <c r="AN226" s="69">
        <v>4.9264104745816439E-5</v>
      </c>
    </row>
    <row r="227" spans="1:40">
      <c r="A227" s="269" t="s">
        <v>517</v>
      </c>
      <c r="B227" s="221" t="s">
        <v>448</v>
      </c>
      <c r="C227" s="221" t="s">
        <v>450</v>
      </c>
      <c r="D227" s="228">
        <v>387</v>
      </c>
      <c r="E227" s="228">
        <v>976</v>
      </c>
      <c r="F227" s="69">
        <v>1.5093682811302096E-7</v>
      </c>
      <c r="G227" s="228">
        <v>6625288.291146568</v>
      </c>
      <c r="H227" s="228">
        <v>7</v>
      </c>
      <c r="I227" s="69">
        <v>1.0565577967911468E-6</v>
      </c>
      <c r="J227" s="69">
        <f t="shared" si="3"/>
        <v>1.4100612972226843E-4</v>
      </c>
      <c r="K227" s="242"/>
      <c r="L227" s="162">
        <v>34.299999237060547</v>
      </c>
      <c r="M227" s="69">
        <v>7.1532235779159237E-6</v>
      </c>
      <c r="N227" s="162"/>
      <c r="O227" s="69"/>
      <c r="U227" s="230"/>
      <c r="V227" s="68"/>
      <c r="W227" s="68"/>
      <c r="AM227" s="162">
        <v>79.199996948242187</v>
      </c>
      <c r="AN227" s="69">
        <v>4.9264104745816439E-5</v>
      </c>
    </row>
    <row r="228" spans="1:40">
      <c r="A228" s="269" t="s">
        <v>456</v>
      </c>
      <c r="B228" s="221" t="s">
        <v>444</v>
      </c>
      <c r="C228" s="221" t="s">
        <v>442</v>
      </c>
      <c r="D228" s="228">
        <v>524</v>
      </c>
      <c r="E228" s="228">
        <v>1264</v>
      </c>
      <c r="F228" s="69">
        <v>1.2035866167E-6</v>
      </c>
      <c r="G228" s="228">
        <v>830850.04944787861</v>
      </c>
      <c r="H228" s="228">
        <v>6.5</v>
      </c>
      <c r="I228" s="69">
        <v>7.8233130085500004E-6</v>
      </c>
      <c r="J228" s="69">
        <f t="shared" si="3"/>
        <v>1.4220971633896844E-4</v>
      </c>
      <c r="K228" s="242"/>
      <c r="L228" s="162">
        <v>34.799999237060547</v>
      </c>
      <c r="M228" s="69">
        <v>7.1532235779159237E-6</v>
      </c>
      <c r="N228" s="162"/>
      <c r="O228" s="69"/>
      <c r="U228" s="230"/>
      <c r="V228" s="68"/>
      <c r="W228" s="68"/>
      <c r="AM228" s="162">
        <v>79.199996948242187</v>
      </c>
      <c r="AN228" s="69">
        <v>4.9240970838582143E-5</v>
      </c>
    </row>
    <row r="229" spans="1:40">
      <c r="A229" s="269" t="s">
        <v>520</v>
      </c>
      <c r="B229" s="221" t="s">
        <v>439</v>
      </c>
      <c r="C229" s="221" t="s">
        <v>508</v>
      </c>
      <c r="D229" s="228">
        <v>479</v>
      </c>
      <c r="E229" s="228">
        <v>1638</v>
      </c>
      <c r="F229" s="69">
        <v>2.2253455502669612E-5</v>
      </c>
      <c r="G229" s="228">
        <v>44936.841376389209</v>
      </c>
      <c r="H229" s="228">
        <v>6.3</v>
      </c>
      <c r="I229" s="69">
        <v>1.4019676966681854E-4</v>
      </c>
      <c r="J229" s="69">
        <f t="shared" si="3"/>
        <v>1.6446317184163806E-4</v>
      </c>
      <c r="K229" s="242"/>
      <c r="L229" s="162">
        <v>34.799999237060547</v>
      </c>
      <c r="M229" s="69">
        <v>7.1516988100484014E-6</v>
      </c>
      <c r="N229" s="162"/>
      <c r="O229" s="69"/>
      <c r="U229" s="230"/>
      <c r="V229" s="68"/>
      <c r="W229" s="68"/>
      <c r="AM229" s="162">
        <v>81.5</v>
      </c>
      <c r="AN229" s="69">
        <v>4.9240970838582143E-5</v>
      </c>
    </row>
    <row r="230" spans="1:40">
      <c r="A230" s="269" t="s">
        <v>518</v>
      </c>
      <c r="B230" s="221" t="s">
        <v>441</v>
      </c>
      <c r="C230" s="221" t="s">
        <v>476</v>
      </c>
      <c r="D230" s="228">
        <v>387</v>
      </c>
      <c r="E230" s="228">
        <v>1192</v>
      </c>
      <c r="F230" s="69">
        <v>4.413146514749072E-6</v>
      </c>
      <c r="G230" s="228">
        <v>226595.69462693427</v>
      </c>
      <c r="H230" s="228">
        <v>6.1</v>
      </c>
      <c r="I230" s="69">
        <v>2.6920193739969339E-5</v>
      </c>
      <c r="J230" s="69">
        <f t="shared" si="3"/>
        <v>1.6887631835638714E-4</v>
      </c>
      <c r="K230" s="242"/>
      <c r="L230" s="162">
        <v>35.700000762939453</v>
      </c>
      <c r="M230" s="69">
        <v>7.1516988100484014E-6</v>
      </c>
      <c r="N230" s="162"/>
      <c r="O230" s="69"/>
      <c r="U230" s="230"/>
      <c r="V230" s="68"/>
      <c r="W230" s="68"/>
      <c r="AM230" s="162">
        <v>81.5</v>
      </c>
      <c r="AN230" s="69">
        <v>4.9217836931347847E-5</v>
      </c>
    </row>
    <row r="231" spans="1:40">
      <c r="A231" s="269" t="s">
        <v>464</v>
      </c>
      <c r="B231" s="221" t="s">
        <v>441</v>
      </c>
      <c r="C231" s="221" t="s">
        <v>442</v>
      </c>
      <c r="D231" s="228">
        <v>525</v>
      </c>
      <c r="E231" s="228">
        <v>1154</v>
      </c>
      <c r="F231" s="69">
        <v>4.4577237522717891E-8</v>
      </c>
      <c r="G231" s="228">
        <v>22432973.768066496</v>
      </c>
      <c r="H231" s="228">
        <v>5.8</v>
      </c>
      <c r="I231" s="69">
        <v>2.5854797763176377E-7</v>
      </c>
      <c r="J231" s="69">
        <f t="shared" si="3"/>
        <v>1.6892089559390985E-4</v>
      </c>
      <c r="K231" s="242"/>
      <c r="L231" s="162">
        <v>35.700000762939453</v>
      </c>
      <c r="M231" s="69">
        <v>7.1105341703514569E-6</v>
      </c>
      <c r="N231" s="162"/>
      <c r="O231" s="69"/>
      <c r="U231" s="230"/>
      <c r="V231" s="68"/>
      <c r="W231" s="68"/>
      <c r="AM231" s="162">
        <v>82.599998474121094</v>
      </c>
      <c r="AN231" s="69">
        <v>4.9217836931347847E-5</v>
      </c>
    </row>
    <row r="232" spans="1:40">
      <c r="A232" s="269" t="s">
        <v>465</v>
      </c>
      <c r="B232" s="221" t="s">
        <v>439</v>
      </c>
      <c r="C232" s="221" t="s">
        <v>508</v>
      </c>
      <c r="D232" s="228">
        <v>389</v>
      </c>
      <c r="E232" s="228">
        <v>1232</v>
      </c>
      <c r="F232" s="69">
        <v>2.2253455502669612E-5</v>
      </c>
      <c r="G232" s="228">
        <v>44936.841376389209</v>
      </c>
      <c r="H232" s="228">
        <v>5.5</v>
      </c>
      <c r="I232" s="69">
        <v>1.2239400526468288E-4</v>
      </c>
      <c r="J232" s="69">
        <f t="shared" si="3"/>
        <v>1.9117435109657947E-4</v>
      </c>
      <c r="K232" s="242"/>
      <c r="L232" s="162">
        <v>36.099998474121094</v>
      </c>
      <c r="M232" s="69">
        <v>7.1105341703514569E-6</v>
      </c>
      <c r="N232" s="162"/>
      <c r="O232" s="69"/>
      <c r="U232" s="230"/>
      <c r="V232" s="68"/>
      <c r="W232" s="68"/>
      <c r="AM232" s="162">
        <v>82.599998474121094</v>
      </c>
      <c r="AN232" s="69">
        <v>4.6580469643231481E-5</v>
      </c>
    </row>
    <row r="233" spans="1:40">
      <c r="A233" s="269" t="s">
        <v>458</v>
      </c>
      <c r="B233" s="221" t="s">
        <v>446</v>
      </c>
      <c r="C233" s="221" t="s">
        <v>450</v>
      </c>
      <c r="D233" s="228">
        <v>218</v>
      </c>
      <c r="E233" s="228">
        <v>646</v>
      </c>
      <c r="F233" s="69">
        <v>1.5093682811302096E-7</v>
      </c>
      <c r="G233" s="228">
        <v>6625288.291146568</v>
      </c>
      <c r="H233" s="228">
        <v>5.4</v>
      </c>
      <c r="I233" s="69">
        <v>8.1505887181031325E-7</v>
      </c>
      <c r="J233" s="69">
        <f t="shared" si="3"/>
        <v>1.913252879246925E-4</v>
      </c>
      <c r="K233" s="242"/>
      <c r="L233" s="162">
        <v>36.099998474121094</v>
      </c>
      <c r="M233" s="69">
        <v>6.9595976128766779E-6</v>
      </c>
      <c r="N233" s="162"/>
      <c r="O233" s="69"/>
      <c r="U233" s="230"/>
      <c r="V233" s="68"/>
      <c r="W233" s="68"/>
      <c r="AM233" s="162">
        <v>84.599998474121094</v>
      </c>
      <c r="AN233" s="69">
        <v>4.6580469643231481E-5</v>
      </c>
    </row>
    <row r="234" spans="1:40">
      <c r="A234" s="269" t="s">
        <v>463</v>
      </c>
      <c r="B234" s="221" t="s">
        <v>441</v>
      </c>
      <c r="C234" s="221" t="s">
        <v>442</v>
      </c>
      <c r="D234" s="228">
        <v>525</v>
      </c>
      <c r="E234" s="228">
        <v>1144</v>
      </c>
      <c r="F234" s="69">
        <v>4.4577237522717891E-8</v>
      </c>
      <c r="G234" s="228">
        <v>22432973.768066496</v>
      </c>
      <c r="H234" s="228">
        <v>5.4</v>
      </c>
      <c r="I234" s="69">
        <v>2.4071708262267663E-7</v>
      </c>
      <c r="J234" s="69">
        <f t="shared" si="3"/>
        <v>1.9136986516221522E-4</v>
      </c>
      <c r="K234" s="242"/>
      <c r="L234" s="162">
        <v>37.200000762939453</v>
      </c>
      <c r="M234" s="69">
        <v>6.9595976128766779E-6</v>
      </c>
      <c r="N234" s="162"/>
      <c r="O234" s="69"/>
      <c r="U234" s="230"/>
      <c r="V234" s="68"/>
      <c r="W234" s="68"/>
      <c r="AM234" s="162">
        <v>84.599998474121094</v>
      </c>
      <c r="AN234" s="69">
        <v>4.6557335735997185E-5</v>
      </c>
    </row>
    <row r="235" spans="1:40">
      <c r="A235" s="269" t="s">
        <v>517</v>
      </c>
      <c r="B235" s="221" t="s">
        <v>444</v>
      </c>
      <c r="C235" s="221" t="s">
        <v>442</v>
      </c>
      <c r="D235" s="228">
        <v>525</v>
      </c>
      <c r="E235" s="228">
        <v>1186</v>
      </c>
      <c r="F235" s="69">
        <v>1.2035866167E-6</v>
      </c>
      <c r="G235" s="228">
        <v>830850.04944787861</v>
      </c>
      <c r="H235" s="228">
        <v>5.3</v>
      </c>
      <c r="I235" s="69">
        <v>6.3790090685099999E-6</v>
      </c>
      <c r="J235" s="69">
        <f t="shared" si="3"/>
        <v>1.9257345177891522E-4</v>
      </c>
      <c r="K235" s="242"/>
      <c r="L235" s="162">
        <v>37.200000762939453</v>
      </c>
      <c r="M235" s="69">
        <v>6.7348150878387969E-6</v>
      </c>
      <c r="N235" s="162"/>
      <c r="O235" s="69"/>
      <c r="U235" s="230"/>
      <c r="V235" s="68"/>
      <c r="W235" s="68"/>
      <c r="AM235" s="162">
        <v>84.900001525878906</v>
      </c>
      <c r="AN235" s="69">
        <v>4.6557335735997185E-5</v>
      </c>
    </row>
    <row r="236" spans="1:40">
      <c r="A236" s="269" t="s">
        <v>459</v>
      </c>
      <c r="B236" s="221" t="s">
        <v>449</v>
      </c>
      <c r="C236" s="221" t="s">
        <v>450</v>
      </c>
      <c r="D236" s="228">
        <v>194</v>
      </c>
      <c r="E236" s="228">
        <v>638</v>
      </c>
      <c r="F236" s="69">
        <v>1.5093546968020952E-7</v>
      </c>
      <c r="G236" s="228">
        <v>6625347.9193374701</v>
      </c>
      <c r="H236" s="228">
        <v>5.0999999999999996</v>
      </c>
      <c r="I236" s="69">
        <v>7.6977089536906846E-7</v>
      </c>
      <c r="J236" s="69">
        <f t="shared" si="3"/>
        <v>1.9272438724859543E-4</v>
      </c>
      <c r="K236" s="242"/>
      <c r="L236" s="162">
        <v>38.5</v>
      </c>
      <c r="M236" s="69">
        <v>6.7348150878387969E-6</v>
      </c>
      <c r="N236" s="162"/>
      <c r="O236" s="69"/>
      <c r="U236" s="230"/>
      <c r="V236" s="68"/>
      <c r="W236" s="68"/>
      <c r="AM236" s="162">
        <v>84.900001525878906</v>
      </c>
      <c r="AN236" s="69">
        <v>4.6534201828762889E-5</v>
      </c>
    </row>
    <row r="237" spans="1:40">
      <c r="A237" s="269" t="s">
        <v>465</v>
      </c>
      <c r="B237" s="221" t="s">
        <v>448</v>
      </c>
      <c r="C237" s="221" t="s">
        <v>450</v>
      </c>
      <c r="D237" s="228">
        <v>388</v>
      </c>
      <c r="E237" s="228">
        <v>954</v>
      </c>
      <c r="F237" s="69">
        <v>1.5093682811302096E-7</v>
      </c>
      <c r="G237" s="228">
        <v>6625288.291146568</v>
      </c>
      <c r="H237" s="228">
        <v>5.0999999999999996</v>
      </c>
      <c r="I237" s="69">
        <v>7.6977782337640688E-7</v>
      </c>
      <c r="J237" s="69">
        <f t="shared" si="3"/>
        <v>1.9287532407670846E-4</v>
      </c>
      <c r="K237" s="242"/>
      <c r="L237" s="162">
        <v>38.5</v>
      </c>
      <c r="M237" s="69">
        <v>6.6902380240208004E-6</v>
      </c>
      <c r="N237" s="162"/>
      <c r="O237" s="69"/>
      <c r="U237" s="230"/>
      <c r="V237" s="68"/>
      <c r="W237" s="68"/>
      <c r="AM237" s="162">
        <v>86.099998474121094</v>
      </c>
      <c r="AN237" s="69">
        <v>4.6534201828762889E-5</v>
      </c>
    </row>
    <row r="238" spans="1:40">
      <c r="A238" s="269" t="s">
        <v>462</v>
      </c>
      <c r="B238" s="221" t="s">
        <v>448</v>
      </c>
      <c r="C238" s="221" t="s">
        <v>450</v>
      </c>
      <c r="D238" s="228">
        <v>296</v>
      </c>
      <c r="E238" s="228">
        <v>828</v>
      </c>
      <c r="F238" s="69">
        <v>1.5093682811302096E-7</v>
      </c>
      <c r="G238" s="228">
        <v>6625288.291146568</v>
      </c>
      <c r="H238" s="228">
        <v>5</v>
      </c>
      <c r="I238" s="69">
        <v>7.5468414056510482E-7</v>
      </c>
      <c r="J238" s="69">
        <f t="shared" si="3"/>
        <v>1.9302626090482149E-4</v>
      </c>
      <c r="K238" s="242"/>
      <c r="L238" s="162">
        <v>39.200000762939453</v>
      </c>
      <c r="M238" s="69">
        <v>6.6902380240208004E-6</v>
      </c>
      <c r="N238" s="162"/>
      <c r="O238" s="69"/>
      <c r="U238" s="230"/>
      <c r="V238" s="68"/>
      <c r="W238" s="68"/>
      <c r="AM238" s="162">
        <v>86.099998474121094</v>
      </c>
      <c r="AN238" s="69">
        <v>4.6511067921528593E-5</v>
      </c>
    </row>
    <row r="239" spans="1:40">
      <c r="A239" s="269" t="s">
        <v>458</v>
      </c>
      <c r="B239" s="221" t="s">
        <v>446</v>
      </c>
      <c r="C239" s="221" t="s">
        <v>447</v>
      </c>
      <c r="D239" s="228">
        <v>524</v>
      </c>
      <c r="E239" s="228">
        <v>746</v>
      </c>
      <c r="F239" s="69">
        <v>1.5246144253840504E-9</v>
      </c>
      <c r="G239" s="228">
        <v>655903540.82351017</v>
      </c>
      <c r="H239" s="228">
        <v>4.5</v>
      </c>
      <c r="I239" s="69">
        <v>6.8607649142282267E-9</v>
      </c>
      <c r="J239" s="69">
        <f t="shared" si="3"/>
        <v>1.9302778551924686E-4</v>
      </c>
      <c r="K239" s="242"/>
      <c r="L239" s="162">
        <v>39.200000762939453</v>
      </c>
      <c r="M239" s="69">
        <v>6.4654554989829194E-6</v>
      </c>
      <c r="N239" s="162"/>
      <c r="O239" s="69"/>
      <c r="U239" s="230"/>
      <c r="V239" s="68"/>
      <c r="W239" s="68"/>
      <c r="AM239" s="162">
        <v>87</v>
      </c>
      <c r="AN239" s="69">
        <v>4.6511067921528593E-5</v>
      </c>
    </row>
    <row r="240" spans="1:40">
      <c r="A240" s="269" t="s">
        <v>517</v>
      </c>
      <c r="B240" s="221" t="s">
        <v>441</v>
      </c>
      <c r="C240" s="221" t="s">
        <v>476</v>
      </c>
      <c r="D240" s="228">
        <v>388</v>
      </c>
      <c r="E240" s="228">
        <v>1154</v>
      </c>
      <c r="F240" s="69">
        <v>4.413146514749072E-6</v>
      </c>
      <c r="G240" s="228">
        <v>226595.69462693427</v>
      </c>
      <c r="H240" s="228">
        <v>4.5</v>
      </c>
      <c r="I240" s="69">
        <v>1.9859159316370823E-5</v>
      </c>
      <c r="J240" s="69">
        <f t="shared" si="3"/>
        <v>1.9744093203399594E-4</v>
      </c>
      <c r="K240" s="242"/>
      <c r="L240" s="162">
        <v>39.599998474121094</v>
      </c>
      <c r="M240" s="69">
        <v>6.4654554989829194E-6</v>
      </c>
      <c r="N240" s="162"/>
      <c r="O240" s="69"/>
      <c r="U240" s="230"/>
      <c r="V240" s="68"/>
      <c r="W240" s="68"/>
      <c r="AM240" s="162">
        <v>87</v>
      </c>
      <c r="AN240" s="69">
        <v>4.3873700633412227E-5</v>
      </c>
    </row>
    <row r="241" spans="1:40">
      <c r="A241" s="269" t="s">
        <v>461</v>
      </c>
      <c r="B241" s="221" t="s">
        <v>443</v>
      </c>
      <c r="C241" s="221" t="s">
        <v>476</v>
      </c>
      <c r="D241" s="228">
        <v>291</v>
      </c>
      <c r="E241" s="228">
        <v>1030</v>
      </c>
      <c r="F241" s="69">
        <v>4.4131067963907217E-6</v>
      </c>
      <c r="G241" s="228">
        <v>226597.73400857969</v>
      </c>
      <c r="H241" s="228">
        <v>4.4000000000000004</v>
      </c>
      <c r="I241" s="69">
        <v>1.9417669904119177E-5</v>
      </c>
      <c r="J241" s="69">
        <f t="shared" si="3"/>
        <v>2.0185403883038667E-4</v>
      </c>
      <c r="K241" s="242"/>
      <c r="L241" s="162">
        <v>39.599998474121094</v>
      </c>
      <c r="M241" s="69">
        <v>6.4208784351649228E-6</v>
      </c>
      <c r="N241" s="162"/>
      <c r="O241" s="69"/>
      <c r="U241" s="230"/>
      <c r="V241" s="68"/>
      <c r="W241" s="68"/>
      <c r="AM241" s="162">
        <v>87.300003051757813</v>
      </c>
      <c r="AN241" s="69">
        <v>4.3873700633412227E-5</v>
      </c>
    </row>
    <row r="242" spans="1:40">
      <c r="A242" s="269" t="s">
        <v>458</v>
      </c>
      <c r="B242" s="221" t="s">
        <v>443</v>
      </c>
      <c r="C242" s="221" t="s">
        <v>442</v>
      </c>
      <c r="D242" s="228">
        <v>525</v>
      </c>
      <c r="E242" s="228">
        <v>788</v>
      </c>
      <c r="F242" s="69">
        <v>4.4576836327178993E-8</v>
      </c>
      <c r="G242" s="228">
        <v>22433175.666849397</v>
      </c>
      <c r="H242" s="228">
        <v>4.2</v>
      </c>
      <c r="I242" s="69">
        <v>1.8722271257415178E-7</v>
      </c>
      <c r="J242" s="69">
        <f t="shared" si="3"/>
        <v>2.0189861566671384E-4</v>
      </c>
      <c r="K242" s="242"/>
      <c r="L242" s="162">
        <v>42.200000762939453</v>
      </c>
      <c r="M242" s="69">
        <v>6.4208784351649228E-6</v>
      </c>
      <c r="N242" s="162"/>
      <c r="O242" s="69"/>
      <c r="U242" s="230"/>
      <c r="V242" s="68"/>
      <c r="W242" s="68"/>
      <c r="AM242" s="162">
        <v>87.300003051757813</v>
      </c>
      <c r="AN242" s="69">
        <v>4.1236336983274668E-5</v>
      </c>
    </row>
    <row r="243" spans="1:40">
      <c r="A243" s="269" t="s">
        <v>514</v>
      </c>
      <c r="B243" s="221" t="s">
        <v>446</v>
      </c>
      <c r="C243" s="221" t="s">
        <v>450</v>
      </c>
      <c r="D243" s="228">
        <v>219</v>
      </c>
      <c r="E243" s="228">
        <v>650</v>
      </c>
      <c r="F243" s="69">
        <v>1.5093682811302096E-7</v>
      </c>
      <c r="G243" s="228">
        <v>6625288.291146568</v>
      </c>
      <c r="H243" s="228">
        <v>4.0999999999999996</v>
      </c>
      <c r="I243" s="69">
        <v>6.1884099526338591E-7</v>
      </c>
      <c r="J243" s="69">
        <f t="shared" si="3"/>
        <v>2.0204955249482687E-4</v>
      </c>
      <c r="K243" s="242"/>
      <c r="L243" s="162">
        <v>42.200000762939453</v>
      </c>
      <c r="M243" s="69">
        <v>5.217291800363455E-6</v>
      </c>
      <c r="N243" s="162"/>
      <c r="O243" s="69"/>
      <c r="U243" s="230"/>
      <c r="V243" s="68"/>
      <c r="W243" s="68"/>
      <c r="AM243" s="162">
        <v>87.400001525878906</v>
      </c>
      <c r="AN243" s="69">
        <v>4.1236336983274668E-5</v>
      </c>
    </row>
    <row r="244" spans="1:40">
      <c r="A244" s="269" t="s">
        <v>457</v>
      </c>
      <c r="B244" s="221" t="s">
        <v>449</v>
      </c>
      <c r="C244" s="221" t="s">
        <v>450</v>
      </c>
      <c r="D244" s="228">
        <v>218</v>
      </c>
      <c r="E244" s="228">
        <v>756</v>
      </c>
      <c r="F244" s="69">
        <v>1.5093546968020952E-7</v>
      </c>
      <c r="G244" s="228">
        <v>6625347.9193374701</v>
      </c>
      <c r="H244" s="228">
        <v>4.0999999999999996</v>
      </c>
      <c r="I244" s="69">
        <v>6.1883542568885894E-7</v>
      </c>
      <c r="J244" s="69">
        <f t="shared" si="3"/>
        <v>2.0220048796450708E-4</v>
      </c>
      <c r="K244" s="242"/>
      <c r="L244" s="162">
        <v>43.400001525878906</v>
      </c>
      <c r="M244" s="69">
        <v>5.217291800363455E-6</v>
      </c>
      <c r="N244" s="162"/>
      <c r="O244" s="69"/>
      <c r="U244" s="230"/>
      <c r="V244" s="68"/>
      <c r="W244" s="68"/>
      <c r="AM244" s="162">
        <v>87.400001525878906</v>
      </c>
      <c r="AN244" s="69">
        <v>3.8598969695158303E-5</v>
      </c>
    </row>
    <row r="245" spans="1:40">
      <c r="A245" s="269" t="s">
        <v>516</v>
      </c>
      <c r="B245" s="221" t="s">
        <v>448</v>
      </c>
      <c r="C245" s="221" t="s">
        <v>450</v>
      </c>
      <c r="D245" s="228">
        <v>272</v>
      </c>
      <c r="E245" s="228">
        <v>878</v>
      </c>
      <c r="F245" s="69">
        <v>1.5093682811302096E-7</v>
      </c>
      <c r="G245" s="228">
        <v>6625288.291146568</v>
      </c>
      <c r="H245" s="228">
        <v>4.0999999999999996</v>
      </c>
      <c r="I245" s="69">
        <v>6.1884099526338591E-7</v>
      </c>
      <c r="J245" s="69">
        <f t="shared" si="3"/>
        <v>2.0235142479262011E-4</v>
      </c>
      <c r="K245" s="242"/>
      <c r="L245" s="162">
        <v>43.400001525878906</v>
      </c>
      <c r="M245" s="69">
        <v>5.1727142817981075E-6</v>
      </c>
      <c r="N245" s="162"/>
      <c r="O245" s="69"/>
      <c r="U245" s="230"/>
      <c r="V245" s="68"/>
      <c r="W245" s="68"/>
      <c r="AM245" s="162">
        <v>92.199996948242187</v>
      </c>
      <c r="AN245" s="69">
        <v>3.8598969695158303E-5</v>
      </c>
    </row>
    <row r="246" spans="1:40">
      <c r="A246" s="269" t="s">
        <v>518</v>
      </c>
      <c r="B246" s="221" t="s">
        <v>439</v>
      </c>
      <c r="C246" s="221" t="s">
        <v>508</v>
      </c>
      <c r="D246" s="228">
        <v>391</v>
      </c>
      <c r="E246" s="228">
        <v>1272</v>
      </c>
      <c r="F246" s="69">
        <v>2.2253455502669612E-5</v>
      </c>
      <c r="G246" s="228">
        <v>44936.841376389209</v>
      </c>
      <c r="H246" s="228">
        <v>4.0999999999999996</v>
      </c>
      <c r="I246" s="69">
        <v>9.1239167560945396E-5</v>
      </c>
      <c r="J246" s="69">
        <f t="shared" si="3"/>
        <v>2.2460488029528973E-4</v>
      </c>
      <c r="K246" s="242"/>
      <c r="L246" s="162">
        <v>49</v>
      </c>
      <c r="M246" s="69">
        <v>5.1727142817981075E-6</v>
      </c>
      <c r="N246" s="162"/>
      <c r="O246" s="69"/>
      <c r="U246" s="230"/>
      <c r="V246" s="68"/>
      <c r="W246" s="68"/>
      <c r="AM246" s="162">
        <v>92.199996948242187</v>
      </c>
      <c r="AN246" s="69">
        <v>3.8575835787924007E-5</v>
      </c>
    </row>
    <row r="247" spans="1:40">
      <c r="A247" s="269" t="s">
        <v>515</v>
      </c>
      <c r="B247" s="221" t="s">
        <v>448</v>
      </c>
      <c r="C247" s="221" t="s">
        <v>450</v>
      </c>
      <c r="D247" s="228">
        <v>298</v>
      </c>
      <c r="E247" s="228">
        <v>812</v>
      </c>
      <c r="F247" s="69">
        <v>1.5093682811302096E-7</v>
      </c>
      <c r="G247" s="228">
        <v>6625288.291146568</v>
      </c>
      <c r="H247" s="228">
        <v>4</v>
      </c>
      <c r="I247" s="69">
        <v>6.0374731245208386E-7</v>
      </c>
      <c r="J247" s="69">
        <f t="shared" si="3"/>
        <v>2.2475581712340275E-4</v>
      </c>
      <c r="K247" s="242"/>
      <c r="L247" s="162">
        <v>49</v>
      </c>
      <c r="M247" s="69">
        <v>5.0217777243233286E-6</v>
      </c>
      <c r="N247" s="162"/>
      <c r="O247" s="69"/>
      <c r="U247" s="230"/>
      <c r="V247" s="68"/>
      <c r="W247" s="68"/>
      <c r="AM247" s="162">
        <v>93.099998474121094</v>
      </c>
      <c r="AN247" s="69">
        <v>3.8575835787924007E-5</v>
      </c>
    </row>
    <row r="248" spans="1:40">
      <c r="A248" s="269" t="s">
        <v>457</v>
      </c>
      <c r="B248" s="221" t="s">
        <v>443</v>
      </c>
      <c r="C248" s="221" t="s">
        <v>442</v>
      </c>
      <c r="D248" s="228">
        <v>519</v>
      </c>
      <c r="E248" s="228">
        <v>792</v>
      </c>
      <c r="F248" s="69">
        <v>4.4576836327178993E-8</v>
      </c>
      <c r="G248" s="228">
        <v>22433175.666849397</v>
      </c>
      <c r="H248" s="228">
        <v>3.7</v>
      </c>
      <c r="I248" s="69">
        <v>1.6493429441056229E-7</v>
      </c>
      <c r="J248" s="69">
        <f t="shared" si="3"/>
        <v>2.2480039395972993E-4</v>
      </c>
      <c r="K248" s="242"/>
      <c r="L248" s="162">
        <v>49.599998474121094</v>
      </c>
      <c r="M248" s="69">
        <v>5.0217777243233286E-6</v>
      </c>
      <c r="N248" s="162"/>
      <c r="O248" s="69"/>
      <c r="U248" s="230"/>
      <c r="V248" s="68"/>
      <c r="W248" s="68"/>
      <c r="AM248" s="162">
        <v>93.099998474121094</v>
      </c>
      <c r="AN248" s="69">
        <v>3.7736186641268432E-5</v>
      </c>
    </row>
    <row r="249" spans="1:40">
      <c r="A249" s="269" t="s">
        <v>467</v>
      </c>
      <c r="B249" s="221" t="s">
        <v>439</v>
      </c>
      <c r="C249" s="221" t="s">
        <v>508</v>
      </c>
      <c r="D249" s="228">
        <v>481</v>
      </c>
      <c r="E249" s="228">
        <v>1500</v>
      </c>
      <c r="F249" s="69">
        <v>2.2253455502669612E-5</v>
      </c>
      <c r="G249" s="228">
        <v>44936.841376389209</v>
      </c>
      <c r="H249" s="228">
        <v>3.7</v>
      </c>
      <c r="I249" s="69">
        <v>8.2337785359877562E-5</v>
      </c>
      <c r="J249" s="69">
        <f t="shared" si="3"/>
        <v>2.4705384946239952E-4</v>
      </c>
      <c r="K249" s="242"/>
      <c r="L249" s="162">
        <v>49.599998474121094</v>
      </c>
      <c r="M249" s="69">
        <v>4.8296774366463069E-6</v>
      </c>
      <c r="N249" s="162"/>
      <c r="O249" s="69"/>
      <c r="U249" s="230"/>
      <c r="V249" s="68"/>
      <c r="W249" s="68"/>
      <c r="AM249" s="162">
        <v>94.400001525878906</v>
      </c>
      <c r="AN249" s="69">
        <v>3.7736186641268432E-5</v>
      </c>
    </row>
    <row r="250" spans="1:40">
      <c r="A250" s="269" t="s">
        <v>513</v>
      </c>
      <c r="B250" s="221" t="s">
        <v>446</v>
      </c>
      <c r="C250" s="221" t="s">
        <v>450</v>
      </c>
      <c r="D250" s="228">
        <v>214</v>
      </c>
      <c r="E250" s="228">
        <v>698</v>
      </c>
      <c r="F250" s="69">
        <v>1.5093682811302096E-7</v>
      </c>
      <c r="G250" s="228">
        <v>6625288.291146568</v>
      </c>
      <c r="H250" s="228">
        <v>3.6</v>
      </c>
      <c r="I250" s="69">
        <v>5.4337258120687554E-7</v>
      </c>
      <c r="J250" s="69">
        <f t="shared" si="3"/>
        <v>2.4720478629051252E-4</v>
      </c>
      <c r="K250" s="242"/>
      <c r="L250" s="162">
        <v>55.099998474121094</v>
      </c>
      <c r="M250" s="69">
        <v>4.8296774366463069E-6</v>
      </c>
      <c r="N250" s="162"/>
      <c r="O250" s="69"/>
      <c r="U250" s="230"/>
      <c r="V250" s="68"/>
      <c r="W250" s="68"/>
      <c r="AM250" s="162">
        <v>94.400001525878906</v>
      </c>
      <c r="AN250" s="69">
        <v>3.7713049096055329E-5</v>
      </c>
    </row>
    <row r="251" spans="1:40">
      <c r="A251" s="269" t="s">
        <v>520</v>
      </c>
      <c r="B251" s="221" t="s">
        <v>1377</v>
      </c>
      <c r="C251" s="221" t="s">
        <v>438</v>
      </c>
      <c r="D251" s="228">
        <v>524</v>
      </c>
      <c r="E251" s="228">
        <v>1410</v>
      </c>
      <c r="F251" s="69">
        <v>6.0691849198500013E-6</v>
      </c>
      <c r="G251" s="228">
        <v>164766.77069591</v>
      </c>
      <c r="H251" s="228">
        <v>3.6</v>
      </c>
      <c r="I251" s="69">
        <v>2.1849065711460006E-5</v>
      </c>
      <c r="J251" s="69">
        <f t="shared" si="3"/>
        <v>2.532739712103625E-4</v>
      </c>
      <c r="K251" s="242"/>
      <c r="L251" s="162">
        <v>55.099998474121094</v>
      </c>
      <c r="M251" s="69">
        <v>4.8281526687787846E-6</v>
      </c>
      <c r="N251" s="162"/>
      <c r="O251" s="69"/>
      <c r="U251" s="230"/>
      <c r="V251" s="68"/>
      <c r="W251" s="68"/>
      <c r="AM251" s="162">
        <v>94.900001525878906</v>
      </c>
      <c r="AN251" s="69">
        <v>3.7713049096055329E-5</v>
      </c>
    </row>
    <row r="252" spans="1:40">
      <c r="A252" s="269" t="s">
        <v>465</v>
      </c>
      <c r="B252" s="221" t="s">
        <v>444</v>
      </c>
      <c r="C252" s="221" t="s">
        <v>442</v>
      </c>
      <c r="D252" s="228">
        <v>524</v>
      </c>
      <c r="E252" s="228">
        <v>1132</v>
      </c>
      <c r="F252" s="69">
        <v>1.2035866167E-6</v>
      </c>
      <c r="G252" s="228">
        <v>830850.04944787861</v>
      </c>
      <c r="H252" s="228">
        <v>3.5</v>
      </c>
      <c r="I252" s="69">
        <v>4.2125531584500005E-6</v>
      </c>
      <c r="J252" s="69">
        <f t="shared" si="3"/>
        <v>2.5447755782706251E-4</v>
      </c>
      <c r="K252" s="242"/>
      <c r="L252" s="162">
        <v>57</v>
      </c>
      <c r="M252" s="69">
        <v>4.8281526687787846E-6</v>
      </c>
      <c r="N252" s="162"/>
      <c r="O252" s="69"/>
      <c r="U252" s="230"/>
      <c r="V252" s="68"/>
      <c r="W252" s="68"/>
      <c r="AM252" s="162">
        <v>94.900001525878906</v>
      </c>
      <c r="AN252" s="69">
        <v>3.507568544591777E-5</v>
      </c>
    </row>
    <row r="253" spans="1:40">
      <c r="A253" s="269" t="s">
        <v>463</v>
      </c>
      <c r="B253" s="221" t="s">
        <v>444</v>
      </c>
      <c r="C253" s="221" t="s">
        <v>442</v>
      </c>
      <c r="D253" s="228">
        <v>524</v>
      </c>
      <c r="E253" s="228">
        <v>1134</v>
      </c>
      <c r="F253" s="69">
        <v>1.2035866167E-6</v>
      </c>
      <c r="G253" s="228">
        <v>830850.04944787861</v>
      </c>
      <c r="H253" s="228">
        <v>3.5</v>
      </c>
      <c r="I253" s="69">
        <v>4.2125531584500005E-6</v>
      </c>
      <c r="J253" s="69">
        <f t="shared" si="3"/>
        <v>2.5568114444376251E-4</v>
      </c>
      <c r="K253" s="242"/>
      <c r="L253" s="162">
        <v>57</v>
      </c>
      <c r="M253" s="69">
        <v>4.8266283556586131E-6</v>
      </c>
      <c r="N253" s="162"/>
      <c r="O253" s="69"/>
      <c r="U253" s="230"/>
      <c r="V253" s="68"/>
      <c r="W253" s="68"/>
      <c r="AM253" s="162">
        <v>95.599998474121094</v>
      </c>
      <c r="AN253" s="69">
        <v>3.507568544591777E-5</v>
      </c>
    </row>
    <row r="254" spans="1:40">
      <c r="A254" s="269" t="s">
        <v>464</v>
      </c>
      <c r="B254" s="221" t="s">
        <v>441</v>
      </c>
      <c r="C254" s="221" t="s">
        <v>476</v>
      </c>
      <c r="D254" s="228">
        <v>387</v>
      </c>
      <c r="E254" s="228">
        <v>1138</v>
      </c>
      <c r="F254" s="69">
        <v>4.413146514749072E-6</v>
      </c>
      <c r="G254" s="228">
        <v>226595.69462693427</v>
      </c>
      <c r="H254" s="228">
        <v>3.3</v>
      </c>
      <c r="I254" s="69">
        <v>1.4563383498671937E-5</v>
      </c>
      <c r="J254" s="69">
        <f t="shared" si="3"/>
        <v>2.6009429095851156E-4</v>
      </c>
      <c r="K254" s="242"/>
      <c r="L254" s="162">
        <v>59.799999237060547</v>
      </c>
      <c r="M254" s="69">
        <v>4.8266283556586131E-6</v>
      </c>
      <c r="N254" s="162"/>
      <c r="O254" s="69"/>
      <c r="U254" s="230"/>
      <c r="V254" s="68"/>
      <c r="W254" s="68"/>
      <c r="AM254" s="162">
        <v>95.599998474121094</v>
      </c>
      <c r="AN254" s="69">
        <v>3.2438318157801405E-5</v>
      </c>
    </row>
    <row r="255" spans="1:40">
      <c r="A255" s="269" t="s">
        <v>461</v>
      </c>
      <c r="B255" s="221" t="s">
        <v>448</v>
      </c>
      <c r="C255" s="221" t="s">
        <v>450</v>
      </c>
      <c r="D255" s="228">
        <v>291</v>
      </c>
      <c r="E255" s="228">
        <v>838</v>
      </c>
      <c r="F255" s="69">
        <v>1.5093682811302096E-7</v>
      </c>
      <c r="G255" s="228">
        <v>6625288.291146568</v>
      </c>
      <c r="H255" s="228">
        <v>3.2</v>
      </c>
      <c r="I255" s="69">
        <v>4.8299784996166711E-7</v>
      </c>
      <c r="J255" s="69">
        <f t="shared" si="3"/>
        <v>2.6024522778662456E-4</v>
      </c>
      <c r="K255" s="242"/>
      <c r="L255" s="162">
        <v>59.799999237060547</v>
      </c>
      <c r="M255" s="69">
        <v>4.8251035877910908E-6</v>
      </c>
      <c r="N255" s="162"/>
      <c r="O255" s="69"/>
      <c r="U255" s="230"/>
      <c r="V255" s="68"/>
      <c r="W255" s="68"/>
      <c r="AM255" s="162">
        <v>98.900001525878906</v>
      </c>
      <c r="AN255" s="69">
        <v>3.2438318157801405E-5</v>
      </c>
    </row>
    <row r="256" spans="1:40">
      <c r="A256" s="269" t="s">
        <v>519</v>
      </c>
      <c r="B256" s="221" t="s">
        <v>439</v>
      </c>
      <c r="C256" s="221" t="s">
        <v>508</v>
      </c>
      <c r="D256" s="228">
        <v>457</v>
      </c>
      <c r="E256" s="228">
        <v>1412</v>
      </c>
      <c r="F256" s="69">
        <v>2.2253455502669612E-5</v>
      </c>
      <c r="G256" s="228">
        <v>44936.841376389209</v>
      </c>
      <c r="H256" s="228">
        <v>3.2</v>
      </c>
      <c r="I256" s="69">
        <v>7.1211057608542766E-5</v>
      </c>
      <c r="J256" s="69">
        <f t="shared" si="3"/>
        <v>2.8249868328929418E-4</v>
      </c>
      <c r="K256" s="242"/>
      <c r="L256" s="162">
        <v>60.599998474121094</v>
      </c>
      <c r="M256" s="69">
        <v>4.8251035877910908E-6</v>
      </c>
      <c r="N256" s="162"/>
      <c r="O256" s="69"/>
      <c r="U256" s="230"/>
      <c r="V256" s="68"/>
      <c r="W256" s="68"/>
      <c r="AM256" s="162">
        <v>98.900001525878906</v>
      </c>
      <c r="AN256" s="69">
        <v>3.2415184250567108E-5</v>
      </c>
    </row>
    <row r="257" spans="1:40">
      <c r="A257" s="269" t="s">
        <v>452</v>
      </c>
      <c r="B257" s="221" t="s">
        <v>1377</v>
      </c>
      <c r="C257" s="221" t="s">
        <v>438</v>
      </c>
      <c r="D257" s="228">
        <v>524</v>
      </c>
      <c r="E257" s="228">
        <v>1500</v>
      </c>
      <c r="F257" s="69">
        <v>6.0691849198500013E-6</v>
      </c>
      <c r="G257" s="228">
        <v>164766.77069591</v>
      </c>
      <c r="H257" s="228">
        <v>2.9</v>
      </c>
      <c r="I257" s="69">
        <v>1.7600636267565003E-5</v>
      </c>
      <c r="J257" s="69">
        <f t="shared" si="3"/>
        <v>2.8856786820914416E-4</v>
      </c>
      <c r="K257" s="242"/>
      <c r="L257" s="162">
        <v>60.599998474121094</v>
      </c>
      <c r="M257" s="69">
        <v>4.8235792746709194E-6</v>
      </c>
      <c r="N257" s="162"/>
      <c r="O257" s="69"/>
      <c r="U257" s="230"/>
      <c r="V257" s="68"/>
      <c r="W257" s="68"/>
      <c r="AM257" s="162">
        <v>99.199996948242188</v>
      </c>
      <c r="AN257" s="69">
        <v>3.2415184250567108E-5</v>
      </c>
    </row>
    <row r="258" spans="1:40">
      <c r="A258" s="269" t="s">
        <v>511</v>
      </c>
      <c r="B258" s="221" t="s">
        <v>444</v>
      </c>
      <c r="C258" s="221" t="s">
        <v>442</v>
      </c>
      <c r="D258" s="228">
        <v>524</v>
      </c>
      <c r="E258" s="228">
        <v>1198</v>
      </c>
      <c r="F258" s="69">
        <v>1.2035866167E-6</v>
      </c>
      <c r="G258" s="228">
        <v>830850.04944787861</v>
      </c>
      <c r="H258" s="228">
        <v>2.9</v>
      </c>
      <c r="I258" s="69">
        <v>3.4904011884299998E-6</v>
      </c>
      <c r="J258" s="69">
        <f t="shared" si="3"/>
        <v>2.8977145482584417E-4</v>
      </c>
      <c r="K258" s="242"/>
      <c r="L258" s="162">
        <v>61.099998474121094</v>
      </c>
      <c r="M258" s="69">
        <v>4.8235792746709194E-6</v>
      </c>
      <c r="N258" s="162"/>
      <c r="O258" s="69"/>
      <c r="U258" s="230"/>
      <c r="V258" s="68"/>
      <c r="W258" s="68"/>
      <c r="AM258" s="162">
        <v>99.199996948242188</v>
      </c>
      <c r="AN258" s="69">
        <v>3.2392050343332812E-5</v>
      </c>
    </row>
    <row r="259" spans="1:40">
      <c r="A259" s="269" t="s">
        <v>518</v>
      </c>
      <c r="B259" s="221" t="s">
        <v>441</v>
      </c>
      <c r="C259" s="221" t="s">
        <v>442</v>
      </c>
      <c r="D259" s="228">
        <v>525</v>
      </c>
      <c r="E259" s="228">
        <v>1146</v>
      </c>
      <c r="F259" s="69">
        <v>4.4577237522717891E-8</v>
      </c>
      <c r="G259" s="228">
        <v>22432973.768066496</v>
      </c>
      <c r="H259" s="228">
        <v>2.6</v>
      </c>
      <c r="I259" s="69">
        <v>1.1590081755906652E-7</v>
      </c>
      <c r="J259" s="69">
        <f t="shared" ref="J259:J322" si="4">J258+F259</f>
        <v>2.8981603206336691E-4</v>
      </c>
      <c r="K259" s="242"/>
      <c r="L259" s="162">
        <v>61.099998474121094</v>
      </c>
      <c r="M259" s="69">
        <v>4.8220545068033971E-6</v>
      </c>
      <c r="N259" s="162"/>
      <c r="O259" s="69"/>
      <c r="U259" s="230"/>
      <c r="V259" s="68"/>
      <c r="W259" s="68"/>
      <c r="AM259" s="162">
        <v>99.900001525878906</v>
      </c>
      <c r="AN259" s="69">
        <v>3.2392050343332812E-5</v>
      </c>
    </row>
    <row r="260" spans="1:40">
      <c r="A260" s="269" t="s">
        <v>464</v>
      </c>
      <c r="B260" s="221" t="s">
        <v>444</v>
      </c>
      <c r="C260" s="221" t="s">
        <v>442</v>
      </c>
      <c r="D260" s="228">
        <v>524</v>
      </c>
      <c r="E260" s="228">
        <v>1164</v>
      </c>
      <c r="F260" s="69">
        <v>1.2035866167E-6</v>
      </c>
      <c r="G260" s="228">
        <v>830850.04944787861</v>
      </c>
      <c r="H260" s="228">
        <v>2.6</v>
      </c>
      <c r="I260" s="69">
        <v>3.1293252034200003E-6</v>
      </c>
      <c r="J260" s="69">
        <f t="shared" si="4"/>
        <v>2.9101961868006692E-4</v>
      </c>
      <c r="K260" s="242"/>
      <c r="L260" s="162">
        <v>62.099998474121094</v>
      </c>
      <c r="M260" s="69">
        <v>4.8220545068033971E-6</v>
      </c>
      <c r="N260" s="162"/>
      <c r="O260" s="69"/>
      <c r="U260" s="230"/>
      <c r="V260" s="68"/>
      <c r="W260" s="68"/>
      <c r="AM260" s="162">
        <v>99.900001525878906</v>
      </c>
      <c r="AN260" s="69">
        <v>2.975468487420585E-5</v>
      </c>
    </row>
    <row r="261" spans="1:40">
      <c r="A261" s="269" t="s">
        <v>518</v>
      </c>
      <c r="B261" s="221" t="s">
        <v>444</v>
      </c>
      <c r="C261" s="221" t="s">
        <v>442</v>
      </c>
      <c r="D261" s="228">
        <v>524</v>
      </c>
      <c r="E261" s="228">
        <v>1176</v>
      </c>
      <c r="F261" s="69">
        <v>1.2035866167E-6</v>
      </c>
      <c r="G261" s="228">
        <v>830850.04944787861</v>
      </c>
      <c r="H261" s="228">
        <v>2.6</v>
      </c>
      <c r="I261" s="69">
        <v>3.1293252034200003E-6</v>
      </c>
      <c r="J261" s="69">
        <f t="shared" si="4"/>
        <v>2.9222320529676693E-4</v>
      </c>
      <c r="K261" s="242"/>
      <c r="L261" s="162">
        <v>62.099998474121094</v>
      </c>
      <c r="M261" s="69">
        <v>4.8205297389358748E-6</v>
      </c>
      <c r="N261" s="162"/>
      <c r="O261" s="69"/>
      <c r="U261" s="230"/>
      <c r="V261" s="68"/>
      <c r="W261" s="68"/>
      <c r="AM261" s="162">
        <v>100.19999694824219</v>
      </c>
      <c r="AN261" s="69">
        <v>2.975468487420585E-5</v>
      </c>
    </row>
    <row r="262" spans="1:40">
      <c r="A262" s="269" t="s">
        <v>512</v>
      </c>
      <c r="B262" s="221" t="s">
        <v>444</v>
      </c>
      <c r="C262" s="221" t="s">
        <v>442</v>
      </c>
      <c r="D262" s="228">
        <v>520</v>
      </c>
      <c r="E262" s="228">
        <v>1288</v>
      </c>
      <c r="F262" s="69">
        <v>1.2035866167E-6</v>
      </c>
      <c r="G262" s="228">
        <v>830850.04944787861</v>
      </c>
      <c r="H262" s="228">
        <v>2.2999999999999998</v>
      </c>
      <c r="I262" s="69">
        <v>2.76824921841E-6</v>
      </c>
      <c r="J262" s="69">
        <f t="shared" si="4"/>
        <v>2.9342679191346694E-4</v>
      </c>
      <c r="K262" s="242"/>
      <c r="L262" s="162">
        <v>62.200000762939453</v>
      </c>
      <c r="M262" s="69">
        <v>4.8205297389358748E-6</v>
      </c>
      <c r="N262" s="162"/>
      <c r="O262" s="69"/>
      <c r="P262" s="68"/>
      <c r="Q262" s="68"/>
      <c r="R262" s="68"/>
      <c r="S262" s="68"/>
      <c r="T262" s="68"/>
      <c r="U262" s="230"/>
      <c r="V262" s="68"/>
      <c r="W262" s="68"/>
      <c r="X262" s="68"/>
      <c r="Z262" s="68"/>
      <c r="AM262" s="162">
        <v>100.19999694824219</v>
      </c>
      <c r="AN262" s="69">
        <v>2.7117319405078888E-5</v>
      </c>
    </row>
    <row r="263" spans="1:40">
      <c r="A263" s="269" t="s">
        <v>466</v>
      </c>
      <c r="B263" s="221" t="s">
        <v>1377</v>
      </c>
      <c r="C263" s="221" t="s">
        <v>438</v>
      </c>
      <c r="D263" s="228">
        <v>526</v>
      </c>
      <c r="E263" s="228">
        <v>1378</v>
      </c>
      <c r="F263" s="69">
        <v>6.0691849198500013E-6</v>
      </c>
      <c r="G263" s="228">
        <v>164766.77069591</v>
      </c>
      <c r="H263" s="228">
        <v>2.2999999999999998</v>
      </c>
      <c r="I263" s="69">
        <v>1.3959125315655002E-5</v>
      </c>
      <c r="J263" s="69">
        <f t="shared" si="4"/>
        <v>2.9949597683331692E-4</v>
      </c>
      <c r="K263" s="242"/>
      <c r="L263" s="162">
        <v>62.200000762939453</v>
      </c>
      <c r="M263" s="69">
        <v>4.8190054258157033E-6</v>
      </c>
      <c r="N263" s="162"/>
      <c r="O263" s="69"/>
      <c r="P263" s="68"/>
      <c r="Q263" s="68"/>
      <c r="R263" s="68"/>
      <c r="S263" s="68"/>
      <c r="T263" s="68"/>
      <c r="U263" s="230"/>
      <c r="V263" s="68"/>
      <c r="W263" s="68"/>
      <c r="X263" s="68"/>
      <c r="Z263" s="68"/>
      <c r="AM263" s="162">
        <v>102.69999694824219</v>
      </c>
      <c r="AN263" s="69">
        <v>2.7117319405078888E-5</v>
      </c>
    </row>
    <row r="264" spans="1:40">
      <c r="A264" s="269" t="s">
        <v>514</v>
      </c>
      <c r="B264" s="221" t="s">
        <v>449</v>
      </c>
      <c r="C264" s="221" t="s">
        <v>450</v>
      </c>
      <c r="D264" s="228">
        <v>219</v>
      </c>
      <c r="E264" s="228">
        <v>574</v>
      </c>
      <c r="F264" s="69">
        <v>1.5093546968020952E-7</v>
      </c>
      <c r="G264" s="228">
        <v>6625347.9193374701</v>
      </c>
      <c r="H264" s="228">
        <v>2.2000000000000002</v>
      </c>
      <c r="I264" s="69">
        <v>3.3205803329646098E-7</v>
      </c>
      <c r="J264" s="69">
        <f t="shared" si="4"/>
        <v>2.9964691230299713E-4</v>
      </c>
      <c r="K264" s="242"/>
      <c r="L264" s="162">
        <v>62.299999237060547</v>
      </c>
      <c r="M264" s="69">
        <v>4.8190054258157033E-6</v>
      </c>
      <c r="N264" s="162"/>
      <c r="O264" s="69"/>
      <c r="P264" s="68"/>
      <c r="Q264" s="68"/>
      <c r="R264" s="68"/>
      <c r="S264" s="68"/>
      <c r="T264" s="68"/>
      <c r="U264" s="230"/>
      <c r="V264" s="68"/>
      <c r="W264" s="68"/>
      <c r="X264" s="68"/>
      <c r="Z264" s="68"/>
      <c r="AM264" s="162">
        <v>102.69999694824219</v>
      </c>
      <c r="AN264" s="69">
        <v>2.7094185497844592E-5</v>
      </c>
    </row>
    <row r="265" spans="1:40">
      <c r="A265" s="269" t="s">
        <v>514</v>
      </c>
      <c r="B265" s="221" t="s">
        <v>446</v>
      </c>
      <c r="C265" s="221" t="s">
        <v>447</v>
      </c>
      <c r="D265" s="228">
        <v>525</v>
      </c>
      <c r="E265" s="228">
        <v>710</v>
      </c>
      <c r="F265" s="69">
        <v>1.5246144253840504E-9</v>
      </c>
      <c r="G265" s="228">
        <v>655903540.82351017</v>
      </c>
      <c r="H265" s="228">
        <v>2.2000000000000002</v>
      </c>
      <c r="I265" s="69">
        <v>3.3541517358449112E-9</v>
      </c>
      <c r="J265" s="69">
        <f t="shared" si="4"/>
        <v>2.996484369174225E-4</v>
      </c>
      <c r="K265" s="242"/>
      <c r="L265" s="162">
        <v>62.299999237060547</v>
      </c>
      <c r="M265" s="69">
        <v>4.7778407861187588E-6</v>
      </c>
      <c r="N265" s="162"/>
      <c r="O265" s="69"/>
      <c r="P265" s="68"/>
      <c r="Q265" s="68"/>
      <c r="R265" s="68"/>
      <c r="S265" s="68"/>
      <c r="T265" s="68"/>
      <c r="U265" s="230"/>
      <c r="V265" s="68"/>
      <c r="W265" s="68"/>
      <c r="X265" s="68"/>
      <c r="Z265" s="68"/>
      <c r="AM265" s="162">
        <v>102.90000152587891</v>
      </c>
      <c r="AN265" s="69">
        <v>2.7094185497844592E-5</v>
      </c>
    </row>
    <row r="266" spans="1:40">
      <c r="A266" s="269" t="s">
        <v>459</v>
      </c>
      <c r="B266" s="221" t="s">
        <v>439</v>
      </c>
      <c r="C266" s="221" t="s">
        <v>438</v>
      </c>
      <c r="D266" s="228">
        <v>524</v>
      </c>
      <c r="E266" s="228">
        <v>838</v>
      </c>
      <c r="F266" s="69">
        <v>2.2478237881484456E-7</v>
      </c>
      <c r="G266" s="228">
        <v>4448747.2962625325</v>
      </c>
      <c r="H266" s="228">
        <v>2</v>
      </c>
      <c r="I266" s="69">
        <v>4.4956475762968912E-7</v>
      </c>
      <c r="J266" s="69">
        <f t="shared" si="4"/>
        <v>2.9987321929623734E-4</v>
      </c>
      <c r="K266" s="242"/>
      <c r="L266" s="162">
        <v>62.700000762939453</v>
      </c>
      <c r="M266" s="69">
        <v>4.7778407861187588E-6</v>
      </c>
      <c r="N266" s="162"/>
      <c r="O266" s="69"/>
      <c r="P266" s="68"/>
      <c r="Q266" s="68"/>
      <c r="R266" s="68"/>
      <c r="S266" s="68"/>
      <c r="T266" s="68"/>
      <c r="U266" s="230"/>
      <c r="V266" s="68"/>
      <c r="W266" s="68"/>
      <c r="X266" s="68"/>
      <c r="Z266" s="68"/>
      <c r="AM266" s="162">
        <v>102.90000152587891</v>
      </c>
      <c r="AN266" s="69">
        <v>2.7071049771620892E-5</v>
      </c>
    </row>
    <row r="267" spans="1:40">
      <c r="A267" s="269" t="s">
        <v>513</v>
      </c>
      <c r="B267" s="221" t="s">
        <v>446</v>
      </c>
      <c r="C267" s="221" t="s">
        <v>447</v>
      </c>
      <c r="D267" s="228">
        <v>524</v>
      </c>
      <c r="E267" s="228">
        <v>828</v>
      </c>
      <c r="F267" s="69">
        <v>1.5246144253840504E-9</v>
      </c>
      <c r="G267" s="228">
        <v>655903540.82351017</v>
      </c>
      <c r="H267" s="228">
        <v>1.9</v>
      </c>
      <c r="I267" s="69">
        <v>2.8967674082296957E-9</v>
      </c>
      <c r="J267" s="69">
        <f t="shared" si="4"/>
        <v>2.9987474391066272E-4</v>
      </c>
      <c r="K267" s="242"/>
      <c r="L267" s="162">
        <v>62.700000762939453</v>
      </c>
      <c r="M267" s="69">
        <v>4.7763160182512365E-6</v>
      </c>
      <c r="N267" s="162"/>
      <c r="O267" s="69"/>
      <c r="P267" s="68"/>
      <c r="Q267" s="68"/>
      <c r="R267" s="68"/>
      <c r="S267" s="68"/>
      <c r="T267" s="68"/>
      <c r="U267" s="230"/>
      <c r="V267" s="68"/>
      <c r="W267" s="68"/>
      <c r="X267" s="68"/>
      <c r="Z267" s="68"/>
      <c r="AM267" s="162">
        <v>104.40000152587891</v>
      </c>
      <c r="AN267" s="69">
        <v>2.7071049771620892E-5</v>
      </c>
    </row>
    <row r="268" spans="1:40">
      <c r="A268" s="269" t="s">
        <v>466</v>
      </c>
      <c r="B268" s="221" t="s">
        <v>439</v>
      </c>
      <c r="C268" s="221" t="s">
        <v>508</v>
      </c>
      <c r="D268" s="228">
        <v>481</v>
      </c>
      <c r="E268" s="228">
        <v>1352</v>
      </c>
      <c r="F268" s="69">
        <v>2.2253455502669612E-5</v>
      </c>
      <c r="G268" s="228">
        <v>44936.841376389209</v>
      </c>
      <c r="H268" s="228">
        <v>1.9</v>
      </c>
      <c r="I268" s="69">
        <v>4.2281565455072262E-5</v>
      </c>
      <c r="J268" s="69">
        <f t="shared" si="4"/>
        <v>3.2212819941333234E-4</v>
      </c>
      <c r="K268" s="242"/>
      <c r="L268" s="162">
        <v>64.900001525878906</v>
      </c>
      <c r="M268" s="69">
        <v>4.7763160182512365E-6</v>
      </c>
      <c r="N268" s="162"/>
      <c r="O268" s="69"/>
      <c r="P268" s="68"/>
      <c r="Q268" s="68"/>
      <c r="R268" s="68"/>
      <c r="S268" s="68"/>
      <c r="T268" s="68"/>
      <c r="U268" s="230"/>
      <c r="V268" s="68"/>
      <c r="W268" s="68"/>
      <c r="X268" s="68"/>
      <c r="Z268" s="68"/>
      <c r="AM268" s="162">
        <v>104.40000152587891</v>
      </c>
      <c r="AN268" s="69">
        <v>2.4433686121483333E-5</v>
      </c>
    </row>
    <row r="269" spans="1:40">
      <c r="A269" s="269" t="s">
        <v>516</v>
      </c>
      <c r="B269" s="221" t="s">
        <v>443</v>
      </c>
      <c r="C269" s="221" t="s">
        <v>476</v>
      </c>
      <c r="D269" s="228">
        <v>296</v>
      </c>
      <c r="E269" s="228">
        <v>966</v>
      </c>
      <c r="F269" s="69">
        <v>4.4131067963907217E-6</v>
      </c>
      <c r="G269" s="228">
        <v>226597.73400857969</v>
      </c>
      <c r="H269" s="228">
        <v>1.8</v>
      </c>
      <c r="I269" s="69">
        <v>7.9435922335032999E-6</v>
      </c>
      <c r="J269" s="69">
        <f t="shared" si="4"/>
        <v>3.2654130620972307E-4</v>
      </c>
      <c r="K269" s="242"/>
      <c r="L269" s="162">
        <v>64.900001525878906</v>
      </c>
      <c r="M269" s="69">
        <v>4.7747912503837142E-6</v>
      </c>
      <c r="N269" s="162"/>
      <c r="O269" s="69"/>
      <c r="P269" s="68"/>
      <c r="Q269" s="68"/>
      <c r="R269" s="68"/>
      <c r="S269" s="68"/>
      <c r="T269" s="68"/>
      <c r="U269" s="230"/>
      <c r="V269" s="68"/>
      <c r="W269" s="68"/>
      <c r="X269" s="68"/>
      <c r="Z269" s="68"/>
      <c r="AM269" s="162">
        <v>104.5</v>
      </c>
      <c r="AN269" s="69">
        <v>2.4433686121483333E-5</v>
      </c>
    </row>
    <row r="270" spans="1:40">
      <c r="A270" s="269" t="s">
        <v>467</v>
      </c>
      <c r="B270" s="221" t="s">
        <v>1377</v>
      </c>
      <c r="C270" s="221" t="s">
        <v>438</v>
      </c>
      <c r="D270" s="228">
        <v>525</v>
      </c>
      <c r="E270" s="228">
        <v>1400</v>
      </c>
      <c r="F270" s="69">
        <v>6.0691849198500013E-6</v>
      </c>
      <c r="G270" s="228">
        <v>164766.77069591</v>
      </c>
      <c r="H270" s="228">
        <v>1.8</v>
      </c>
      <c r="I270" s="69">
        <v>1.0924532855730003E-5</v>
      </c>
      <c r="J270" s="69">
        <f t="shared" si="4"/>
        <v>3.3261049112957305E-4</v>
      </c>
      <c r="K270" s="242"/>
      <c r="L270" s="162">
        <v>65.300003051757812</v>
      </c>
      <c r="M270" s="69">
        <v>4.7747912503837142E-6</v>
      </c>
      <c r="N270" s="162"/>
      <c r="O270" s="69"/>
      <c r="P270" s="68"/>
      <c r="Q270" s="68"/>
      <c r="R270" s="68"/>
      <c r="S270" s="68"/>
      <c r="T270" s="68"/>
      <c r="U270" s="230"/>
      <c r="V270" s="68"/>
      <c r="W270" s="68"/>
      <c r="X270" s="68"/>
      <c r="Z270" s="68"/>
      <c r="AM270" s="162">
        <v>104.5</v>
      </c>
      <c r="AN270" s="69">
        <v>2.4410550395259634E-5</v>
      </c>
    </row>
    <row r="271" spans="1:40">
      <c r="A271" s="269" t="s">
        <v>460</v>
      </c>
      <c r="B271" s="221" t="s">
        <v>439</v>
      </c>
      <c r="C271" s="221" t="s">
        <v>438</v>
      </c>
      <c r="D271" s="228">
        <v>524</v>
      </c>
      <c r="E271" s="228">
        <v>990</v>
      </c>
      <c r="F271" s="69">
        <v>2.2478237881484456E-7</v>
      </c>
      <c r="G271" s="228">
        <v>4448747.2962625325</v>
      </c>
      <c r="H271" s="228">
        <v>1.7</v>
      </c>
      <c r="I271" s="69">
        <v>3.8213004398523573E-7</v>
      </c>
      <c r="J271" s="69">
        <f t="shared" si="4"/>
        <v>3.3283527350838789E-4</v>
      </c>
      <c r="K271" s="242"/>
      <c r="L271" s="162">
        <v>65.300003051757812</v>
      </c>
      <c r="M271" s="69">
        <v>4.7732669372635428E-6</v>
      </c>
      <c r="N271" s="162"/>
      <c r="O271" s="69"/>
      <c r="P271" s="68"/>
      <c r="Q271" s="68"/>
      <c r="R271" s="68"/>
      <c r="S271" s="68"/>
      <c r="T271" s="68"/>
      <c r="U271" s="230"/>
      <c r="V271" s="68"/>
      <c r="W271" s="68"/>
      <c r="X271" s="68"/>
      <c r="Z271" s="68"/>
      <c r="AM271" s="162">
        <v>106.59999847412109</v>
      </c>
      <c r="AN271" s="69">
        <v>2.4410550395259634E-5</v>
      </c>
    </row>
    <row r="272" spans="1:40">
      <c r="A272" s="269" t="s">
        <v>515</v>
      </c>
      <c r="B272" s="221" t="s">
        <v>443</v>
      </c>
      <c r="C272" s="221" t="s">
        <v>476</v>
      </c>
      <c r="D272" s="228">
        <v>291</v>
      </c>
      <c r="E272" s="228">
        <v>892</v>
      </c>
      <c r="F272" s="69">
        <v>4.4131067963907217E-6</v>
      </c>
      <c r="G272" s="228">
        <v>226597.73400857969</v>
      </c>
      <c r="H272" s="228">
        <v>1.7</v>
      </c>
      <c r="I272" s="69">
        <v>7.5022815538642265E-6</v>
      </c>
      <c r="J272" s="69">
        <f t="shared" si="4"/>
        <v>3.3724838030477862E-4</v>
      </c>
      <c r="K272" s="242"/>
      <c r="L272" s="162">
        <v>66.300003051757813</v>
      </c>
      <c r="M272" s="69">
        <v>4.7732669372635428E-6</v>
      </c>
      <c r="N272" s="162"/>
      <c r="O272" s="69"/>
      <c r="P272" s="68"/>
      <c r="Q272" s="68"/>
      <c r="R272" s="68"/>
      <c r="S272" s="68"/>
      <c r="T272" s="68"/>
      <c r="U272" s="230"/>
      <c r="V272" s="68"/>
      <c r="W272" s="68"/>
      <c r="X272" s="68"/>
      <c r="Z272" s="68"/>
      <c r="AM272" s="162">
        <v>106.59999847412109</v>
      </c>
      <c r="AN272" s="69">
        <v>2.4387416488025337E-5</v>
      </c>
    </row>
    <row r="273" spans="1:40">
      <c r="A273" s="269" t="s">
        <v>517</v>
      </c>
      <c r="B273" s="221" t="s">
        <v>439</v>
      </c>
      <c r="C273" s="221" t="s">
        <v>508</v>
      </c>
      <c r="D273" s="228">
        <v>388</v>
      </c>
      <c r="E273" s="228">
        <v>1218</v>
      </c>
      <c r="F273" s="69">
        <v>2.2253455502669612E-5</v>
      </c>
      <c r="G273" s="228">
        <v>44936.841376389209</v>
      </c>
      <c r="H273" s="228">
        <v>1.7</v>
      </c>
      <c r="I273" s="69">
        <v>3.7830874354538338E-5</v>
      </c>
      <c r="J273" s="69">
        <f t="shared" si="4"/>
        <v>3.5950183580744823E-4</v>
      </c>
      <c r="K273" s="242"/>
      <c r="L273" s="162">
        <v>66.300003051757813</v>
      </c>
      <c r="M273" s="69">
        <v>4.7321022975665983E-6</v>
      </c>
      <c r="N273" s="162"/>
      <c r="O273" s="69"/>
      <c r="P273" s="68"/>
      <c r="Q273" s="68"/>
      <c r="R273" s="68"/>
      <c r="S273" s="68"/>
      <c r="T273" s="68"/>
      <c r="U273" s="230"/>
      <c r="V273" s="68"/>
      <c r="W273" s="68"/>
      <c r="X273" s="68"/>
      <c r="Z273" s="68"/>
      <c r="AM273" s="162">
        <v>107.09999847412109</v>
      </c>
      <c r="AN273" s="69">
        <v>2.4387416488025337E-5</v>
      </c>
    </row>
    <row r="274" spans="1:40">
      <c r="A274" s="269" t="s">
        <v>457</v>
      </c>
      <c r="B274" s="221" t="s">
        <v>475</v>
      </c>
      <c r="C274" s="221" t="s">
        <v>442</v>
      </c>
      <c r="D274" s="228">
        <v>524</v>
      </c>
      <c r="E274" s="228">
        <v>1020</v>
      </c>
      <c r="F274" s="69">
        <v>4.4577237522717891E-8</v>
      </c>
      <c r="G274" s="228">
        <v>22432973.768066496</v>
      </c>
      <c r="H274" s="228">
        <v>1.5</v>
      </c>
      <c r="I274" s="69">
        <v>6.6865856284076843E-8</v>
      </c>
      <c r="J274" s="69">
        <f t="shared" si="4"/>
        <v>3.5954641304497098E-4</v>
      </c>
      <c r="K274" s="242"/>
      <c r="L274" s="162">
        <v>69.300003051757812</v>
      </c>
      <c r="M274" s="69">
        <v>4.7321022975665983E-6</v>
      </c>
      <c r="N274" s="162"/>
      <c r="O274" s="69"/>
      <c r="U274" s="230"/>
      <c r="V274" s="68"/>
      <c r="W274" s="68"/>
      <c r="AM274" s="162">
        <v>107.09999847412109</v>
      </c>
      <c r="AN274" s="69">
        <v>2.4364280761801638E-5</v>
      </c>
    </row>
    <row r="275" spans="1:40">
      <c r="A275" s="269" t="s">
        <v>459</v>
      </c>
      <c r="B275" s="221" t="s">
        <v>446</v>
      </c>
      <c r="C275" s="221" t="s">
        <v>450</v>
      </c>
      <c r="D275" s="228">
        <v>218</v>
      </c>
      <c r="E275" s="228">
        <v>628</v>
      </c>
      <c r="F275" s="69">
        <v>1.5093682811302096E-7</v>
      </c>
      <c r="G275" s="228">
        <v>6625288.291146568</v>
      </c>
      <c r="H275" s="228">
        <v>1.5</v>
      </c>
      <c r="I275" s="69">
        <v>2.2640524216953145E-7</v>
      </c>
      <c r="J275" s="69">
        <f t="shared" si="4"/>
        <v>3.5969734987308398E-4</v>
      </c>
      <c r="K275" s="242"/>
      <c r="L275" s="162">
        <v>69.300003051757812</v>
      </c>
      <c r="M275" s="69">
        <v>4.6909376578696538E-6</v>
      </c>
      <c r="N275" s="162"/>
      <c r="O275" s="69"/>
      <c r="U275" s="230"/>
      <c r="V275" s="68"/>
      <c r="W275" s="68"/>
      <c r="AM275" s="162">
        <v>116.59999847412109</v>
      </c>
      <c r="AN275" s="69">
        <v>2.4364280761801638E-5</v>
      </c>
    </row>
    <row r="276" spans="1:40">
      <c r="A276" s="269" t="s">
        <v>462</v>
      </c>
      <c r="B276" s="221" t="s">
        <v>443</v>
      </c>
      <c r="C276" s="221" t="s">
        <v>476</v>
      </c>
      <c r="D276" s="228">
        <v>297</v>
      </c>
      <c r="E276" s="228">
        <v>892</v>
      </c>
      <c r="F276" s="69">
        <v>4.4131067963907217E-6</v>
      </c>
      <c r="G276" s="228">
        <v>226597.73400857969</v>
      </c>
      <c r="H276" s="228">
        <v>1.5</v>
      </c>
      <c r="I276" s="69">
        <v>6.619660194586083E-6</v>
      </c>
      <c r="J276" s="69">
        <f t="shared" si="4"/>
        <v>3.6411045666947471E-4</v>
      </c>
      <c r="K276" s="242"/>
      <c r="L276" s="162">
        <v>69.599998474121094</v>
      </c>
      <c r="M276" s="69">
        <v>4.6909376578696538E-6</v>
      </c>
      <c r="N276" s="162"/>
      <c r="O276" s="69"/>
      <c r="U276" s="230"/>
      <c r="V276" s="68"/>
      <c r="W276" s="68"/>
      <c r="AM276" s="162">
        <v>116.59999847412109</v>
      </c>
      <c r="AN276" s="69">
        <v>2.4354238121304661E-5</v>
      </c>
    </row>
    <row r="277" spans="1:40">
      <c r="A277" s="269" t="s">
        <v>465</v>
      </c>
      <c r="B277" s="221" t="s">
        <v>441</v>
      </c>
      <c r="C277" s="221" t="s">
        <v>476</v>
      </c>
      <c r="D277" s="228">
        <v>389</v>
      </c>
      <c r="E277" s="228">
        <v>1158</v>
      </c>
      <c r="F277" s="69">
        <v>4.413146514749072E-6</v>
      </c>
      <c r="G277" s="228">
        <v>226595.69462693427</v>
      </c>
      <c r="H277" s="228">
        <v>1.5</v>
      </c>
      <c r="I277" s="69">
        <v>6.619719772123608E-6</v>
      </c>
      <c r="J277" s="69">
        <f t="shared" si="4"/>
        <v>3.6852360318422376E-4</v>
      </c>
      <c r="K277" s="242"/>
      <c r="L277" s="162">
        <v>69.599998474121094</v>
      </c>
      <c r="M277" s="69">
        <v>4.6894128900021315E-6</v>
      </c>
      <c r="N277" s="162"/>
      <c r="O277" s="69"/>
      <c r="U277" s="230"/>
      <c r="V277" s="68"/>
      <c r="W277" s="68"/>
      <c r="AM277" s="162">
        <v>119.69999694824219</v>
      </c>
      <c r="AN277" s="69">
        <v>2.4354238121304661E-5</v>
      </c>
    </row>
    <row r="278" spans="1:40">
      <c r="A278" s="269" t="s">
        <v>454</v>
      </c>
      <c r="B278" s="221" t="s">
        <v>1377</v>
      </c>
      <c r="C278" s="221" t="s">
        <v>438</v>
      </c>
      <c r="D278" s="228">
        <v>524</v>
      </c>
      <c r="E278" s="228">
        <v>1456</v>
      </c>
      <c r="F278" s="69">
        <v>6.0691849198500013E-6</v>
      </c>
      <c r="G278" s="228">
        <v>164766.77069591</v>
      </c>
      <c r="H278" s="228">
        <v>1.4</v>
      </c>
      <c r="I278" s="69">
        <v>8.4968588877900009E-6</v>
      </c>
      <c r="J278" s="69">
        <f t="shared" si="4"/>
        <v>3.7459278810407374E-4</v>
      </c>
      <c r="K278" s="242"/>
      <c r="L278" s="162">
        <v>69.900001525878906</v>
      </c>
      <c r="M278" s="69">
        <v>4.6894128900021315E-6</v>
      </c>
      <c r="N278" s="162"/>
      <c r="O278" s="69"/>
      <c r="U278" s="230"/>
      <c r="V278" s="68"/>
      <c r="W278" s="68"/>
      <c r="AM278" s="162">
        <v>119.69999694824219</v>
      </c>
      <c r="AN278" s="69">
        <v>2.4331104214070365E-5</v>
      </c>
    </row>
    <row r="279" spans="1:40">
      <c r="A279" s="269" t="s">
        <v>455</v>
      </c>
      <c r="B279" s="221" t="s">
        <v>444</v>
      </c>
      <c r="C279" s="221" t="s">
        <v>442</v>
      </c>
      <c r="D279" s="228">
        <v>524</v>
      </c>
      <c r="E279" s="228">
        <v>1156</v>
      </c>
      <c r="F279" s="69">
        <v>1.2035866167E-6</v>
      </c>
      <c r="G279" s="228">
        <v>830850.04944787861</v>
      </c>
      <c r="H279" s="228">
        <v>1.4</v>
      </c>
      <c r="I279" s="69">
        <v>1.6850212633799999E-6</v>
      </c>
      <c r="J279" s="69">
        <f t="shared" si="4"/>
        <v>3.7579637472077374E-4</v>
      </c>
      <c r="K279" s="242"/>
      <c r="L279" s="162">
        <v>69.900001525878906</v>
      </c>
      <c r="M279" s="69">
        <v>4.6878881221346091E-6</v>
      </c>
      <c r="N279" s="162"/>
      <c r="O279" s="69"/>
      <c r="U279" s="230"/>
      <c r="V279" s="68"/>
      <c r="W279" s="68"/>
      <c r="AM279" s="162">
        <v>122.69999694824219</v>
      </c>
      <c r="AN279" s="69">
        <v>2.4331104214070365E-5</v>
      </c>
    </row>
    <row r="280" spans="1:40">
      <c r="A280" s="269" t="s">
        <v>453</v>
      </c>
      <c r="B280" s="221" t="s">
        <v>1377</v>
      </c>
      <c r="C280" s="221" t="s">
        <v>438</v>
      </c>
      <c r="D280" s="228">
        <v>497</v>
      </c>
      <c r="E280" s="228">
        <v>1420</v>
      </c>
      <c r="F280" s="69">
        <v>6.0691849198500013E-6</v>
      </c>
      <c r="G280" s="228">
        <v>164766.77069591</v>
      </c>
      <c r="H280" s="228">
        <v>1.3</v>
      </c>
      <c r="I280" s="69">
        <v>7.8899403958050012E-6</v>
      </c>
      <c r="J280" s="69">
        <f t="shared" si="4"/>
        <v>3.8186555964062372E-4</v>
      </c>
      <c r="K280" s="242"/>
      <c r="L280" s="162">
        <v>70.300003051757813</v>
      </c>
      <c r="M280" s="69">
        <v>4.6878881221346091E-6</v>
      </c>
      <c r="N280" s="162"/>
      <c r="O280" s="69"/>
      <c r="U280" s="230"/>
      <c r="V280" s="68"/>
      <c r="W280" s="68"/>
      <c r="AM280" s="162">
        <v>122.69999694824219</v>
      </c>
      <c r="AN280" s="69">
        <v>2.1693738744943403E-5</v>
      </c>
    </row>
    <row r="281" spans="1:40">
      <c r="A281" s="269" t="s">
        <v>468</v>
      </c>
      <c r="B281" s="221" t="s">
        <v>1377</v>
      </c>
      <c r="C281" s="221" t="s">
        <v>438</v>
      </c>
      <c r="D281" s="228">
        <v>526</v>
      </c>
      <c r="E281" s="228">
        <v>1382</v>
      </c>
      <c r="F281" s="69">
        <v>6.0691849198500013E-6</v>
      </c>
      <c r="G281" s="228">
        <v>164766.77069591</v>
      </c>
      <c r="H281" s="228">
        <v>1.3</v>
      </c>
      <c r="I281" s="69">
        <v>7.8899403958050012E-6</v>
      </c>
      <c r="J281" s="69">
        <f t="shared" si="4"/>
        <v>3.879347445604737E-4</v>
      </c>
      <c r="K281" s="242"/>
      <c r="L281" s="162">
        <v>70.300003051757813</v>
      </c>
      <c r="M281" s="69">
        <v>4.6433115130639635E-6</v>
      </c>
      <c r="N281" s="162"/>
      <c r="O281" s="69"/>
      <c r="U281" s="230"/>
      <c r="V281" s="68"/>
      <c r="W281" s="68"/>
      <c r="AM281" s="162">
        <v>123.59999847412109</v>
      </c>
      <c r="AN281" s="69">
        <v>2.1693738744943403E-5</v>
      </c>
    </row>
    <row r="282" spans="1:40">
      <c r="A282" s="269" t="s">
        <v>461</v>
      </c>
      <c r="B282" s="221" t="s">
        <v>439</v>
      </c>
      <c r="C282" s="221" t="s">
        <v>438</v>
      </c>
      <c r="D282" s="228">
        <v>524</v>
      </c>
      <c r="E282" s="228">
        <v>902</v>
      </c>
      <c r="F282" s="69">
        <v>2.2478237881484456E-7</v>
      </c>
      <c r="G282" s="228">
        <v>4448747.2962625325</v>
      </c>
      <c r="H282" s="228">
        <v>1.1000000000000001</v>
      </c>
      <c r="I282" s="69">
        <v>2.4726061669632902E-7</v>
      </c>
      <c r="J282" s="69">
        <f t="shared" si="4"/>
        <v>3.8815952693928854E-4</v>
      </c>
      <c r="K282" s="242"/>
      <c r="L282" s="162">
        <v>71.300003051757813</v>
      </c>
      <c r="M282" s="69">
        <v>4.6433115130639635E-6</v>
      </c>
      <c r="N282" s="162"/>
      <c r="O282" s="69"/>
      <c r="U282" s="230"/>
      <c r="V282" s="68"/>
      <c r="W282" s="68"/>
      <c r="AM282" s="162">
        <v>123.59999847412109</v>
      </c>
      <c r="AN282" s="69">
        <v>2.1647469111485407E-5</v>
      </c>
    </row>
    <row r="283" spans="1:40">
      <c r="A283" s="269" t="s">
        <v>462</v>
      </c>
      <c r="B283" s="221" t="s">
        <v>439</v>
      </c>
      <c r="C283" s="221" t="s">
        <v>438</v>
      </c>
      <c r="D283" s="228">
        <v>525</v>
      </c>
      <c r="E283" s="228">
        <v>922</v>
      </c>
      <c r="F283" s="69">
        <v>2.2478237881484456E-7</v>
      </c>
      <c r="G283" s="228">
        <v>4448747.2962625325</v>
      </c>
      <c r="H283" s="228">
        <v>1.1000000000000001</v>
      </c>
      <c r="I283" s="69">
        <v>2.4726061669632902E-7</v>
      </c>
      <c r="J283" s="69">
        <f t="shared" si="4"/>
        <v>3.8838430931810338E-4</v>
      </c>
      <c r="K283" s="242"/>
      <c r="L283" s="162">
        <v>71.300003051757813</v>
      </c>
      <c r="M283" s="69">
        <v>4.4512098611448891E-6</v>
      </c>
      <c r="N283" s="162"/>
      <c r="O283" s="69"/>
      <c r="U283" s="230"/>
      <c r="V283" s="68"/>
      <c r="W283" s="68"/>
      <c r="AM283" s="162">
        <v>126.90000152587891</v>
      </c>
      <c r="AN283" s="69">
        <v>2.1647469111485407E-5</v>
      </c>
    </row>
    <row r="284" spans="1:40">
      <c r="A284" s="269" t="s">
        <v>509</v>
      </c>
      <c r="B284" s="221" t="s">
        <v>1377</v>
      </c>
      <c r="C284" s="221" t="s">
        <v>438</v>
      </c>
      <c r="D284" s="228">
        <v>524</v>
      </c>
      <c r="E284" s="228">
        <v>1422</v>
      </c>
      <c r="F284" s="69">
        <v>6.0691849198500013E-6</v>
      </c>
      <c r="G284" s="228">
        <v>164766.77069591</v>
      </c>
      <c r="H284" s="228">
        <v>1</v>
      </c>
      <c r="I284" s="69">
        <v>6.0691849198500013E-6</v>
      </c>
      <c r="J284" s="69">
        <f t="shared" si="4"/>
        <v>3.9445349423795336E-4</v>
      </c>
      <c r="K284" s="242"/>
      <c r="L284" s="162">
        <v>71.400001525878906</v>
      </c>
      <c r="M284" s="69">
        <v>4.4512098611448891E-6</v>
      </c>
      <c r="N284" s="162"/>
      <c r="O284" s="69"/>
      <c r="U284" s="230"/>
      <c r="V284" s="68"/>
      <c r="W284" s="68"/>
      <c r="AM284" s="162">
        <v>126.90000152587891</v>
      </c>
      <c r="AN284" s="69">
        <v>1.8940700101666152E-5</v>
      </c>
    </row>
    <row r="285" spans="1:40">
      <c r="A285" s="269" t="s">
        <v>514</v>
      </c>
      <c r="B285" s="221" t="s">
        <v>439</v>
      </c>
      <c r="C285" s="221" t="s">
        <v>438</v>
      </c>
      <c r="D285" s="228">
        <v>501</v>
      </c>
      <c r="E285" s="228">
        <v>776</v>
      </c>
      <c r="F285" s="69">
        <v>2.2478237881484456E-7</v>
      </c>
      <c r="G285" s="228">
        <v>4448747.2962625325</v>
      </c>
      <c r="H285" s="228">
        <v>1</v>
      </c>
      <c r="I285" s="69">
        <v>2.2478237881484456E-7</v>
      </c>
      <c r="J285" s="69">
        <f t="shared" si="4"/>
        <v>3.9467827661676821E-4</v>
      </c>
      <c r="K285" s="242"/>
      <c r="L285" s="162">
        <v>71.400001525878906</v>
      </c>
      <c r="M285" s="69">
        <v>4.3002733036701102E-6</v>
      </c>
      <c r="N285" s="162"/>
      <c r="O285" s="69"/>
      <c r="U285" s="230"/>
      <c r="V285" s="68"/>
      <c r="W285" s="68"/>
      <c r="AM285" s="162">
        <v>127.69999694824219</v>
      </c>
      <c r="AN285" s="69">
        <v>1.8940700101666152E-5</v>
      </c>
    </row>
    <row r="286" spans="1:40">
      <c r="A286" s="269" t="s">
        <v>459</v>
      </c>
      <c r="B286" s="221" t="s">
        <v>444</v>
      </c>
      <c r="C286" s="221" t="s">
        <v>442</v>
      </c>
      <c r="D286" s="228">
        <v>500</v>
      </c>
      <c r="E286" s="228">
        <v>980</v>
      </c>
      <c r="F286" s="69">
        <v>1.2035866167E-6</v>
      </c>
      <c r="G286" s="228">
        <v>830850.04944787861</v>
      </c>
      <c r="H286" s="228">
        <v>1</v>
      </c>
      <c r="I286" s="69">
        <v>1.2035866167E-6</v>
      </c>
      <c r="J286" s="69">
        <f t="shared" si="4"/>
        <v>3.9588186323346821E-4</v>
      </c>
      <c r="K286" s="242"/>
      <c r="L286" s="162">
        <v>72.699996948242188</v>
      </c>
      <c r="M286" s="69">
        <v>4.3002733036701102E-6</v>
      </c>
      <c r="N286" s="162"/>
      <c r="O286" s="69"/>
      <c r="U286" s="230"/>
      <c r="V286" s="68"/>
      <c r="W286" s="68"/>
      <c r="AM286" s="162">
        <v>127.69999694824219</v>
      </c>
      <c r="AN286" s="69">
        <v>1.8917566194431856E-5</v>
      </c>
    </row>
    <row r="287" spans="1:40">
      <c r="A287" s="269" t="s">
        <v>458</v>
      </c>
      <c r="B287" s="221" t="s">
        <v>448</v>
      </c>
      <c r="C287" s="221" t="s">
        <v>450</v>
      </c>
      <c r="D287" s="228">
        <v>218</v>
      </c>
      <c r="E287" s="228">
        <v>648</v>
      </c>
      <c r="F287" s="69">
        <v>1.5093682811302096E-7</v>
      </c>
      <c r="G287" s="228">
        <v>6625288.291146568</v>
      </c>
      <c r="H287" s="228">
        <v>1</v>
      </c>
      <c r="I287" s="69">
        <v>1.5093682811302096E-7</v>
      </c>
      <c r="J287" s="69">
        <f t="shared" si="4"/>
        <v>3.9603280006158121E-4</v>
      </c>
      <c r="K287" s="242"/>
      <c r="L287" s="162">
        <v>72.699996948242188</v>
      </c>
      <c r="M287" s="69">
        <v>4.1493362914479803E-6</v>
      </c>
      <c r="N287" s="162"/>
      <c r="O287" s="69"/>
      <c r="U287" s="230"/>
      <c r="V287" s="68"/>
      <c r="W287" s="68"/>
      <c r="AM287" s="162">
        <v>132.5</v>
      </c>
      <c r="AN287" s="69">
        <v>1.8917566194431856E-5</v>
      </c>
    </row>
    <row r="288" spans="1:40">
      <c r="A288" s="269" t="s">
        <v>513</v>
      </c>
      <c r="B288" s="221" t="s">
        <v>448</v>
      </c>
      <c r="C288" s="221" t="s">
        <v>450</v>
      </c>
      <c r="D288" s="228">
        <v>213</v>
      </c>
      <c r="E288" s="228">
        <v>804</v>
      </c>
      <c r="F288" s="69">
        <v>1.5093682811302096E-7</v>
      </c>
      <c r="G288" s="228">
        <v>6625288.291146568</v>
      </c>
      <c r="H288" s="228">
        <v>1</v>
      </c>
      <c r="I288" s="69">
        <v>1.5093682811302096E-7</v>
      </c>
      <c r="J288" s="69">
        <f t="shared" si="4"/>
        <v>3.9618373688969421E-4</v>
      </c>
      <c r="K288" s="242"/>
      <c r="L288" s="162">
        <v>74.199996948242188</v>
      </c>
      <c r="M288" s="69">
        <v>4.1493362914479803E-6</v>
      </c>
      <c r="N288" s="162"/>
      <c r="O288" s="69"/>
      <c r="U288" s="230"/>
      <c r="V288" s="68"/>
      <c r="W288" s="68"/>
      <c r="AM288" s="162">
        <v>132.5</v>
      </c>
      <c r="AN288" s="69">
        <v>1.8894430468208157E-5</v>
      </c>
    </row>
    <row r="289" spans="1:40">
      <c r="A289" s="269" t="s">
        <v>516</v>
      </c>
      <c r="B289" s="221" t="s">
        <v>439</v>
      </c>
      <c r="C289" s="221" t="s">
        <v>438</v>
      </c>
      <c r="D289" s="228">
        <v>500</v>
      </c>
      <c r="E289" s="228">
        <v>924</v>
      </c>
      <c r="F289" s="69">
        <v>2.2478237881484456E-7</v>
      </c>
      <c r="G289" s="228">
        <v>4448747.2962625325</v>
      </c>
      <c r="H289" s="228">
        <v>1</v>
      </c>
      <c r="I289" s="69">
        <v>2.2478237881484456E-7</v>
      </c>
      <c r="J289" s="69">
        <f t="shared" si="4"/>
        <v>3.9640851926850905E-4</v>
      </c>
      <c r="K289" s="242"/>
      <c r="L289" s="162">
        <v>74.199996948242188</v>
      </c>
      <c r="M289" s="69">
        <v>4.1047596823773347E-6</v>
      </c>
      <c r="N289" s="162"/>
      <c r="O289" s="69"/>
      <c r="U289" s="230"/>
      <c r="V289" s="68"/>
      <c r="W289" s="68"/>
      <c r="AM289" s="162">
        <v>132.80000305175781</v>
      </c>
      <c r="AN289" s="69">
        <v>1.8894430468208157E-5</v>
      </c>
    </row>
    <row r="290" spans="1:40">
      <c r="A290" s="269" t="s">
        <v>519</v>
      </c>
      <c r="B290" s="221" t="s">
        <v>473</v>
      </c>
      <c r="C290" s="221" t="s">
        <v>508</v>
      </c>
      <c r="D290" s="228">
        <v>481</v>
      </c>
      <c r="E290" s="228">
        <v>1472</v>
      </c>
      <c r="F290" s="69">
        <v>2.225365578577196E-5</v>
      </c>
      <c r="G290" s="228">
        <v>44936.436944412402</v>
      </c>
      <c r="H290" s="228">
        <v>1</v>
      </c>
      <c r="I290" s="69">
        <v>2.225365578577196E-5</v>
      </c>
      <c r="J290" s="69">
        <f t="shared" si="4"/>
        <v>4.18662175054281E-4</v>
      </c>
      <c r="K290" s="242"/>
      <c r="L290" s="162">
        <v>75.5</v>
      </c>
      <c r="M290" s="69">
        <v>4.1047596823773347E-6</v>
      </c>
      <c r="N290" s="162"/>
      <c r="O290" s="69"/>
      <c r="P290" s="68"/>
      <c r="Q290" s="68"/>
      <c r="R290" s="68"/>
      <c r="S290" s="68"/>
      <c r="T290" s="68"/>
      <c r="U290" s="230"/>
      <c r="V290" s="68"/>
      <c r="W290" s="68"/>
      <c r="X290" s="68"/>
      <c r="Z290" s="68"/>
      <c r="AM290" s="162">
        <v>132.80000305175781</v>
      </c>
      <c r="AN290" s="69">
        <v>1.887129656097386E-5</v>
      </c>
    </row>
    <row r="291" spans="1:40">
      <c r="A291" s="269" t="s">
        <v>467</v>
      </c>
      <c r="B291" s="221" t="s">
        <v>473</v>
      </c>
      <c r="C291" s="221" t="s">
        <v>438</v>
      </c>
      <c r="D291" s="228">
        <v>524</v>
      </c>
      <c r="E291" s="228">
        <v>1426</v>
      </c>
      <c r="F291" s="69">
        <v>2.247844018764845E-7</v>
      </c>
      <c r="G291" s="228">
        <v>4448707.2574968273</v>
      </c>
      <c r="H291" s="228">
        <v>1</v>
      </c>
      <c r="I291" s="69">
        <v>2.247844018764845E-7</v>
      </c>
      <c r="J291" s="69">
        <f t="shared" si="4"/>
        <v>4.1888695945615747E-4</v>
      </c>
      <c r="K291" s="242"/>
      <c r="L291" s="162">
        <v>75.5</v>
      </c>
      <c r="M291" s="69">
        <v>4.0635950426803902E-6</v>
      </c>
      <c r="N291" s="162"/>
      <c r="O291" s="69"/>
      <c r="P291" s="68"/>
      <c r="Q291" s="68"/>
      <c r="R291" s="68"/>
      <c r="S291" s="68"/>
      <c r="T291" s="68"/>
      <c r="U291" s="230"/>
      <c r="V291" s="68"/>
      <c r="W291" s="68"/>
      <c r="X291" s="68"/>
      <c r="Z291" s="68"/>
      <c r="AM291" s="162">
        <v>134.80000305175781</v>
      </c>
      <c r="AN291" s="69">
        <v>1.887129656097386E-5</v>
      </c>
    </row>
    <row r="292" spans="1:40">
      <c r="A292" s="269" t="s">
        <v>519</v>
      </c>
      <c r="B292" s="221" t="s">
        <v>1377</v>
      </c>
      <c r="C292" s="221" t="s">
        <v>438</v>
      </c>
      <c r="D292" s="228">
        <v>525</v>
      </c>
      <c r="E292" s="228">
        <v>1352</v>
      </c>
      <c r="F292" s="69">
        <v>6.0691849198500013E-6</v>
      </c>
      <c r="G292" s="228">
        <v>164766.77069591</v>
      </c>
      <c r="H292" s="228">
        <v>1</v>
      </c>
      <c r="I292" s="69">
        <v>6.0691849198500013E-6</v>
      </c>
      <c r="J292" s="69">
        <f t="shared" si="4"/>
        <v>4.2495614437600745E-4</v>
      </c>
      <c r="K292" s="242"/>
      <c r="L292" s="162">
        <v>75.599998474121094</v>
      </c>
      <c r="M292" s="69">
        <v>4.0635950426803902E-6</v>
      </c>
      <c r="N292" s="162"/>
      <c r="O292" s="69"/>
      <c r="P292" s="68"/>
      <c r="Q292" s="68"/>
      <c r="R292" s="68"/>
      <c r="S292" s="68"/>
      <c r="T292" s="68"/>
      <c r="U292" s="230"/>
      <c r="V292" s="68"/>
      <c r="W292" s="68"/>
      <c r="X292" s="68"/>
      <c r="Z292" s="68"/>
      <c r="AM292" s="162">
        <v>134.80000305175781</v>
      </c>
      <c r="AN292" s="69">
        <v>1.6233931091846898E-5</v>
      </c>
    </row>
    <row r="293" spans="1:40">
      <c r="A293" s="269" t="s">
        <v>520</v>
      </c>
      <c r="B293" s="221" t="s">
        <v>473</v>
      </c>
      <c r="C293" s="221" t="s">
        <v>438</v>
      </c>
      <c r="D293" s="228">
        <v>524</v>
      </c>
      <c r="E293" s="228">
        <v>1440</v>
      </c>
      <c r="F293" s="69">
        <v>2.247844018764845E-7</v>
      </c>
      <c r="G293" s="228">
        <v>4448707.2574968273</v>
      </c>
      <c r="H293" s="228">
        <v>0.9</v>
      </c>
      <c r="I293" s="69">
        <v>2.0230596168883605E-7</v>
      </c>
      <c r="J293" s="69">
        <f t="shared" si="4"/>
        <v>4.2518092877788391E-4</v>
      </c>
      <c r="K293" s="242"/>
      <c r="L293" s="162">
        <v>75.599998474121094</v>
      </c>
      <c r="M293" s="69">
        <v>4.0620702748128679E-6</v>
      </c>
      <c r="N293" s="162"/>
      <c r="O293" s="69"/>
      <c r="P293" s="68"/>
      <c r="Q293" s="68"/>
      <c r="R293" s="68"/>
      <c r="S293" s="68"/>
      <c r="T293" s="68"/>
      <c r="U293" s="230"/>
      <c r="V293" s="68"/>
      <c r="W293" s="68"/>
      <c r="X293" s="68"/>
      <c r="Z293" s="68"/>
      <c r="AM293" s="162">
        <v>136.10000610351562</v>
      </c>
      <c r="AN293" s="69">
        <v>1.6233931091846898E-5</v>
      </c>
    </row>
    <row r="294" spans="1:40">
      <c r="A294" s="269" t="s">
        <v>512</v>
      </c>
      <c r="B294" s="221" t="s">
        <v>443</v>
      </c>
      <c r="C294" s="221" t="s">
        <v>442</v>
      </c>
      <c r="D294" s="228">
        <v>524</v>
      </c>
      <c r="E294" s="228">
        <v>762</v>
      </c>
      <c r="F294" s="69">
        <v>4.4576836327178993E-8</v>
      </c>
      <c r="G294" s="228">
        <v>22433175.666849397</v>
      </c>
      <c r="H294" s="228">
        <v>0.8</v>
      </c>
      <c r="I294" s="69">
        <v>3.5661469061743194E-8</v>
      </c>
      <c r="J294" s="69">
        <f t="shared" si="4"/>
        <v>4.2522550561421108E-4</v>
      </c>
      <c r="K294" s="242"/>
      <c r="L294" s="162">
        <v>76</v>
      </c>
      <c r="M294" s="69">
        <v>4.0620702748128679E-6</v>
      </c>
      <c r="N294" s="162"/>
      <c r="O294" s="69"/>
      <c r="U294" s="230"/>
      <c r="V294" s="68"/>
      <c r="W294" s="68"/>
      <c r="AM294" s="162">
        <v>136.10000610351562</v>
      </c>
      <c r="AN294" s="69">
        <v>1.6210797184612602E-5</v>
      </c>
    </row>
    <row r="295" spans="1:40">
      <c r="A295" s="269" t="s">
        <v>457</v>
      </c>
      <c r="B295" s="221" t="s">
        <v>446</v>
      </c>
      <c r="C295" s="221" t="s">
        <v>447</v>
      </c>
      <c r="D295" s="228">
        <v>524</v>
      </c>
      <c r="E295" s="228">
        <v>742</v>
      </c>
      <c r="F295" s="69">
        <v>1.5246144253840504E-9</v>
      </c>
      <c r="G295" s="228">
        <v>655903540.82351017</v>
      </c>
      <c r="H295" s="228">
        <v>0.8</v>
      </c>
      <c r="I295" s="69">
        <v>1.2196915403072403E-9</v>
      </c>
      <c r="J295" s="69">
        <f t="shared" si="4"/>
        <v>4.2522703022863646E-4</v>
      </c>
      <c r="K295" s="242"/>
      <c r="L295" s="162">
        <v>76</v>
      </c>
      <c r="M295" s="69">
        <v>4.0209056351159234E-6</v>
      </c>
      <c r="N295" s="162"/>
      <c r="O295" s="69"/>
      <c r="U295" s="230"/>
      <c r="V295" s="68"/>
      <c r="W295" s="68"/>
      <c r="AM295" s="162">
        <v>136.5</v>
      </c>
      <c r="AN295" s="69">
        <v>1.6210797184612602E-5</v>
      </c>
    </row>
    <row r="296" spans="1:40">
      <c r="A296" s="269" t="s">
        <v>460</v>
      </c>
      <c r="B296" s="221" t="s">
        <v>443</v>
      </c>
      <c r="C296" s="221" t="s">
        <v>476</v>
      </c>
      <c r="D296" s="228">
        <v>297</v>
      </c>
      <c r="E296" s="228">
        <v>930</v>
      </c>
      <c r="F296" s="69">
        <v>4.4131067963907217E-6</v>
      </c>
      <c r="G296" s="228">
        <v>226597.73400857969</v>
      </c>
      <c r="H296" s="228">
        <v>0.8</v>
      </c>
      <c r="I296" s="69">
        <v>3.5304854371125774E-6</v>
      </c>
      <c r="J296" s="69">
        <f t="shared" si="4"/>
        <v>4.2964013702502719E-4</v>
      </c>
      <c r="K296" s="242"/>
      <c r="L296" s="162">
        <v>76.099998474121094</v>
      </c>
      <c r="M296" s="69">
        <v>4.0209056351159234E-6</v>
      </c>
      <c r="N296" s="162"/>
      <c r="O296" s="69"/>
      <c r="U296" s="230"/>
      <c r="V296" s="68"/>
      <c r="W296" s="68"/>
      <c r="AM296" s="162">
        <v>136.5</v>
      </c>
      <c r="AN296" s="69">
        <v>1.6187661458388902E-5</v>
      </c>
    </row>
    <row r="297" spans="1:40">
      <c r="A297" s="269" t="s">
        <v>519</v>
      </c>
      <c r="B297" s="221" t="s">
        <v>473</v>
      </c>
      <c r="C297" s="221" t="s">
        <v>438</v>
      </c>
      <c r="D297" s="228">
        <v>524</v>
      </c>
      <c r="E297" s="228">
        <v>1380</v>
      </c>
      <c r="F297" s="69">
        <v>2.247844018764845E-7</v>
      </c>
      <c r="G297" s="228">
        <v>4448707.2574968273</v>
      </c>
      <c r="H297" s="228">
        <v>0.8</v>
      </c>
      <c r="I297" s="69">
        <v>1.7982752150118762E-7</v>
      </c>
      <c r="J297" s="69">
        <f t="shared" si="4"/>
        <v>4.2986492142690365E-4</v>
      </c>
      <c r="K297" s="242"/>
      <c r="L297" s="162">
        <v>76.099998474121094</v>
      </c>
      <c r="M297" s="69">
        <v>3.9763285712979268E-6</v>
      </c>
      <c r="N297" s="162"/>
      <c r="O297" s="69"/>
      <c r="U297" s="230"/>
      <c r="V297" s="68"/>
      <c r="W297" s="68"/>
      <c r="AM297" s="162">
        <v>139</v>
      </c>
      <c r="AN297" s="69">
        <v>1.6187661458388902E-5</v>
      </c>
    </row>
    <row r="298" spans="1:40">
      <c r="A298" s="269" t="s">
        <v>510</v>
      </c>
      <c r="B298" s="221" t="s">
        <v>1377</v>
      </c>
      <c r="C298" s="221" t="s">
        <v>438</v>
      </c>
      <c r="D298" s="228">
        <v>500</v>
      </c>
      <c r="E298" s="228">
        <v>1432</v>
      </c>
      <c r="F298" s="69">
        <v>6.0691849198500013E-6</v>
      </c>
      <c r="G298" s="228">
        <v>164766.77069591</v>
      </c>
      <c r="H298" s="228">
        <v>0.7</v>
      </c>
      <c r="I298" s="69">
        <v>4.2484294438950005E-6</v>
      </c>
      <c r="J298" s="69">
        <f t="shared" si="4"/>
        <v>4.3593410634675363E-4</v>
      </c>
      <c r="K298" s="242"/>
      <c r="L298" s="162">
        <v>76.699996948242188</v>
      </c>
      <c r="M298" s="69">
        <v>3.9763285712979268E-6</v>
      </c>
      <c r="N298" s="162"/>
      <c r="O298" s="69"/>
      <c r="U298" s="230"/>
      <c r="V298" s="68"/>
      <c r="W298" s="68"/>
      <c r="AM298" s="162">
        <v>139</v>
      </c>
      <c r="AN298" s="69">
        <v>1.6164527551154606E-5</v>
      </c>
    </row>
    <row r="299" spans="1:40">
      <c r="A299" s="269" t="s">
        <v>458</v>
      </c>
      <c r="B299" s="221" t="s">
        <v>475</v>
      </c>
      <c r="C299" s="221" t="s">
        <v>442</v>
      </c>
      <c r="D299" s="228">
        <v>525</v>
      </c>
      <c r="E299" s="228">
        <v>1038</v>
      </c>
      <c r="F299" s="69">
        <v>4.4577237522717891E-8</v>
      </c>
      <c r="G299" s="228">
        <v>22432973.768066496</v>
      </c>
      <c r="H299" s="228">
        <v>0.7</v>
      </c>
      <c r="I299" s="69">
        <v>3.1204066265902522E-8</v>
      </c>
      <c r="J299" s="69">
        <f t="shared" si="4"/>
        <v>4.3597868358427638E-4</v>
      </c>
      <c r="K299" s="242"/>
      <c r="L299" s="162">
        <v>76.699996948242188</v>
      </c>
      <c r="M299" s="69">
        <v>3.9351639316009823E-6</v>
      </c>
      <c r="N299" s="162"/>
      <c r="O299" s="69"/>
      <c r="U299" s="230"/>
      <c r="V299" s="68"/>
      <c r="W299" s="68"/>
      <c r="AM299" s="162">
        <v>140</v>
      </c>
      <c r="AN299" s="69">
        <v>1.6164527551154606E-5</v>
      </c>
    </row>
    <row r="300" spans="1:40">
      <c r="A300" s="269" t="s">
        <v>466</v>
      </c>
      <c r="B300" s="221" t="s">
        <v>473</v>
      </c>
      <c r="C300" s="221" t="s">
        <v>508</v>
      </c>
      <c r="D300" s="228">
        <v>481</v>
      </c>
      <c r="E300" s="228">
        <v>1400</v>
      </c>
      <c r="F300" s="69">
        <v>2.225365578577196E-5</v>
      </c>
      <c r="G300" s="228">
        <v>44936.436944412402</v>
      </c>
      <c r="H300" s="228">
        <v>0.7</v>
      </c>
      <c r="I300" s="69">
        <v>1.5577559050040371E-5</v>
      </c>
      <c r="J300" s="69">
        <f t="shared" si="4"/>
        <v>4.5823233937004833E-4</v>
      </c>
      <c r="K300" s="242"/>
      <c r="L300" s="162">
        <v>76.900001525878906</v>
      </c>
      <c r="M300" s="69">
        <v>3.9351639316009823E-6</v>
      </c>
      <c r="N300" s="162"/>
      <c r="O300" s="69"/>
      <c r="U300" s="230"/>
      <c r="V300" s="68"/>
      <c r="W300" s="68"/>
      <c r="AM300" s="162">
        <v>140</v>
      </c>
      <c r="AN300" s="69">
        <v>1.614139364392031E-5</v>
      </c>
    </row>
    <row r="301" spans="1:40">
      <c r="A301" s="269" t="s">
        <v>466</v>
      </c>
      <c r="B301" s="221" t="s">
        <v>473</v>
      </c>
      <c r="C301" s="221" t="s">
        <v>438</v>
      </c>
      <c r="D301" s="228">
        <v>526</v>
      </c>
      <c r="E301" s="228">
        <v>1416</v>
      </c>
      <c r="F301" s="69">
        <v>2.247844018764845E-7</v>
      </c>
      <c r="G301" s="228">
        <v>4448707.2574968273</v>
      </c>
      <c r="H301" s="228">
        <v>0.7</v>
      </c>
      <c r="I301" s="69">
        <v>1.5734908131353914E-7</v>
      </c>
      <c r="J301" s="69">
        <f t="shared" si="4"/>
        <v>4.5845712377192479E-4</v>
      </c>
      <c r="K301" s="242"/>
      <c r="L301" s="162">
        <v>76.900001525878906</v>
      </c>
      <c r="M301" s="69">
        <v>3.8905868677829858E-6</v>
      </c>
      <c r="N301" s="162"/>
      <c r="O301" s="69"/>
      <c r="U301" s="230"/>
      <c r="V301" s="68"/>
      <c r="W301" s="68"/>
      <c r="AM301" s="162">
        <v>142.80000305175781</v>
      </c>
      <c r="AN301" s="69">
        <v>1.614139364392031E-5</v>
      </c>
    </row>
    <row r="302" spans="1:40">
      <c r="A302" s="269" t="s">
        <v>456</v>
      </c>
      <c r="B302" s="221" t="s">
        <v>474</v>
      </c>
      <c r="C302" s="221" t="s">
        <v>438</v>
      </c>
      <c r="D302" s="228">
        <v>525</v>
      </c>
      <c r="E302" s="228">
        <v>1270</v>
      </c>
      <c r="F302" s="69">
        <v>2.247844018764845E-7</v>
      </c>
      <c r="G302" s="228">
        <v>4448707.2574968273</v>
      </c>
      <c r="H302" s="228">
        <v>0.6</v>
      </c>
      <c r="I302" s="69">
        <v>1.3487064112589071E-7</v>
      </c>
      <c r="J302" s="69">
        <f t="shared" si="4"/>
        <v>4.5868190817380125E-4</v>
      </c>
      <c r="K302" s="242"/>
      <c r="L302" s="162">
        <v>77.400001525878906</v>
      </c>
      <c r="M302" s="69">
        <v>3.8905868677829858E-6</v>
      </c>
      <c r="N302" s="162"/>
      <c r="O302" s="69"/>
      <c r="U302" s="230"/>
      <c r="V302" s="68"/>
      <c r="W302" s="68"/>
      <c r="AM302" s="162">
        <v>142.80000305175781</v>
      </c>
      <c r="AN302" s="69">
        <v>1.3504028174793348E-5</v>
      </c>
    </row>
    <row r="303" spans="1:40">
      <c r="A303" s="269" t="s">
        <v>511</v>
      </c>
      <c r="B303" s="221" t="s">
        <v>474</v>
      </c>
      <c r="C303" s="221" t="s">
        <v>438</v>
      </c>
      <c r="D303" s="228">
        <v>524</v>
      </c>
      <c r="E303" s="228">
        <v>1168</v>
      </c>
      <c r="F303" s="69">
        <v>2.247844018764845E-7</v>
      </c>
      <c r="G303" s="228">
        <v>4448707.2574968273</v>
      </c>
      <c r="H303" s="228">
        <v>0.6</v>
      </c>
      <c r="I303" s="69">
        <v>1.3487064112589071E-7</v>
      </c>
      <c r="J303" s="69">
        <f t="shared" si="4"/>
        <v>4.5890669257567772E-4</v>
      </c>
      <c r="K303" s="242"/>
      <c r="L303" s="162">
        <v>77.400001525878906</v>
      </c>
      <c r="M303" s="69">
        <v>3.8890625546628144E-6</v>
      </c>
      <c r="N303" s="162"/>
      <c r="O303" s="69"/>
      <c r="U303" s="230"/>
      <c r="V303" s="68"/>
      <c r="W303" s="68"/>
      <c r="AM303" s="162">
        <v>145.5</v>
      </c>
      <c r="AN303" s="69">
        <v>1.3504028174793348E-5</v>
      </c>
    </row>
    <row r="304" spans="1:40">
      <c r="A304" s="269" t="s">
        <v>512</v>
      </c>
      <c r="B304" s="221" t="s">
        <v>474</v>
      </c>
      <c r="C304" s="221" t="s">
        <v>438</v>
      </c>
      <c r="D304" s="228">
        <v>524</v>
      </c>
      <c r="E304" s="228">
        <v>1182</v>
      </c>
      <c r="F304" s="69">
        <v>2.247844018764845E-7</v>
      </c>
      <c r="G304" s="228">
        <v>4448707.2574968273</v>
      </c>
      <c r="H304" s="228">
        <v>0.6</v>
      </c>
      <c r="I304" s="69">
        <v>1.3487064112589071E-7</v>
      </c>
      <c r="J304" s="69">
        <f t="shared" si="4"/>
        <v>4.5913147697755418E-4</v>
      </c>
      <c r="K304" s="242"/>
      <c r="L304" s="162">
        <v>78.199996948242188</v>
      </c>
      <c r="M304" s="69">
        <v>3.8890625546628144E-6</v>
      </c>
      <c r="N304" s="162"/>
      <c r="O304" s="69"/>
      <c r="U304" s="230"/>
      <c r="V304" s="68"/>
      <c r="W304" s="68"/>
      <c r="AM304" s="162">
        <v>145.5</v>
      </c>
      <c r="AN304" s="69">
        <v>1.348089335806435E-5</v>
      </c>
    </row>
    <row r="305" spans="1:40">
      <c r="A305" s="269" t="s">
        <v>514</v>
      </c>
      <c r="B305" s="221" t="s">
        <v>475</v>
      </c>
      <c r="C305" s="221" t="s">
        <v>442</v>
      </c>
      <c r="D305" s="228">
        <v>524</v>
      </c>
      <c r="E305" s="228">
        <v>990</v>
      </c>
      <c r="F305" s="69">
        <v>4.4577237522717891E-8</v>
      </c>
      <c r="G305" s="228">
        <v>22432973.768066496</v>
      </c>
      <c r="H305" s="228">
        <v>0.6</v>
      </c>
      <c r="I305" s="69">
        <v>2.6746342513630734E-8</v>
      </c>
      <c r="J305" s="69">
        <f t="shared" si="4"/>
        <v>4.5917605421507692E-4</v>
      </c>
      <c r="K305" s="242"/>
      <c r="L305" s="162">
        <v>78.199996948242188</v>
      </c>
      <c r="M305" s="69">
        <v>3.8444854908448178E-6</v>
      </c>
      <c r="N305" s="162"/>
      <c r="O305" s="69"/>
      <c r="U305" s="230"/>
      <c r="V305" s="68"/>
      <c r="W305" s="68"/>
      <c r="AM305" s="162">
        <v>146.10000610351562</v>
      </c>
      <c r="AN305" s="69">
        <v>1.348089335806435E-5</v>
      </c>
    </row>
    <row r="306" spans="1:40">
      <c r="A306" s="269" t="s">
        <v>468</v>
      </c>
      <c r="B306" s="221" t="s">
        <v>473</v>
      </c>
      <c r="C306" s="221" t="s">
        <v>438</v>
      </c>
      <c r="D306" s="228">
        <v>524</v>
      </c>
      <c r="E306" s="228">
        <v>1392</v>
      </c>
      <c r="F306" s="69">
        <v>2.247844018764845E-7</v>
      </c>
      <c r="G306" s="228">
        <v>4448707.2574968273</v>
      </c>
      <c r="H306" s="228">
        <v>0.6</v>
      </c>
      <c r="I306" s="69">
        <v>1.3487064112589071E-7</v>
      </c>
      <c r="J306" s="69">
        <f t="shared" si="4"/>
        <v>4.5940083861695339E-4</v>
      </c>
      <c r="K306" s="242"/>
      <c r="L306" s="162">
        <v>78.300003051757812</v>
      </c>
      <c r="M306" s="69">
        <v>3.8444854908448178E-6</v>
      </c>
      <c r="N306" s="162"/>
      <c r="O306" s="69"/>
      <c r="U306" s="230"/>
      <c r="V306" s="68"/>
      <c r="W306" s="68"/>
      <c r="AM306" s="162">
        <v>146.10000610351562</v>
      </c>
      <c r="AN306" s="69">
        <v>1.3457758541335352E-5</v>
      </c>
    </row>
    <row r="307" spans="1:40">
      <c r="A307" s="269" t="s">
        <v>451</v>
      </c>
      <c r="B307" s="221" t="s">
        <v>1377</v>
      </c>
      <c r="C307" s="221" t="s">
        <v>438</v>
      </c>
      <c r="D307" s="228">
        <v>524</v>
      </c>
      <c r="E307" s="228">
        <v>1378</v>
      </c>
      <c r="F307" s="69">
        <v>6.0691849198500013E-6</v>
      </c>
      <c r="G307" s="228">
        <v>164766.77069591</v>
      </c>
      <c r="H307" s="228">
        <v>0.5</v>
      </c>
      <c r="I307" s="69">
        <v>3.0345924599250006E-6</v>
      </c>
      <c r="J307" s="69">
        <f t="shared" si="4"/>
        <v>4.6547002353680337E-4</v>
      </c>
      <c r="K307" s="242"/>
      <c r="L307" s="162">
        <v>78.300003051757812</v>
      </c>
      <c r="M307" s="69">
        <v>3.8429607229772955E-6</v>
      </c>
      <c r="N307" s="162"/>
      <c r="O307" s="69"/>
      <c r="U307" s="230"/>
      <c r="V307" s="68"/>
      <c r="W307" s="68"/>
      <c r="AM307" s="162">
        <v>146.60000610351562</v>
      </c>
      <c r="AN307" s="69">
        <v>1.3457758541335352E-5</v>
      </c>
    </row>
    <row r="308" spans="1:40">
      <c r="A308" s="269" t="s">
        <v>459</v>
      </c>
      <c r="B308" s="221" t="s">
        <v>446</v>
      </c>
      <c r="C308" s="221" t="s">
        <v>447</v>
      </c>
      <c r="D308" s="228">
        <v>524</v>
      </c>
      <c r="E308" s="228">
        <v>754</v>
      </c>
      <c r="F308" s="69">
        <v>1.5246144253840504E-9</v>
      </c>
      <c r="G308" s="228">
        <v>655903540.82351017</v>
      </c>
      <c r="H308" s="228">
        <v>0.5</v>
      </c>
      <c r="I308" s="69">
        <v>7.6230721269202519E-10</v>
      </c>
      <c r="J308" s="69">
        <f t="shared" si="4"/>
        <v>4.6547154815122874E-4</v>
      </c>
      <c r="K308" s="242"/>
      <c r="L308" s="162">
        <v>79.800003051757813</v>
      </c>
      <c r="M308" s="69">
        <v>3.8429607229772955E-6</v>
      </c>
      <c r="N308" s="162"/>
      <c r="O308" s="69"/>
      <c r="U308" s="230"/>
      <c r="V308" s="68"/>
      <c r="W308" s="68"/>
      <c r="AM308" s="162">
        <v>146.60000610351562</v>
      </c>
      <c r="AN308" s="69">
        <v>1.3388354091148358E-5</v>
      </c>
    </row>
    <row r="309" spans="1:40">
      <c r="A309" s="269" t="s">
        <v>463</v>
      </c>
      <c r="B309" s="221" t="s">
        <v>439</v>
      </c>
      <c r="C309" s="221" t="s">
        <v>508</v>
      </c>
      <c r="D309" s="228">
        <v>388</v>
      </c>
      <c r="E309" s="228">
        <v>1074</v>
      </c>
      <c r="F309" s="69">
        <v>2.2253455502669612E-5</v>
      </c>
      <c r="G309" s="228">
        <v>44936.841376389209</v>
      </c>
      <c r="H309" s="228">
        <v>0.5</v>
      </c>
      <c r="I309" s="69">
        <v>1.1126727751334806E-5</v>
      </c>
      <c r="J309" s="69">
        <f t="shared" si="4"/>
        <v>4.8772500365389836E-4</v>
      </c>
      <c r="K309" s="242"/>
      <c r="L309" s="162">
        <v>79.800003051757813</v>
      </c>
      <c r="M309" s="69">
        <v>3.8017963106540265E-6</v>
      </c>
      <c r="N309" s="162"/>
      <c r="O309" s="69"/>
      <c r="U309" s="230"/>
      <c r="V309" s="68"/>
      <c r="W309" s="68"/>
      <c r="AM309" s="162">
        <v>148.39999389648437</v>
      </c>
      <c r="AN309" s="69">
        <v>1.3388354091148358E-5</v>
      </c>
    </row>
    <row r="310" spans="1:40">
      <c r="A310" s="269" t="s">
        <v>454</v>
      </c>
      <c r="B310" s="221" t="s">
        <v>474</v>
      </c>
      <c r="C310" s="221" t="s">
        <v>438</v>
      </c>
      <c r="D310" s="228">
        <v>524</v>
      </c>
      <c r="E310" s="228">
        <v>1168</v>
      </c>
      <c r="F310" s="69">
        <v>2.247844018764845E-7</v>
      </c>
      <c r="G310" s="228">
        <v>4448707.2574968273</v>
      </c>
      <c r="H310" s="228">
        <v>0.4</v>
      </c>
      <c r="I310" s="69">
        <v>8.9913760750593809E-8</v>
      </c>
      <c r="J310" s="69">
        <f t="shared" si="4"/>
        <v>4.8794978805577482E-4</v>
      </c>
      <c r="K310" s="242"/>
      <c r="L310" s="162">
        <v>81.5</v>
      </c>
      <c r="M310" s="69">
        <v>3.8017963106540265E-6</v>
      </c>
      <c r="N310" s="162"/>
      <c r="O310" s="69"/>
      <c r="U310" s="230"/>
      <c r="V310" s="68"/>
      <c r="W310" s="68"/>
      <c r="AM310" s="162">
        <v>148.39999389648437</v>
      </c>
      <c r="AN310" s="69">
        <v>1.3378311450651381E-5</v>
      </c>
    </row>
    <row r="311" spans="1:40">
      <c r="A311" s="269" t="s">
        <v>513</v>
      </c>
      <c r="B311" s="221" t="s">
        <v>443</v>
      </c>
      <c r="C311" s="221" t="s">
        <v>442</v>
      </c>
      <c r="D311" s="228">
        <v>524</v>
      </c>
      <c r="E311" s="228">
        <v>784</v>
      </c>
      <c r="F311" s="69">
        <v>4.4576836327178993E-8</v>
      </c>
      <c r="G311" s="228">
        <v>22433175.666849397</v>
      </c>
      <c r="H311" s="228">
        <v>0.4</v>
      </c>
      <c r="I311" s="69">
        <v>1.7830734530871597E-8</v>
      </c>
      <c r="J311" s="69">
        <f t="shared" si="4"/>
        <v>4.87994364892102E-4</v>
      </c>
      <c r="K311" s="242"/>
      <c r="L311" s="162">
        <v>81.5</v>
      </c>
      <c r="M311" s="69">
        <v>3.760631670957082E-6</v>
      </c>
      <c r="N311" s="162"/>
      <c r="O311" s="69"/>
      <c r="U311" s="230"/>
      <c r="V311" s="68"/>
      <c r="W311" s="68"/>
      <c r="AM311" s="162">
        <v>152</v>
      </c>
      <c r="AN311" s="69">
        <v>1.3378311450651381E-5</v>
      </c>
    </row>
    <row r="312" spans="1:40">
      <c r="A312" s="269" t="s">
        <v>461</v>
      </c>
      <c r="B312" s="221" t="s">
        <v>439</v>
      </c>
      <c r="C312" s="221" t="s">
        <v>508</v>
      </c>
      <c r="D312" s="228">
        <v>291</v>
      </c>
      <c r="E312" s="228">
        <v>1012</v>
      </c>
      <c r="F312" s="69">
        <v>2.2253455502669612E-5</v>
      </c>
      <c r="G312" s="228">
        <v>44936.841376389209</v>
      </c>
      <c r="H312" s="228">
        <v>0.4</v>
      </c>
      <c r="I312" s="69">
        <v>8.9013822010678458E-6</v>
      </c>
      <c r="J312" s="69">
        <f t="shared" si="4"/>
        <v>5.1024782039477156E-4</v>
      </c>
      <c r="K312" s="242"/>
      <c r="L312" s="162">
        <v>81.800003051757812</v>
      </c>
      <c r="M312" s="69">
        <v>3.760631670957082E-6</v>
      </c>
      <c r="N312" s="162"/>
      <c r="O312" s="69"/>
      <c r="U312" s="230"/>
      <c r="V312" s="68"/>
      <c r="W312" s="68"/>
      <c r="AM312" s="162">
        <v>152</v>
      </c>
      <c r="AN312" s="69">
        <v>1.3355176633922383E-5</v>
      </c>
    </row>
    <row r="313" spans="1:40">
      <c r="A313" s="269" t="s">
        <v>516</v>
      </c>
      <c r="B313" s="221" t="s">
        <v>439</v>
      </c>
      <c r="C313" s="221" t="s">
        <v>508</v>
      </c>
      <c r="D313" s="228">
        <v>296</v>
      </c>
      <c r="E313" s="228">
        <v>934</v>
      </c>
      <c r="F313" s="69">
        <v>2.2253455502669612E-5</v>
      </c>
      <c r="G313" s="228">
        <v>44936.841376389209</v>
      </c>
      <c r="H313" s="228">
        <v>0.4</v>
      </c>
      <c r="I313" s="69">
        <v>8.9013822010678458E-6</v>
      </c>
      <c r="J313" s="69">
        <f t="shared" si="4"/>
        <v>5.3250127589744118E-4</v>
      </c>
      <c r="K313" s="242"/>
      <c r="L313" s="162">
        <v>81.800003051757812</v>
      </c>
      <c r="M313" s="69">
        <v>3.6096948861086275E-6</v>
      </c>
      <c r="N313" s="162"/>
      <c r="O313" s="69"/>
      <c r="U313" s="230"/>
      <c r="V313" s="68"/>
      <c r="W313" s="68"/>
      <c r="AM313" s="162">
        <v>152.19999694824219</v>
      </c>
      <c r="AN313" s="69">
        <v>1.3355176633922383E-5</v>
      </c>
    </row>
    <row r="314" spans="1:40">
      <c r="A314" s="269" t="s">
        <v>460</v>
      </c>
      <c r="B314" s="221" t="s">
        <v>448</v>
      </c>
      <c r="C314" s="221" t="s">
        <v>450</v>
      </c>
      <c r="D314" s="228">
        <v>296</v>
      </c>
      <c r="E314" s="228">
        <v>722</v>
      </c>
      <c r="F314" s="69">
        <v>1.5093682811302096E-7</v>
      </c>
      <c r="G314" s="228">
        <v>6625288.291146568</v>
      </c>
      <c r="H314" s="228">
        <v>0.4</v>
      </c>
      <c r="I314" s="69">
        <v>6.0374731245208388E-8</v>
      </c>
      <c r="J314" s="69">
        <f t="shared" si="4"/>
        <v>5.3265221272555418E-4</v>
      </c>
      <c r="K314" s="242"/>
      <c r="L314" s="162">
        <v>82.599998474121094</v>
      </c>
      <c r="M314" s="69">
        <v>3.6096948861086275E-6</v>
      </c>
      <c r="N314" s="162"/>
      <c r="O314" s="69"/>
      <c r="U314" s="230"/>
      <c r="V314" s="68"/>
      <c r="W314" s="68"/>
      <c r="AM314" s="162">
        <v>152.19999694824219</v>
      </c>
      <c r="AN314" s="69">
        <v>1.3345133993425407E-5</v>
      </c>
    </row>
    <row r="315" spans="1:40">
      <c r="A315" s="269" t="s">
        <v>517</v>
      </c>
      <c r="B315" s="221" t="s">
        <v>1377</v>
      </c>
      <c r="C315" s="221" t="s">
        <v>438</v>
      </c>
      <c r="D315" s="228">
        <v>525</v>
      </c>
      <c r="E315" s="228">
        <v>1184</v>
      </c>
      <c r="F315" s="69">
        <v>6.0691849198500013E-6</v>
      </c>
      <c r="G315" s="228">
        <v>164766.77069591</v>
      </c>
      <c r="H315" s="228">
        <v>0.4</v>
      </c>
      <c r="I315" s="69">
        <v>2.4276739679400005E-6</v>
      </c>
      <c r="J315" s="69">
        <f t="shared" si="4"/>
        <v>5.3872139764540416E-4</v>
      </c>
      <c r="K315" s="242"/>
      <c r="L315" s="162">
        <v>82.599998474121094</v>
      </c>
      <c r="M315" s="69">
        <v>3.568530246411683E-6</v>
      </c>
      <c r="N315" s="162"/>
      <c r="O315" s="69"/>
      <c r="U315" s="230"/>
      <c r="V315" s="68"/>
      <c r="W315" s="68"/>
      <c r="AM315" s="162">
        <v>152.80000305175781</v>
      </c>
      <c r="AN315" s="69">
        <v>1.3345133993425407E-5</v>
      </c>
    </row>
    <row r="316" spans="1:40">
      <c r="A316" s="269" t="s">
        <v>468</v>
      </c>
      <c r="B316" s="221" t="s">
        <v>473</v>
      </c>
      <c r="C316" s="221" t="s">
        <v>508</v>
      </c>
      <c r="D316" s="228">
        <v>481</v>
      </c>
      <c r="E316" s="228">
        <v>1378</v>
      </c>
      <c r="F316" s="69">
        <v>2.225365578577196E-5</v>
      </c>
      <c r="G316" s="228">
        <v>44936.436944412402</v>
      </c>
      <c r="H316" s="228">
        <v>0.4</v>
      </c>
      <c r="I316" s="69">
        <v>8.9014623143087839E-6</v>
      </c>
      <c r="J316" s="69">
        <f t="shared" si="4"/>
        <v>5.6097505343117617E-4</v>
      </c>
      <c r="K316" s="242"/>
      <c r="L316" s="162">
        <v>83.300003051757813</v>
      </c>
      <c r="M316" s="69">
        <v>3.568530246411683E-6</v>
      </c>
      <c r="N316" s="162"/>
      <c r="O316" s="69"/>
      <c r="U316" s="230"/>
      <c r="V316" s="68"/>
      <c r="W316" s="68"/>
      <c r="AM316" s="162">
        <v>152.80000305175781</v>
      </c>
      <c r="AN316" s="69">
        <v>1.3321999176696409E-5</v>
      </c>
    </row>
    <row r="317" spans="1:40">
      <c r="A317" s="269" t="s">
        <v>520</v>
      </c>
      <c r="B317" s="221" t="s">
        <v>473</v>
      </c>
      <c r="C317" s="221" t="s">
        <v>508</v>
      </c>
      <c r="D317" s="228">
        <v>481</v>
      </c>
      <c r="E317" s="228">
        <v>1438</v>
      </c>
      <c r="F317" s="69">
        <v>2.225365578577196E-5</v>
      </c>
      <c r="G317" s="228">
        <v>44936.436944412402</v>
      </c>
      <c r="H317" s="228">
        <v>0.4</v>
      </c>
      <c r="I317" s="69">
        <v>8.9014623143087839E-6</v>
      </c>
      <c r="J317" s="69">
        <f t="shared" si="4"/>
        <v>5.8322870921694817E-4</v>
      </c>
      <c r="K317" s="242"/>
      <c r="L317" s="162">
        <v>83.300003051757813</v>
      </c>
      <c r="M317" s="69">
        <v>3.5273656067147385E-6</v>
      </c>
      <c r="N317" s="162"/>
      <c r="O317" s="69"/>
      <c r="U317" s="230"/>
      <c r="V317" s="68"/>
      <c r="W317" s="68"/>
      <c r="AM317" s="162">
        <v>154.60000610351562</v>
      </c>
      <c r="AN317" s="69">
        <v>1.3321999176696409E-5</v>
      </c>
    </row>
    <row r="318" spans="1:40">
      <c r="A318" s="269" t="s">
        <v>455</v>
      </c>
      <c r="B318" s="221" t="s">
        <v>474</v>
      </c>
      <c r="C318" s="221" t="s">
        <v>438</v>
      </c>
      <c r="D318" s="228">
        <v>524</v>
      </c>
      <c r="E318" s="228">
        <v>1196</v>
      </c>
      <c r="F318" s="69">
        <v>2.247844018764845E-7</v>
      </c>
      <c r="G318" s="228">
        <v>4448707.2574968273</v>
      </c>
      <c r="H318" s="228">
        <v>0.3</v>
      </c>
      <c r="I318" s="69">
        <v>6.7435320562945354E-8</v>
      </c>
      <c r="J318" s="69">
        <f t="shared" si="4"/>
        <v>5.8345349361882469E-4</v>
      </c>
      <c r="K318" s="242"/>
      <c r="L318" s="162">
        <v>83.599998474121094</v>
      </c>
      <c r="M318" s="69">
        <v>3.5273656067147385E-6</v>
      </c>
      <c r="N318" s="162"/>
      <c r="O318" s="69"/>
      <c r="U318" s="230"/>
      <c r="V318" s="68"/>
      <c r="W318" s="68"/>
      <c r="AM318" s="162">
        <v>154.60000610351562</v>
      </c>
      <c r="AN318" s="69">
        <v>1.2177105418231804E-5</v>
      </c>
    </row>
    <row r="319" spans="1:40">
      <c r="A319" s="269" t="s">
        <v>456</v>
      </c>
      <c r="B319" s="221" t="s">
        <v>1377</v>
      </c>
      <c r="C319" s="221" t="s">
        <v>438</v>
      </c>
      <c r="D319" s="228">
        <v>524</v>
      </c>
      <c r="E319" s="228">
        <v>1232</v>
      </c>
      <c r="F319" s="69">
        <v>6.0691849198500013E-6</v>
      </c>
      <c r="G319" s="228">
        <v>164766.77069591</v>
      </c>
      <c r="H319" s="228">
        <v>0.3</v>
      </c>
      <c r="I319" s="69">
        <v>1.8207554759550004E-6</v>
      </c>
      <c r="J319" s="69">
        <f t="shared" si="4"/>
        <v>5.8952267853867467E-4</v>
      </c>
      <c r="K319" s="242"/>
      <c r="L319" s="162">
        <v>83.599998474121094</v>
      </c>
      <c r="M319" s="69">
        <v>3.5258410662208917E-6</v>
      </c>
      <c r="N319" s="162"/>
      <c r="O319" s="69"/>
      <c r="U319" s="230"/>
      <c r="V319" s="68"/>
      <c r="W319" s="68"/>
      <c r="AM319" s="162">
        <v>155.19999694824219</v>
      </c>
      <c r="AN319" s="69">
        <v>1.2177105418231804E-5</v>
      </c>
    </row>
    <row r="320" spans="1:40">
      <c r="A320" s="269" t="s">
        <v>455</v>
      </c>
      <c r="B320" s="221" t="s">
        <v>449</v>
      </c>
      <c r="C320" s="221" t="s">
        <v>450</v>
      </c>
      <c r="D320" s="228">
        <v>119</v>
      </c>
      <c r="E320" s="228">
        <v>476</v>
      </c>
      <c r="F320" s="69">
        <v>1.5093546968020952E-7</v>
      </c>
      <c r="G320" s="228">
        <v>6625347.9193374701</v>
      </c>
      <c r="H320" s="228">
        <v>0.3</v>
      </c>
      <c r="I320" s="69">
        <v>4.5280640904062853E-8</v>
      </c>
      <c r="J320" s="69">
        <f t="shared" si="4"/>
        <v>5.8967361400835488E-4</v>
      </c>
      <c r="K320" s="242"/>
      <c r="L320" s="162">
        <v>87.699996948242187</v>
      </c>
      <c r="M320" s="69">
        <v>3.5258410662208917E-6</v>
      </c>
      <c r="N320" s="162"/>
      <c r="O320" s="69"/>
      <c r="U320" s="230"/>
      <c r="V320" s="68"/>
      <c r="W320" s="68"/>
      <c r="AM320" s="162">
        <v>155.19999694824219</v>
      </c>
      <c r="AN320" s="69">
        <v>1.2167062777734827E-5</v>
      </c>
    </row>
    <row r="321" spans="1:40">
      <c r="A321" s="269" t="s">
        <v>459</v>
      </c>
      <c r="B321" s="221" t="s">
        <v>475</v>
      </c>
      <c r="C321" s="221" t="s">
        <v>442</v>
      </c>
      <c r="D321" s="228">
        <v>524</v>
      </c>
      <c r="E321" s="228">
        <v>960</v>
      </c>
      <c r="F321" s="69">
        <v>4.4577237522717891E-8</v>
      </c>
      <c r="G321" s="228">
        <v>22432973.768066496</v>
      </c>
      <c r="H321" s="228">
        <v>0.3</v>
      </c>
      <c r="I321" s="69">
        <v>1.3373171256815367E-8</v>
      </c>
      <c r="J321" s="69">
        <f t="shared" si="4"/>
        <v>5.8971819124587757E-4</v>
      </c>
      <c r="K321" s="242"/>
      <c r="L321" s="162">
        <v>87.699996948242187</v>
      </c>
      <c r="M321" s="69">
        <v>3.4400995900796261E-6</v>
      </c>
      <c r="N321" s="162"/>
      <c r="O321" s="69"/>
      <c r="U321" s="230"/>
      <c r="V321" s="68"/>
      <c r="W321" s="68"/>
      <c r="AM321" s="162">
        <v>156.10000610351562</v>
      </c>
      <c r="AN321" s="69">
        <v>1.2167062777734827E-5</v>
      </c>
    </row>
    <row r="322" spans="1:40">
      <c r="A322" s="269" t="s">
        <v>457</v>
      </c>
      <c r="B322" s="221" t="s">
        <v>446</v>
      </c>
      <c r="C322" s="221" t="s">
        <v>450</v>
      </c>
      <c r="D322" s="228">
        <v>218</v>
      </c>
      <c r="E322" s="228">
        <v>590</v>
      </c>
      <c r="F322" s="69">
        <v>1.5093682811302096E-7</v>
      </c>
      <c r="G322" s="228">
        <v>6625288.291146568</v>
      </c>
      <c r="H322" s="228">
        <v>0.3</v>
      </c>
      <c r="I322" s="69">
        <v>4.5281048433906288E-8</v>
      </c>
      <c r="J322" s="69">
        <f t="shared" si="4"/>
        <v>5.8986912807399057E-4</v>
      </c>
      <c r="K322" s="242"/>
      <c r="L322" s="162">
        <v>89.900001525878906</v>
      </c>
      <c r="M322" s="69">
        <v>3.4400995900796261E-6</v>
      </c>
      <c r="N322" s="162"/>
      <c r="O322" s="69"/>
      <c r="U322" s="230"/>
      <c r="V322" s="68"/>
      <c r="W322" s="68"/>
      <c r="AM322" s="162">
        <v>156.10000610351562</v>
      </c>
      <c r="AN322" s="69">
        <v>1.2143927961005829E-5</v>
      </c>
    </row>
    <row r="323" spans="1:40">
      <c r="A323" s="269" t="s">
        <v>515</v>
      </c>
      <c r="B323" s="221" t="s">
        <v>439</v>
      </c>
      <c r="C323" s="221" t="s">
        <v>508</v>
      </c>
      <c r="D323" s="228">
        <v>291</v>
      </c>
      <c r="E323" s="228">
        <v>884</v>
      </c>
      <c r="F323" s="69">
        <v>2.2253455502669612E-5</v>
      </c>
      <c r="G323" s="228">
        <v>44936.841376389209</v>
      </c>
      <c r="H323" s="228">
        <v>0.3</v>
      </c>
      <c r="I323" s="69">
        <v>6.6760366508008831E-6</v>
      </c>
      <c r="J323" s="69">
        <f t="shared" ref="J323:J386" si="5">J322+F323</f>
        <v>6.1212258357666019E-4</v>
      </c>
      <c r="K323" s="242"/>
      <c r="L323" s="162">
        <v>89.900001525878906</v>
      </c>
      <c r="M323" s="69">
        <v>3.4385748222121038E-6</v>
      </c>
      <c r="N323" s="162"/>
      <c r="O323" s="69"/>
      <c r="U323" s="230"/>
      <c r="V323" s="68"/>
      <c r="W323" s="68"/>
      <c r="AM323" s="162">
        <v>158.39999389648437</v>
      </c>
      <c r="AN323" s="69">
        <v>1.2143927961005829E-5</v>
      </c>
    </row>
    <row r="324" spans="1:40">
      <c r="A324" s="269" t="s">
        <v>460</v>
      </c>
      <c r="B324" s="221" t="s">
        <v>444</v>
      </c>
      <c r="C324" s="221" t="s">
        <v>442</v>
      </c>
      <c r="D324" s="228">
        <v>524</v>
      </c>
      <c r="E324" s="228">
        <v>932</v>
      </c>
      <c r="F324" s="69">
        <v>1.2035866167E-6</v>
      </c>
      <c r="G324" s="228">
        <v>830850.04944787861</v>
      </c>
      <c r="H324" s="228">
        <v>0.3</v>
      </c>
      <c r="I324" s="69">
        <v>3.6107598501000001E-7</v>
      </c>
      <c r="J324" s="69">
        <f t="shared" si="5"/>
        <v>6.1332617019336014E-4</v>
      </c>
      <c r="K324" s="242"/>
      <c r="L324" s="162">
        <v>90.099998474121094</v>
      </c>
      <c r="M324" s="69">
        <v>3.4385748222121038E-6</v>
      </c>
      <c r="N324" s="162"/>
      <c r="O324" s="69"/>
      <c r="U324" s="230"/>
      <c r="V324" s="68"/>
      <c r="W324" s="68"/>
      <c r="AM324" s="162">
        <v>158.39999389648437</v>
      </c>
      <c r="AN324" s="69">
        <v>1.2120793144276831E-5</v>
      </c>
    </row>
    <row r="325" spans="1:40">
      <c r="A325" s="269" t="s">
        <v>467</v>
      </c>
      <c r="B325" s="221" t="s">
        <v>473</v>
      </c>
      <c r="C325" s="221" t="s">
        <v>508</v>
      </c>
      <c r="D325" s="228">
        <v>479</v>
      </c>
      <c r="E325" s="228">
        <v>1334</v>
      </c>
      <c r="F325" s="69">
        <v>2.225365578577196E-5</v>
      </c>
      <c r="G325" s="228">
        <v>44936.436944412402</v>
      </c>
      <c r="H325" s="228">
        <v>0.3</v>
      </c>
      <c r="I325" s="69">
        <v>6.6760967357315883E-6</v>
      </c>
      <c r="J325" s="69">
        <f t="shared" si="5"/>
        <v>6.3557982597913214E-4</v>
      </c>
      <c r="K325" s="242"/>
      <c r="L325" s="162">
        <v>90.099998474121094</v>
      </c>
      <c r="M325" s="69">
        <v>3.4370502817182569E-6</v>
      </c>
      <c r="N325" s="162"/>
      <c r="O325" s="69"/>
      <c r="U325" s="230"/>
      <c r="V325" s="68"/>
      <c r="W325" s="68"/>
      <c r="AM325" s="162">
        <v>158.60000610351562</v>
      </c>
      <c r="AN325" s="69">
        <v>1.2120793144276831E-5</v>
      </c>
    </row>
    <row r="326" spans="1:40">
      <c r="A326" s="269" t="s">
        <v>452</v>
      </c>
      <c r="B326" s="221" t="s">
        <v>446</v>
      </c>
      <c r="C326" s="221" t="s">
        <v>447</v>
      </c>
      <c r="D326" s="228">
        <v>519</v>
      </c>
      <c r="E326" s="228">
        <v>1112</v>
      </c>
      <c r="F326" s="69">
        <v>1.5246144253840504E-9</v>
      </c>
      <c r="G326" s="228">
        <v>655903540.82351017</v>
      </c>
      <c r="H326" s="228">
        <v>0.2</v>
      </c>
      <c r="I326" s="69">
        <v>3.0492288507681008E-10</v>
      </c>
      <c r="J326" s="69">
        <f t="shared" si="5"/>
        <v>6.3558135059355752E-4</v>
      </c>
      <c r="K326" s="242"/>
      <c r="L326" s="162">
        <v>90.300003051757812</v>
      </c>
      <c r="M326" s="69">
        <v>3.4370502817182569E-6</v>
      </c>
      <c r="N326" s="162"/>
      <c r="O326" s="69"/>
      <c r="U326" s="230"/>
      <c r="V326" s="68"/>
      <c r="W326" s="68"/>
      <c r="AM326" s="162">
        <v>158.60000610351562</v>
      </c>
      <c r="AN326" s="69">
        <v>1.0975899385812227E-5</v>
      </c>
    </row>
    <row r="327" spans="1:40">
      <c r="A327" s="269" t="s">
        <v>458</v>
      </c>
      <c r="B327" s="221" t="s">
        <v>439</v>
      </c>
      <c r="C327" s="221" t="s">
        <v>438</v>
      </c>
      <c r="D327" s="228">
        <v>525</v>
      </c>
      <c r="E327" s="228">
        <v>656</v>
      </c>
      <c r="F327" s="69">
        <v>2.2478237881484456E-7</v>
      </c>
      <c r="G327" s="228">
        <v>4448747.2962625325</v>
      </c>
      <c r="H327" s="228">
        <v>0.2</v>
      </c>
      <c r="I327" s="69">
        <v>4.4956475762968916E-8</v>
      </c>
      <c r="J327" s="69">
        <f t="shared" si="5"/>
        <v>6.3580613297237242E-4</v>
      </c>
      <c r="K327" s="242"/>
      <c r="L327" s="162">
        <v>90.300003051757812</v>
      </c>
      <c r="M327" s="69">
        <v>3.43552574122441E-6</v>
      </c>
      <c r="N327" s="162"/>
      <c r="O327" s="69"/>
      <c r="U327" s="230"/>
      <c r="V327" s="68"/>
      <c r="W327" s="68"/>
      <c r="AM327" s="162">
        <v>160.5</v>
      </c>
      <c r="AN327" s="69">
        <v>1.0975899385812227E-5</v>
      </c>
    </row>
    <row r="328" spans="1:40">
      <c r="A328" s="269" t="s">
        <v>458</v>
      </c>
      <c r="B328" s="221" t="s">
        <v>443</v>
      </c>
      <c r="C328" s="221" t="s">
        <v>476</v>
      </c>
      <c r="D328" s="228">
        <v>218</v>
      </c>
      <c r="E328" s="228">
        <v>712</v>
      </c>
      <c r="F328" s="69">
        <v>4.4131067963907217E-6</v>
      </c>
      <c r="G328" s="228">
        <v>226597.73400857969</v>
      </c>
      <c r="H328" s="228">
        <v>0.2</v>
      </c>
      <c r="I328" s="69">
        <v>8.8262135927814434E-7</v>
      </c>
      <c r="J328" s="69">
        <f t="shared" si="5"/>
        <v>6.4021923976876314E-4</v>
      </c>
      <c r="K328" s="242"/>
      <c r="L328" s="162">
        <v>91</v>
      </c>
      <c r="M328" s="69">
        <v>3.43552574122441E-6</v>
      </c>
      <c r="N328" s="162"/>
      <c r="O328" s="69"/>
      <c r="U328" s="230"/>
      <c r="V328" s="68"/>
      <c r="W328" s="68"/>
      <c r="AM328" s="162">
        <v>160.5</v>
      </c>
      <c r="AN328" s="69">
        <v>1.0952764569083229E-5</v>
      </c>
    </row>
    <row r="329" spans="1:40">
      <c r="A329" s="269" t="s">
        <v>513</v>
      </c>
      <c r="B329" s="221" t="s">
        <v>475</v>
      </c>
      <c r="C329" s="221" t="s">
        <v>442</v>
      </c>
      <c r="D329" s="228">
        <v>519</v>
      </c>
      <c r="E329" s="228">
        <v>902</v>
      </c>
      <c r="F329" s="69">
        <v>4.4577237522717891E-8</v>
      </c>
      <c r="G329" s="228">
        <v>22432973.768066496</v>
      </c>
      <c r="H329" s="228">
        <v>0.2</v>
      </c>
      <c r="I329" s="69">
        <v>8.9154475045435785E-9</v>
      </c>
      <c r="J329" s="69">
        <f t="shared" si="5"/>
        <v>6.4026381700628583E-4</v>
      </c>
      <c r="K329" s="242"/>
      <c r="L329" s="162">
        <v>91</v>
      </c>
      <c r="M329" s="69">
        <v>3.4340009733568877E-6</v>
      </c>
      <c r="N329" s="162"/>
      <c r="O329" s="69"/>
      <c r="U329" s="230"/>
      <c r="V329" s="68"/>
      <c r="W329" s="68"/>
      <c r="AM329" s="162">
        <v>160.60000610351562</v>
      </c>
      <c r="AN329" s="69">
        <v>1.0952764569083229E-5</v>
      </c>
    </row>
    <row r="330" spans="1:40">
      <c r="A330" s="269" t="s">
        <v>458</v>
      </c>
      <c r="B330" s="221" t="s">
        <v>444</v>
      </c>
      <c r="C330" s="221" t="s">
        <v>442</v>
      </c>
      <c r="D330" s="228">
        <v>524</v>
      </c>
      <c r="E330" s="228">
        <v>898</v>
      </c>
      <c r="F330" s="69">
        <v>1.2035866167E-6</v>
      </c>
      <c r="G330" s="228">
        <v>830850.04944787861</v>
      </c>
      <c r="H330" s="228">
        <v>0.2</v>
      </c>
      <c r="I330" s="69">
        <v>2.4071732334000001E-7</v>
      </c>
      <c r="J330" s="69">
        <f t="shared" si="5"/>
        <v>6.4146740362298579E-4</v>
      </c>
      <c r="K330" s="242"/>
      <c r="L330" s="162">
        <v>91.5</v>
      </c>
      <c r="M330" s="69">
        <v>3.4340009733568877E-6</v>
      </c>
      <c r="N330" s="162"/>
      <c r="O330" s="69"/>
      <c r="U330" s="230"/>
      <c r="V330" s="68"/>
      <c r="W330" s="68"/>
      <c r="AM330" s="162">
        <v>160.60000610351562</v>
      </c>
      <c r="AN330" s="69">
        <v>1.0873317478399258E-5</v>
      </c>
    </row>
    <row r="331" spans="1:40">
      <c r="A331" s="269" t="s">
        <v>457</v>
      </c>
      <c r="B331" s="221" t="s">
        <v>448</v>
      </c>
      <c r="C331" s="221" t="s">
        <v>450</v>
      </c>
      <c r="D331" s="228">
        <v>218</v>
      </c>
      <c r="E331" s="228">
        <v>624</v>
      </c>
      <c r="F331" s="69">
        <v>1.5093682811302096E-7</v>
      </c>
      <c r="G331" s="228">
        <v>6625288.291146568</v>
      </c>
      <c r="H331" s="228">
        <v>0.2</v>
      </c>
      <c r="I331" s="69">
        <v>3.0187365622604194E-8</v>
      </c>
      <c r="J331" s="69">
        <f t="shared" si="5"/>
        <v>6.4161834045109879E-4</v>
      </c>
      <c r="K331" s="242"/>
      <c r="L331" s="162">
        <v>91.5</v>
      </c>
      <c r="M331" s="69">
        <v>3.3894241369125666E-6</v>
      </c>
      <c r="N331" s="162"/>
      <c r="O331" s="69"/>
      <c r="U331" s="230"/>
      <c r="V331" s="68"/>
      <c r="W331" s="68"/>
      <c r="AM331" s="162">
        <v>162.80000305175781</v>
      </c>
      <c r="AN331" s="69">
        <v>1.0873317478399258E-5</v>
      </c>
    </row>
    <row r="332" spans="1:40">
      <c r="A332" s="269" t="s">
        <v>462</v>
      </c>
      <c r="B332" s="221" t="s">
        <v>439</v>
      </c>
      <c r="C332" s="221" t="s">
        <v>508</v>
      </c>
      <c r="D332" s="228">
        <v>297</v>
      </c>
      <c r="E332" s="228">
        <v>916</v>
      </c>
      <c r="F332" s="69">
        <v>2.2253455502669612E-5</v>
      </c>
      <c r="G332" s="228">
        <v>44936.841376389209</v>
      </c>
      <c r="H332" s="228">
        <v>0.2</v>
      </c>
      <c r="I332" s="69">
        <v>4.4506911005339229E-6</v>
      </c>
      <c r="J332" s="69">
        <f t="shared" si="5"/>
        <v>6.638717959537684E-4</v>
      </c>
      <c r="K332" s="242"/>
      <c r="L332" s="162">
        <v>91.900001525878906</v>
      </c>
      <c r="M332" s="69">
        <v>3.3894241369125666E-6</v>
      </c>
      <c r="N332" s="162"/>
      <c r="O332" s="69"/>
      <c r="U332" s="230"/>
      <c r="V332" s="68"/>
      <c r="W332" s="68"/>
      <c r="AM332" s="162">
        <v>162.80000305175781</v>
      </c>
      <c r="AN332" s="69">
        <v>1.0803913028212264E-5</v>
      </c>
    </row>
    <row r="333" spans="1:40">
      <c r="A333" s="269" t="s">
        <v>516</v>
      </c>
      <c r="B333" s="221" t="s">
        <v>444</v>
      </c>
      <c r="C333" s="221" t="s">
        <v>442</v>
      </c>
      <c r="D333" s="228">
        <v>524</v>
      </c>
      <c r="E333" s="228">
        <v>906</v>
      </c>
      <c r="F333" s="69">
        <v>1.2035866167E-6</v>
      </c>
      <c r="G333" s="228">
        <v>830850.04944787861</v>
      </c>
      <c r="H333" s="228">
        <v>0.2</v>
      </c>
      <c r="I333" s="69">
        <v>2.4071732334000001E-7</v>
      </c>
      <c r="J333" s="69">
        <f t="shared" si="5"/>
        <v>6.6507538257046836E-4</v>
      </c>
      <c r="K333" s="242"/>
      <c r="L333" s="162">
        <v>91.900001525878906</v>
      </c>
      <c r="M333" s="69">
        <v>3.3482594972156221E-6</v>
      </c>
      <c r="N333" s="162"/>
      <c r="O333" s="69"/>
      <c r="U333" s="230"/>
      <c r="V333" s="68"/>
      <c r="W333" s="68"/>
      <c r="AM333" s="162">
        <v>166.5</v>
      </c>
      <c r="AN333" s="69">
        <v>1.0803913028212264E-5</v>
      </c>
    </row>
    <row r="334" spans="1:40">
      <c r="A334" s="269" t="s">
        <v>518</v>
      </c>
      <c r="B334" s="221" t="s">
        <v>1377</v>
      </c>
      <c r="C334" s="221" t="s">
        <v>438</v>
      </c>
      <c r="D334" s="228">
        <v>524</v>
      </c>
      <c r="E334" s="228">
        <v>1138</v>
      </c>
      <c r="F334" s="69">
        <v>6.0691849198500013E-6</v>
      </c>
      <c r="G334" s="228">
        <v>164766.77069591</v>
      </c>
      <c r="H334" s="228">
        <v>0.2</v>
      </c>
      <c r="I334" s="69">
        <v>1.2138369839700003E-6</v>
      </c>
      <c r="J334" s="69">
        <f t="shared" si="5"/>
        <v>6.7114456749031834E-4</v>
      </c>
      <c r="K334" s="242"/>
      <c r="L334" s="162">
        <v>94.699996948242188</v>
      </c>
      <c r="M334" s="69">
        <v>3.3482594972156221E-6</v>
      </c>
      <c r="N334" s="162"/>
      <c r="O334" s="69"/>
      <c r="U334" s="230"/>
      <c r="V334" s="68"/>
      <c r="W334" s="68"/>
      <c r="AM334" s="162">
        <v>166.5</v>
      </c>
      <c r="AN334" s="69">
        <v>1.0780779120977968E-5</v>
      </c>
    </row>
    <row r="335" spans="1:40">
      <c r="A335" s="269" t="s">
        <v>512</v>
      </c>
      <c r="B335" s="221" t="s">
        <v>439</v>
      </c>
      <c r="C335" s="221" t="s">
        <v>438</v>
      </c>
      <c r="D335" s="228">
        <v>524</v>
      </c>
      <c r="E335" s="228">
        <v>762</v>
      </c>
      <c r="F335" s="69">
        <v>2.2478237881484456E-7</v>
      </c>
      <c r="G335" s="228">
        <v>4448747.2962625325</v>
      </c>
      <c r="H335" s="228">
        <v>0.1</v>
      </c>
      <c r="I335" s="69">
        <v>2.2478237881484458E-8</v>
      </c>
      <c r="J335" s="69">
        <f t="shared" si="5"/>
        <v>6.7136934986913323E-4</v>
      </c>
      <c r="K335" s="242"/>
      <c r="L335" s="162">
        <v>94.699996948242188</v>
      </c>
      <c r="M335" s="69">
        <v>3.307095084892353E-6</v>
      </c>
      <c r="N335" s="162"/>
      <c r="O335" s="69"/>
      <c r="U335" s="230"/>
      <c r="V335" s="68"/>
      <c r="W335" s="68"/>
      <c r="AM335" s="162">
        <v>169.80000305175781</v>
      </c>
      <c r="AN335" s="69">
        <v>1.0780779120977968E-5</v>
      </c>
    </row>
    <row r="336" spans="1:40">
      <c r="A336" s="269" t="s">
        <v>511</v>
      </c>
      <c r="B336" s="221" t="s">
        <v>1377</v>
      </c>
      <c r="C336" s="221" t="s">
        <v>438</v>
      </c>
      <c r="D336" s="228">
        <v>524</v>
      </c>
      <c r="E336" s="228">
        <v>1162</v>
      </c>
      <c r="F336" s="69">
        <v>6.0691849198500013E-6</v>
      </c>
      <c r="G336" s="228">
        <v>164766.77069591</v>
      </c>
      <c r="H336" s="228">
        <v>0.1</v>
      </c>
      <c r="I336" s="69">
        <v>6.0691849198500013E-7</v>
      </c>
      <c r="J336" s="69">
        <f t="shared" si="5"/>
        <v>6.7743853478898321E-4</v>
      </c>
      <c r="K336" s="242"/>
      <c r="L336" s="162">
        <v>95</v>
      </c>
      <c r="M336" s="69">
        <v>3.307095084892353E-6</v>
      </c>
      <c r="N336" s="162"/>
      <c r="O336" s="69"/>
      <c r="U336" s="230"/>
      <c r="V336" s="68"/>
      <c r="W336" s="68"/>
      <c r="AM336" s="162">
        <v>169.80000305175781</v>
      </c>
      <c r="AN336" s="69">
        <v>1.075764430424897E-5</v>
      </c>
    </row>
    <row r="337" spans="1:40">
      <c r="A337" s="269" t="s">
        <v>512</v>
      </c>
      <c r="B337" s="221" t="s">
        <v>1377</v>
      </c>
      <c r="C337" s="221" t="s">
        <v>438</v>
      </c>
      <c r="D337" s="228">
        <v>520</v>
      </c>
      <c r="E337" s="228">
        <v>1258</v>
      </c>
      <c r="F337" s="69">
        <v>6.0691849198500013E-6</v>
      </c>
      <c r="G337" s="228">
        <v>164766.77069591</v>
      </c>
      <c r="H337" s="228">
        <v>0.1</v>
      </c>
      <c r="I337" s="69">
        <v>6.0691849198500013E-7</v>
      </c>
      <c r="J337" s="69">
        <f t="shared" si="5"/>
        <v>6.8350771970883319E-4</v>
      </c>
      <c r="K337" s="242"/>
      <c r="L337" s="162">
        <v>95</v>
      </c>
      <c r="M337" s="69">
        <v>3.3055703170248307E-6</v>
      </c>
      <c r="N337" s="162"/>
      <c r="O337" s="69"/>
      <c r="U337" s="230"/>
      <c r="V337" s="68"/>
      <c r="W337" s="68"/>
      <c r="AM337" s="162">
        <v>170.19999694824219</v>
      </c>
      <c r="AN337" s="69">
        <v>1.075764430424897E-5</v>
      </c>
    </row>
    <row r="338" spans="1:40">
      <c r="A338" s="269" t="s">
        <v>456</v>
      </c>
      <c r="B338" s="221" t="s">
        <v>446</v>
      </c>
      <c r="C338" s="221" t="s">
        <v>447</v>
      </c>
      <c r="D338" s="228">
        <v>524</v>
      </c>
      <c r="E338" s="228">
        <v>924</v>
      </c>
      <c r="F338" s="69">
        <v>1.5246144253840504E-9</v>
      </c>
      <c r="G338" s="228">
        <v>655903540.82351017</v>
      </c>
      <c r="H338" s="228">
        <v>0.1</v>
      </c>
      <c r="I338" s="69">
        <v>1.5246144253840504E-10</v>
      </c>
      <c r="J338" s="69">
        <f t="shared" si="5"/>
        <v>6.8350924432325857E-4</v>
      </c>
      <c r="K338" s="242"/>
      <c r="L338" s="162">
        <v>95.199996948242188</v>
      </c>
      <c r="M338" s="69">
        <v>3.3055703170248307E-6</v>
      </c>
      <c r="N338" s="162"/>
      <c r="O338" s="69"/>
      <c r="U338" s="230"/>
      <c r="V338" s="68"/>
      <c r="W338" s="68"/>
      <c r="AM338" s="162">
        <v>170.19999694824219</v>
      </c>
      <c r="AN338" s="69">
        <v>1.0747601663751993E-5</v>
      </c>
    </row>
    <row r="339" spans="1:40">
      <c r="A339" s="269" t="s">
        <v>512</v>
      </c>
      <c r="B339" s="221" t="s">
        <v>446</v>
      </c>
      <c r="C339" s="221" t="s">
        <v>447</v>
      </c>
      <c r="D339" s="228">
        <v>524</v>
      </c>
      <c r="E339" s="228">
        <v>902</v>
      </c>
      <c r="F339" s="69">
        <v>1.5246144253840504E-9</v>
      </c>
      <c r="G339" s="228">
        <v>655903540.82351017</v>
      </c>
      <c r="H339" s="228">
        <v>0.1</v>
      </c>
      <c r="I339" s="69">
        <v>1.5246144253840504E-10</v>
      </c>
      <c r="J339" s="69">
        <f t="shared" si="5"/>
        <v>6.8351076893768395E-4</v>
      </c>
      <c r="K339" s="242"/>
      <c r="L339" s="162">
        <v>95.199996948242188</v>
      </c>
      <c r="M339" s="69">
        <v>3.3040457765309839E-6</v>
      </c>
      <c r="N339" s="162"/>
      <c r="O339" s="69"/>
      <c r="U339" s="230"/>
      <c r="V339" s="68"/>
      <c r="W339" s="68"/>
      <c r="AM339" s="162">
        <v>172.30000305175781</v>
      </c>
      <c r="AN339" s="69">
        <v>1.0747601663751993E-5</v>
      </c>
    </row>
    <row r="340" spans="1:40">
      <c r="A340" s="269" t="s">
        <v>457</v>
      </c>
      <c r="B340" s="221" t="s">
        <v>439</v>
      </c>
      <c r="C340" s="221" t="s">
        <v>438</v>
      </c>
      <c r="D340" s="228">
        <v>519</v>
      </c>
      <c r="E340" s="228">
        <v>628</v>
      </c>
      <c r="F340" s="69">
        <v>2.2478237881484456E-7</v>
      </c>
      <c r="G340" s="228">
        <v>4448747.2962625325</v>
      </c>
      <c r="H340" s="228">
        <v>0.1</v>
      </c>
      <c r="I340" s="69">
        <v>2.2478237881484458E-8</v>
      </c>
      <c r="J340" s="69">
        <f t="shared" si="5"/>
        <v>6.8373555131649884E-4</v>
      </c>
      <c r="K340" s="242"/>
      <c r="L340" s="162">
        <v>95.800003051757813</v>
      </c>
      <c r="M340" s="69">
        <v>3.3040457765309839E-6</v>
      </c>
      <c r="N340" s="162"/>
      <c r="O340" s="69"/>
      <c r="U340" s="230"/>
      <c r="V340" s="68"/>
      <c r="W340" s="68"/>
      <c r="AM340" s="162">
        <v>172.30000305175781</v>
      </c>
      <c r="AN340" s="69">
        <v>1.0737558113760315E-5</v>
      </c>
    </row>
    <row r="341" spans="1:40">
      <c r="A341" s="269" t="s">
        <v>513</v>
      </c>
      <c r="B341" s="221" t="s">
        <v>439</v>
      </c>
      <c r="C341" s="221" t="s">
        <v>438</v>
      </c>
      <c r="D341" s="228">
        <v>524</v>
      </c>
      <c r="E341" s="228">
        <v>804</v>
      </c>
      <c r="F341" s="69">
        <v>2.2478237881484456E-7</v>
      </c>
      <c r="G341" s="228">
        <v>4448747.2962625325</v>
      </c>
      <c r="H341" s="228">
        <v>0.1</v>
      </c>
      <c r="I341" s="69">
        <v>2.2478237881484458E-8</v>
      </c>
      <c r="J341" s="69">
        <f t="shared" si="5"/>
        <v>6.8396033369531374E-4</v>
      </c>
      <c r="K341" s="242"/>
      <c r="L341" s="162">
        <v>95.800003051757813</v>
      </c>
      <c r="M341" s="69">
        <v>3.2594689400866628E-6</v>
      </c>
      <c r="N341" s="162"/>
      <c r="O341" s="69"/>
      <c r="U341" s="230"/>
      <c r="V341" s="68"/>
      <c r="W341" s="68"/>
      <c r="AM341" s="162">
        <v>173.39999389648437</v>
      </c>
      <c r="AN341" s="69">
        <v>1.0737558113760315E-5</v>
      </c>
    </row>
    <row r="342" spans="1:40">
      <c r="A342" s="269" t="s">
        <v>459</v>
      </c>
      <c r="B342" s="221" t="s">
        <v>1377</v>
      </c>
      <c r="C342" s="221" t="s">
        <v>438</v>
      </c>
      <c r="D342" s="228">
        <v>500</v>
      </c>
      <c r="E342" s="228">
        <v>944</v>
      </c>
      <c r="F342" s="69">
        <v>6.0691849198500013E-6</v>
      </c>
      <c r="G342" s="228">
        <v>164766.77069591</v>
      </c>
      <c r="H342" s="228">
        <v>0.1</v>
      </c>
      <c r="I342" s="69">
        <v>6.0691849198500013E-7</v>
      </c>
      <c r="J342" s="69">
        <f t="shared" si="5"/>
        <v>6.9002951861516372E-4</v>
      </c>
      <c r="K342" s="242"/>
      <c r="L342" s="162">
        <v>96.099998474121094</v>
      </c>
      <c r="M342" s="69">
        <v>3.2594689400866628E-6</v>
      </c>
      <c r="N342" s="162"/>
      <c r="O342" s="69"/>
      <c r="U342" s="230"/>
      <c r="V342" s="68"/>
      <c r="W342" s="68"/>
      <c r="AM342" s="162">
        <v>173.39999389648437</v>
      </c>
      <c r="AN342" s="69">
        <v>1.0707429282774683E-5</v>
      </c>
    </row>
    <row r="343" spans="1:40">
      <c r="A343" s="269" t="s">
        <v>513</v>
      </c>
      <c r="B343" s="221" t="s">
        <v>443</v>
      </c>
      <c r="C343" s="221" t="s">
        <v>476</v>
      </c>
      <c r="D343" s="228">
        <v>221</v>
      </c>
      <c r="E343" s="228">
        <v>702</v>
      </c>
      <c r="F343" s="69">
        <v>4.4131067963907217E-6</v>
      </c>
      <c r="G343" s="228">
        <v>226597.73400857969</v>
      </c>
      <c r="H343" s="228">
        <v>0.1</v>
      </c>
      <c r="I343" s="69">
        <v>4.4131067963907217E-7</v>
      </c>
      <c r="J343" s="69">
        <f t="shared" si="5"/>
        <v>6.9444262541155444E-4</v>
      </c>
      <c r="K343" s="242"/>
      <c r="L343" s="162">
        <v>96.099998474121094</v>
      </c>
      <c r="M343" s="69">
        <v>3.2148921036423417E-6</v>
      </c>
      <c r="N343" s="162"/>
      <c r="O343" s="69"/>
      <c r="U343" s="230"/>
      <c r="V343" s="68"/>
      <c r="W343" s="68"/>
      <c r="AM343" s="162">
        <v>174.5</v>
      </c>
      <c r="AN343" s="69">
        <v>1.0707429282774683E-5</v>
      </c>
    </row>
    <row r="344" spans="1:40">
      <c r="A344" s="269" t="s">
        <v>513</v>
      </c>
      <c r="B344" s="221" t="s">
        <v>444</v>
      </c>
      <c r="C344" s="221" t="s">
        <v>442</v>
      </c>
      <c r="D344" s="228">
        <v>524</v>
      </c>
      <c r="E344" s="228">
        <v>870</v>
      </c>
      <c r="F344" s="69">
        <v>1.2035866167E-6</v>
      </c>
      <c r="G344" s="228">
        <v>830850.04944787861</v>
      </c>
      <c r="H344" s="228">
        <v>0.1</v>
      </c>
      <c r="I344" s="69">
        <v>1.2035866167E-7</v>
      </c>
      <c r="J344" s="69">
        <f t="shared" si="5"/>
        <v>6.956462120282544E-4</v>
      </c>
      <c r="K344" s="242"/>
      <c r="L344" s="162">
        <v>99.099998474121094</v>
      </c>
      <c r="M344" s="69">
        <v>3.2148921036423417E-6</v>
      </c>
      <c r="N344" s="162"/>
      <c r="O344" s="69"/>
      <c r="U344" s="230"/>
      <c r="V344" s="68"/>
      <c r="W344" s="68"/>
      <c r="AM344" s="162">
        <v>174.5</v>
      </c>
      <c r="AN344" s="69">
        <v>1.0684295375540387E-5</v>
      </c>
    </row>
    <row r="345" spans="1:40">
      <c r="A345" s="269" t="s">
        <v>514</v>
      </c>
      <c r="B345" s="221" t="s">
        <v>444</v>
      </c>
      <c r="C345" s="221" t="s">
        <v>442</v>
      </c>
      <c r="D345" s="228">
        <v>524</v>
      </c>
      <c r="E345" s="228">
        <v>884</v>
      </c>
      <c r="F345" s="69">
        <v>1.2035866167E-6</v>
      </c>
      <c r="G345" s="228">
        <v>830850.04944787861</v>
      </c>
      <c r="H345" s="228">
        <v>0.1</v>
      </c>
      <c r="I345" s="69">
        <v>1.2035866167E-7</v>
      </c>
      <c r="J345" s="69">
        <f t="shared" si="5"/>
        <v>6.9684979864495435E-4</v>
      </c>
      <c r="K345" s="242"/>
      <c r="L345" s="162">
        <v>99.099998474121094</v>
      </c>
      <c r="M345" s="69">
        <v>3.1737274639453972E-6</v>
      </c>
      <c r="N345" s="162"/>
      <c r="O345" s="69"/>
      <c r="U345" s="230"/>
      <c r="V345" s="68"/>
      <c r="W345" s="68"/>
      <c r="AM345" s="162">
        <v>177.60000610351562</v>
      </c>
      <c r="AN345" s="69">
        <v>1.0684295375540387E-5</v>
      </c>
    </row>
    <row r="346" spans="1:40">
      <c r="A346" s="269" t="s">
        <v>459</v>
      </c>
      <c r="B346" s="221" t="s">
        <v>448</v>
      </c>
      <c r="C346" s="221" t="s">
        <v>450</v>
      </c>
      <c r="D346" s="228">
        <v>191</v>
      </c>
      <c r="E346" s="228">
        <v>602</v>
      </c>
      <c r="F346" s="69">
        <v>1.5093682811302096E-7</v>
      </c>
      <c r="G346" s="228">
        <v>6625288.291146568</v>
      </c>
      <c r="H346" s="228">
        <v>0.1</v>
      </c>
      <c r="I346" s="69">
        <v>1.5093682811302097E-8</v>
      </c>
      <c r="J346" s="69">
        <f t="shared" si="5"/>
        <v>6.9700073547306735E-4</v>
      </c>
      <c r="K346" s="242"/>
      <c r="L346" s="162">
        <v>99.599998474121094</v>
      </c>
      <c r="M346" s="69">
        <v>3.1737274639453972E-6</v>
      </c>
      <c r="N346" s="162"/>
      <c r="O346" s="69"/>
      <c r="U346" s="230"/>
      <c r="V346" s="68"/>
      <c r="W346" s="68"/>
      <c r="AM346" s="162">
        <v>177.60000610351562</v>
      </c>
      <c r="AN346" s="69">
        <v>1.0674251825548708E-5</v>
      </c>
    </row>
    <row r="347" spans="1:40">
      <c r="A347" s="269" t="s">
        <v>460</v>
      </c>
      <c r="B347" s="221" t="s">
        <v>439</v>
      </c>
      <c r="C347" s="221" t="s">
        <v>508</v>
      </c>
      <c r="D347" s="228">
        <v>297</v>
      </c>
      <c r="E347" s="228">
        <v>862</v>
      </c>
      <c r="F347" s="69">
        <v>2.2253455502669612E-5</v>
      </c>
      <c r="G347" s="228">
        <v>44936.841376389209</v>
      </c>
      <c r="H347" s="228">
        <v>0.1</v>
      </c>
      <c r="I347" s="69">
        <v>2.2253455502669614E-6</v>
      </c>
      <c r="J347" s="69">
        <f t="shared" si="5"/>
        <v>7.1925419097573697E-4</v>
      </c>
      <c r="K347" s="242"/>
      <c r="L347" s="162">
        <v>99.599998474121094</v>
      </c>
      <c r="M347" s="69">
        <v>3.1722029234515503E-6</v>
      </c>
      <c r="N347" s="162"/>
      <c r="O347" s="69"/>
      <c r="U347" s="230"/>
      <c r="V347" s="68"/>
      <c r="W347" s="68"/>
      <c r="AM347" s="162">
        <v>181.60000610351562</v>
      </c>
      <c r="AN347" s="69">
        <v>1.0674251825548708E-5</v>
      </c>
    </row>
    <row r="348" spans="1:40">
      <c r="A348" s="269" t="s">
        <v>462</v>
      </c>
      <c r="B348" s="221" t="s">
        <v>441</v>
      </c>
      <c r="C348" s="221" t="s">
        <v>476</v>
      </c>
      <c r="D348" s="228">
        <v>297</v>
      </c>
      <c r="E348" s="228">
        <v>950</v>
      </c>
      <c r="F348" s="69">
        <v>4.413146514749072E-6</v>
      </c>
      <c r="G348" s="228">
        <v>226595.69462693427</v>
      </c>
      <c r="H348" s="228">
        <v>0.1</v>
      </c>
      <c r="I348" s="69">
        <v>4.4131465147490724E-7</v>
      </c>
      <c r="J348" s="69">
        <f t="shared" si="5"/>
        <v>7.2366733749048607E-4</v>
      </c>
      <c r="K348" s="242"/>
      <c r="L348" s="162">
        <v>100.30000305175781</v>
      </c>
      <c r="M348" s="69">
        <v>3.1722029234515503E-6</v>
      </c>
      <c r="N348" s="162"/>
      <c r="O348" s="69"/>
      <c r="U348" s="230"/>
      <c r="V348" s="68"/>
      <c r="W348" s="68"/>
      <c r="AM348" s="162">
        <v>181.60000610351562</v>
      </c>
      <c r="AN348" s="69">
        <v>9.5293589765788056E-6</v>
      </c>
    </row>
    <row r="349" spans="1:40">
      <c r="A349" s="269" t="s">
        <v>516</v>
      </c>
      <c r="B349" s="221" t="s">
        <v>441</v>
      </c>
      <c r="C349" s="221" t="s">
        <v>476</v>
      </c>
      <c r="D349" s="228">
        <v>292</v>
      </c>
      <c r="E349" s="228">
        <v>950</v>
      </c>
      <c r="F349" s="69">
        <v>4.413146514749072E-6</v>
      </c>
      <c r="G349" s="228">
        <v>226595.69462693427</v>
      </c>
      <c r="H349" s="228">
        <v>0.1</v>
      </c>
      <c r="I349" s="69">
        <v>4.4131465147490724E-7</v>
      </c>
      <c r="J349" s="69">
        <f t="shared" si="5"/>
        <v>7.2808048400523518E-4</v>
      </c>
      <c r="K349" s="242"/>
      <c r="L349" s="162">
        <v>100.30000305175781</v>
      </c>
      <c r="M349" s="69">
        <v>3.1310382837546058E-6</v>
      </c>
      <c r="N349" s="162"/>
      <c r="O349" s="69"/>
      <c r="U349" s="230"/>
      <c r="V349" s="68"/>
      <c r="W349" s="68"/>
      <c r="AM349" s="162">
        <v>184.5</v>
      </c>
      <c r="AN349" s="69">
        <v>9.5293589765788056E-6</v>
      </c>
    </row>
    <row r="350" spans="1:40">
      <c r="A350" s="269" t="s">
        <v>460</v>
      </c>
      <c r="B350" s="221" t="s">
        <v>441</v>
      </c>
      <c r="C350" s="221" t="s">
        <v>442</v>
      </c>
      <c r="D350" s="228">
        <v>519</v>
      </c>
      <c r="E350" s="228">
        <v>868</v>
      </c>
      <c r="F350" s="69">
        <v>4.4577237522717891E-8</v>
      </c>
      <c r="G350" s="228">
        <v>22432973.768066496</v>
      </c>
      <c r="H350" s="228">
        <v>0.1</v>
      </c>
      <c r="I350" s="69">
        <v>4.4577237522717892E-9</v>
      </c>
      <c r="J350" s="69">
        <f t="shared" si="5"/>
        <v>7.2812506124275787E-4</v>
      </c>
      <c r="K350" s="242"/>
      <c r="L350" s="162">
        <v>100.40000152587891</v>
      </c>
      <c r="M350" s="69">
        <v>3.1310382837546058E-6</v>
      </c>
      <c r="N350" s="162"/>
      <c r="O350" s="69"/>
      <c r="U350" s="230"/>
      <c r="V350" s="68"/>
      <c r="W350" s="68"/>
      <c r="AM350" s="162">
        <v>184.5</v>
      </c>
      <c r="AN350" s="69">
        <v>9.4599545263918117E-6</v>
      </c>
    </row>
    <row r="351" spans="1:40">
      <c r="A351" s="269" t="s">
        <v>461</v>
      </c>
      <c r="B351" s="221" t="s">
        <v>441</v>
      </c>
      <c r="C351" s="221" t="s">
        <v>442</v>
      </c>
      <c r="D351" s="228">
        <v>519</v>
      </c>
      <c r="E351" s="228">
        <v>868</v>
      </c>
      <c r="F351" s="69">
        <v>4.4577237522717891E-8</v>
      </c>
      <c r="G351" s="228">
        <v>22432973.768066496</v>
      </c>
      <c r="H351" s="228">
        <v>0.1</v>
      </c>
      <c r="I351" s="69">
        <v>4.4577237522717892E-9</v>
      </c>
      <c r="J351" s="69">
        <f t="shared" si="5"/>
        <v>7.2816963848028056E-4</v>
      </c>
      <c r="K351" s="242"/>
      <c r="L351" s="162">
        <v>100.40000152587891</v>
      </c>
      <c r="M351" s="69">
        <v>3.0864609925629338E-6</v>
      </c>
      <c r="N351" s="162"/>
      <c r="O351" s="69"/>
      <c r="U351" s="230"/>
      <c r="V351" s="68"/>
      <c r="W351" s="68"/>
      <c r="AM351" s="162">
        <v>184.69999694824219</v>
      </c>
      <c r="AN351" s="69">
        <v>9.4599545263918117E-6</v>
      </c>
    </row>
    <row r="352" spans="1:40">
      <c r="A352" s="269" t="s">
        <v>462</v>
      </c>
      <c r="B352" s="221" t="s">
        <v>441</v>
      </c>
      <c r="C352" s="221" t="s">
        <v>442</v>
      </c>
      <c r="D352" s="228">
        <v>524</v>
      </c>
      <c r="E352" s="228">
        <v>866</v>
      </c>
      <c r="F352" s="69">
        <v>4.4577237522717891E-8</v>
      </c>
      <c r="G352" s="228">
        <v>22432973.768066496</v>
      </c>
      <c r="H352" s="228">
        <v>0.1</v>
      </c>
      <c r="I352" s="69">
        <v>4.4577237522717892E-9</v>
      </c>
      <c r="J352" s="69">
        <f t="shared" si="5"/>
        <v>7.2821421571780324E-4</v>
      </c>
      <c r="K352" s="242"/>
      <c r="L352" s="162">
        <v>102.30000305175781</v>
      </c>
      <c r="M352" s="69">
        <v>3.0864609925629338E-6</v>
      </c>
      <c r="N352" s="162"/>
      <c r="O352" s="69"/>
      <c r="U352" s="230"/>
      <c r="V352" s="68"/>
      <c r="W352" s="68"/>
      <c r="AM352" s="162">
        <v>184.69999694824219</v>
      </c>
      <c r="AN352" s="69">
        <v>9.3905500762048177E-6</v>
      </c>
    </row>
    <row r="353" spans="1:40">
      <c r="A353" s="269" t="s">
        <v>515</v>
      </c>
      <c r="B353" s="221" t="s">
        <v>441</v>
      </c>
      <c r="C353" s="221" t="s">
        <v>442</v>
      </c>
      <c r="D353" s="228">
        <v>525</v>
      </c>
      <c r="E353" s="228">
        <v>854</v>
      </c>
      <c r="F353" s="69">
        <v>4.4577237522717891E-8</v>
      </c>
      <c r="G353" s="228">
        <v>22432973.768066496</v>
      </c>
      <c r="H353" s="228">
        <v>0.1</v>
      </c>
      <c r="I353" s="69">
        <v>4.4577237522717892E-9</v>
      </c>
      <c r="J353" s="69">
        <f t="shared" si="5"/>
        <v>7.2825879295532593E-4</v>
      </c>
      <c r="K353" s="242"/>
      <c r="L353" s="162">
        <v>102.30000305175781</v>
      </c>
      <c r="M353" s="69">
        <v>3.084936452069087E-6</v>
      </c>
      <c r="N353" s="162"/>
      <c r="O353" s="69"/>
      <c r="U353" s="230"/>
      <c r="V353" s="68"/>
      <c r="W353" s="68"/>
      <c r="AM353" s="162">
        <v>186.19999694824219</v>
      </c>
      <c r="AN353" s="69">
        <v>9.3905500762048177E-6</v>
      </c>
    </row>
    <row r="354" spans="1:40">
      <c r="A354" s="269" t="s">
        <v>516</v>
      </c>
      <c r="B354" s="221" t="s">
        <v>441</v>
      </c>
      <c r="C354" s="221" t="s">
        <v>442</v>
      </c>
      <c r="D354" s="228">
        <v>524</v>
      </c>
      <c r="E354" s="228">
        <v>868</v>
      </c>
      <c r="F354" s="69">
        <v>4.4577237522717891E-8</v>
      </c>
      <c r="G354" s="228">
        <v>22432973.768066496</v>
      </c>
      <c r="H354" s="228">
        <v>0.1</v>
      </c>
      <c r="I354" s="69">
        <v>4.4577237522717892E-9</v>
      </c>
      <c r="J354" s="69">
        <f t="shared" si="5"/>
        <v>7.2830337019284862E-4</v>
      </c>
      <c r="K354" s="242"/>
      <c r="L354" s="162">
        <v>103.09999847412109</v>
      </c>
      <c r="M354" s="69">
        <v>3.084936452069087E-6</v>
      </c>
      <c r="N354" s="162"/>
      <c r="O354" s="69"/>
      <c r="U354" s="230"/>
      <c r="V354" s="68"/>
      <c r="W354" s="68"/>
      <c r="AM354" s="162">
        <v>186.19999694824219</v>
      </c>
      <c r="AN354" s="69">
        <v>9.3674152594758198E-6</v>
      </c>
    </row>
    <row r="355" spans="1:40">
      <c r="A355" s="269" t="s">
        <v>462</v>
      </c>
      <c r="B355" s="221" t="s">
        <v>444</v>
      </c>
      <c r="C355" s="221" t="s">
        <v>442</v>
      </c>
      <c r="D355" s="228">
        <v>524</v>
      </c>
      <c r="E355" s="228">
        <v>836</v>
      </c>
      <c r="F355" s="69">
        <v>1.2035866167E-6</v>
      </c>
      <c r="G355" s="228">
        <v>830850.04944787861</v>
      </c>
      <c r="H355" s="228">
        <v>0.1</v>
      </c>
      <c r="I355" s="69">
        <v>1.2035866167E-7</v>
      </c>
      <c r="J355" s="69">
        <f t="shared" si="5"/>
        <v>7.2950695680954857E-4</v>
      </c>
      <c r="K355" s="242"/>
      <c r="L355" s="162">
        <v>103.09999847412109</v>
      </c>
      <c r="M355" s="69">
        <v>3.0834116842015646E-6</v>
      </c>
      <c r="N355" s="162"/>
      <c r="O355" s="69"/>
      <c r="U355" s="230"/>
      <c r="V355" s="68"/>
      <c r="W355" s="68"/>
      <c r="AM355" s="162">
        <v>186.60000610351562</v>
      </c>
      <c r="AN355" s="69">
        <v>9.3674152594758198E-6</v>
      </c>
    </row>
    <row r="356" spans="1:40">
      <c r="A356" s="269" t="s">
        <v>515</v>
      </c>
      <c r="B356" s="221" t="s">
        <v>444</v>
      </c>
      <c r="C356" s="221" t="s">
        <v>442</v>
      </c>
      <c r="D356" s="228">
        <v>525</v>
      </c>
      <c r="E356" s="228">
        <v>864</v>
      </c>
      <c r="F356" s="69">
        <v>1.2035866167E-6</v>
      </c>
      <c r="G356" s="228">
        <v>830850.04944787861</v>
      </c>
      <c r="H356" s="228">
        <v>0.1</v>
      </c>
      <c r="I356" s="69">
        <v>1.2035866167E-7</v>
      </c>
      <c r="J356" s="69">
        <f t="shared" si="5"/>
        <v>7.3071054342624853E-4</v>
      </c>
      <c r="K356" s="242"/>
      <c r="L356" s="162">
        <v>103.40000152587891</v>
      </c>
      <c r="M356" s="69">
        <v>3.0834116842015646E-6</v>
      </c>
      <c r="N356" s="162"/>
      <c r="O356" s="69"/>
      <c r="U356" s="230"/>
      <c r="V356" s="68"/>
      <c r="W356" s="68"/>
      <c r="AM356" s="162">
        <v>186.60000610351562</v>
      </c>
      <c r="AN356" s="69">
        <v>9.2980108092888258E-6</v>
      </c>
    </row>
    <row r="357" spans="1:40">
      <c r="A357" s="269" t="s">
        <v>464</v>
      </c>
      <c r="B357" s="221" t="s">
        <v>473</v>
      </c>
      <c r="C357" s="221" t="s">
        <v>508</v>
      </c>
      <c r="D357" s="228">
        <v>387</v>
      </c>
      <c r="E357" s="228">
        <v>1090</v>
      </c>
      <c r="F357" s="69">
        <v>2.225365578577196E-5</v>
      </c>
      <c r="G357" s="228">
        <v>44936.436944412402</v>
      </c>
      <c r="H357" s="228">
        <v>0.1</v>
      </c>
      <c r="I357" s="69">
        <v>2.225365578577196E-6</v>
      </c>
      <c r="J357" s="69">
        <f t="shared" si="5"/>
        <v>7.5296419921202053E-4</v>
      </c>
      <c r="K357" s="242"/>
      <c r="L357" s="162">
        <v>103.40000152587891</v>
      </c>
      <c r="M357" s="69">
        <v>3.0818871437077178E-6</v>
      </c>
      <c r="N357" s="162"/>
      <c r="O357" s="69"/>
      <c r="U357" s="230"/>
      <c r="V357" s="68"/>
      <c r="W357" s="68"/>
      <c r="AM357" s="162">
        <v>189.39999389648437</v>
      </c>
      <c r="AN357" s="69">
        <v>9.2980108092888258E-6</v>
      </c>
    </row>
    <row r="358" spans="1:40">
      <c r="A358" s="269" t="s">
        <v>463</v>
      </c>
      <c r="B358" s="221" t="s">
        <v>473</v>
      </c>
      <c r="C358" s="221" t="s">
        <v>508</v>
      </c>
      <c r="D358" s="228">
        <v>391</v>
      </c>
      <c r="E358" s="228">
        <v>1194</v>
      </c>
      <c r="F358" s="69">
        <v>2.225365578577196E-5</v>
      </c>
      <c r="G358" s="228">
        <v>44936.436944412402</v>
      </c>
      <c r="H358" s="228">
        <v>0.1</v>
      </c>
      <c r="I358" s="69">
        <v>2.225365578577196E-6</v>
      </c>
      <c r="J358" s="69">
        <f t="shared" si="5"/>
        <v>7.7521785499779254E-4</v>
      </c>
      <c r="K358" s="242"/>
      <c r="L358" s="162">
        <v>103.69999694824219</v>
      </c>
      <c r="M358" s="69">
        <v>3.0818871437077178E-6</v>
      </c>
      <c r="N358" s="162"/>
      <c r="O358" s="69"/>
      <c r="P358" s="68"/>
      <c r="Q358" s="68"/>
      <c r="R358" s="68"/>
      <c r="S358" s="68"/>
      <c r="T358" s="68"/>
      <c r="U358" s="230"/>
      <c r="V358" s="68"/>
      <c r="W358" s="68"/>
      <c r="X358" s="68"/>
      <c r="Z358" s="68"/>
      <c r="AM358" s="162">
        <v>189.39999389648437</v>
      </c>
      <c r="AN358" s="69">
        <v>9.2748769020545296E-6</v>
      </c>
    </row>
    <row r="359" spans="1:40">
      <c r="A359" s="269" t="s">
        <v>517</v>
      </c>
      <c r="B359" s="221" t="s">
        <v>473</v>
      </c>
      <c r="C359" s="221" t="s">
        <v>508</v>
      </c>
      <c r="D359" s="228">
        <v>388</v>
      </c>
      <c r="E359" s="228">
        <v>1106</v>
      </c>
      <c r="F359" s="69">
        <v>2.225365578577196E-5</v>
      </c>
      <c r="G359" s="228">
        <v>44936.436944412402</v>
      </c>
      <c r="H359" s="228">
        <v>0.1</v>
      </c>
      <c r="I359" s="69">
        <v>2.225365578577196E-6</v>
      </c>
      <c r="J359" s="69">
        <f t="shared" si="5"/>
        <v>7.9747151078356454E-4</v>
      </c>
      <c r="K359" s="242"/>
      <c r="L359" s="162">
        <v>103.69999694824219</v>
      </c>
      <c r="M359" s="69">
        <v>3.0373103072633967E-6</v>
      </c>
      <c r="N359" s="162"/>
      <c r="O359" s="69"/>
      <c r="P359" s="68"/>
      <c r="Q359" s="68"/>
      <c r="R359" s="68"/>
      <c r="S359" s="68"/>
      <c r="T359" s="68"/>
      <c r="U359" s="230"/>
      <c r="V359" s="68"/>
      <c r="W359" s="68"/>
      <c r="X359" s="68"/>
      <c r="Z359" s="68"/>
      <c r="AM359" s="162">
        <v>193.19999694824219</v>
      </c>
      <c r="AN359" s="69">
        <v>9.2748769020545296E-6</v>
      </c>
    </row>
    <row r="360" spans="1:40">
      <c r="A360" s="269" t="s">
        <v>518</v>
      </c>
      <c r="B360" s="221" t="s">
        <v>473</v>
      </c>
      <c r="C360" s="221" t="s">
        <v>508</v>
      </c>
      <c r="D360" s="228">
        <v>387</v>
      </c>
      <c r="E360" s="228">
        <v>1148</v>
      </c>
      <c r="F360" s="69">
        <v>2.225365578577196E-5</v>
      </c>
      <c r="G360" s="228">
        <v>44936.436944412402</v>
      </c>
      <c r="H360" s="228">
        <v>0.1</v>
      </c>
      <c r="I360" s="69">
        <v>2.225365578577196E-6</v>
      </c>
      <c r="J360" s="69">
        <f t="shared" si="5"/>
        <v>8.1972516656933655E-4</v>
      </c>
      <c r="K360" s="242"/>
      <c r="L360" s="162">
        <v>105</v>
      </c>
      <c r="M360" s="69">
        <v>3.0373103072633967E-6</v>
      </c>
      <c r="N360" s="162"/>
      <c r="O360" s="69"/>
      <c r="P360" s="68"/>
      <c r="Q360" s="68"/>
      <c r="R360" s="68"/>
      <c r="S360" s="68"/>
      <c r="T360" s="68"/>
      <c r="U360" s="230"/>
      <c r="V360" s="68"/>
      <c r="W360" s="68"/>
      <c r="X360" s="68"/>
      <c r="Z360" s="68"/>
      <c r="AM360" s="162">
        <v>193.19999694824219</v>
      </c>
      <c r="AN360" s="69">
        <v>9.2648333520628512E-6</v>
      </c>
    </row>
    <row r="361" spans="1:40">
      <c r="A361" s="269" t="s">
        <v>464</v>
      </c>
      <c r="B361" s="221" t="s">
        <v>473</v>
      </c>
      <c r="C361" s="221" t="s">
        <v>438</v>
      </c>
      <c r="D361" s="228">
        <v>525</v>
      </c>
      <c r="E361" s="228">
        <v>1166</v>
      </c>
      <c r="F361" s="69">
        <v>2.247844018764845E-7</v>
      </c>
      <c r="G361" s="228">
        <v>4448707.2574968273</v>
      </c>
      <c r="H361" s="228">
        <v>0.1</v>
      </c>
      <c r="I361" s="69">
        <v>2.2478440187648452E-8</v>
      </c>
      <c r="J361" s="69">
        <f t="shared" si="5"/>
        <v>8.1994995097121306E-4</v>
      </c>
      <c r="K361" s="242"/>
      <c r="L361" s="162">
        <v>105</v>
      </c>
      <c r="M361" s="69">
        <v>2.9927330160717247E-6</v>
      </c>
      <c r="N361" s="162"/>
      <c r="O361" s="69"/>
      <c r="P361" s="68"/>
      <c r="Q361" s="68"/>
      <c r="R361" s="68"/>
      <c r="S361" s="68"/>
      <c r="T361" s="68"/>
      <c r="U361" s="230"/>
      <c r="V361" s="68"/>
      <c r="W361" s="68"/>
      <c r="X361" s="68"/>
      <c r="Z361" s="68"/>
      <c r="AM361" s="162">
        <v>197.80000305175781</v>
      </c>
      <c r="AN361" s="69">
        <v>9.2648333520628512E-6</v>
      </c>
    </row>
    <row r="362" spans="1:40">
      <c r="A362" s="269" t="s">
        <v>465</v>
      </c>
      <c r="B362" s="221" t="s">
        <v>473</v>
      </c>
      <c r="C362" s="221" t="s">
        <v>438</v>
      </c>
      <c r="D362" s="228">
        <v>524</v>
      </c>
      <c r="E362" s="228">
        <v>1150</v>
      </c>
      <c r="F362" s="69">
        <v>2.247844018764845E-7</v>
      </c>
      <c r="G362" s="228">
        <v>4448707.2574968273</v>
      </c>
      <c r="H362" s="228">
        <v>0.1</v>
      </c>
      <c r="I362" s="69">
        <v>2.2478440187648452E-8</v>
      </c>
      <c r="J362" s="69">
        <f t="shared" si="5"/>
        <v>8.2017473537308958E-4</v>
      </c>
      <c r="K362" s="242"/>
      <c r="L362" s="162">
        <v>106</v>
      </c>
      <c r="M362" s="69">
        <v>2.9927330160717247E-6</v>
      </c>
      <c r="N362" s="162"/>
      <c r="O362" s="69"/>
      <c r="P362" s="68"/>
      <c r="Q362" s="68"/>
      <c r="R362" s="68"/>
      <c r="S362" s="68"/>
      <c r="T362" s="68"/>
      <c r="U362" s="230"/>
      <c r="V362" s="68"/>
      <c r="W362" s="68"/>
      <c r="X362" s="68"/>
      <c r="Z362" s="68"/>
      <c r="AM362" s="162">
        <v>197.80000305175781</v>
      </c>
      <c r="AN362" s="69">
        <v>9.2547907115658745E-6</v>
      </c>
    </row>
    <row r="363" spans="1:40">
      <c r="A363" s="269" t="s">
        <v>463</v>
      </c>
      <c r="B363" s="221" t="s">
        <v>473</v>
      </c>
      <c r="C363" s="221" t="s">
        <v>438</v>
      </c>
      <c r="D363" s="228">
        <v>525</v>
      </c>
      <c r="E363" s="228">
        <v>1134</v>
      </c>
      <c r="F363" s="69">
        <v>2.247844018764845E-7</v>
      </c>
      <c r="G363" s="228">
        <v>4448707.2574968273</v>
      </c>
      <c r="H363" s="228">
        <v>0.1</v>
      </c>
      <c r="I363" s="69">
        <v>2.2478440187648452E-8</v>
      </c>
      <c r="J363" s="69">
        <f t="shared" si="5"/>
        <v>8.203995197749661E-4</v>
      </c>
      <c r="K363" s="242"/>
      <c r="L363" s="162">
        <v>106</v>
      </c>
      <c r="M363" s="69">
        <v>2.9515683763747802E-6</v>
      </c>
      <c r="N363" s="162"/>
      <c r="O363" s="69"/>
      <c r="P363" s="68"/>
      <c r="Q363" s="68"/>
      <c r="R363" s="68"/>
      <c r="S363" s="68"/>
      <c r="T363" s="68"/>
      <c r="U363" s="230"/>
      <c r="V363" s="68"/>
      <c r="W363" s="68"/>
      <c r="X363" s="68"/>
      <c r="Z363" s="68"/>
      <c r="AM363" s="162">
        <v>201.69999694824219</v>
      </c>
      <c r="AN363" s="69">
        <v>9.2547907115658745E-6</v>
      </c>
    </row>
    <row r="364" spans="1:40">
      <c r="A364" s="269" t="s">
        <v>517</v>
      </c>
      <c r="B364" s="221" t="s">
        <v>473</v>
      </c>
      <c r="C364" s="221" t="s">
        <v>438</v>
      </c>
      <c r="D364" s="228">
        <v>524</v>
      </c>
      <c r="E364" s="228">
        <v>1154</v>
      </c>
      <c r="F364" s="69">
        <v>2.247844018764845E-7</v>
      </c>
      <c r="G364" s="228">
        <v>4448707.2574968273</v>
      </c>
      <c r="H364" s="228">
        <v>0.1</v>
      </c>
      <c r="I364" s="69">
        <v>2.2478440187648452E-8</v>
      </c>
      <c r="J364" s="69">
        <f t="shared" si="5"/>
        <v>8.2062430417684262E-4</v>
      </c>
      <c r="K364" s="242"/>
      <c r="L364" s="162">
        <v>106.09999847412109</v>
      </c>
      <c r="M364" s="69">
        <v>2.9515683763747802E-6</v>
      </c>
      <c r="N364" s="162"/>
      <c r="O364" s="69"/>
      <c r="P364" s="68"/>
      <c r="Q364" s="68"/>
      <c r="R364" s="68"/>
      <c r="S364" s="68"/>
      <c r="T364" s="68"/>
      <c r="U364" s="230"/>
      <c r="V364" s="68"/>
      <c r="W364" s="68"/>
      <c r="X364" s="68"/>
      <c r="Z364" s="68"/>
      <c r="AM364" s="162">
        <v>201.69999694824219</v>
      </c>
      <c r="AN364" s="69">
        <v>9.2447480710688978E-6</v>
      </c>
    </row>
    <row r="365" spans="1:40">
      <c r="A365" s="269" t="s">
        <v>518</v>
      </c>
      <c r="B365" s="221" t="s">
        <v>473</v>
      </c>
      <c r="C365" s="221" t="s">
        <v>438</v>
      </c>
      <c r="D365" s="228">
        <v>525</v>
      </c>
      <c r="E365" s="228">
        <v>1146</v>
      </c>
      <c r="F365" s="69">
        <v>2.247844018764845E-7</v>
      </c>
      <c r="G365" s="228">
        <v>4448707.2574968273</v>
      </c>
      <c r="H365" s="228">
        <v>0.1</v>
      </c>
      <c r="I365" s="69">
        <v>2.2478440187648452E-8</v>
      </c>
      <c r="J365" s="69">
        <f t="shared" si="5"/>
        <v>8.2084908857871914E-4</v>
      </c>
      <c r="K365" s="242"/>
      <c r="L365" s="162">
        <v>106.09999847412109</v>
      </c>
      <c r="M365" s="69">
        <v>2.9088791961839888E-6</v>
      </c>
      <c r="N365" s="162"/>
      <c r="O365" s="69"/>
      <c r="P365" s="68"/>
      <c r="Q365" s="68"/>
      <c r="R365" s="68"/>
      <c r="S365" s="68"/>
      <c r="T365" s="68"/>
      <c r="U365" s="230"/>
      <c r="V365" s="68"/>
      <c r="W365" s="68"/>
      <c r="X365" s="68"/>
      <c r="Z365" s="68"/>
      <c r="AM365" s="162">
        <v>208.89999389648437</v>
      </c>
      <c r="AN365" s="69">
        <v>9.2447480710688978E-6</v>
      </c>
    </row>
    <row r="366" spans="1:40">
      <c r="A366" s="269" t="s">
        <v>464</v>
      </c>
      <c r="B366" s="221" t="s">
        <v>1377</v>
      </c>
      <c r="C366" s="221" t="s">
        <v>438</v>
      </c>
      <c r="D366" s="228">
        <v>524</v>
      </c>
      <c r="E366" s="228">
        <v>1124</v>
      </c>
      <c r="F366" s="69">
        <v>6.0691849198500013E-6</v>
      </c>
      <c r="G366" s="228">
        <v>164766.77069591</v>
      </c>
      <c r="H366" s="228">
        <v>0.1</v>
      </c>
      <c r="I366" s="69">
        <v>6.0691849198500013E-7</v>
      </c>
      <c r="J366" s="69">
        <f t="shared" si="5"/>
        <v>8.2691827349856912E-4</v>
      </c>
      <c r="K366" s="242"/>
      <c r="L366" s="162">
        <v>106.59999847412109</v>
      </c>
      <c r="M366" s="69">
        <v>2.9088791961839888E-6</v>
      </c>
      <c r="N366" s="162"/>
      <c r="O366" s="69"/>
      <c r="P366" s="68"/>
      <c r="Q366" s="68"/>
      <c r="R366" s="68"/>
      <c r="S366" s="68"/>
      <c r="T366" s="68"/>
      <c r="U366" s="230"/>
      <c r="V366" s="68"/>
      <c r="W366" s="68"/>
      <c r="X366" s="68"/>
      <c r="Z366" s="68"/>
      <c r="AM366" s="162">
        <v>208.89999389648437</v>
      </c>
      <c r="AN366" s="69">
        <v>9.10593917069491E-6</v>
      </c>
    </row>
    <row r="367" spans="1:40">
      <c r="A367" s="269" t="s">
        <v>465</v>
      </c>
      <c r="B367" s="221" t="s">
        <v>1377</v>
      </c>
      <c r="C367" s="221" t="s">
        <v>438</v>
      </c>
      <c r="D367" s="228">
        <v>524</v>
      </c>
      <c r="E367" s="228">
        <v>1092</v>
      </c>
      <c r="F367" s="69">
        <v>6.0691849198500013E-6</v>
      </c>
      <c r="G367" s="228">
        <v>164766.77069591</v>
      </c>
      <c r="H367" s="228">
        <v>0.1</v>
      </c>
      <c r="I367" s="69">
        <v>6.0691849198500013E-7</v>
      </c>
      <c r="J367" s="69">
        <f t="shared" si="5"/>
        <v>8.329874584184191E-4</v>
      </c>
      <c r="K367" s="242"/>
      <c r="L367" s="162">
        <v>106.59999847412109</v>
      </c>
      <c r="M367" s="69">
        <v>2.907354655690142E-6</v>
      </c>
      <c r="N367" s="162"/>
      <c r="O367" s="69"/>
      <c r="P367" s="68"/>
      <c r="Q367" s="68"/>
      <c r="R367" s="68"/>
      <c r="S367" s="68"/>
      <c r="T367" s="68"/>
      <c r="U367" s="230"/>
      <c r="V367" s="68"/>
      <c r="W367" s="68"/>
      <c r="X367" s="68"/>
      <c r="Z367" s="68"/>
      <c r="AM367" s="162">
        <v>209.30000305175781</v>
      </c>
      <c r="AN367" s="69">
        <v>9.10593917069491E-6</v>
      </c>
    </row>
    <row r="368" spans="1:40">
      <c r="A368" s="269" t="s">
        <v>463</v>
      </c>
      <c r="B368" s="221" t="s">
        <v>1377</v>
      </c>
      <c r="C368" s="221" t="s">
        <v>438</v>
      </c>
      <c r="D368" s="228">
        <v>524</v>
      </c>
      <c r="E368" s="228">
        <v>1094</v>
      </c>
      <c r="F368" s="69">
        <v>6.0691849198500013E-6</v>
      </c>
      <c r="G368" s="228">
        <v>164766.77069591</v>
      </c>
      <c r="H368" s="228">
        <v>0.1</v>
      </c>
      <c r="I368" s="69">
        <v>6.0691849198500013E-7</v>
      </c>
      <c r="J368" s="69">
        <f t="shared" si="5"/>
        <v>8.3905664333826908E-4</v>
      </c>
      <c r="K368" s="242"/>
      <c r="L368" s="162">
        <v>107.30000305175781</v>
      </c>
      <c r="M368" s="69">
        <v>2.907354655690142E-6</v>
      </c>
      <c r="N368" s="162"/>
      <c r="O368" s="69"/>
      <c r="P368" s="68"/>
      <c r="Q368" s="68"/>
      <c r="R368" s="68"/>
      <c r="S368" s="68"/>
      <c r="T368" s="68"/>
      <c r="U368" s="230"/>
      <c r="V368" s="68"/>
      <c r="W368" s="68"/>
      <c r="X368" s="68"/>
      <c r="Z368" s="68"/>
      <c r="AM368" s="162">
        <v>209.30000305175781</v>
      </c>
      <c r="AN368" s="69">
        <v>9.0365347205079161E-6</v>
      </c>
    </row>
    <row r="369" spans="1:40">
      <c r="A369" s="269" t="s">
        <v>451</v>
      </c>
      <c r="B369" s="221" t="s">
        <v>439</v>
      </c>
      <c r="C369" s="221" t="s">
        <v>508</v>
      </c>
      <c r="D369" s="228">
        <v>28</v>
      </c>
      <c r="E369" s="228">
        <v>152</v>
      </c>
      <c r="F369" s="69">
        <v>2.2253455502669612E-5</v>
      </c>
      <c r="G369" s="228">
        <v>44936.841376389209</v>
      </c>
      <c r="H369" s="228">
        <v>0</v>
      </c>
      <c r="I369" s="69">
        <v>0</v>
      </c>
      <c r="J369" s="69">
        <f t="shared" si="5"/>
        <v>8.6131009884093869E-4</v>
      </c>
      <c r="K369" s="242"/>
      <c r="L369" s="162">
        <v>107.30000305175781</v>
      </c>
      <c r="M369" s="69">
        <v>2.9058301151962951E-6</v>
      </c>
      <c r="N369" s="162"/>
      <c r="O369" s="69"/>
      <c r="P369" s="68"/>
      <c r="Q369" s="68"/>
      <c r="R369" s="68"/>
      <c r="S369" s="68"/>
      <c r="T369" s="68"/>
      <c r="U369" s="230"/>
      <c r="V369" s="68"/>
      <c r="W369" s="68"/>
      <c r="X369" s="68"/>
      <c r="Z369" s="68"/>
      <c r="AM369" s="162">
        <v>211.60000610351562</v>
      </c>
      <c r="AN369" s="69">
        <v>9.0365347205079161E-6</v>
      </c>
    </row>
    <row r="370" spans="1:40">
      <c r="A370" s="269" t="s">
        <v>452</v>
      </c>
      <c r="B370" s="221" t="s">
        <v>439</v>
      </c>
      <c r="C370" s="221" t="s">
        <v>508</v>
      </c>
      <c r="D370" s="228">
        <v>28</v>
      </c>
      <c r="E370" s="228">
        <v>176</v>
      </c>
      <c r="F370" s="69">
        <v>2.2253455502669612E-5</v>
      </c>
      <c r="G370" s="228">
        <v>44936.841376389209</v>
      </c>
      <c r="H370" s="228">
        <v>0</v>
      </c>
      <c r="I370" s="69">
        <v>0</v>
      </c>
      <c r="J370" s="69">
        <f t="shared" si="5"/>
        <v>8.8356355434360831E-4</v>
      </c>
      <c r="K370" s="242"/>
      <c r="L370" s="162">
        <v>107.80000305175781</v>
      </c>
      <c r="M370" s="69">
        <v>2.9058301151962951E-6</v>
      </c>
      <c r="N370" s="162"/>
      <c r="O370" s="69"/>
      <c r="U370" s="230"/>
      <c r="V370" s="68"/>
      <c r="W370" s="68"/>
      <c r="AM370" s="162">
        <v>211.60000610351562</v>
      </c>
      <c r="AN370" s="69">
        <v>9.0264920800109394E-6</v>
      </c>
    </row>
    <row r="371" spans="1:40">
      <c r="A371" s="269" t="s">
        <v>453</v>
      </c>
      <c r="B371" s="221" t="s">
        <v>439</v>
      </c>
      <c r="C371" s="221" t="s">
        <v>508</v>
      </c>
      <c r="D371" s="228">
        <v>28</v>
      </c>
      <c r="E371" s="228">
        <v>162</v>
      </c>
      <c r="F371" s="69">
        <v>2.2253455502669612E-5</v>
      </c>
      <c r="G371" s="228">
        <v>44936.841376389209</v>
      </c>
      <c r="H371" s="228">
        <v>0</v>
      </c>
      <c r="I371" s="69">
        <v>0</v>
      </c>
      <c r="J371" s="69">
        <f t="shared" si="5"/>
        <v>9.0581700984627793E-4</v>
      </c>
      <c r="K371" s="242"/>
      <c r="L371" s="162">
        <v>107.80000305175781</v>
      </c>
      <c r="M371" s="69">
        <v>2.9043053473287728E-6</v>
      </c>
      <c r="N371" s="162"/>
      <c r="O371" s="69"/>
      <c r="U371" s="230"/>
      <c r="V371" s="68"/>
      <c r="W371" s="68"/>
      <c r="AM371" s="162">
        <v>212.19999694824219</v>
      </c>
      <c r="AN371" s="69">
        <v>9.0264920800109394E-6</v>
      </c>
    </row>
    <row r="372" spans="1:40">
      <c r="A372" s="269" t="s">
        <v>509</v>
      </c>
      <c r="B372" s="221" t="s">
        <v>439</v>
      </c>
      <c r="C372" s="221" t="s">
        <v>508</v>
      </c>
      <c r="D372" s="228">
        <v>28</v>
      </c>
      <c r="E372" s="228">
        <v>186</v>
      </c>
      <c r="F372" s="69">
        <v>2.2253455502669612E-5</v>
      </c>
      <c r="G372" s="228">
        <v>44936.841376389209</v>
      </c>
      <c r="H372" s="228">
        <v>0</v>
      </c>
      <c r="I372" s="69">
        <v>0</v>
      </c>
      <c r="J372" s="69">
        <f t="shared" si="5"/>
        <v>9.2807046534894755E-4</v>
      </c>
      <c r="K372" s="242"/>
      <c r="L372" s="162">
        <v>107.90000152587891</v>
      </c>
      <c r="M372" s="69">
        <v>2.9043053473287728E-6</v>
      </c>
      <c r="N372" s="162"/>
      <c r="O372" s="69"/>
      <c r="U372" s="230"/>
      <c r="V372" s="68"/>
      <c r="W372" s="68"/>
      <c r="AM372" s="162">
        <v>212.19999694824219</v>
      </c>
      <c r="AN372" s="69">
        <v>9.0033572632819414E-6</v>
      </c>
    </row>
    <row r="373" spans="1:40">
      <c r="A373" s="269" t="s">
        <v>510</v>
      </c>
      <c r="B373" s="221" t="s">
        <v>439</v>
      </c>
      <c r="C373" s="221" t="s">
        <v>508</v>
      </c>
      <c r="D373" s="228">
        <v>28</v>
      </c>
      <c r="E373" s="228">
        <v>196</v>
      </c>
      <c r="F373" s="69">
        <v>2.2253455502669612E-5</v>
      </c>
      <c r="G373" s="228">
        <v>44936.841376389209</v>
      </c>
      <c r="H373" s="228">
        <v>0</v>
      </c>
      <c r="I373" s="69">
        <v>0</v>
      </c>
      <c r="J373" s="69">
        <f t="shared" si="5"/>
        <v>9.5032392085161717E-4</v>
      </c>
      <c r="K373" s="242"/>
      <c r="L373" s="162">
        <v>107.90000152587891</v>
      </c>
      <c r="M373" s="69">
        <v>2.7533685624803184E-6</v>
      </c>
      <c r="N373" s="162"/>
      <c r="O373" s="69"/>
      <c r="U373" s="230"/>
      <c r="V373" s="68"/>
      <c r="W373" s="68"/>
      <c r="AM373" s="162">
        <v>212.80000305175781</v>
      </c>
      <c r="AN373" s="69">
        <v>9.0033572632819414E-6</v>
      </c>
    </row>
    <row r="374" spans="1:40">
      <c r="A374" s="269" t="s">
        <v>451</v>
      </c>
      <c r="B374" s="221" t="s">
        <v>474</v>
      </c>
      <c r="C374" s="221" t="s">
        <v>508</v>
      </c>
      <c r="D374" s="228">
        <v>28</v>
      </c>
      <c r="E374" s="228">
        <v>200</v>
      </c>
      <c r="F374" s="69">
        <v>2.225365578577196E-5</v>
      </c>
      <c r="G374" s="228">
        <v>44936.436944412402</v>
      </c>
      <c r="H374" s="228">
        <v>0</v>
      </c>
      <c r="I374" s="69">
        <v>0</v>
      </c>
      <c r="J374" s="69">
        <f t="shared" si="5"/>
        <v>9.7257757663738917E-4</v>
      </c>
      <c r="K374" s="242"/>
      <c r="L374" s="162">
        <v>109.40000152587891</v>
      </c>
      <c r="M374" s="69">
        <v>2.7533685624803184E-6</v>
      </c>
      <c r="N374" s="162"/>
      <c r="O374" s="69"/>
      <c r="U374" s="230"/>
      <c r="V374" s="68"/>
      <c r="W374" s="68"/>
      <c r="AM374" s="162">
        <v>212.80000305175781</v>
      </c>
      <c r="AN374" s="69">
        <v>8.9339528130949475E-6</v>
      </c>
    </row>
    <row r="375" spans="1:40">
      <c r="A375" s="269" t="s">
        <v>452</v>
      </c>
      <c r="B375" s="221" t="s">
        <v>474</v>
      </c>
      <c r="C375" s="221" t="s">
        <v>508</v>
      </c>
      <c r="D375" s="228">
        <v>28</v>
      </c>
      <c r="E375" s="228">
        <v>184</v>
      </c>
      <c r="F375" s="69">
        <v>2.225365578577196E-5</v>
      </c>
      <c r="G375" s="228">
        <v>44936.436944412402</v>
      </c>
      <c r="H375" s="228">
        <v>0</v>
      </c>
      <c r="I375" s="69">
        <v>0</v>
      </c>
      <c r="J375" s="69">
        <f t="shared" si="5"/>
        <v>9.9483123242316107E-4</v>
      </c>
      <c r="K375" s="242"/>
      <c r="L375" s="162">
        <v>109.40000152587891</v>
      </c>
      <c r="M375" s="69">
        <v>2.7122039227833739E-6</v>
      </c>
      <c r="N375" s="162"/>
      <c r="O375" s="69"/>
      <c r="U375" s="230"/>
      <c r="V375" s="68"/>
      <c r="W375" s="68"/>
      <c r="AM375" s="162">
        <v>213.89999389648437</v>
      </c>
      <c r="AN375" s="69">
        <v>8.9339528130949475E-6</v>
      </c>
    </row>
    <row r="376" spans="1:40">
      <c r="A376" s="269" t="s">
        <v>453</v>
      </c>
      <c r="B376" s="221" t="s">
        <v>474</v>
      </c>
      <c r="C376" s="221" t="s">
        <v>508</v>
      </c>
      <c r="D376" s="228">
        <v>28</v>
      </c>
      <c r="E376" s="228">
        <v>186</v>
      </c>
      <c r="F376" s="69">
        <v>2.225365578577196E-5</v>
      </c>
      <c r="G376" s="228">
        <v>44936.436944412402</v>
      </c>
      <c r="H376" s="228">
        <v>0</v>
      </c>
      <c r="I376" s="69">
        <v>0</v>
      </c>
      <c r="J376" s="69">
        <f t="shared" si="5"/>
        <v>1.017084888208933E-3</v>
      </c>
      <c r="K376" s="242"/>
      <c r="L376" s="162">
        <v>110.19999694824219</v>
      </c>
      <c r="M376" s="69">
        <v>2.7122039227833739E-6</v>
      </c>
      <c r="N376" s="162"/>
      <c r="O376" s="69"/>
      <c r="U376" s="230"/>
      <c r="V376" s="68"/>
      <c r="W376" s="68"/>
      <c r="AM376" s="162">
        <v>213.89999389648437</v>
      </c>
      <c r="AN376" s="69">
        <v>8.8645483629079536E-6</v>
      </c>
    </row>
    <row r="377" spans="1:40">
      <c r="A377" s="269" t="s">
        <v>509</v>
      </c>
      <c r="B377" s="221" t="s">
        <v>474</v>
      </c>
      <c r="C377" s="221" t="s">
        <v>508</v>
      </c>
      <c r="D377" s="228">
        <v>28</v>
      </c>
      <c r="E377" s="228">
        <v>168</v>
      </c>
      <c r="F377" s="69">
        <v>2.225365578577196E-5</v>
      </c>
      <c r="G377" s="228">
        <v>44936.436944412402</v>
      </c>
      <c r="H377" s="228">
        <v>0</v>
      </c>
      <c r="I377" s="69">
        <v>0</v>
      </c>
      <c r="J377" s="69">
        <f t="shared" si="5"/>
        <v>1.0393385439947049E-3</v>
      </c>
      <c r="K377" s="242"/>
      <c r="L377" s="162">
        <v>110.19999694824219</v>
      </c>
      <c r="M377" s="69">
        <v>2.710679382289527E-6</v>
      </c>
      <c r="N377" s="162"/>
      <c r="O377" s="69"/>
      <c r="U377" s="230"/>
      <c r="V377" s="68"/>
      <c r="W377" s="68"/>
      <c r="AM377" s="162">
        <v>215.60000610351562</v>
      </c>
      <c r="AN377" s="69">
        <v>8.8645483629079536E-6</v>
      </c>
    </row>
    <row r="378" spans="1:40">
      <c r="A378" s="269" t="s">
        <v>510</v>
      </c>
      <c r="B378" s="221" t="s">
        <v>474</v>
      </c>
      <c r="C378" s="221" t="s">
        <v>508</v>
      </c>
      <c r="D378" s="228">
        <v>28</v>
      </c>
      <c r="E378" s="228">
        <v>212</v>
      </c>
      <c r="F378" s="69">
        <v>2.225365578577196E-5</v>
      </c>
      <c r="G378" s="228">
        <v>44936.436944412402</v>
      </c>
      <c r="H378" s="228">
        <v>0</v>
      </c>
      <c r="I378" s="69">
        <v>0</v>
      </c>
      <c r="J378" s="69">
        <f t="shared" si="5"/>
        <v>1.0615921997804768E-3</v>
      </c>
      <c r="K378" s="242"/>
      <c r="L378" s="162">
        <v>110.90000152587891</v>
      </c>
      <c r="M378" s="69">
        <v>2.710679382289527E-6</v>
      </c>
      <c r="N378" s="162"/>
      <c r="O378" s="69"/>
      <c r="U378" s="230"/>
      <c r="V378" s="68"/>
      <c r="W378" s="68"/>
      <c r="AM378" s="162">
        <v>215.60000610351562</v>
      </c>
      <c r="AN378" s="69">
        <v>8.7951439127209596E-6</v>
      </c>
    </row>
    <row r="379" spans="1:40">
      <c r="A379" s="269" t="s">
        <v>451</v>
      </c>
      <c r="B379" s="221" t="s">
        <v>440</v>
      </c>
      <c r="C379" s="221" t="s">
        <v>508</v>
      </c>
      <c r="D379" s="228">
        <v>28</v>
      </c>
      <c r="E379" s="228">
        <v>164</v>
      </c>
      <c r="F379" s="69">
        <v>6.0084930706515009E-4</v>
      </c>
      <c r="G379" s="228">
        <v>1664.3108151102019</v>
      </c>
      <c r="H379" s="228">
        <v>0</v>
      </c>
      <c r="I379" s="69">
        <v>0</v>
      </c>
      <c r="J379" s="69">
        <f t="shared" si="5"/>
        <v>1.6624415068456268E-3</v>
      </c>
      <c r="K379" s="242"/>
      <c r="L379" s="162">
        <v>110.90000152587891</v>
      </c>
      <c r="M379" s="69">
        <v>2.6695147425925825E-6</v>
      </c>
      <c r="N379" s="162"/>
      <c r="O379" s="69"/>
      <c r="U379" s="230"/>
      <c r="V379" s="68"/>
      <c r="W379" s="68"/>
      <c r="AM379" s="162">
        <v>218.89999389648437</v>
      </c>
      <c r="AN379" s="69">
        <v>8.7951439127209596E-6</v>
      </c>
    </row>
    <row r="380" spans="1:40">
      <c r="A380" s="269" t="s">
        <v>452</v>
      </c>
      <c r="B380" s="221" t="s">
        <v>440</v>
      </c>
      <c r="C380" s="221" t="s">
        <v>508</v>
      </c>
      <c r="D380" s="228">
        <v>28</v>
      </c>
      <c r="E380" s="228">
        <v>168</v>
      </c>
      <c r="F380" s="69">
        <v>6.0084930706515009E-4</v>
      </c>
      <c r="G380" s="228">
        <v>1664.3108151102019</v>
      </c>
      <c r="H380" s="228">
        <v>0</v>
      </c>
      <c r="I380" s="69">
        <v>0</v>
      </c>
      <c r="J380" s="69">
        <f t="shared" si="5"/>
        <v>2.2632908139107767E-3</v>
      </c>
      <c r="K380" s="242"/>
      <c r="L380" s="162">
        <v>112.19999694824219</v>
      </c>
      <c r="M380" s="69">
        <v>2.6695147425925825E-6</v>
      </c>
      <c r="N380" s="162"/>
      <c r="O380" s="69"/>
      <c r="U380" s="230"/>
      <c r="V380" s="68"/>
      <c r="W380" s="68"/>
      <c r="AM380" s="162">
        <v>218.89999389648437</v>
      </c>
      <c r="AN380" s="69">
        <v>8.7257403720286675E-6</v>
      </c>
    </row>
    <row r="381" spans="1:40">
      <c r="A381" s="269" t="s">
        <v>453</v>
      </c>
      <c r="B381" s="221" t="s">
        <v>440</v>
      </c>
      <c r="C381" s="221" t="s">
        <v>508</v>
      </c>
      <c r="D381" s="228">
        <v>28</v>
      </c>
      <c r="E381" s="228">
        <v>178</v>
      </c>
      <c r="F381" s="69">
        <v>6.0084930706515009E-4</v>
      </c>
      <c r="G381" s="228">
        <v>1664.3108151102019</v>
      </c>
      <c r="H381" s="228">
        <v>0</v>
      </c>
      <c r="I381" s="69">
        <v>0</v>
      </c>
      <c r="J381" s="69">
        <f t="shared" si="5"/>
        <v>2.8641401209759266E-3</v>
      </c>
      <c r="K381" s="242"/>
      <c r="L381" s="162">
        <v>112.19999694824219</v>
      </c>
      <c r="M381" s="69">
        <v>2.6679902020987356E-6</v>
      </c>
      <c r="N381" s="162"/>
      <c r="O381" s="69"/>
      <c r="U381" s="230"/>
      <c r="V381" s="68"/>
      <c r="W381" s="68"/>
      <c r="AM381" s="162">
        <v>219.5</v>
      </c>
      <c r="AN381" s="69">
        <v>8.7257403720286675E-6</v>
      </c>
    </row>
    <row r="382" spans="1:40">
      <c r="A382" s="269" t="s">
        <v>509</v>
      </c>
      <c r="B382" s="221" t="s">
        <v>440</v>
      </c>
      <c r="C382" s="221" t="s">
        <v>508</v>
      </c>
      <c r="D382" s="228">
        <v>28</v>
      </c>
      <c r="E382" s="228">
        <v>168</v>
      </c>
      <c r="F382" s="69">
        <v>6.0084930706515009E-4</v>
      </c>
      <c r="G382" s="228">
        <v>1664.3108151102019</v>
      </c>
      <c r="H382" s="228">
        <v>0</v>
      </c>
      <c r="I382" s="69">
        <v>0</v>
      </c>
      <c r="J382" s="69">
        <f t="shared" si="5"/>
        <v>3.4649894280410765E-3</v>
      </c>
      <c r="K382" s="242"/>
      <c r="L382" s="162">
        <v>112.5</v>
      </c>
      <c r="M382" s="69">
        <v>2.6679902020987356E-6</v>
      </c>
      <c r="N382" s="162"/>
      <c r="O382" s="69"/>
      <c r="U382" s="230"/>
      <c r="V382" s="68"/>
      <c r="W382" s="68"/>
      <c r="AM382" s="162">
        <v>219.5</v>
      </c>
      <c r="AN382" s="69">
        <v>7.5808466135640629E-6</v>
      </c>
    </row>
    <row r="383" spans="1:40">
      <c r="A383" s="269" t="s">
        <v>510</v>
      </c>
      <c r="B383" s="221" t="s">
        <v>440</v>
      </c>
      <c r="C383" s="221" t="s">
        <v>508</v>
      </c>
      <c r="D383" s="228">
        <v>28</v>
      </c>
      <c r="E383" s="228">
        <v>174</v>
      </c>
      <c r="F383" s="69">
        <v>6.0084930706515009E-4</v>
      </c>
      <c r="G383" s="228">
        <v>1664.3108151102019</v>
      </c>
      <c r="H383" s="228">
        <v>0</v>
      </c>
      <c r="I383" s="69">
        <v>0</v>
      </c>
      <c r="J383" s="69">
        <f t="shared" si="5"/>
        <v>4.0658387351062263E-3</v>
      </c>
      <c r="K383" s="242"/>
      <c r="L383" s="162">
        <v>112.5</v>
      </c>
      <c r="M383" s="69">
        <v>2.6664654342312133E-6</v>
      </c>
      <c r="N383" s="162"/>
      <c r="O383" s="69"/>
      <c r="U383" s="230"/>
      <c r="V383" s="68"/>
      <c r="W383" s="68"/>
      <c r="AM383" s="162">
        <v>221.30000305175781</v>
      </c>
      <c r="AN383" s="69">
        <v>7.5808466135640629E-6</v>
      </c>
    </row>
    <row r="384" spans="1:40">
      <c r="A384" s="269" t="s">
        <v>451</v>
      </c>
      <c r="B384" s="221" t="s">
        <v>473</v>
      </c>
      <c r="C384" s="221" t="s">
        <v>438</v>
      </c>
      <c r="D384" s="228">
        <v>500</v>
      </c>
      <c r="E384" s="228">
        <v>952</v>
      </c>
      <c r="F384" s="69">
        <v>2.247844018764845E-7</v>
      </c>
      <c r="G384" s="228">
        <v>4448707.2574968273</v>
      </c>
      <c r="H384" s="228">
        <v>0</v>
      </c>
      <c r="I384" s="69">
        <v>0</v>
      </c>
      <c r="J384" s="69">
        <f t="shared" si="5"/>
        <v>4.0660635195081032E-3</v>
      </c>
      <c r="K384" s="242"/>
      <c r="L384" s="162">
        <v>113.69999694824219</v>
      </c>
      <c r="M384" s="69">
        <v>2.6664654342312133E-6</v>
      </c>
      <c r="N384" s="162"/>
      <c r="O384" s="69"/>
      <c r="U384" s="230"/>
      <c r="V384" s="68"/>
      <c r="W384" s="68"/>
      <c r="AM384" s="162">
        <v>221.30000305175781</v>
      </c>
      <c r="AN384" s="69">
        <v>7.5577117968350649E-6</v>
      </c>
    </row>
    <row r="385" spans="1:40">
      <c r="A385" s="269" t="s">
        <v>452</v>
      </c>
      <c r="B385" s="221" t="s">
        <v>473</v>
      </c>
      <c r="C385" s="221" t="s">
        <v>438</v>
      </c>
      <c r="D385" s="228">
        <v>519</v>
      </c>
      <c r="E385" s="228">
        <v>1028</v>
      </c>
      <c r="F385" s="69">
        <v>2.247844018764845E-7</v>
      </c>
      <c r="G385" s="228">
        <v>4448707.2574968273</v>
      </c>
      <c r="H385" s="228">
        <v>0</v>
      </c>
      <c r="I385" s="69">
        <v>0</v>
      </c>
      <c r="J385" s="69">
        <f t="shared" si="5"/>
        <v>4.06628830390998E-3</v>
      </c>
      <c r="K385" s="242"/>
      <c r="L385" s="162">
        <v>113.69999694824219</v>
      </c>
      <c r="M385" s="69">
        <v>2.6649408937373664E-6</v>
      </c>
      <c r="N385" s="162"/>
      <c r="O385" s="69"/>
      <c r="U385" s="230"/>
      <c r="V385" s="68"/>
      <c r="W385" s="68"/>
      <c r="AM385" s="162">
        <v>223.30000305175781</v>
      </c>
      <c r="AN385" s="69">
        <v>7.5577117968350649E-6</v>
      </c>
    </row>
    <row r="386" spans="1:40">
      <c r="A386" s="269" t="s">
        <v>453</v>
      </c>
      <c r="B386" s="221" t="s">
        <v>473</v>
      </c>
      <c r="C386" s="221" t="s">
        <v>438</v>
      </c>
      <c r="D386" s="228">
        <v>524</v>
      </c>
      <c r="E386" s="228">
        <v>962</v>
      </c>
      <c r="F386" s="69">
        <v>2.247844018764845E-7</v>
      </c>
      <c r="G386" s="228">
        <v>4448707.2574968273</v>
      </c>
      <c r="H386" s="228">
        <v>0</v>
      </c>
      <c r="I386" s="69">
        <v>0</v>
      </c>
      <c r="J386" s="69">
        <f t="shared" si="5"/>
        <v>4.0665130883118569E-3</v>
      </c>
      <c r="K386" s="242"/>
      <c r="L386" s="162">
        <v>115.30000305175781</v>
      </c>
      <c r="M386" s="69">
        <v>2.6649408937373664E-6</v>
      </c>
      <c r="N386" s="162"/>
      <c r="O386" s="69"/>
      <c r="P386" s="68"/>
      <c r="Q386" s="68"/>
      <c r="R386" s="68"/>
      <c r="S386" s="68"/>
      <c r="T386" s="68"/>
      <c r="U386" s="230"/>
      <c r="V386" s="68"/>
      <c r="W386" s="68"/>
      <c r="X386" s="68"/>
      <c r="Z386" s="68"/>
      <c r="AM386" s="162">
        <v>223.30000305175781</v>
      </c>
      <c r="AN386" s="69">
        <v>7.488307346648071E-6</v>
      </c>
    </row>
    <row r="387" spans="1:40">
      <c r="A387" s="269" t="s">
        <v>509</v>
      </c>
      <c r="B387" s="221" t="s">
        <v>473</v>
      </c>
      <c r="C387" s="221" t="s">
        <v>438</v>
      </c>
      <c r="D387" s="228">
        <v>524</v>
      </c>
      <c r="E387" s="228">
        <v>978</v>
      </c>
      <c r="F387" s="69">
        <v>2.247844018764845E-7</v>
      </c>
      <c r="G387" s="228">
        <v>4448707.2574968273</v>
      </c>
      <c r="H387" s="228">
        <v>0</v>
      </c>
      <c r="I387" s="69">
        <v>0</v>
      </c>
      <c r="J387" s="69">
        <f t="shared" ref="J387:J450" si="6">J386+F387</f>
        <v>4.0667378727137337E-3</v>
      </c>
      <c r="K387" s="242"/>
      <c r="L387" s="162">
        <v>115.30000305175781</v>
      </c>
      <c r="M387" s="69">
        <v>2.6634163532435196E-6</v>
      </c>
      <c r="N387" s="162"/>
      <c r="O387" s="69"/>
      <c r="P387" s="68"/>
      <c r="Q387" s="68"/>
      <c r="R387" s="68"/>
      <c r="S387" s="68"/>
      <c r="T387" s="68"/>
      <c r="U387" s="230"/>
      <c r="V387" s="68"/>
      <c r="W387" s="68"/>
      <c r="X387" s="68"/>
      <c r="Z387" s="68"/>
      <c r="AM387" s="162">
        <v>227.69999694824219</v>
      </c>
      <c r="AN387" s="69">
        <v>7.488307346648071E-6</v>
      </c>
    </row>
    <row r="388" spans="1:40">
      <c r="A388" s="269" t="s">
        <v>510</v>
      </c>
      <c r="B388" s="221" t="s">
        <v>473</v>
      </c>
      <c r="C388" s="221" t="s">
        <v>438</v>
      </c>
      <c r="D388" s="228">
        <v>524</v>
      </c>
      <c r="E388" s="228">
        <v>940</v>
      </c>
      <c r="F388" s="69">
        <v>2.247844018764845E-7</v>
      </c>
      <c r="G388" s="228">
        <v>4448707.2574968273</v>
      </c>
      <c r="H388" s="228">
        <v>0</v>
      </c>
      <c r="I388" s="69">
        <v>0</v>
      </c>
      <c r="J388" s="69">
        <f t="shared" si="6"/>
        <v>4.0669626571156105E-3</v>
      </c>
      <c r="K388" s="242"/>
      <c r="L388" s="162">
        <v>116.09999847412109</v>
      </c>
      <c r="M388" s="69">
        <v>2.6634163532435196E-6</v>
      </c>
      <c r="N388" s="162"/>
      <c r="O388" s="69"/>
      <c r="P388" s="68"/>
      <c r="Q388" s="68"/>
      <c r="R388" s="68"/>
      <c r="S388" s="68"/>
      <c r="T388" s="68"/>
      <c r="U388" s="230"/>
      <c r="V388" s="68"/>
      <c r="W388" s="68"/>
      <c r="X388" s="68"/>
      <c r="Z388" s="68"/>
      <c r="AM388" s="162">
        <v>227.69999694824219</v>
      </c>
      <c r="AN388" s="69">
        <v>7.4189033512084279E-6</v>
      </c>
    </row>
    <row r="389" spans="1:40">
      <c r="A389" s="269" t="s">
        <v>451</v>
      </c>
      <c r="B389" s="221" t="s">
        <v>439</v>
      </c>
      <c r="C389" s="221" t="s">
        <v>438</v>
      </c>
      <c r="D389" s="228">
        <v>525</v>
      </c>
      <c r="E389" s="228">
        <v>918</v>
      </c>
      <c r="F389" s="69">
        <v>2.2478237881484456E-7</v>
      </c>
      <c r="G389" s="228">
        <v>4448747.2962625325</v>
      </c>
      <c r="H389" s="228">
        <v>0</v>
      </c>
      <c r="I389" s="69">
        <v>0</v>
      </c>
      <c r="J389" s="69">
        <f t="shared" si="6"/>
        <v>4.0671874394944251E-3</v>
      </c>
      <c r="K389" s="242"/>
      <c r="L389" s="162">
        <v>116.09999847412109</v>
      </c>
      <c r="M389" s="69">
        <v>2.6618915853759972E-6</v>
      </c>
      <c r="N389" s="162"/>
      <c r="O389" s="69"/>
      <c r="P389" s="68"/>
      <c r="Q389" s="68"/>
      <c r="R389" s="68"/>
      <c r="S389" s="68"/>
      <c r="T389" s="68"/>
      <c r="U389" s="230"/>
      <c r="V389" s="68"/>
      <c r="W389" s="68"/>
      <c r="X389" s="68"/>
      <c r="Z389" s="68"/>
      <c r="AM389" s="162">
        <v>240.10000610351562</v>
      </c>
      <c r="AN389" s="69">
        <v>7.4189033512084279E-6</v>
      </c>
    </row>
    <row r="390" spans="1:40">
      <c r="A390" s="269" t="s">
        <v>452</v>
      </c>
      <c r="B390" s="221" t="s">
        <v>439</v>
      </c>
      <c r="C390" s="221" t="s">
        <v>438</v>
      </c>
      <c r="D390" s="228">
        <v>524</v>
      </c>
      <c r="E390" s="228">
        <v>892</v>
      </c>
      <c r="F390" s="69">
        <v>2.2478237881484456E-7</v>
      </c>
      <c r="G390" s="228">
        <v>4448747.2962625325</v>
      </c>
      <c r="H390" s="228">
        <v>0</v>
      </c>
      <c r="I390" s="69">
        <v>0</v>
      </c>
      <c r="J390" s="69">
        <f t="shared" si="6"/>
        <v>4.0674122218732397E-3</v>
      </c>
      <c r="K390" s="242"/>
      <c r="L390" s="162">
        <v>116.30000305175781</v>
      </c>
      <c r="M390" s="69">
        <v>2.6618915853759972E-6</v>
      </c>
      <c r="N390" s="162"/>
      <c r="O390" s="69"/>
      <c r="U390" s="230"/>
      <c r="V390" s="68"/>
      <c r="W390" s="68"/>
      <c r="AM390" s="162">
        <v>240.10000610351562</v>
      </c>
      <c r="AN390" s="69">
        <v>7.3887745202227961E-6</v>
      </c>
    </row>
    <row r="391" spans="1:40">
      <c r="A391" s="269" t="s">
        <v>453</v>
      </c>
      <c r="B391" s="221" t="s">
        <v>439</v>
      </c>
      <c r="C391" s="221" t="s">
        <v>438</v>
      </c>
      <c r="D391" s="228">
        <v>520</v>
      </c>
      <c r="E391" s="228">
        <v>900</v>
      </c>
      <c r="F391" s="69">
        <v>2.2478237881484456E-7</v>
      </c>
      <c r="G391" s="228">
        <v>4448747.2962625325</v>
      </c>
      <c r="H391" s="228">
        <v>0</v>
      </c>
      <c r="I391" s="69">
        <v>0</v>
      </c>
      <c r="J391" s="69">
        <f t="shared" si="6"/>
        <v>4.0676370042520543E-3</v>
      </c>
      <c r="K391" s="242"/>
      <c r="L391" s="162">
        <v>116.30000305175781</v>
      </c>
      <c r="M391" s="69">
        <v>2.6207271730527282E-6</v>
      </c>
      <c r="N391" s="162"/>
      <c r="O391" s="69"/>
      <c r="U391" s="230"/>
      <c r="V391" s="68"/>
      <c r="W391" s="68"/>
      <c r="AM391" s="162">
        <v>246.89999389648437</v>
      </c>
      <c r="AN391" s="69">
        <v>7.3887745202227961E-6</v>
      </c>
    </row>
    <row r="392" spans="1:40">
      <c r="A392" s="269" t="s">
        <v>509</v>
      </c>
      <c r="B392" s="221" t="s">
        <v>439</v>
      </c>
      <c r="C392" s="221" t="s">
        <v>438</v>
      </c>
      <c r="D392" s="228">
        <v>525</v>
      </c>
      <c r="E392" s="228">
        <v>924</v>
      </c>
      <c r="F392" s="69">
        <v>2.2478237881484456E-7</v>
      </c>
      <c r="G392" s="228">
        <v>4448747.2962625325</v>
      </c>
      <c r="H392" s="228">
        <v>0</v>
      </c>
      <c r="I392" s="69">
        <v>0</v>
      </c>
      <c r="J392" s="69">
        <f t="shared" si="6"/>
        <v>4.0678617866308688E-3</v>
      </c>
      <c r="K392" s="242"/>
      <c r="L392" s="162">
        <v>116.40000152587891</v>
      </c>
      <c r="M392" s="69">
        <v>2.6207271730527282E-6</v>
      </c>
      <c r="N392" s="162"/>
      <c r="O392" s="69"/>
      <c r="U392" s="230"/>
      <c r="V392" s="68"/>
      <c r="W392" s="68"/>
      <c r="AM392" s="162">
        <v>246.89999389648437</v>
      </c>
      <c r="AN392" s="69">
        <v>7.3586456892371643E-6</v>
      </c>
    </row>
    <row r="393" spans="1:40">
      <c r="A393" s="269" t="s">
        <v>510</v>
      </c>
      <c r="B393" s="221" t="s">
        <v>439</v>
      </c>
      <c r="C393" s="221" t="s">
        <v>438</v>
      </c>
      <c r="D393" s="228">
        <v>524</v>
      </c>
      <c r="E393" s="228">
        <v>938</v>
      </c>
      <c r="F393" s="69">
        <v>2.2478237881484456E-7</v>
      </c>
      <c r="G393" s="228">
        <v>4448747.2962625325</v>
      </c>
      <c r="H393" s="228">
        <v>0</v>
      </c>
      <c r="I393" s="69">
        <v>0</v>
      </c>
      <c r="J393" s="69">
        <f t="shared" si="6"/>
        <v>4.0680865690096834E-3</v>
      </c>
      <c r="K393" s="242"/>
      <c r="L393" s="162">
        <v>116.40000152587891</v>
      </c>
      <c r="M393" s="69">
        <v>2.6192024051852059E-6</v>
      </c>
      <c r="N393" s="162"/>
      <c r="O393" s="69"/>
      <c r="U393" s="230"/>
      <c r="V393" s="68"/>
      <c r="W393" s="68"/>
      <c r="AM393" s="162">
        <v>252.5</v>
      </c>
      <c r="AN393" s="69">
        <v>7.3586456892371643E-6</v>
      </c>
    </row>
    <row r="394" spans="1:40">
      <c r="A394" s="269" t="s">
        <v>451</v>
      </c>
      <c r="B394" s="221" t="s">
        <v>441</v>
      </c>
      <c r="C394" s="221" t="s">
        <v>476</v>
      </c>
      <c r="D394" s="228">
        <v>28</v>
      </c>
      <c r="E394" s="228">
        <v>180</v>
      </c>
      <c r="F394" s="69">
        <v>4.413146514749072E-6</v>
      </c>
      <c r="G394" s="228">
        <v>226595.69462693427</v>
      </c>
      <c r="H394" s="228">
        <v>0</v>
      </c>
      <c r="I394" s="69">
        <v>0</v>
      </c>
      <c r="J394" s="69">
        <f t="shared" si="6"/>
        <v>4.0724997155244325E-3</v>
      </c>
      <c r="K394" s="242"/>
      <c r="L394" s="162">
        <v>116.69999694824219</v>
      </c>
      <c r="M394" s="69">
        <v>2.6192024051852059E-6</v>
      </c>
      <c r="N394" s="162"/>
      <c r="O394" s="69"/>
      <c r="U394" s="230"/>
      <c r="V394" s="68"/>
      <c r="W394" s="68"/>
      <c r="AM394" s="162">
        <v>252.5</v>
      </c>
      <c r="AN394" s="69">
        <v>7.2892412390501704E-6</v>
      </c>
    </row>
    <row r="395" spans="1:40">
      <c r="A395" s="269" t="s">
        <v>452</v>
      </c>
      <c r="B395" s="221" t="s">
        <v>441</v>
      </c>
      <c r="C395" s="221" t="s">
        <v>476</v>
      </c>
      <c r="D395" s="228">
        <v>28</v>
      </c>
      <c r="E395" s="228">
        <v>172</v>
      </c>
      <c r="F395" s="69">
        <v>4.413146514749072E-6</v>
      </c>
      <c r="G395" s="228">
        <v>226595.69462693427</v>
      </c>
      <c r="H395" s="228">
        <v>0</v>
      </c>
      <c r="I395" s="69">
        <v>0</v>
      </c>
      <c r="J395" s="69">
        <f t="shared" si="6"/>
        <v>4.0769128620391816E-3</v>
      </c>
      <c r="K395" s="242"/>
      <c r="L395" s="162">
        <v>116.69999694824219</v>
      </c>
      <c r="M395" s="69">
        <v>2.617677864691359E-6</v>
      </c>
      <c r="N395" s="162"/>
      <c r="O395" s="69"/>
      <c r="U395" s="230"/>
      <c r="V395" s="68"/>
      <c r="W395" s="68"/>
      <c r="AM395" s="162">
        <v>252.60000610351562</v>
      </c>
      <c r="AN395" s="69">
        <v>7.2892412390501704E-6</v>
      </c>
    </row>
    <row r="396" spans="1:40">
      <c r="A396" s="269" t="s">
        <v>453</v>
      </c>
      <c r="B396" s="221" t="s">
        <v>441</v>
      </c>
      <c r="C396" s="221" t="s">
        <v>476</v>
      </c>
      <c r="D396" s="228">
        <v>28</v>
      </c>
      <c r="E396" s="228">
        <v>170</v>
      </c>
      <c r="F396" s="69">
        <v>4.413146514749072E-6</v>
      </c>
      <c r="G396" s="228">
        <v>226595.69462693427</v>
      </c>
      <c r="H396" s="228">
        <v>0</v>
      </c>
      <c r="I396" s="69">
        <v>0</v>
      </c>
      <c r="J396" s="69">
        <f t="shared" si="6"/>
        <v>4.0813260085539307E-3</v>
      </c>
      <c r="K396" s="242"/>
      <c r="L396" s="162">
        <v>118.5</v>
      </c>
      <c r="M396" s="69">
        <v>2.617677864691359E-6</v>
      </c>
      <c r="N396" s="162"/>
      <c r="O396" s="69"/>
      <c r="U396" s="230"/>
      <c r="V396" s="68"/>
      <c r="W396" s="68"/>
      <c r="AM396" s="162">
        <v>252.60000610351562</v>
      </c>
      <c r="AN396" s="69">
        <v>7.2198367888631765E-6</v>
      </c>
    </row>
    <row r="397" spans="1:40">
      <c r="A397" s="269" t="s">
        <v>509</v>
      </c>
      <c r="B397" s="221" t="s">
        <v>441</v>
      </c>
      <c r="C397" s="221" t="s">
        <v>476</v>
      </c>
      <c r="D397" s="228">
        <v>28</v>
      </c>
      <c r="E397" s="228">
        <v>188</v>
      </c>
      <c r="F397" s="69">
        <v>4.413146514749072E-6</v>
      </c>
      <c r="G397" s="228">
        <v>226595.69462693427</v>
      </c>
      <c r="H397" s="228">
        <v>0</v>
      </c>
      <c r="I397" s="69">
        <v>0</v>
      </c>
      <c r="J397" s="69">
        <f t="shared" si="6"/>
        <v>4.0857391550686798E-3</v>
      </c>
      <c r="K397" s="242"/>
      <c r="L397" s="162">
        <v>118.5</v>
      </c>
      <c r="M397" s="69">
        <v>2.5285241918027168E-6</v>
      </c>
      <c r="N397" s="162"/>
      <c r="O397" s="69"/>
      <c r="U397" s="230"/>
      <c r="V397" s="68"/>
      <c r="W397" s="68"/>
      <c r="AM397" s="162">
        <v>254.69999694824219</v>
      </c>
      <c r="AN397" s="69">
        <v>7.2198367888631765E-6</v>
      </c>
    </row>
    <row r="398" spans="1:40">
      <c r="A398" s="269" t="s">
        <v>510</v>
      </c>
      <c r="B398" s="221" t="s">
        <v>441</v>
      </c>
      <c r="C398" s="221" t="s">
        <v>476</v>
      </c>
      <c r="D398" s="228">
        <v>28</v>
      </c>
      <c r="E398" s="228">
        <v>176</v>
      </c>
      <c r="F398" s="69">
        <v>4.413146514749072E-6</v>
      </c>
      <c r="G398" s="228">
        <v>226595.69462693427</v>
      </c>
      <c r="H398" s="228">
        <v>0</v>
      </c>
      <c r="I398" s="69">
        <v>0</v>
      </c>
      <c r="J398" s="69">
        <f t="shared" si="6"/>
        <v>4.0901523015834289E-3</v>
      </c>
      <c r="K398" s="242"/>
      <c r="L398" s="162">
        <v>120</v>
      </c>
      <c r="M398" s="69">
        <v>2.5285241918027168E-6</v>
      </c>
      <c r="N398" s="162"/>
      <c r="O398" s="69"/>
      <c r="U398" s="230"/>
      <c r="V398" s="68"/>
      <c r="W398" s="68"/>
      <c r="AM398" s="162">
        <v>254.69999694824219</v>
      </c>
      <c r="AN398" s="69">
        <v>7.1897079578775447E-6</v>
      </c>
    </row>
    <row r="399" spans="1:40">
      <c r="A399" s="269" t="s">
        <v>451</v>
      </c>
      <c r="B399" s="221" t="s">
        <v>443</v>
      </c>
      <c r="C399" s="221" t="s">
        <v>476</v>
      </c>
      <c r="D399" s="228">
        <v>28</v>
      </c>
      <c r="E399" s="228">
        <v>152</v>
      </c>
      <c r="F399" s="69">
        <v>4.4131067963907217E-6</v>
      </c>
      <c r="G399" s="228">
        <v>226597.73400857969</v>
      </c>
      <c r="H399" s="228">
        <v>0</v>
      </c>
      <c r="I399" s="69">
        <v>0</v>
      </c>
      <c r="J399" s="69">
        <f t="shared" si="6"/>
        <v>4.0945654083798192E-3</v>
      </c>
      <c r="K399" s="242"/>
      <c r="L399" s="162">
        <v>120</v>
      </c>
      <c r="M399" s="69">
        <v>2.4873595521057723E-6</v>
      </c>
      <c r="N399" s="162"/>
      <c r="O399" s="69"/>
      <c r="U399" s="230"/>
      <c r="V399" s="68"/>
      <c r="W399" s="68"/>
      <c r="AM399" s="162">
        <v>257.5</v>
      </c>
      <c r="AN399" s="69">
        <v>7.1897079578775447E-6</v>
      </c>
    </row>
    <row r="400" spans="1:40">
      <c r="A400" s="269" t="s">
        <v>452</v>
      </c>
      <c r="B400" s="221" t="s">
        <v>443</v>
      </c>
      <c r="C400" s="221" t="s">
        <v>476</v>
      </c>
      <c r="D400" s="228">
        <v>28</v>
      </c>
      <c r="E400" s="228">
        <v>176</v>
      </c>
      <c r="F400" s="69">
        <v>4.4131067963907217E-6</v>
      </c>
      <c r="G400" s="228">
        <v>226597.73400857969</v>
      </c>
      <c r="H400" s="228">
        <v>0</v>
      </c>
      <c r="I400" s="69">
        <v>0</v>
      </c>
      <c r="J400" s="69">
        <f t="shared" si="6"/>
        <v>4.0989785151762095E-3</v>
      </c>
      <c r="K400" s="242"/>
      <c r="L400" s="162">
        <v>121.09999847412109</v>
      </c>
      <c r="M400" s="69">
        <v>2.4873595521057723E-6</v>
      </c>
      <c r="N400" s="162"/>
      <c r="O400" s="69"/>
      <c r="U400" s="230"/>
      <c r="V400" s="68"/>
      <c r="W400" s="68"/>
      <c r="AM400" s="162">
        <v>257.5</v>
      </c>
      <c r="AN400" s="69">
        <v>7.1203039624379016E-6</v>
      </c>
    </row>
    <row r="401" spans="1:40">
      <c r="A401" s="269" t="s">
        <v>453</v>
      </c>
      <c r="B401" s="221" t="s">
        <v>443</v>
      </c>
      <c r="C401" s="221" t="s">
        <v>476</v>
      </c>
      <c r="D401" s="228">
        <v>28</v>
      </c>
      <c r="E401" s="228">
        <v>162</v>
      </c>
      <c r="F401" s="69">
        <v>4.4131067963907217E-6</v>
      </c>
      <c r="G401" s="228">
        <v>226597.73400857969</v>
      </c>
      <c r="H401" s="228">
        <v>0</v>
      </c>
      <c r="I401" s="69">
        <v>0</v>
      </c>
      <c r="J401" s="69">
        <f t="shared" si="6"/>
        <v>4.1033916219725998E-3</v>
      </c>
      <c r="K401" s="242"/>
      <c r="L401" s="162">
        <v>121.09999847412109</v>
      </c>
      <c r="M401" s="69">
        <v>2.3364227672573179E-6</v>
      </c>
      <c r="N401" s="162"/>
      <c r="O401" s="69"/>
      <c r="U401" s="230"/>
      <c r="V401" s="68"/>
      <c r="W401" s="68"/>
      <c r="AM401" s="162">
        <v>0.10000000149011612</v>
      </c>
      <c r="AN401" s="69">
        <v>7.1203039624379016E-6</v>
      </c>
    </row>
    <row r="402" spans="1:40">
      <c r="A402" s="269" t="s">
        <v>509</v>
      </c>
      <c r="B402" s="221" t="s">
        <v>443</v>
      </c>
      <c r="C402" s="221" t="s">
        <v>476</v>
      </c>
      <c r="D402" s="228">
        <v>28</v>
      </c>
      <c r="E402" s="228">
        <v>186</v>
      </c>
      <c r="F402" s="69">
        <v>4.4131067963907217E-6</v>
      </c>
      <c r="G402" s="228">
        <v>226597.73400857969</v>
      </c>
      <c r="H402" s="228">
        <v>0</v>
      </c>
      <c r="I402" s="69">
        <v>0</v>
      </c>
      <c r="J402" s="69">
        <f t="shared" si="6"/>
        <v>4.1078047287689901E-3</v>
      </c>
      <c r="K402" s="242"/>
      <c r="L402" s="162">
        <v>121.69999694824219</v>
      </c>
      <c r="M402" s="69">
        <v>2.3364227672573179E-6</v>
      </c>
      <c r="N402" s="162"/>
      <c r="O402" s="69"/>
      <c r="U402" s="230"/>
      <c r="V402" s="68"/>
      <c r="W402" s="68"/>
      <c r="AM402" s="162">
        <v>0.10000000149011612</v>
      </c>
      <c r="AN402" s="69">
        <v>7.0508995122509077E-6</v>
      </c>
    </row>
    <row r="403" spans="1:40">
      <c r="A403" s="269" t="s">
        <v>510</v>
      </c>
      <c r="B403" s="221" t="s">
        <v>443</v>
      </c>
      <c r="C403" s="221" t="s">
        <v>476</v>
      </c>
      <c r="D403" s="228">
        <v>28</v>
      </c>
      <c r="E403" s="228">
        <v>196</v>
      </c>
      <c r="F403" s="69">
        <v>4.4131067963907217E-6</v>
      </c>
      <c r="G403" s="228">
        <v>226597.73400857969</v>
      </c>
      <c r="H403" s="228">
        <v>0</v>
      </c>
      <c r="I403" s="69">
        <v>0</v>
      </c>
      <c r="J403" s="69">
        <f t="shared" si="6"/>
        <v>4.1122178355653804E-3</v>
      </c>
      <c r="K403" s="242"/>
      <c r="L403" s="162">
        <v>121.69999694824219</v>
      </c>
      <c r="M403" s="69">
        <v>2.2952581275603734E-6</v>
      </c>
      <c r="N403" s="162"/>
      <c r="O403" s="69"/>
      <c r="U403" s="230"/>
      <c r="V403" s="68"/>
      <c r="W403" s="68"/>
      <c r="AM403" s="162">
        <v>0.10000000149011612</v>
      </c>
      <c r="AN403" s="69">
        <v>1.0000000000000001E-9</v>
      </c>
    </row>
    <row r="404" spans="1:40">
      <c r="A404" s="269" t="s">
        <v>451</v>
      </c>
      <c r="B404" s="221" t="s">
        <v>475</v>
      </c>
      <c r="C404" s="221" t="s">
        <v>476</v>
      </c>
      <c r="D404" s="228">
        <v>28</v>
      </c>
      <c r="E404" s="228">
        <v>200</v>
      </c>
      <c r="F404" s="69">
        <v>4.413146514749072E-6</v>
      </c>
      <c r="G404" s="228">
        <v>226595.69462693427</v>
      </c>
      <c r="H404" s="228">
        <v>0</v>
      </c>
      <c r="I404" s="69">
        <v>0</v>
      </c>
      <c r="J404" s="69">
        <f t="shared" si="6"/>
        <v>4.1166309820801295E-3</v>
      </c>
      <c r="K404" s="242"/>
      <c r="L404" s="162">
        <v>122.30000305175781</v>
      </c>
      <c r="M404" s="69">
        <v>2.2952581275603734E-6</v>
      </c>
      <c r="N404" s="162"/>
      <c r="O404" s="69"/>
      <c r="U404" s="230"/>
      <c r="V404" s="68"/>
      <c r="W404" s="68"/>
      <c r="AM404" s="162"/>
      <c r="AN404" s="69"/>
    </row>
    <row r="405" spans="1:40">
      <c r="A405" s="269" t="s">
        <v>452</v>
      </c>
      <c r="B405" s="221" t="s">
        <v>475</v>
      </c>
      <c r="C405" s="221" t="s">
        <v>476</v>
      </c>
      <c r="D405" s="228">
        <v>28</v>
      </c>
      <c r="E405" s="228">
        <v>184</v>
      </c>
      <c r="F405" s="69">
        <v>4.413146514749072E-6</v>
      </c>
      <c r="G405" s="228">
        <v>226595.69462693427</v>
      </c>
      <c r="H405" s="228">
        <v>0</v>
      </c>
      <c r="I405" s="69">
        <v>0</v>
      </c>
      <c r="J405" s="69">
        <f t="shared" si="6"/>
        <v>4.1210441285948786E-3</v>
      </c>
      <c r="K405" s="242"/>
      <c r="L405" s="162">
        <v>122.30000305175781</v>
      </c>
      <c r="M405" s="69">
        <v>2.2506808363687014E-6</v>
      </c>
      <c r="N405" s="162"/>
      <c r="O405" s="69"/>
      <c r="U405" s="230"/>
      <c r="V405" s="68"/>
      <c r="W405" s="68"/>
      <c r="AM405" s="162"/>
      <c r="AN405" s="69"/>
    </row>
    <row r="406" spans="1:40">
      <c r="A406" s="269" t="s">
        <v>453</v>
      </c>
      <c r="B406" s="221" t="s">
        <v>475</v>
      </c>
      <c r="C406" s="221" t="s">
        <v>476</v>
      </c>
      <c r="D406" s="228">
        <v>28</v>
      </c>
      <c r="E406" s="228">
        <v>184</v>
      </c>
      <c r="F406" s="69">
        <v>4.413146514749072E-6</v>
      </c>
      <c r="G406" s="228">
        <v>226595.69462693427</v>
      </c>
      <c r="H406" s="228">
        <v>0</v>
      </c>
      <c r="I406" s="69">
        <v>0</v>
      </c>
      <c r="J406" s="69">
        <f t="shared" si="6"/>
        <v>4.1254572751096277E-3</v>
      </c>
      <c r="K406" s="242"/>
      <c r="L406" s="162">
        <v>122.90000152587891</v>
      </c>
      <c r="M406" s="69">
        <v>2.2506808363687014E-6</v>
      </c>
      <c r="N406" s="162"/>
      <c r="O406" s="69"/>
      <c r="U406" s="230"/>
      <c r="V406" s="68"/>
      <c r="W406" s="68"/>
      <c r="AM406" s="162"/>
      <c r="AN406" s="69"/>
    </row>
    <row r="407" spans="1:40">
      <c r="A407" s="269" t="s">
        <v>509</v>
      </c>
      <c r="B407" s="221" t="s">
        <v>475</v>
      </c>
      <c r="C407" s="221" t="s">
        <v>476</v>
      </c>
      <c r="D407" s="228">
        <v>28</v>
      </c>
      <c r="E407" s="228">
        <v>168</v>
      </c>
      <c r="F407" s="69">
        <v>4.413146514749072E-6</v>
      </c>
      <c r="G407" s="228">
        <v>226595.69462693427</v>
      </c>
      <c r="H407" s="228">
        <v>0</v>
      </c>
      <c r="I407" s="69">
        <v>0</v>
      </c>
      <c r="J407" s="69">
        <f t="shared" si="6"/>
        <v>4.1298704216243768E-3</v>
      </c>
      <c r="K407" s="242"/>
      <c r="L407" s="162">
        <v>122.90000152587891</v>
      </c>
      <c r="M407" s="69">
        <v>2.2491562958748545E-6</v>
      </c>
      <c r="N407" s="162"/>
      <c r="O407" s="69"/>
      <c r="U407" s="230"/>
      <c r="V407" s="68"/>
      <c r="W407" s="68"/>
      <c r="AM407" s="162"/>
      <c r="AN407" s="69"/>
    </row>
    <row r="408" spans="1:40">
      <c r="A408" s="269" t="s">
        <v>510</v>
      </c>
      <c r="B408" s="221" t="s">
        <v>475</v>
      </c>
      <c r="C408" s="221" t="s">
        <v>476</v>
      </c>
      <c r="D408" s="228">
        <v>28</v>
      </c>
      <c r="E408" s="228">
        <v>212</v>
      </c>
      <c r="F408" s="69">
        <v>4.413146514749072E-6</v>
      </c>
      <c r="G408" s="228">
        <v>226595.69462693427</v>
      </c>
      <c r="H408" s="228">
        <v>0</v>
      </c>
      <c r="I408" s="69">
        <v>0</v>
      </c>
      <c r="J408" s="69">
        <f t="shared" si="6"/>
        <v>4.1342835681391259E-3</v>
      </c>
      <c r="K408" s="242"/>
      <c r="L408" s="162">
        <v>124.5</v>
      </c>
      <c r="M408" s="69">
        <v>2.2491562958748545E-6</v>
      </c>
      <c r="N408" s="162"/>
      <c r="O408" s="69"/>
      <c r="U408" s="230"/>
      <c r="V408" s="68"/>
      <c r="W408" s="68"/>
      <c r="AM408" s="162"/>
      <c r="AN408" s="69"/>
    </row>
    <row r="409" spans="1:40">
      <c r="A409" s="269" t="s">
        <v>451</v>
      </c>
      <c r="B409" s="221" t="s">
        <v>445</v>
      </c>
      <c r="C409" s="221" t="s">
        <v>476</v>
      </c>
      <c r="D409" s="228">
        <v>28</v>
      </c>
      <c r="E409" s="228">
        <v>158</v>
      </c>
      <c r="F409" s="69">
        <v>1.1915507505329999E-4</v>
      </c>
      <c r="G409" s="228">
        <v>8392.4247418977648</v>
      </c>
      <c r="H409" s="228">
        <v>0</v>
      </c>
      <c r="I409" s="69">
        <v>0</v>
      </c>
      <c r="J409" s="69">
        <f t="shared" si="6"/>
        <v>4.2534386431924255E-3</v>
      </c>
      <c r="K409" s="242"/>
      <c r="L409" s="162">
        <v>124.5</v>
      </c>
      <c r="M409" s="69">
        <v>2.0982195110264001E-6</v>
      </c>
      <c r="N409" s="162"/>
      <c r="O409" s="69"/>
      <c r="U409" s="230"/>
      <c r="V409" s="68"/>
      <c r="W409" s="68"/>
      <c r="AM409" s="162"/>
      <c r="AN409" s="69"/>
    </row>
    <row r="410" spans="1:40">
      <c r="A410" s="269" t="s">
        <v>452</v>
      </c>
      <c r="B410" s="221" t="s">
        <v>445</v>
      </c>
      <c r="C410" s="221" t="s">
        <v>476</v>
      </c>
      <c r="D410" s="228">
        <v>28</v>
      </c>
      <c r="E410" s="228">
        <v>168</v>
      </c>
      <c r="F410" s="69">
        <v>1.1915507505329999E-4</v>
      </c>
      <c r="G410" s="228">
        <v>8392.4247418977648</v>
      </c>
      <c r="H410" s="228">
        <v>0</v>
      </c>
      <c r="I410" s="69">
        <v>0</v>
      </c>
      <c r="J410" s="69">
        <f t="shared" si="6"/>
        <v>4.3725937182457252E-3</v>
      </c>
      <c r="K410" s="242"/>
      <c r="L410" s="162">
        <v>125.69999694824219</v>
      </c>
      <c r="M410" s="69">
        <v>2.0982195110264001E-6</v>
      </c>
      <c r="N410" s="162"/>
      <c r="O410" s="69"/>
      <c r="U410" s="230"/>
      <c r="V410" s="68"/>
      <c r="W410" s="68"/>
      <c r="AM410" s="162"/>
      <c r="AN410" s="69"/>
    </row>
    <row r="411" spans="1:40">
      <c r="A411" s="269" t="s">
        <v>453</v>
      </c>
      <c r="B411" s="221" t="s">
        <v>445</v>
      </c>
      <c r="C411" s="221" t="s">
        <v>476</v>
      </c>
      <c r="D411" s="228">
        <v>28</v>
      </c>
      <c r="E411" s="228">
        <v>178</v>
      </c>
      <c r="F411" s="69">
        <v>1.1915507505329999E-4</v>
      </c>
      <c r="G411" s="228">
        <v>8392.4247418977648</v>
      </c>
      <c r="H411" s="228">
        <v>0</v>
      </c>
      <c r="I411" s="69">
        <v>0</v>
      </c>
      <c r="J411" s="69">
        <f t="shared" si="6"/>
        <v>4.4917487932990248E-3</v>
      </c>
      <c r="K411" s="242"/>
      <c r="L411" s="162">
        <v>125.69999694824219</v>
      </c>
      <c r="M411" s="69">
        <v>2.0570548713294556E-6</v>
      </c>
      <c r="N411" s="162"/>
      <c r="O411" s="69"/>
      <c r="U411" s="230"/>
      <c r="V411" s="68"/>
      <c r="W411" s="68"/>
      <c r="AM411" s="162"/>
      <c r="AN411" s="69"/>
    </row>
    <row r="412" spans="1:40">
      <c r="A412" s="269" t="s">
        <v>509</v>
      </c>
      <c r="B412" s="221" t="s">
        <v>445</v>
      </c>
      <c r="C412" s="221" t="s">
        <v>476</v>
      </c>
      <c r="D412" s="228">
        <v>28</v>
      </c>
      <c r="E412" s="228">
        <v>168</v>
      </c>
      <c r="F412" s="69">
        <v>1.1915507505329999E-4</v>
      </c>
      <c r="G412" s="228">
        <v>8392.4247418977648</v>
      </c>
      <c r="H412" s="228">
        <v>0</v>
      </c>
      <c r="I412" s="69">
        <v>0</v>
      </c>
      <c r="J412" s="69">
        <f t="shared" si="6"/>
        <v>4.6109038683523245E-3</v>
      </c>
      <c r="K412" s="242"/>
      <c r="L412" s="162">
        <v>126.5</v>
      </c>
      <c r="M412" s="69">
        <v>2.0570548713294556E-6</v>
      </c>
      <c r="N412" s="162"/>
      <c r="O412" s="69"/>
      <c r="U412" s="230"/>
      <c r="V412" s="68"/>
      <c r="W412" s="68"/>
      <c r="AM412" s="162"/>
      <c r="AN412" s="69"/>
    </row>
    <row r="413" spans="1:40">
      <c r="A413" s="269" t="s">
        <v>510</v>
      </c>
      <c r="B413" s="221" t="s">
        <v>445</v>
      </c>
      <c r="C413" s="221" t="s">
        <v>476</v>
      </c>
      <c r="D413" s="228">
        <v>28</v>
      </c>
      <c r="E413" s="228">
        <v>174</v>
      </c>
      <c r="F413" s="69">
        <v>1.1915507505329999E-4</v>
      </c>
      <c r="G413" s="228">
        <v>8392.4247418977648</v>
      </c>
      <c r="H413" s="228">
        <v>0</v>
      </c>
      <c r="I413" s="69">
        <v>0</v>
      </c>
      <c r="J413" s="69">
        <f t="shared" si="6"/>
        <v>4.7300589434056241E-3</v>
      </c>
      <c r="K413" s="242"/>
      <c r="L413" s="162">
        <v>126.5</v>
      </c>
      <c r="M413" s="69">
        <v>2.0555301034619333E-6</v>
      </c>
      <c r="N413" s="162"/>
      <c r="O413" s="69"/>
      <c r="U413" s="230"/>
      <c r="V413" s="68"/>
      <c r="W413" s="68"/>
      <c r="AM413" s="162"/>
      <c r="AN413" s="69"/>
    </row>
    <row r="414" spans="1:40">
      <c r="A414" s="269" t="s">
        <v>451</v>
      </c>
      <c r="B414" s="221" t="s">
        <v>441</v>
      </c>
      <c r="C414" s="221" t="s">
        <v>442</v>
      </c>
      <c r="D414" s="228">
        <v>500</v>
      </c>
      <c r="E414" s="228">
        <v>970</v>
      </c>
      <c r="F414" s="69">
        <v>4.4577237522717891E-8</v>
      </c>
      <c r="G414" s="228">
        <v>22432973.768066496</v>
      </c>
      <c r="H414" s="228">
        <v>0</v>
      </c>
      <c r="I414" s="69">
        <v>0</v>
      </c>
      <c r="J414" s="69">
        <f t="shared" si="6"/>
        <v>4.7301035206431469E-3</v>
      </c>
      <c r="K414" s="242"/>
      <c r="L414" s="162">
        <v>128.10000610351562</v>
      </c>
      <c r="M414" s="69">
        <v>2.0555301034619333E-6</v>
      </c>
      <c r="N414" s="162"/>
      <c r="O414" s="69"/>
      <c r="U414" s="230"/>
      <c r="V414" s="68"/>
      <c r="W414" s="68"/>
      <c r="AM414" s="162"/>
      <c r="AN414" s="69"/>
    </row>
    <row r="415" spans="1:40">
      <c r="A415" s="269" t="s">
        <v>452</v>
      </c>
      <c r="B415" s="221" t="s">
        <v>441</v>
      </c>
      <c r="C415" s="221" t="s">
        <v>442</v>
      </c>
      <c r="D415" s="228">
        <v>519</v>
      </c>
      <c r="E415" s="228">
        <v>1044</v>
      </c>
      <c r="F415" s="69">
        <v>4.4577237522717891E-8</v>
      </c>
      <c r="G415" s="228">
        <v>22432973.768066496</v>
      </c>
      <c r="H415" s="228">
        <v>0</v>
      </c>
      <c r="I415" s="69">
        <v>0</v>
      </c>
      <c r="J415" s="69">
        <f t="shared" si="6"/>
        <v>4.7301480978806697E-3</v>
      </c>
      <c r="K415" s="242"/>
      <c r="L415" s="162">
        <v>128.10000610351562</v>
      </c>
      <c r="M415" s="69">
        <v>1.9045946828555316E-6</v>
      </c>
      <c r="N415" s="162"/>
      <c r="O415" s="69"/>
      <c r="U415" s="230"/>
      <c r="V415" s="68"/>
      <c r="W415" s="68"/>
      <c r="AM415" s="162"/>
      <c r="AN415" s="69"/>
    </row>
    <row r="416" spans="1:40">
      <c r="A416" s="269" t="s">
        <v>453</v>
      </c>
      <c r="B416" s="221" t="s">
        <v>441</v>
      </c>
      <c r="C416" s="221" t="s">
        <v>442</v>
      </c>
      <c r="D416" s="228">
        <v>524</v>
      </c>
      <c r="E416" s="228">
        <v>980</v>
      </c>
      <c r="F416" s="69">
        <v>4.4577237522717891E-8</v>
      </c>
      <c r="G416" s="228">
        <v>22432973.768066496</v>
      </c>
      <c r="H416" s="228">
        <v>0</v>
      </c>
      <c r="I416" s="69">
        <v>0</v>
      </c>
      <c r="J416" s="69">
        <f t="shared" si="6"/>
        <v>4.7301926751181925E-3</v>
      </c>
      <c r="K416" s="242"/>
      <c r="L416" s="162">
        <v>132.39999389648437</v>
      </c>
      <c r="M416" s="69">
        <v>1.9045946828555316E-6</v>
      </c>
      <c r="N416" s="162"/>
      <c r="O416" s="69"/>
      <c r="U416" s="230"/>
      <c r="V416" s="68"/>
      <c r="W416" s="68"/>
      <c r="AM416" s="162"/>
      <c r="AN416" s="69"/>
    </row>
    <row r="417" spans="1:40">
      <c r="A417" s="269" t="s">
        <v>509</v>
      </c>
      <c r="B417" s="221" t="s">
        <v>441</v>
      </c>
      <c r="C417" s="221" t="s">
        <v>442</v>
      </c>
      <c r="D417" s="228">
        <v>524</v>
      </c>
      <c r="E417" s="228">
        <v>994</v>
      </c>
      <c r="F417" s="69">
        <v>4.4577237522717891E-8</v>
      </c>
      <c r="G417" s="228">
        <v>22432973.768066496</v>
      </c>
      <c r="H417" s="228">
        <v>0</v>
      </c>
      <c r="I417" s="69">
        <v>0</v>
      </c>
      <c r="J417" s="69">
        <f t="shared" si="6"/>
        <v>4.7302372523557153E-3</v>
      </c>
      <c r="K417" s="242"/>
      <c r="L417" s="162">
        <v>132.39999389648437</v>
      </c>
      <c r="M417" s="69">
        <v>1.9030701423616847E-6</v>
      </c>
      <c r="N417" s="162"/>
      <c r="O417" s="69"/>
      <c r="U417" s="230"/>
      <c r="V417" s="68"/>
      <c r="W417" s="68"/>
      <c r="AM417" s="162"/>
      <c r="AN417" s="69"/>
    </row>
    <row r="418" spans="1:40">
      <c r="A418" s="269" t="s">
        <v>510</v>
      </c>
      <c r="B418" s="221" t="s">
        <v>441</v>
      </c>
      <c r="C418" s="221" t="s">
        <v>442</v>
      </c>
      <c r="D418" s="228">
        <v>524</v>
      </c>
      <c r="E418" s="228">
        <v>958</v>
      </c>
      <c r="F418" s="69">
        <v>4.4577237522717891E-8</v>
      </c>
      <c r="G418" s="228">
        <v>22432973.768066496</v>
      </c>
      <c r="H418" s="228">
        <v>0</v>
      </c>
      <c r="I418" s="69">
        <v>0</v>
      </c>
      <c r="J418" s="69">
        <f t="shared" si="6"/>
        <v>4.7302818295932381E-3</v>
      </c>
      <c r="K418" s="242"/>
      <c r="L418" s="162">
        <v>132.80000305175781</v>
      </c>
      <c r="M418" s="69">
        <v>1.9030701423616847E-6</v>
      </c>
      <c r="N418" s="162"/>
      <c r="O418" s="69"/>
      <c r="U418" s="230"/>
      <c r="V418" s="68"/>
      <c r="W418" s="68"/>
      <c r="AM418" s="162"/>
      <c r="AN418" s="69"/>
    </row>
    <row r="419" spans="1:40">
      <c r="A419" s="269" t="s">
        <v>451</v>
      </c>
      <c r="B419" s="221" t="s">
        <v>443</v>
      </c>
      <c r="C419" s="221" t="s">
        <v>442</v>
      </c>
      <c r="D419" s="228">
        <v>525</v>
      </c>
      <c r="E419" s="228">
        <v>918</v>
      </c>
      <c r="F419" s="69">
        <v>4.4576836327178993E-8</v>
      </c>
      <c r="G419" s="228">
        <v>22433175.666849397</v>
      </c>
      <c r="H419" s="228">
        <v>0</v>
      </c>
      <c r="I419" s="69">
        <v>0</v>
      </c>
      <c r="J419" s="69">
        <f t="shared" si="6"/>
        <v>4.7303264064295653E-3</v>
      </c>
      <c r="K419" s="242"/>
      <c r="L419" s="162">
        <v>132.80000305175781</v>
      </c>
      <c r="M419" s="69">
        <v>1.9015454881810001E-6</v>
      </c>
      <c r="N419" s="162"/>
      <c r="O419" s="69"/>
      <c r="U419" s="230"/>
      <c r="V419" s="68"/>
      <c r="W419" s="68"/>
      <c r="AM419" s="162"/>
      <c r="AN419" s="69"/>
    </row>
    <row r="420" spans="1:40">
      <c r="A420" s="269" t="s">
        <v>452</v>
      </c>
      <c r="B420" s="221" t="s">
        <v>443</v>
      </c>
      <c r="C420" s="221" t="s">
        <v>442</v>
      </c>
      <c r="D420" s="228">
        <v>524</v>
      </c>
      <c r="E420" s="228">
        <v>892</v>
      </c>
      <c r="F420" s="69">
        <v>4.4576836327178993E-8</v>
      </c>
      <c r="G420" s="228">
        <v>22433175.666849397</v>
      </c>
      <c r="H420" s="228">
        <v>0</v>
      </c>
      <c r="I420" s="69">
        <v>0</v>
      </c>
      <c r="J420" s="69">
        <f t="shared" si="6"/>
        <v>4.7303709832658926E-3</v>
      </c>
      <c r="K420" s="242"/>
      <c r="L420" s="162">
        <v>133.69999694824219</v>
      </c>
      <c r="M420" s="69">
        <v>1.9015454881810001E-6</v>
      </c>
      <c r="N420" s="162"/>
      <c r="O420" s="69"/>
      <c r="U420" s="230"/>
      <c r="V420" s="68"/>
      <c r="W420" s="68"/>
      <c r="AM420" s="162"/>
      <c r="AN420" s="69"/>
    </row>
    <row r="421" spans="1:40">
      <c r="A421" s="269" t="s">
        <v>453</v>
      </c>
      <c r="B421" s="221" t="s">
        <v>443</v>
      </c>
      <c r="C421" s="221" t="s">
        <v>442</v>
      </c>
      <c r="D421" s="228">
        <v>520</v>
      </c>
      <c r="E421" s="228">
        <v>900</v>
      </c>
      <c r="F421" s="69">
        <v>4.4576836327178993E-8</v>
      </c>
      <c r="G421" s="228">
        <v>22433175.666849397</v>
      </c>
      <c r="H421" s="228">
        <v>0</v>
      </c>
      <c r="I421" s="69">
        <v>0</v>
      </c>
      <c r="J421" s="69">
        <f t="shared" si="6"/>
        <v>4.7304155601022198E-3</v>
      </c>
      <c r="K421" s="242"/>
      <c r="L421" s="162">
        <v>133.69999694824219</v>
      </c>
      <c r="M421" s="69">
        <v>1.9000208340003155E-6</v>
      </c>
      <c r="N421" s="162"/>
      <c r="O421" s="69"/>
      <c r="U421" s="230"/>
      <c r="V421" s="68"/>
      <c r="W421" s="68"/>
      <c r="AM421" s="162"/>
      <c r="AN421" s="69"/>
    </row>
    <row r="422" spans="1:40">
      <c r="A422" s="269" t="s">
        <v>509</v>
      </c>
      <c r="B422" s="221" t="s">
        <v>443</v>
      </c>
      <c r="C422" s="221" t="s">
        <v>442</v>
      </c>
      <c r="D422" s="228">
        <v>525</v>
      </c>
      <c r="E422" s="228">
        <v>904</v>
      </c>
      <c r="F422" s="69">
        <v>4.4576836327178993E-8</v>
      </c>
      <c r="G422" s="228">
        <v>22433175.666849397</v>
      </c>
      <c r="H422" s="228">
        <v>0</v>
      </c>
      <c r="I422" s="69">
        <v>0</v>
      </c>
      <c r="J422" s="69">
        <f t="shared" si="6"/>
        <v>4.730460136938547E-3</v>
      </c>
      <c r="K422" s="242"/>
      <c r="L422" s="162">
        <v>133.89999389648437</v>
      </c>
      <c r="M422" s="69">
        <v>1.9000208340003155E-6</v>
      </c>
      <c r="N422" s="162"/>
      <c r="O422" s="69"/>
      <c r="U422" s="230"/>
      <c r="V422" s="68"/>
      <c r="W422" s="68"/>
      <c r="AM422" s="162"/>
      <c r="AN422" s="69"/>
    </row>
    <row r="423" spans="1:40">
      <c r="A423" s="269" t="s">
        <v>510</v>
      </c>
      <c r="B423" s="221" t="s">
        <v>443</v>
      </c>
      <c r="C423" s="221" t="s">
        <v>442</v>
      </c>
      <c r="D423" s="228">
        <v>524</v>
      </c>
      <c r="E423" s="228">
        <v>938</v>
      </c>
      <c r="F423" s="69">
        <v>4.4576836327178993E-8</v>
      </c>
      <c r="G423" s="228">
        <v>22433175.666849397</v>
      </c>
      <c r="H423" s="228">
        <v>0</v>
      </c>
      <c r="I423" s="69">
        <v>0</v>
      </c>
      <c r="J423" s="69">
        <f t="shared" si="6"/>
        <v>4.7305047137748742E-3</v>
      </c>
      <c r="K423" s="242"/>
      <c r="L423" s="162">
        <v>133.89999389648437</v>
      </c>
      <c r="M423" s="69">
        <v>1.7490840491518611E-6</v>
      </c>
      <c r="N423" s="162"/>
      <c r="O423" s="69"/>
      <c r="U423" s="230"/>
      <c r="V423" s="68"/>
      <c r="W423" s="68"/>
      <c r="AM423" s="162"/>
      <c r="AN423" s="69"/>
    </row>
    <row r="424" spans="1:40">
      <c r="A424" s="269" t="s">
        <v>451</v>
      </c>
      <c r="B424" s="221" t="s">
        <v>446</v>
      </c>
      <c r="C424" s="221" t="s">
        <v>450</v>
      </c>
      <c r="D424" s="228">
        <v>28</v>
      </c>
      <c r="E424" s="228">
        <v>154</v>
      </c>
      <c r="F424" s="69">
        <v>1.5093682811302096E-7</v>
      </c>
      <c r="G424" s="228">
        <v>6625288.291146568</v>
      </c>
      <c r="H424" s="228">
        <v>0</v>
      </c>
      <c r="I424" s="69">
        <v>0</v>
      </c>
      <c r="J424" s="69">
        <f t="shared" si="6"/>
        <v>4.7306556506029876E-3</v>
      </c>
      <c r="K424" s="242"/>
      <c r="L424" s="162">
        <v>134</v>
      </c>
      <c r="M424" s="69">
        <v>1.7490840491518611E-6</v>
      </c>
      <c r="N424" s="162"/>
      <c r="O424" s="69"/>
      <c r="U424" s="230"/>
      <c r="V424" s="68"/>
      <c r="W424" s="68"/>
      <c r="AM424" s="162"/>
      <c r="AN424" s="69"/>
    </row>
    <row r="425" spans="1:40">
      <c r="A425" s="269" t="s">
        <v>452</v>
      </c>
      <c r="B425" s="221" t="s">
        <v>446</v>
      </c>
      <c r="C425" s="221" t="s">
        <v>450</v>
      </c>
      <c r="D425" s="228">
        <v>28</v>
      </c>
      <c r="E425" s="228">
        <v>166</v>
      </c>
      <c r="F425" s="69">
        <v>1.5093682811302096E-7</v>
      </c>
      <c r="G425" s="228">
        <v>6625288.291146568</v>
      </c>
      <c r="H425" s="228">
        <v>0</v>
      </c>
      <c r="I425" s="69">
        <v>0</v>
      </c>
      <c r="J425" s="69">
        <f t="shared" si="6"/>
        <v>4.7308065874311009E-3</v>
      </c>
      <c r="K425" s="242"/>
      <c r="L425" s="162">
        <v>134</v>
      </c>
      <c r="M425" s="69">
        <v>1.7079194094549166E-6</v>
      </c>
      <c r="N425" s="162"/>
      <c r="O425" s="69"/>
      <c r="U425" s="230"/>
      <c r="V425" s="68"/>
      <c r="W425" s="68"/>
      <c r="AM425" s="162"/>
      <c r="AN425" s="69"/>
    </row>
    <row r="426" spans="1:40">
      <c r="A426" s="269" t="s">
        <v>453</v>
      </c>
      <c r="B426" s="221" t="s">
        <v>446</v>
      </c>
      <c r="C426" s="221" t="s">
        <v>450</v>
      </c>
      <c r="D426" s="228">
        <v>28</v>
      </c>
      <c r="E426" s="228">
        <v>164</v>
      </c>
      <c r="F426" s="69">
        <v>1.5093682811302096E-7</v>
      </c>
      <c r="G426" s="228">
        <v>6625288.291146568</v>
      </c>
      <c r="H426" s="228">
        <v>0</v>
      </c>
      <c r="I426" s="69">
        <v>0</v>
      </c>
      <c r="J426" s="69">
        <f t="shared" si="6"/>
        <v>4.7309575242592142E-3</v>
      </c>
      <c r="K426" s="242"/>
      <c r="L426" s="162">
        <v>134.5</v>
      </c>
      <c r="M426" s="69">
        <v>1.7079194094549166E-6</v>
      </c>
      <c r="N426" s="162"/>
      <c r="O426" s="69"/>
      <c r="U426" s="230"/>
      <c r="V426" s="68"/>
      <c r="W426" s="68"/>
      <c r="AM426" s="162"/>
      <c r="AN426" s="69"/>
    </row>
    <row r="427" spans="1:40">
      <c r="A427" s="269" t="s">
        <v>509</v>
      </c>
      <c r="B427" s="221" t="s">
        <v>446</v>
      </c>
      <c r="C427" s="221" t="s">
        <v>450</v>
      </c>
      <c r="D427" s="228">
        <v>28</v>
      </c>
      <c r="E427" s="228">
        <v>158</v>
      </c>
      <c r="F427" s="69">
        <v>1.5093682811302096E-7</v>
      </c>
      <c r="G427" s="228">
        <v>6625288.291146568</v>
      </c>
      <c r="H427" s="228">
        <v>0</v>
      </c>
      <c r="I427" s="69">
        <v>0</v>
      </c>
      <c r="J427" s="69">
        <f t="shared" si="6"/>
        <v>4.7311084610873275E-3</v>
      </c>
      <c r="L427" s="162">
        <v>134.5</v>
      </c>
      <c r="M427" s="69">
        <v>1.7063948689610697E-6</v>
      </c>
      <c r="U427" s="230"/>
      <c r="V427" s="68"/>
      <c r="W427" s="68"/>
      <c r="AM427" s="162"/>
      <c r="AN427" s="69"/>
    </row>
    <row r="428" spans="1:40">
      <c r="A428" s="269" t="s">
        <v>510</v>
      </c>
      <c r="B428" s="221" t="s">
        <v>446</v>
      </c>
      <c r="C428" s="221" t="s">
        <v>450</v>
      </c>
      <c r="D428" s="228">
        <v>28</v>
      </c>
      <c r="E428" s="228">
        <v>176</v>
      </c>
      <c r="F428" s="69">
        <v>1.5093682811302096E-7</v>
      </c>
      <c r="G428" s="228">
        <v>6625288.291146568</v>
      </c>
      <c r="H428" s="228">
        <v>0</v>
      </c>
      <c r="I428" s="69">
        <v>0</v>
      </c>
      <c r="J428" s="69">
        <f t="shared" si="6"/>
        <v>4.7312593979154409E-3</v>
      </c>
      <c r="L428" s="162">
        <v>135.19999694824219</v>
      </c>
      <c r="M428" s="69">
        <v>1.7063948689610697E-6</v>
      </c>
      <c r="U428" s="230"/>
      <c r="V428" s="68"/>
      <c r="W428" s="68"/>
      <c r="AM428" s="162"/>
      <c r="AN428" s="69"/>
    </row>
    <row r="429" spans="1:40">
      <c r="A429" s="269" t="s">
        <v>451</v>
      </c>
      <c r="B429" s="221" t="s">
        <v>449</v>
      </c>
      <c r="C429" s="221" t="s">
        <v>450</v>
      </c>
      <c r="D429" s="228">
        <v>28</v>
      </c>
      <c r="E429" s="228">
        <v>150</v>
      </c>
      <c r="F429" s="69">
        <v>1.5093546968020952E-7</v>
      </c>
      <c r="G429" s="228">
        <v>6625347.9193374701</v>
      </c>
      <c r="H429" s="228">
        <v>0</v>
      </c>
      <c r="I429" s="69">
        <v>0</v>
      </c>
      <c r="J429" s="69">
        <f t="shared" si="6"/>
        <v>4.7314103333851209E-3</v>
      </c>
      <c r="L429" s="162">
        <v>135.19999694824219</v>
      </c>
      <c r="M429" s="69">
        <v>1.7048702147803851E-6</v>
      </c>
      <c r="U429" s="230"/>
      <c r="V429" s="68"/>
      <c r="W429" s="68"/>
      <c r="AM429" s="162"/>
      <c r="AN429" s="69"/>
    </row>
    <row r="430" spans="1:40">
      <c r="A430" s="269" t="s">
        <v>452</v>
      </c>
      <c r="B430" s="221" t="s">
        <v>449</v>
      </c>
      <c r="C430" s="221" t="s">
        <v>450</v>
      </c>
      <c r="D430" s="228">
        <v>28</v>
      </c>
      <c r="E430" s="228">
        <v>176</v>
      </c>
      <c r="F430" s="69">
        <v>1.5093546968020952E-7</v>
      </c>
      <c r="G430" s="228">
        <v>6625347.9193374701</v>
      </c>
      <c r="H430" s="228">
        <v>0</v>
      </c>
      <c r="I430" s="69">
        <v>0</v>
      </c>
      <c r="J430" s="69">
        <f t="shared" si="6"/>
        <v>4.7315612688548008E-3</v>
      </c>
      <c r="L430" s="162">
        <v>136</v>
      </c>
      <c r="M430" s="69">
        <v>1.7048702147803851E-6</v>
      </c>
      <c r="U430" s="230"/>
      <c r="V430" s="68"/>
      <c r="W430" s="68"/>
      <c r="AM430" s="162"/>
      <c r="AN430" s="69"/>
    </row>
    <row r="431" spans="1:40">
      <c r="A431" s="269" t="s">
        <v>453</v>
      </c>
      <c r="B431" s="221" t="s">
        <v>449</v>
      </c>
      <c r="C431" s="221" t="s">
        <v>450</v>
      </c>
      <c r="D431" s="228">
        <v>28</v>
      </c>
      <c r="E431" s="228">
        <v>162</v>
      </c>
      <c r="F431" s="69">
        <v>1.5093546968020952E-7</v>
      </c>
      <c r="G431" s="228">
        <v>6625347.9193374701</v>
      </c>
      <c r="H431" s="228">
        <v>0</v>
      </c>
      <c r="I431" s="69">
        <v>0</v>
      </c>
      <c r="J431" s="69">
        <f t="shared" si="6"/>
        <v>4.7317122043244808E-3</v>
      </c>
      <c r="L431" s="162">
        <v>136</v>
      </c>
      <c r="M431" s="69">
        <v>1.6602929235887132E-6</v>
      </c>
      <c r="U431" s="230"/>
      <c r="V431" s="68"/>
      <c r="W431" s="68"/>
      <c r="AM431" s="162"/>
      <c r="AN431" s="69"/>
    </row>
    <row r="432" spans="1:40">
      <c r="A432" s="269" t="s">
        <v>509</v>
      </c>
      <c r="B432" s="221" t="s">
        <v>449</v>
      </c>
      <c r="C432" s="221" t="s">
        <v>450</v>
      </c>
      <c r="D432" s="228">
        <v>28</v>
      </c>
      <c r="E432" s="228">
        <v>170</v>
      </c>
      <c r="F432" s="69">
        <v>1.5093546968020952E-7</v>
      </c>
      <c r="G432" s="228">
        <v>6625347.9193374701</v>
      </c>
      <c r="H432" s="228">
        <v>0</v>
      </c>
      <c r="I432" s="69">
        <v>0</v>
      </c>
      <c r="J432" s="69">
        <f t="shared" si="6"/>
        <v>4.7318631397941608E-3</v>
      </c>
      <c r="L432" s="162">
        <v>136.5</v>
      </c>
      <c r="M432" s="69">
        <v>1.6602929235887132E-6</v>
      </c>
      <c r="U432" s="230"/>
      <c r="V432" s="68"/>
      <c r="W432" s="68"/>
      <c r="AM432" s="162"/>
      <c r="AN432" s="69"/>
    </row>
    <row r="433" spans="1:40">
      <c r="A433" s="269" t="s">
        <v>510</v>
      </c>
      <c r="B433" s="221" t="s">
        <v>449</v>
      </c>
      <c r="C433" s="221" t="s">
        <v>450</v>
      </c>
      <c r="D433" s="228">
        <v>28</v>
      </c>
      <c r="E433" s="228">
        <v>178</v>
      </c>
      <c r="F433" s="69">
        <v>1.5093546968020952E-7</v>
      </c>
      <c r="G433" s="228">
        <v>6625347.9193374701</v>
      </c>
      <c r="H433" s="228">
        <v>0</v>
      </c>
      <c r="I433" s="69">
        <v>0</v>
      </c>
      <c r="J433" s="69">
        <f t="shared" si="6"/>
        <v>4.7320140752638408E-3</v>
      </c>
      <c r="L433" s="162">
        <v>136.5</v>
      </c>
      <c r="M433" s="69">
        <v>1.6587683830948663E-6</v>
      </c>
      <c r="U433" s="230"/>
      <c r="V433" s="68"/>
      <c r="W433" s="68"/>
      <c r="AM433" s="162"/>
      <c r="AN433" s="69"/>
    </row>
    <row r="434" spans="1:40">
      <c r="A434" s="269" t="s">
        <v>451</v>
      </c>
      <c r="B434" s="221" t="s">
        <v>448</v>
      </c>
      <c r="C434" s="221" t="s">
        <v>450</v>
      </c>
      <c r="D434" s="228">
        <v>28</v>
      </c>
      <c r="E434" s="228">
        <v>200</v>
      </c>
      <c r="F434" s="69">
        <v>1.5093682811302096E-7</v>
      </c>
      <c r="G434" s="228">
        <v>6625288.291146568</v>
      </c>
      <c r="H434" s="228">
        <v>0</v>
      </c>
      <c r="I434" s="69">
        <v>0</v>
      </c>
      <c r="J434" s="69">
        <f t="shared" si="6"/>
        <v>4.7321650120919542E-3</v>
      </c>
      <c r="L434" s="162">
        <v>137.30000305175781</v>
      </c>
      <c r="M434" s="69">
        <v>1.6587683830948663E-6</v>
      </c>
      <c r="U434" s="230"/>
      <c r="V434" s="68"/>
      <c r="W434" s="68"/>
      <c r="AM434" s="162"/>
      <c r="AN434" s="69"/>
    </row>
    <row r="435" spans="1:40">
      <c r="A435" s="269" t="s">
        <v>452</v>
      </c>
      <c r="B435" s="221" t="s">
        <v>448</v>
      </c>
      <c r="C435" s="221" t="s">
        <v>450</v>
      </c>
      <c r="D435" s="228">
        <v>28</v>
      </c>
      <c r="E435" s="228">
        <v>158</v>
      </c>
      <c r="F435" s="69">
        <v>1.5093682811302096E-7</v>
      </c>
      <c r="G435" s="228">
        <v>6625288.291146568</v>
      </c>
      <c r="H435" s="228">
        <v>0</v>
      </c>
      <c r="I435" s="69">
        <v>0</v>
      </c>
      <c r="J435" s="69">
        <f t="shared" si="6"/>
        <v>4.7323159489200675E-3</v>
      </c>
      <c r="L435" s="162">
        <v>137.30000305175781</v>
      </c>
      <c r="M435" s="69">
        <v>1.6176037433979218E-6</v>
      </c>
      <c r="U435" s="230"/>
      <c r="V435" s="68"/>
      <c r="W435" s="68"/>
      <c r="AM435" s="162"/>
      <c r="AN435" s="69"/>
    </row>
    <row r="436" spans="1:40">
      <c r="A436" s="269" t="s">
        <v>453</v>
      </c>
      <c r="B436" s="221" t="s">
        <v>448</v>
      </c>
      <c r="C436" s="221" t="s">
        <v>450</v>
      </c>
      <c r="D436" s="228">
        <v>28</v>
      </c>
      <c r="E436" s="228">
        <v>166</v>
      </c>
      <c r="F436" s="69">
        <v>1.5093682811302096E-7</v>
      </c>
      <c r="G436" s="228">
        <v>6625288.291146568</v>
      </c>
      <c r="H436" s="228">
        <v>0</v>
      </c>
      <c r="I436" s="69">
        <v>0</v>
      </c>
      <c r="J436" s="69">
        <f t="shared" si="6"/>
        <v>4.7324668857481808E-3</v>
      </c>
      <c r="L436" s="162">
        <v>138.5</v>
      </c>
      <c r="M436" s="69">
        <v>1.6176037433979218E-6</v>
      </c>
      <c r="U436" s="230"/>
      <c r="V436" s="68"/>
      <c r="W436" s="68"/>
      <c r="AM436" s="162"/>
      <c r="AN436" s="69"/>
    </row>
    <row r="437" spans="1:40">
      <c r="A437" s="269" t="s">
        <v>509</v>
      </c>
      <c r="B437" s="221" t="s">
        <v>448</v>
      </c>
      <c r="C437" s="221" t="s">
        <v>450</v>
      </c>
      <c r="D437" s="228">
        <v>28</v>
      </c>
      <c r="E437" s="228">
        <v>164</v>
      </c>
      <c r="F437" s="69">
        <v>1.5093682811302096E-7</v>
      </c>
      <c r="G437" s="228">
        <v>6625288.291146568</v>
      </c>
      <c r="H437" s="228">
        <v>0</v>
      </c>
      <c r="I437" s="69">
        <v>0</v>
      </c>
      <c r="J437" s="69">
        <f t="shared" si="6"/>
        <v>4.7326178225762941E-3</v>
      </c>
      <c r="L437" s="162">
        <v>138.5</v>
      </c>
      <c r="M437" s="69">
        <v>1.6160790892172372E-6</v>
      </c>
      <c r="U437" s="230"/>
      <c r="V437" s="68"/>
      <c r="W437" s="68"/>
      <c r="AM437" s="162"/>
      <c r="AN437" s="69"/>
    </row>
    <row r="438" spans="1:40">
      <c r="A438" s="269" t="s">
        <v>510</v>
      </c>
      <c r="B438" s="221" t="s">
        <v>448</v>
      </c>
      <c r="C438" s="221" t="s">
        <v>450</v>
      </c>
      <c r="D438" s="228">
        <v>28</v>
      </c>
      <c r="E438" s="228">
        <v>212</v>
      </c>
      <c r="F438" s="69">
        <v>1.5093682811302096E-7</v>
      </c>
      <c r="G438" s="228">
        <v>6625288.291146568</v>
      </c>
      <c r="H438" s="228">
        <v>0</v>
      </c>
      <c r="I438" s="69">
        <v>0</v>
      </c>
      <c r="J438" s="69">
        <f t="shared" si="6"/>
        <v>4.7327687594044075E-3</v>
      </c>
      <c r="L438" s="162">
        <v>139</v>
      </c>
      <c r="M438" s="69">
        <v>1.6160790892172372E-6</v>
      </c>
      <c r="U438" s="230"/>
      <c r="V438" s="68"/>
      <c r="W438" s="68"/>
      <c r="AM438" s="162"/>
      <c r="AN438" s="69"/>
    </row>
    <row r="439" spans="1:40">
      <c r="A439" s="269" t="s">
        <v>451</v>
      </c>
      <c r="B439" s="221" t="s">
        <v>1379</v>
      </c>
      <c r="C439" s="221" t="s">
        <v>450</v>
      </c>
      <c r="D439" s="228">
        <v>28</v>
      </c>
      <c r="E439" s="228">
        <v>158</v>
      </c>
      <c r="F439" s="69">
        <v>4.0752984343500006E-6</v>
      </c>
      <c r="G439" s="228">
        <v>245380.80243919545</v>
      </c>
      <c r="H439" s="228">
        <v>0</v>
      </c>
      <c r="I439" s="69">
        <v>0</v>
      </c>
      <c r="J439" s="69">
        <f t="shared" si="6"/>
        <v>4.7368440578387577E-3</v>
      </c>
      <c r="L439" s="162">
        <v>139</v>
      </c>
      <c r="M439" s="69">
        <v>1.6145545487233903E-6</v>
      </c>
      <c r="U439" s="230"/>
      <c r="V439" s="68"/>
      <c r="W439" s="68"/>
      <c r="AM439" s="162"/>
      <c r="AN439" s="69"/>
    </row>
    <row r="440" spans="1:40">
      <c r="A440" s="269" t="s">
        <v>452</v>
      </c>
      <c r="B440" s="221" t="s">
        <v>1379</v>
      </c>
      <c r="C440" s="221" t="s">
        <v>450</v>
      </c>
      <c r="D440" s="228">
        <v>28</v>
      </c>
      <c r="E440" s="228">
        <v>168</v>
      </c>
      <c r="F440" s="69">
        <v>4.0752984343500006E-6</v>
      </c>
      <c r="G440" s="228">
        <v>245380.80243919545</v>
      </c>
      <c r="H440" s="228">
        <v>0</v>
      </c>
      <c r="I440" s="69">
        <v>0</v>
      </c>
      <c r="J440" s="69">
        <f t="shared" si="6"/>
        <v>4.7409193562731079E-3</v>
      </c>
      <c r="L440" s="162">
        <v>141.5</v>
      </c>
      <c r="M440" s="69">
        <v>1.6145545487233903E-6</v>
      </c>
      <c r="U440" s="230"/>
      <c r="V440" s="68"/>
      <c r="W440" s="68"/>
      <c r="AM440" s="162"/>
      <c r="AN440" s="69"/>
    </row>
    <row r="441" spans="1:40">
      <c r="A441" s="269" t="s">
        <v>453</v>
      </c>
      <c r="B441" s="221" t="s">
        <v>1379</v>
      </c>
      <c r="C441" s="221" t="s">
        <v>450</v>
      </c>
      <c r="D441" s="228">
        <v>28</v>
      </c>
      <c r="E441" s="228">
        <v>152</v>
      </c>
      <c r="F441" s="69">
        <v>4.0752984343500006E-6</v>
      </c>
      <c r="G441" s="228">
        <v>245380.80243919545</v>
      </c>
      <c r="H441" s="228">
        <v>0</v>
      </c>
      <c r="I441" s="69">
        <v>0</v>
      </c>
      <c r="J441" s="69">
        <f t="shared" si="6"/>
        <v>4.7449946547074582E-3</v>
      </c>
      <c r="L441" s="162">
        <v>141.5</v>
      </c>
      <c r="M441" s="69">
        <v>1.4620931096942513E-6</v>
      </c>
      <c r="U441" s="230"/>
      <c r="V441" s="68"/>
      <c r="W441" s="68"/>
      <c r="AM441" s="162"/>
      <c r="AN441" s="69"/>
    </row>
    <row r="442" spans="1:40">
      <c r="A442" s="269" t="s">
        <v>509</v>
      </c>
      <c r="B442" s="221" t="s">
        <v>1379</v>
      </c>
      <c r="C442" s="221" t="s">
        <v>450</v>
      </c>
      <c r="D442" s="228">
        <v>28</v>
      </c>
      <c r="E442" s="228">
        <v>162</v>
      </c>
      <c r="F442" s="69">
        <v>4.0752984343500006E-6</v>
      </c>
      <c r="G442" s="228">
        <v>245380.80243919545</v>
      </c>
      <c r="H442" s="228">
        <v>0</v>
      </c>
      <c r="I442" s="69">
        <v>0</v>
      </c>
      <c r="J442" s="69">
        <f t="shared" si="6"/>
        <v>4.7490699531418084E-3</v>
      </c>
      <c r="L442" s="162">
        <v>143.19999694824219</v>
      </c>
      <c r="M442" s="69">
        <v>1.4620931096942513E-6</v>
      </c>
      <c r="U442" s="230"/>
      <c r="V442" s="68"/>
      <c r="W442" s="68"/>
      <c r="AM442" s="162"/>
      <c r="AN442" s="69"/>
    </row>
    <row r="443" spans="1:40">
      <c r="A443" s="269" t="s">
        <v>510</v>
      </c>
      <c r="B443" s="221" t="s">
        <v>1379</v>
      </c>
      <c r="C443" s="221" t="s">
        <v>450</v>
      </c>
      <c r="D443" s="228">
        <v>28</v>
      </c>
      <c r="E443" s="228">
        <v>168</v>
      </c>
      <c r="F443" s="69">
        <v>4.0752984343500006E-6</v>
      </c>
      <c r="G443" s="228">
        <v>245380.80243919545</v>
      </c>
      <c r="H443" s="228">
        <v>0</v>
      </c>
      <c r="I443" s="69">
        <v>0</v>
      </c>
      <c r="J443" s="69">
        <f t="shared" si="6"/>
        <v>4.7531452515761586E-3</v>
      </c>
      <c r="L443" s="162">
        <v>143.19999694824219</v>
      </c>
      <c r="M443" s="69">
        <v>1.4209284699973068E-6</v>
      </c>
      <c r="U443" s="230"/>
      <c r="V443" s="68"/>
      <c r="W443" s="68"/>
      <c r="AM443" s="162"/>
      <c r="AN443" s="69"/>
    </row>
    <row r="444" spans="1:40">
      <c r="A444" s="269" t="s">
        <v>451</v>
      </c>
      <c r="B444" s="221" t="s">
        <v>446</v>
      </c>
      <c r="C444" s="221" t="s">
        <v>447</v>
      </c>
      <c r="D444" s="228">
        <v>500</v>
      </c>
      <c r="E444" s="228">
        <v>1034</v>
      </c>
      <c r="F444" s="69">
        <v>1.5246144253840504E-9</v>
      </c>
      <c r="G444" s="228">
        <v>655903540.82351017</v>
      </c>
      <c r="H444" s="228">
        <v>0</v>
      </c>
      <c r="I444" s="69">
        <v>0</v>
      </c>
      <c r="J444" s="69">
        <f t="shared" si="6"/>
        <v>4.7531467761905838E-3</v>
      </c>
      <c r="L444" s="162">
        <v>143.39999389648438</v>
      </c>
      <c r="M444" s="69">
        <v>1.4209284699973068E-6</v>
      </c>
      <c r="U444" s="230"/>
      <c r="V444" s="68"/>
      <c r="W444" s="68"/>
      <c r="AM444" s="162"/>
      <c r="AN444" s="69"/>
    </row>
    <row r="445" spans="1:40">
      <c r="A445" s="269" t="s">
        <v>453</v>
      </c>
      <c r="B445" s="221" t="s">
        <v>446</v>
      </c>
      <c r="C445" s="221" t="s">
        <v>447</v>
      </c>
      <c r="D445" s="228">
        <v>524</v>
      </c>
      <c r="E445" s="228">
        <v>1028</v>
      </c>
      <c r="F445" s="69">
        <v>1.5246144253840504E-9</v>
      </c>
      <c r="G445" s="228">
        <v>655903540.82351017</v>
      </c>
      <c r="H445" s="228">
        <v>0</v>
      </c>
      <c r="I445" s="69">
        <v>0</v>
      </c>
      <c r="J445" s="69">
        <f t="shared" si="6"/>
        <v>4.7531483008050089E-3</v>
      </c>
      <c r="L445" s="162">
        <v>143.39999389648438</v>
      </c>
      <c r="M445" s="69">
        <v>1.3797638303003623E-6</v>
      </c>
      <c r="U445" s="230"/>
      <c r="V445" s="68"/>
      <c r="W445" s="68"/>
      <c r="AM445" s="162"/>
      <c r="AN445" s="69"/>
    </row>
    <row r="446" spans="1:40">
      <c r="A446" s="269" t="s">
        <v>509</v>
      </c>
      <c r="B446" s="221" t="s">
        <v>446</v>
      </c>
      <c r="C446" s="221" t="s">
        <v>447</v>
      </c>
      <c r="D446" s="228">
        <v>524</v>
      </c>
      <c r="E446" s="228">
        <v>1060</v>
      </c>
      <c r="F446" s="69">
        <v>1.5246144253840504E-9</v>
      </c>
      <c r="G446" s="228">
        <v>655903540.82351017</v>
      </c>
      <c r="H446" s="228">
        <v>0</v>
      </c>
      <c r="I446" s="69">
        <v>0</v>
      </c>
      <c r="J446" s="69">
        <f t="shared" si="6"/>
        <v>4.7531498254194341E-3</v>
      </c>
      <c r="L446" s="162">
        <v>154.60000610351562</v>
      </c>
      <c r="M446" s="69">
        <v>1.3797638303003623E-6</v>
      </c>
      <c r="U446" s="230"/>
      <c r="V446" s="68"/>
      <c r="W446" s="68"/>
      <c r="AM446" s="162"/>
      <c r="AN446" s="69"/>
    </row>
    <row r="447" spans="1:40">
      <c r="A447" s="269" t="s">
        <v>510</v>
      </c>
      <c r="B447" s="221" t="s">
        <v>446</v>
      </c>
      <c r="C447" s="221" t="s">
        <v>447</v>
      </c>
      <c r="D447" s="228">
        <v>524</v>
      </c>
      <c r="E447" s="228">
        <v>1004</v>
      </c>
      <c r="F447" s="69">
        <v>1.5246144253840504E-9</v>
      </c>
      <c r="G447" s="228">
        <v>655903540.82351017</v>
      </c>
      <c r="H447" s="228">
        <v>0</v>
      </c>
      <c r="I447" s="69">
        <v>0</v>
      </c>
      <c r="J447" s="69">
        <f t="shared" si="6"/>
        <v>4.7531513500338593E-3</v>
      </c>
      <c r="L447" s="162">
        <v>154.60000610351562</v>
      </c>
      <c r="M447" s="69">
        <v>1.2288284096939606E-6</v>
      </c>
      <c r="U447" s="230"/>
      <c r="V447" s="68"/>
      <c r="W447" s="68"/>
      <c r="AM447" s="162"/>
      <c r="AN447" s="69"/>
    </row>
    <row r="448" spans="1:40">
      <c r="A448" s="269" t="s">
        <v>454</v>
      </c>
      <c r="B448" s="221" t="s">
        <v>473</v>
      </c>
      <c r="C448" s="221" t="s">
        <v>508</v>
      </c>
      <c r="D448" s="228">
        <v>119</v>
      </c>
      <c r="E448" s="228">
        <v>366</v>
      </c>
      <c r="F448" s="69">
        <v>2.225365578577196E-5</v>
      </c>
      <c r="G448" s="228">
        <v>44936.436944412402</v>
      </c>
      <c r="H448" s="228">
        <v>0</v>
      </c>
      <c r="I448" s="69">
        <v>0</v>
      </c>
      <c r="J448" s="69">
        <f t="shared" si="6"/>
        <v>4.7754050058196312E-3</v>
      </c>
      <c r="L448" s="162">
        <v>156.30000305175781</v>
      </c>
      <c r="M448" s="69">
        <v>1.2288284096939606E-6</v>
      </c>
      <c r="U448" s="230"/>
      <c r="V448" s="68"/>
      <c r="W448" s="68"/>
      <c r="AM448" s="162"/>
      <c r="AN448" s="69"/>
    </row>
    <row r="449" spans="1:40">
      <c r="A449" s="269" t="s">
        <v>455</v>
      </c>
      <c r="B449" s="221" t="s">
        <v>473</v>
      </c>
      <c r="C449" s="221" t="s">
        <v>508</v>
      </c>
      <c r="D449" s="228">
        <v>119</v>
      </c>
      <c r="E449" s="228">
        <v>358</v>
      </c>
      <c r="F449" s="69">
        <v>2.225365578577196E-5</v>
      </c>
      <c r="G449" s="228">
        <v>44936.436944412402</v>
      </c>
      <c r="H449" s="228">
        <v>0</v>
      </c>
      <c r="I449" s="69">
        <v>0</v>
      </c>
      <c r="J449" s="69">
        <f t="shared" si="6"/>
        <v>4.7976586616054031E-3</v>
      </c>
      <c r="L449" s="162">
        <v>156.30000305175781</v>
      </c>
      <c r="M449" s="69">
        <v>1.227303755513276E-6</v>
      </c>
      <c r="U449" s="230"/>
      <c r="V449" s="68"/>
      <c r="W449" s="68"/>
      <c r="AM449" s="162"/>
      <c r="AN449" s="69"/>
    </row>
    <row r="450" spans="1:40">
      <c r="A450" s="269" t="s">
        <v>456</v>
      </c>
      <c r="B450" s="221" t="s">
        <v>473</v>
      </c>
      <c r="C450" s="221" t="s">
        <v>508</v>
      </c>
      <c r="D450" s="228">
        <v>119</v>
      </c>
      <c r="E450" s="228">
        <v>376</v>
      </c>
      <c r="F450" s="69">
        <v>2.225365578577196E-5</v>
      </c>
      <c r="G450" s="228">
        <v>44936.436944412402</v>
      </c>
      <c r="H450" s="228">
        <v>0</v>
      </c>
      <c r="I450" s="69">
        <v>0</v>
      </c>
      <c r="J450" s="69">
        <f t="shared" si="6"/>
        <v>4.819912317391175E-3</v>
      </c>
      <c r="L450" s="162">
        <v>170.19999694824219</v>
      </c>
      <c r="M450" s="69">
        <v>1.227303755513276E-6</v>
      </c>
      <c r="U450" s="230"/>
      <c r="V450" s="68"/>
      <c r="W450" s="68"/>
      <c r="AM450" s="162"/>
      <c r="AN450" s="69"/>
    </row>
    <row r="451" spans="1:40">
      <c r="A451" s="269" t="s">
        <v>511</v>
      </c>
      <c r="B451" s="221" t="s">
        <v>473</v>
      </c>
      <c r="C451" s="221" t="s">
        <v>508</v>
      </c>
      <c r="D451" s="228">
        <v>119</v>
      </c>
      <c r="E451" s="228">
        <v>314</v>
      </c>
      <c r="F451" s="69">
        <v>2.225365578577196E-5</v>
      </c>
      <c r="G451" s="228">
        <v>44936.436944412402</v>
      </c>
      <c r="H451" s="228">
        <v>0</v>
      </c>
      <c r="I451" s="69">
        <v>0</v>
      </c>
      <c r="J451" s="69">
        <f t="shared" ref="J451:J514" si="7">J450+F451</f>
        <v>4.8421659731769469E-3</v>
      </c>
      <c r="L451" s="162">
        <v>170.19999694824219</v>
      </c>
      <c r="M451" s="69">
        <v>1.2257791013325914E-6</v>
      </c>
      <c r="U451" s="230"/>
      <c r="V451" s="68"/>
      <c r="W451" s="68"/>
      <c r="AM451" s="162"/>
      <c r="AN451" s="69"/>
    </row>
    <row r="452" spans="1:40">
      <c r="A452" s="269" t="s">
        <v>512</v>
      </c>
      <c r="B452" s="221" t="s">
        <v>473</v>
      </c>
      <c r="C452" s="221" t="s">
        <v>508</v>
      </c>
      <c r="D452" s="228">
        <v>119</v>
      </c>
      <c r="E452" s="228">
        <v>316</v>
      </c>
      <c r="F452" s="69">
        <v>2.225365578577196E-5</v>
      </c>
      <c r="G452" s="228">
        <v>44936.436944412402</v>
      </c>
      <c r="H452" s="228">
        <v>0</v>
      </c>
      <c r="I452" s="69">
        <v>0</v>
      </c>
      <c r="J452" s="69">
        <f t="shared" si="7"/>
        <v>4.8644196289627187E-3</v>
      </c>
      <c r="L452" s="162">
        <v>170.89999389648437</v>
      </c>
      <c r="M452" s="69">
        <v>1.2257791013325914E-6</v>
      </c>
      <c r="U452" s="230"/>
      <c r="V452" s="68"/>
      <c r="W452" s="68"/>
      <c r="AM452" s="162"/>
      <c r="AN452" s="69"/>
    </row>
    <row r="453" spans="1:40">
      <c r="A453" s="269" t="s">
        <v>454</v>
      </c>
      <c r="B453" s="221" t="s">
        <v>439</v>
      </c>
      <c r="C453" s="221" t="s">
        <v>508</v>
      </c>
      <c r="D453" s="228">
        <v>119</v>
      </c>
      <c r="E453" s="228">
        <v>314</v>
      </c>
      <c r="F453" s="69">
        <v>2.2253455502669612E-5</v>
      </c>
      <c r="G453" s="228">
        <v>44936.841376389209</v>
      </c>
      <c r="H453" s="228">
        <v>0</v>
      </c>
      <c r="I453" s="69">
        <v>0</v>
      </c>
      <c r="J453" s="69">
        <f t="shared" si="7"/>
        <v>4.886673084465388E-3</v>
      </c>
      <c r="L453" s="162">
        <v>170.89999389648437</v>
      </c>
      <c r="M453" s="69">
        <v>1.2242545608387445E-6</v>
      </c>
      <c r="U453" s="230"/>
      <c r="V453" s="68"/>
      <c r="W453" s="68"/>
      <c r="AM453" s="162"/>
      <c r="AN453" s="69"/>
    </row>
    <row r="454" spans="1:40">
      <c r="A454" s="269" t="s">
        <v>455</v>
      </c>
      <c r="B454" s="221" t="s">
        <v>439</v>
      </c>
      <c r="C454" s="221" t="s">
        <v>508</v>
      </c>
      <c r="D454" s="228">
        <v>119</v>
      </c>
      <c r="E454" s="228">
        <v>378</v>
      </c>
      <c r="F454" s="69">
        <v>2.2253455502669612E-5</v>
      </c>
      <c r="G454" s="228">
        <v>44936.841376389209</v>
      </c>
      <c r="H454" s="228">
        <v>0</v>
      </c>
      <c r="I454" s="69">
        <v>0</v>
      </c>
      <c r="J454" s="69">
        <f t="shared" si="7"/>
        <v>4.9089265399680573E-3</v>
      </c>
      <c r="K454" s="244"/>
      <c r="L454" s="162">
        <v>185.60000610351562</v>
      </c>
      <c r="M454" s="69">
        <v>1.2242545608387445E-6</v>
      </c>
      <c r="N454" s="68"/>
      <c r="O454" s="68"/>
      <c r="P454" s="68"/>
      <c r="Q454" s="68"/>
      <c r="R454" s="68"/>
      <c r="S454" s="68"/>
      <c r="T454" s="68"/>
      <c r="U454" s="230"/>
      <c r="V454" s="68"/>
      <c r="W454" s="68"/>
      <c r="X454" s="68"/>
      <c r="Z454" s="68"/>
      <c r="AM454" s="162"/>
      <c r="AN454" s="69"/>
    </row>
    <row r="455" spans="1:40">
      <c r="A455" s="269" t="s">
        <v>456</v>
      </c>
      <c r="B455" s="221" t="s">
        <v>439</v>
      </c>
      <c r="C455" s="221" t="s">
        <v>508</v>
      </c>
      <c r="D455" s="228">
        <v>119</v>
      </c>
      <c r="E455" s="228">
        <v>328</v>
      </c>
      <c r="F455" s="69">
        <v>2.2253455502669612E-5</v>
      </c>
      <c r="G455" s="228">
        <v>44936.841376389209</v>
      </c>
      <c r="H455" s="228">
        <v>0</v>
      </c>
      <c r="I455" s="69">
        <v>0</v>
      </c>
      <c r="J455" s="69">
        <f t="shared" si="7"/>
        <v>4.9311799954707266E-3</v>
      </c>
      <c r="K455" s="244"/>
      <c r="L455" s="162">
        <v>185.60000610351562</v>
      </c>
      <c r="M455" s="69">
        <v>1.073319026545505E-6</v>
      </c>
      <c r="N455" s="68"/>
      <c r="O455" s="68"/>
      <c r="P455" s="68"/>
      <c r="Q455" s="68"/>
      <c r="R455" s="68"/>
      <c r="S455" s="68"/>
      <c r="T455" s="68"/>
      <c r="U455" s="230"/>
      <c r="V455" s="68"/>
      <c r="W455" s="68"/>
      <c r="X455" s="68"/>
      <c r="Z455" s="68"/>
      <c r="AM455" s="162"/>
      <c r="AN455" s="69"/>
    </row>
    <row r="456" spans="1:40">
      <c r="A456" s="269" t="s">
        <v>511</v>
      </c>
      <c r="B456" s="221" t="s">
        <v>439</v>
      </c>
      <c r="C456" s="221" t="s">
        <v>508</v>
      </c>
      <c r="D456" s="228">
        <v>119</v>
      </c>
      <c r="E456" s="228">
        <v>314</v>
      </c>
      <c r="F456" s="69">
        <v>2.2253455502669612E-5</v>
      </c>
      <c r="G456" s="228">
        <v>44936.841376389209</v>
      </c>
      <c r="H456" s="228">
        <v>0</v>
      </c>
      <c r="I456" s="69">
        <v>0</v>
      </c>
      <c r="J456" s="69">
        <f t="shared" si="7"/>
        <v>4.9534334509733959E-3</v>
      </c>
      <c r="K456" s="244"/>
      <c r="L456" s="162">
        <v>187.19999694824219</v>
      </c>
      <c r="M456" s="69">
        <v>1.073319026545505E-6</v>
      </c>
      <c r="N456" s="68"/>
      <c r="O456" s="68"/>
      <c r="P456" s="68"/>
      <c r="Q456" s="68"/>
      <c r="R456" s="68"/>
      <c r="S456" s="68"/>
      <c r="T456" s="68"/>
      <c r="U456" s="230"/>
      <c r="V456" s="68"/>
      <c r="W456" s="68"/>
      <c r="X456" s="68"/>
      <c r="Z456" s="68"/>
      <c r="AM456" s="162"/>
      <c r="AN456" s="69"/>
    </row>
    <row r="457" spans="1:40">
      <c r="A457" s="269" t="s">
        <v>512</v>
      </c>
      <c r="B457" s="221" t="s">
        <v>439</v>
      </c>
      <c r="C457" s="221" t="s">
        <v>508</v>
      </c>
      <c r="D457" s="228">
        <v>119</v>
      </c>
      <c r="E457" s="228">
        <v>308</v>
      </c>
      <c r="F457" s="69">
        <v>2.2253455502669612E-5</v>
      </c>
      <c r="G457" s="228">
        <v>44936.841376389209</v>
      </c>
      <c r="H457" s="228">
        <v>0</v>
      </c>
      <c r="I457" s="69">
        <v>0</v>
      </c>
      <c r="J457" s="69">
        <f t="shared" si="7"/>
        <v>4.9756869064760652E-3</v>
      </c>
      <c r="K457" s="244"/>
      <c r="L457" s="162">
        <v>187.19999694824219</v>
      </c>
      <c r="M457" s="69">
        <v>9.2238354909568443E-7</v>
      </c>
      <c r="N457" s="68"/>
      <c r="O457" s="68"/>
      <c r="P457" s="68"/>
      <c r="Q457" s="68"/>
      <c r="R457" s="68"/>
      <c r="S457" s="68"/>
      <c r="T457" s="68"/>
      <c r="U457" s="230"/>
      <c r="V457" s="68"/>
      <c r="W457" s="68"/>
      <c r="X457" s="68"/>
      <c r="Z457" s="68"/>
      <c r="AM457" s="162"/>
      <c r="AN457" s="69"/>
    </row>
    <row r="458" spans="1:40">
      <c r="A458" s="269" t="s">
        <v>454</v>
      </c>
      <c r="B458" s="221" t="s">
        <v>474</v>
      </c>
      <c r="C458" s="221" t="s">
        <v>508</v>
      </c>
      <c r="D458" s="228">
        <v>119</v>
      </c>
      <c r="E458" s="228">
        <v>324</v>
      </c>
      <c r="F458" s="69">
        <v>2.225365578577196E-5</v>
      </c>
      <c r="G458" s="228">
        <v>44936.436944412402</v>
      </c>
      <c r="H458" s="228">
        <v>0</v>
      </c>
      <c r="I458" s="69">
        <v>0</v>
      </c>
      <c r="J458" s="69">
        <f t="shared" si="7"/>
        <v>4.9979405622618371E-3</v>
      </c>
      <c r="K458" s="244"/>
      <c r="L458" s="162">
        <v>192.19999694824219</v>
      </c>
      <c r="M458" s="69">
        <v>9.2238354909568443E-7</v>
      </c>
      <c r="N458" s="68"/>
      <c r="O458" s="68"/>
      <c r="P458" s="68"/>
      <c r="Q458" s="68"/>
      <c r="R458" s="68"/>
      <c r="S458" s="68"/>
      <c r="T458" s="68"/>
      <c r="U458" s="230"/>
      <c r="V458" s="68"/>
      <c r="W458" s="68"/>
      <c r="X458" s="68"/>
      <c r="Z458" s="68"/>
      <c r="AM458" s="162"/>
      <c r="AN458" s="69"/>
    </row>
    <row r="459" spans="1:40">
      <c r="A459" s="269" t="s">
        <v>455</v>
      </c>
      <c r="B459" s="221" t="s">
        <v>474</v>
      </c>
      <c r="C459" s="221" t="s">
        <v>508</v>
      </c>
      <c r="D459" s="228">
        <v>119</v>
      </c>
      <c r="E459" s="228">
        <v>344</v>
      </c>
      <c r="F459" s="69">
        <v>2.225365578577196E-5</v>
      </c>
      <c r="G459" s="228">
        <v>44936.436944412402</v>
      </c>
      <c r="H459" s="228">
        <v>0</v>
      </c>
      <c r="I459" s="69">
        <v>0</v>
      </c>
      <c r="J459" s="69">
        <f t="shared" si="7"/>
        <v>5.020194218047609E-3</v>
      </c>
      <c r="K459" s="244"/>
      <c r="L459" s="162">
        <v>192.19999694824219</v>
      </c>
      <c r="M459" s="69">
        <v>9.208589517584187E-7</v>
      </c>
      <c r="N459" s="68"/>
      <c r="O459" s="68"/>
      <c r="P459" s="68"/>
      <c r="Q459" s="68"/>
      <c r="R459" s="68"/>
      <c r="S459" s="68"/>
      <c r="T459" s="68"/>
      <c r="U459" s="230"/>
      <c r="V459" s="68"/>
      <c r="W459" s="68"/>
      <c r="X459" s="68"/>
      <c r="Z459" s="68"/>
      <c r="AM459" s="162"/>
      <c r="AN459" s="69"/>
    </row>
    <row r="460" spans="1:40">
      <c r="A460" s="269" t="s">
        <v>456</v>
      </c>
      <c r="B460" s="221" t="s">
        <v>474</v>
      </c>
      <c r="C460" s="221" t="s">
        <v>508</v>
      </c>
      <c r="D460" s="228">
        <v>119</v>
      </c>
      <c r="E460" s="228">
        <v>314</v>
      </c>
      <c r="F460" s="69">
        <v>2.225365578577196E-5</v>
      </c>
      <c r="G460" s="228">
        <v>44936.436944412402</v>
      </c>
      <c r="H460" s="228">
        <v>0</v>
      </c>
      <c r="I460" s="69">
        <v>0</v>
      </c>
      <c r="J460" s="69">
        <f t="shared" si="7"/>
        <v>5.0424478738333809E-3</v>
      </c>
      <c r="K460" s="244"/>
      <c r="L460" s="162">
        <v>196.30000305175781</v>
      </c>
      <c r="M460" s="69">
        <v>9.208589517584187E-7</v>
      </c>
      <c r="N460" s="68"/>
      <c r="O460" s="68"/>
      <c r="P460" s="68"/>
      <c r="Q460" s="68"/>
      <c r="R460" s="68"/>
      <c r="S460" s="68"/>
      <c r="T460" s="68"/>
      <c r="U460" s="230"/>
      <c r="V460" s="68"/>
      <c r="W460" s="68"/>
      <c r="X460" s="68"/>
      <c r="Z460" s="68"/>
      <c r="AM460" s="162"/>
      <c r="AN460" s="69"/>
    </row>
    <row r="461" spans="1:40">
      <c r="A461" s="269" t="s">
        <v>511</v>
      </c>
      <c r="B461" s="221" t="s">
        <v>474</v>
      </c>
      <c r="C461" s="221" t="s">
        <v>508</v>
      </c>
      <c r="D461" s="228">
        <v>119</v>
      </c>
      <c r="E461" s="228">
        <v>308</v>
      </c>
      <c r="F461" s="69">
        <v>2.225365578577196E-5</v>
      </c>
      <c r="G461" s="228">
        <v>44936.436944412402</v>
      </c>
      <c r="H461" s="228">
        <v>0</v>
      </c>
      <c r="I461" s="69">
        <v>0</v>
      </c>
      <c r="J461" s="69">
        <f t="shared" si="7"/>
        <v>5.0647015296191528E-3</v>
      </c>
      <c r="K461" s="244"/>
      <c r="L461" s="162">
        <v>196.30000305175781</v>
      </c>
      <c r="M461" s="69">
        <v>9.1933435442115297E-7</v>
      </c>
      <c r="N461" s="68"/>
      <c r="O461" s="68"/>
      <c r="P461" s="68"/>
      <c r="Q461" s="68"/>
      <c r="R461" s="68"/>
      <c r="S461" s="68"/>
      <c r="T461" s="68"/>
      <c r="U461" s="230"/>
      <c r="V461" s="68"/>
      <c r="W461" s="68"/>
      <c r="X461" s="68"/>
      <c r="Z461" s="68"/>
      <c r="AM461" s="162"/>
      <c r="AN461" s="69"/>
    </row>
    <row r="462" spans="1:40">
      <c r="A462" s="269" t="s">
        <v>512</v>
      </c>
      <c r="B462" s="221" t="s">
        <v>474</v>
      </c>
      <c r="C462" s="221" t="s">
        <v>508</v>
      </c>
      <c r="D462" s="228">
        <v>119</v>
      </c>
      <c r="E462" s="228">
        <v>314</v>
      </c>
      <c r="F462" s="69">
        <v>2.225365578577196E-5</v>
      </c>
      <c r="G462" s="228">
        <v>44936.436944412402</v>
      </c>
      <c r="H462" s="228">
        <v>0</v>
      </c>
      <c r="I462" s="69">
        <v>0</v>
      </c>
      <c r="J462" s="69">
        <f t="shared" si="7"/>
        <v>5.0869551854049247E-3</v>
      </c>
      <c r="K462" s="244"/>
      <c r="L462" s="162">
        <v>202</v>
      </c>
      <c r="M462" s="69">
        <v>9.1933435442115297E-7</v>
      </c>
      <c r="N462" s="68"/>
      <c r="O462" s="68"/>
      <c r="P462" s="68"/>
      <c r="Q462" s="68"/>
      <c r="R462" s="68"/>
      <c r="S462" s="68"/>
      <c r="T462" s="68"/>
      <c r="U462" s="230"/>
      <c r="V462" s="68"/>
      <c r="W462" s="68"/>
      <c r="X462" s="68"/>
      <c r="Z462" s="68"/>
      <c r="AM462" s="162"/>
      <c r="AN462" s="69"/>
    </row>
    <row r="463" spans="1:40">
      <c r="A463" s="269" t="s">
        <v>454</v>
      </c>
      <c r="B463" s="221" t="s">
        <v>440</v>
      </c>
      <c r="C463" s="221" t="s">
        <v>508</v>
      </c>
      <c r="D463" s="228">
        <v>119</v>
      </c>
      <c r="E463" s="228">
        <v>322</v>
      </c>
      <c r="F463" s="69">
        <v>6.0084930706515009E-4</v>
      </c>
      <c r="G463" s="228">
        <v>1664.3108151102019</v>
      </c>
      <c r="H463" s="228">
        <v>0</v>
      </c>
      <c r="I463" s="69">
        <v>0</v>
      </c>
      <c r="J463" s="69">
        <f t="shared" si="7"/>
        <v>5.6878044924700746E-3</v>
      </c>
      <c r="K463" s="244"/>
      <c r="L463" s="162">
        <v>202</v>
      </c>
      <c r="M463" s="69">
        <v>9.1780975708388723E-7</v>
      </c>
      <c r="N463" s="68"/>
      <c r="O463" s="68"/>
      <c r="P463" s="68"/>
      <c r="Q463" s="68"/>
      <c r="R463" s="68"/>
      <c r="S463" s="68"/>
      <c r="T463" s="68"/>
      <c r="U463" s="230"/>
      <c r="V463" s="68"/>
      <c r="W463" s="68"/>
      <c r="X463" s="68"/>
      <c r="Z463" s="68"/>
      <c r="AM463" s="162"/>
      <c r="AN463" s="69"/>
    </row>
    <row r="464" spans="1:40">
      <c r="A464" s="269" t="s">
        <v>455</v>
      </c>
      <c r="B464" s="221" t="s">
        <v>440</v>
      </c>
      <c r="C464" s="221" t="s">
        <v>508</v>
      </c>
      <c r="D464" s="228">
        <v>119</v>
      </c>
      <c r="E464" s="228">
        <v>350</v>
      </c>
      <c r="F464" s="69">
        <v>6.0084930706515009E-4</v>
      </c>
      <c r="G464" s="228">
        <v>1664.3108151102019</v>
      </c>
      <c r="H464" s="228">
        <v>0</v>
      </c>
      <c r="I464" s="69">
        <v>0</v>
      </c>
      <c r="J464" s="69">
        <f t="shared" si="7"/>
        <v>6.2886537995352244E-3</v>
      </c>
      <c r="K464" s="244"/>
      <c r="L464" s="162">
        <v>202.39999389648437</v>
      </c>
      <c r="M464" s="69">
        <v>9.1780975708388723E-7</v>
      </c>
      <c r="N464" s="68"/>
      <c r="O464" s="68"/>
      <c r="P464" s="68"/>
      <c r="Q464" s="68"/>
      <c r="R464" s="68"/>
      <c r="S464" s="68"/>
      <c r="T464" s="68"/>
      <c r="U464" s="230"/>
      <c r="V464" s="68"/>
      <c r="W464" s="68"/>
      <c r="X464" s="68"/>
      <c r="Z464" s="68"/>
      <c r="AM464" s="162"/>
      <c r="AN464" s="69"/>
    </row>
    <row r="465" spans="1:40">
      <c r="A465" s="269" t="s">
        <v>456</v>
      </c>
      <c r="B465" s="221" t="s">
        <v>440</v>
      </c>
      <c r="C465" s="221" t="s">
        <v>508</v>
      </c>
      <c r="D465" s="228">
        <v>119</v>
      </c>
      <c r="E465" s="228">
        <v>346</v>
      </c>
      <c r="F465" s="69">
        <v>6.0084930706515009E-4</v>
      </c>
      <c r="G465" s="228">
        <v>1664.3108151102019</v>
      </c>
      <c r="H465" s="228">
        <v>0</v>
      </c>
      <c r="I465" s="69">
        <v>0</v>
      </c>
      <c r="J465" s="69">
        <f t="shared" si="7"/>
        <v>6.8895031066003743E-3</v>
      </c>
      <c r="K465" s="244"/>
      <c r="L465" s="162">
        <v>202.39999389648437</v>
      </c>
      <c r="M465" s="69">
        <v>9.1628510290320264E-7</v>
      </c>
      <c r="N465" s="68"/>
      <c r="O465" s="68"/>
      <c r="P465" s="68"/>
      <c r="Q465" s="68"/>
      <c r="R465" s="68"/>
      <c r="S465" s="68"/>
      <c r="T465" s="68"/>
      <c r="U465" s="230"/>
      <c r="V465" s="68"/>
      <c r="W465" s="68"/>
      <c r="X465" s="68"/>
      <c r="Z465" s="68"/>
      <c r="AM465" s="162"/>
      <c r="AN465" s="69"/>
    </row>
    <row r="466" spans="1:40">
      <c r="A466" s="269" t="s">
        <v>511</v>
      </c>
      <c r="B466" s="221" t="s">
        <v>440</v>
      </c>
      <c r="C466" s="221" t="s">
        <v>508</v>
      </c>
      <c r="D466" s="228">
        <v>119</v>
      </c>
      <c r="E466" s="228">
        <v>338</v>
      </c>
      <c r="F466" s="69">
        <v>6.0084930706515009E-4</v>
      </c>
      <c r="G466" s="228">
        <v>1664.3108151102019</v>
      </c>
      <c r="H466" s="228">
        <v>0</v>
      </c>
      <c r="I466" s="69">
        <v>0</v>
      </c>
      <c r="J466" s="69">
        <f t="shared" si="7"/>
        <v>7.4903524136655242E-3</v>
      </c>
      <c r="L466" s="162">
        <v>214.69999694824219</v>
      </c>
      <c r="M466" s="69">
        <v>9.1628510290320264E-7</v>
      </c>
      <c r="U466" s="230"/>
      <c r="V466" s="68"/>
      <c r="W466" s="68"/>
      <c r="AM466" s="162"/>
      <c r="AN466" s="69"/>
    </row>
    <row r="467" spans="1:40">
      <c r="A467" s="269" t="s">
        <v>512</v>
      </c>
      <c r="B467" s="221" t="s">
        <v>440</v>
      </c>
      <c r="C467" s="221" t="s">
        <v>508</v>
      </c>
      <c r="D467" s="228">
        <v>119</v>
      </c>
      <c r="E467" s="228">
        <v>336</v>
      </c>
      <c r="F467" s="69">
        <v>6.0084930706515009E-4</v>
      </c>
      <c r="G467" s="228">
        <v>1664.3108151102019</v>
      </c>
      <c r="H467" s="228">
        <v>0</v>
      </c>
      <c r="I467" s="69">
        <v>0</v>
      </c>
      <c r="J467" s="69">
        <f t="shared" si="7"/>
        <v>8.091201720730674E-3</v>
      </c>
      <c r="L467" s="162">
        <v>214.69999694824219</v>
      </c>
      <c r="M467" s="69">
        <v>7.6534962545338203E-7</v>
      </c>
      <c r="U467" s="230"/>
      <c r="V467" s="68"/>
      <c r="W467" s="68"/>
      <c r="AM467" s="162"/>
      <c r="AN467" s="69"/>
    </row>
    <row r="468" spans="1:40">
      <c r="A468" s="269" t="s">
        <v>454</v>
      </c>
      <c r="B468" s="221" t="s">
        <v>473</v>
      </c>
      <c r="C468" s="221" t="s">
        <v>438</v>
      </c>
      <c r="D468" s="228">
        <v>525</v>
      </c>
      <c r="E468" s="228">
        <v>836</v>
      </c>
      <c r="F468" s="69">
        <v>2.247844018764845E-7</v>
      </c>
      <c r="G468" s="228">
        <v>4448707.2574968273</v>
      </c>
      <c r="H468" s="228">
        <v>0</v>
      </c>
      <c r="I468" s="69">
        <v>0</v>
      </c>
      <c r="J468" s="69">
        <f t="shared" si="7"/>
        <v>8.0914265051325509E-3</v>
      </c>
      <c r="L468" s="162">
        <v>218.69999694824219</v>
      </c>
      <c r="M468" s="69">
        <v>7.6534962545338203E-7</v>
      </c>
      <c r="U468" s="230"/>
      <c r="V468" s="68"/>
      <c r="W468" s="68"/>
      <c r="AM468" s="162"/>
      <c r="AN468" s="69"/>
    </row>
    <row r="469" spans="1:40">
      <c r="A469" s="269" t="s">
        <v>455</v>
      </c>
      <c r="B469" s="221" t="s">
        <v>473</v>
      </c>
      <c r="C469" s="221" t="s">
        <v>438</v>
      </c>
      <c r="D469" s="228">
        <v>524</v>
      </c>
      <c r="E469" s="228">
        <v>802</v>
      </c>
      <c r="F469" s="69">
        <v>2.247844018764845E-7</v>
      </c>
      <c r="G469" s="228">
        <v>4448707.2574968273</v>
      </c>
      <c r="H469" s="228">
        <v>0</v>
      </c>
      <c r="I469" s="69">
        <v>0</v>
      </c>
      <c r="J469" s="69">
        <f t="shared" si="7"/>
        <v>8.0916512895344277E-3</v>
      </c>
      <c r="L469" s="162">
        <v>218.69999694824219</v>
      </c>
      <c r="M469" s="69">
        <v>6.1441420484698028E-7</v>
      </c>
      <c r="U469" s="230"/>
      <c r="V469" s="68"/>
      <c r="W469" s="68"/>
      <c r="AM469" s="162"/>
      <c r="AN469" s="69"/>
    </row>
    <row r="470" spans="1:40">
      <c r="A470" s="269" t="s">
        <v>456</v>
      </c>
      <c r="B470" s="221" t="s">
        <v>473</v>
      </c>
      <c r="C470" s="221" t="s">
        <v>438</v>
      </c>
      <c r="D470" s="228">
        <v>524</v>
      </c>
      <c r="E470" s="228">
        <v>858</v>
      </c>
      <c r="F470" s="69">
        <v>2.247844018764845E-7</v>
      </c>
      <c r="G470" s="228">
        <v>4448707.2574968273</v>
      </c>
      <c r="H470" s="228">
        <v>0</v>
      </c>
      <c r="I470" s="69">
        <v>0</v>
      </c>
      <c r="J470" s="69">
        <f t="shared" si="7"/>
        <v>8.0918760739363046E-3</v>
      </c>
      <c r="L470" s="162">
        <v>225.80000305175781</v>
      </c>
      <c r="M470" s="69">
        <v>6.1441420484698028E-7</v>
      </c>
      <c r="U470" s="230"/>
      <c r="V470" s="68"/>
      <c r="W470" s="68"/>
      <c r="AM470" s="162"/>
      <c r="AN470" s="69"/>
    </row>
    <row r="471" spans="1:40">
      <c r="A471" s="269" t="s">
        <v>511</v>
      </c>
      <c r="B471" s="221" t="s">
        <v>473</v>
      </c>
      <c r="C471" s="221" t="s">
        <v>438</v>
      </c>
      <c r="D471" s="228">
        <v>520</v>
      </c>
      <c r="E471" s="228">
        <v>790</v>
      </c>
      <c r="F471" s="69">
        <v>2.247844018764845E-7</v>
      </c>
      <c r="G471" s="228">
        <v>4448707.2574968273</v>
      </c>
      <c r="H471" s="228">
        <v>0</v>
      </c>
      <c r="I471" s="69">
        <v>0</v>
      </c>
      <c r="J471" s="69">
        <f t="shared" si="7"/>
        <v>8.0921008583381814E-3</v>
      </c>
      <c r="L471" s="162">
        <v>225.80000305175781</v>
      </c>
      <c r="M471" s="69">
        <v>6.1288955066629569E-7</v>
      </c>
      <c r="U471" s="230"/>
      <c r="V471" s="68"/>
      <c r="W471" s="68"/>
      <c r="AM471" s="162"/>
      <c r="AN471" s="69"/>
    </row>
    <row r="472" spans="1:40">
      <c r="A472" s="269" t="s">
        <v>512</v>
      </c>
      <c r="B472" s="221" t="s">
        <v>473</v>
      </c>
      <c r="C472" s="221" t="s">
        <v>438</v>
      </c>
      <c r="D472" s="228">
        <v>524</v>
      </c>
      <c r="E472" s="228">
        <v>840</v>
      </c>
      <c r="F472" s="69">
        <v>2.247844018764845E-7</v>
      </c>
      <c r="G472" s="228">
        <v>4448707.2574968273</v>
      </c>
      <c r="H472" s="228">
        <v>0</v>
      </c>
      <c r="I472" s="69">
        <v>0</v>
      </c>
      <c r="J472" s="69">
        <f t="shared" si="7"/>
        <v>8.0923256427400583E-3</v>
      </c>
      <c r="L472" s="162">
        <v>226.5</v>
      </c>
      <c r="M472" s="69">
        <v>6.1288955066629569E-7</v>
      </c>
      <c r="U472" s="230"/>
      <c r="V472" s="68"/>
      <c r="W472" s="68"/>
      <c r="AM472" s="162"/>
      <c r="AN472" s="69"/>
    </row>
    <row r="473" spans="1:40">
      <c r="A473" s="269" t="s">
        <v>454</v>
      </c>
      <c r="B473" s="221" t="s">
        <v>439</v>
      </c>
      <c r="C473" s="221" t="s">
        <v>438</v>
      </c>
      <c r="D473" s="228">
        <v>524</v>
      </c>
      <c r="E473" s="228">
        <v>816</v>
      </c>
      <c r="F473" s="69">
        <v>2.2478237881484456E-7</v>
      </c>
      <c r="G473" s="228">
        <v>4448747.2962625325</v>
      </c>
      <c r="H473" s="228">
        <v>0</v>
      </c>
      <c r="I473" s="69">
        <v>0</v>
      </c>
      <c r="J473" s="69">
        <f t="shared" si="7"/>
        <v>8.0925504251188728E-3</v>
      </c>
      <c r="L473" s="162">
        <v>226.5</v>
      </c>
      <c r="M473" s="69">
        <v>6.1136495332902996E-7</v>
      </c>
      <c r="U473" s="230"/>
      <c r="V473" s="68"/>
      <c r="W473" s="68"/>
      <c r="AM473" s="162"/>
      <c r="AN473" s="69"/>
    </row>
    <row r="474" spans="1:40">
      <c r="A474" s="269" t="s">
        <v>455</v>
      </c>
      <c r="B474" s="221" t="s">
        <v>439</v>
      </c>
      <c r="C474" s="221" t="s">
        <v>438</v>
      </c>
      <c r="D474" s="228">
        <v>519</v>
      </c>
      <c r="E474" s="228">
        <v>764</v>
      </c>
      <c r="F474" s="69">
        <v>2.2478237881484456E-7</v>
      </c>
      <c r="G474" s="228">
        <v>4448747.2962625325</v>
      </c>
      <c r="H474" s="228">
        <v>0</v>
      </c>
      <c r="I474" s="69">
        <v>0</v>
      </c>
      <c r="J474" s="69">
        <f t="shared" si="7"/>
        <v>8.0927752074976874E-3</v>
      </c>
      <c r="L474" s="162">
        <v>228.19999694824219</v>
      </c>
      <c r="M474" s="69">
        <v>6.1136495332902996E-7</v>
      </c>
      <c r="U474" s="230"/>
      <c r="V474" s="68"/>
      <c r="W474" s="68"/>
      <c r="AM474" s="162"/>
      <c r="AN474" s="69"/>
    </row>
    <row r="475" spans="1:40">
      <c r="A475" s="269" t="s">
        <v>456</v>
      </c>
      <c r="B475" s="221" t="s">
        <v>439</v>
      </c>
      <c r="C475" s="221" t="s">
        <v>438</v>
      </c>
      <c r="D475" s="228">
        <v>524</v>
      </c>
      <c r="E475" s="228">
        <v>748</v>
      </c>
      <c r="F475" s="69">
        <v>2.2478237881484456E-7</v>
      </c>
      <c r="G475" s="228">
        <v>4448747.2962625325</v>
      </c>
      <c r="H475" s="228">
        <v>0</v>
      </c>
      <c r="I475" s="69">
        <v>0</v>
      </c>
      <c r="J475" s="69">
        <f t="shared" si="7"/>
        <v>8.092999989876502E-3</v>
      </c>
      <c r="L475" s="162">
        <v>228.19999694824219</v>
      </c>
      <c r="M475" s="69">
        <v>6.0984035599176423E-7</v>
      </c>
      <c r="U475" s="230"/>
      <c r="V475" s="68"/>
      <c r="W475" s="68"/>
      <c r="AM475" s="162"/>
      <c r="AN475" s="69"/>
    </row>
    <row r="476" spans="1:40">
      <c r="A476" s="269" t="s">
        <v>511</v>
      </c>
      <c r="B476" s="221" t="s">
        <v>439</v>
      </c>
      <c r="C476" s="221" t="s">
        <v>438</v>
      </c>
      <c r="D476" s="228">
        <v>519</v>
      </c>
      <c r="E476" s="228">
        <v>752</v>
      </c>
      <c r="F476" s="69">
        <v>2.2478237881484456E-7</v>
      </c>
      <c r="G476" s="228">
        <v>4448747.2962625325</v>
      </c>
      <c r="H476" s="228">
        <v>0</v>
      </c>
      <c r="I476" s="69">
        <v>0</v>
      </c>
      <c r="J476" s="69">
        <f t="shared" si="7"/>
        <v>8.0932247722553165E-3</v>
      </c>
      <c r="L476" s="162">
        <v>230.30000305175781</v>
      </c>
      <c r="M476" s="69">
        <v>6.0984035599176423E-7</v>
      </c>
      <c r="U476" s="230"/>
      <c r="V476" s="68"/>
      <c r="W476" s="68"/>
      <c r="AM476" s="162"/>
      <c r="AN476" s="69"/>
    </row>
    <row r="477" spans="1:40">
      <c r="A477" s="269" t="s">
        <v>455</v>
      </c>
      <c r="B477" s="221" t="s">
        <v>1377</v>
      </c>
      <c r="C477" s="221" t="s">
        <v>438</v>
      </c>
      <c r="D477" s="228">
        <v>524</v>
      </c>
      <c r="E477" s="228">
        <v>1112</v>
      </c>
      <c r="F477" s="69">
        <v>6.0691849198500013E-6</v>
      </c>
      <c r="G477" s="228">
        <v>164766.77069591</v>
      </c>
      <c r="H477" s="228">
        <v>0</v>
      </c>
      <c r="I477" s="69">
        <v>0</v>
      </c>
      <c r="J477" s="69">
        <f t="shared" si="7"/>
        <v>8.099293957175166E-3</v>
      </c>
      <c r="L477" s="162">
        <v>230.30000305175781</v>
      </c>
      <c r="M477" s="69">
        <v>6.0831570181107963E-7</v>
      </c>
      <c r="U477" s="230"/>
      <c r="V477" s="68"/>
      <c r="W477" s="68"/>
      <c r="AM477" s="162"/>
      <c r="AN477" s="69"/>
    </row>
    <row r="478" spans="1:40">
      <c r="A478" s="269" t="s">
        <v>454</v>
      </c>
      <c r="B478" s="221" t="s">
        <v>441</v>
      </c>
      <c r="C478" s="221" t="s">
        <v>476</v>
      </c>
      <c r="D478" s="228">
        <v>119</v>
      </c>
      <c r="E478" s="228">
        <v>366</v>
      </c>
      <c r="F478" s="69">
        <v>4.413146514749072E-6</v>
      </c>
      <c r="G478" s="228">
        <v>226595.69462693427</v>
      </c>
      <c r="H478" s="228">
        <v>0</v>
      </c>
      <c r="I478" s="69">
        <v>0</v>
      </c>
      <c r="J478" s="69">
        <f t="shared" si="7"/>
        <v>8.1037071036899142E-3</v>
      </c>
      <c r="L478" s="162">
        <v>231.80000305175781</v>
      </c>
      <c r="M478" s="69">
        <v>6.0831570181107963E-7</v>
      </c>
      <c r="U478" s="230"/>
      <c r="V478" s="68"/>
      <c r="W478" s="68"/>
      <c r="AM478" s="162"/>
      <c r="AN478" s="69"/>
    </row>
    <row r="479" spans="1:40">
      <c r="A479" s="269" t="s">
        <v>455</v>
      </c>
      <c r="B479" s="221" t="s">
        <v>441</v>
      </c>
      <c r="C479" s="221" t="s">
        <v>476</v>
      </c>
      <c r="D479" s="228">
        <v>119</v>
      </c>
      <c r="E479" s="228">
        <v>358</v>
      </c>
      <c r="F479" s="69">
        <v>4.413146514749072E-6</v>
      </c>
      <c r="G479" s="228">
        <v>226595.69462693427</v>
      </c>
      <c r="H479" s="228">
        <v>0</v>
      </c>
      <c r="I479" s="69">
        <v>0</v>
      </c>
      <c r="J479" s="69">
        <f t="shared" si="7"/>
        <v>8.1081202502046625E-3</v>
      </c>
      <c r="L479" s="162">
        <v>231.80000305175781</v>
      </c>
      <c r="M479" s="69">
        <v>6.067911044738139E-7</v>
      </c>
      <c r="U479" s="230"/>
      <c r="V479" s="68"/>
      <c r="W479" s="68"/>
      <c r="AM479" s="162"/>
      <c r="AN479" s="69"/>
    </row>
    <row r="480" spans="1:40">
      <c r="A480" s="269" t="s">
        <v>456</v>
      </c>
      <c r="B480" s="221" t="s">
        <v>441</v>
      </c>
      <c r="C480" s="221" t="s">
        <v>476</v>
      </c>
      <c r="D480" s="228">
        <v>119</v>
      </c>
      <c r="E480" s="228">
        <v>376</v>
      </c>
      <c r="F480" s="69">
        <v>4.413146514749072E-6</v>
      </c>
      <c r="G480" s="228">
        <v>226595.69462693427</v>
      </c>
      <c r="H480" s="228">
        <v>0</v>
      </c>
      <c r="I480" s="69">
        <v>0</v>
      </c>
      <c r="J480" s="69">
        <f t="shared" si="7"/>
        <v>8.1125333967194107E-3</v>
      </c>
      <c r="L480" s="162">
        <v>240.10000610351562</v>
      </c>
      <c r="M480" s="69">
        <v>6.067911044738139E-7</v>
      </c>
      <c r="U480" s="230"/>
      <c r="V480" s="68"/>
      <c r="W480" s="68"/>
      <c r="AM480" s="162"/>
      <c r="AN480" s="69"/>
    </row>
    <row r="481" spans="1:40">
      <c r="A481" s="269" t="s">
        <v>511</v>
      </c>
      <c r="B481" s="221" t="s">
        <v>441</v>
      </c>
      <c r="C481" s="221" t="s">
        <v>476</v>
      </c>
      <c r="D481" s="228">
        <v>119</v>
      </c>
      <c r="E481" s="228">
        <v>314</v>
      </c>
      <c r="F481" s="69">
        <v>4.413146514749072E-6</v>
      </c>
      <c r="G481" s="228">
        <v>226595.69462693427</v>
      </c>
      <c r="H481" s="228">
        <v>0</v>
      </c>
      <c r="I481" s="69">
        <v>0</v>
      </c>
      <c r="J481" s="69">
        <f t="shared" si="7"/>
        <v>8.1169465432341589E-3</v>
      </c>
      <c r="L481" s="162">
        <v>240.10000610351562</v>
      </c>
      <c r="M481" s="69">
        <v>4.5585562702399329E-7</v>
      </c>
      <c r="U481" s="230"/>
      <c r="V481" s="68"/>
      <c r="W481" s="68"/>
      <c r="AM481" s="162"/>
      <c r="AN481" s="69"/>
    </row>
    <row r="482" spans="1:40">
      <c r="A482" s="269" t="s">
        <v>512</v>
      </c>
      <c r="B482" s="221" t="s">
        <v>441</v>
      </c>
      <c r="C482" s="221" t="s">
        <v>476</v>
      </c>
      <c r="D482" s="228">
        <v>119</v>
      </c>
      <c r="E482" s="228">
        <v>316</v>
      </c>
      <c r="F482" s="69">
        <v>4.413146514749072E-6</v>
      </c>
      <c r="G482" s="228">
        <v>226595.69462693427</v>
      </c>
      <c r="H482" s="228">
        <v>0</v>
      </c>
      <c r="I482" s="69">
        <v>0</v>
      </c>
      <c r="J482" s="69">
        <f t="shared" si="7"/>
        <v>8.1213596897489072E-3</v>
      </c>
      <c r="K482" s="244"/>
      <c r="L482" s="162">
        <v>248.39999389648437</v>
      </c>
      <c r="M482" s="69">
        <v>4.5585562702399329E-7</v>
      </c>
      <c r="N482" s="68"/>
      <c r="O482" s="68"/>
      <c r="P482" s="68"/>
      <c r="Q482" s="68"/>
      <c r="R482" s="68"/>
      <c r="S482" s="68"/>
      <c r="T482" s="68"/>
      <c r="U482" s="230"/>
      <c r="V482" s="68"/>
      <c r="W482" s="68"/>
      <c r="X482" s="68"/>
      <c r="Z482" s="68"/>
      <c r="AM482" s="162"/>
      <c r="AN482" s="69"/>
    </row>
    <row r="483" spans="1:40">
      <c r="A483" s="269" t="s">
        <v>454</v>
      </c>
      <c r="B483" s="221" t="s">
        <v>443</v>
      </c>
      <c r="C483" s="221" t="s">
        <v>476</v>
      </c>
      <c r="D483" s="228">
        <v>119</v>
      </c>
      <c r="E483" s="228">
        <v>314</v>
      </c>
      <c r="F483" s="69">
        <v>4.4131067963907217E-6</v>
      </c>
      <c r="G483" s="228">
        <v>226597.73400857969</v>
      </c>
      <c r="H483" s="228">
        <v>0</v>
      </c>
      <c r="I483" s="69">
        <v>0</v>
      </c>
      <c r="J483" s="69">
        <f t="shared" si="7"/>
        <v>8.1257727965452983E-3</v>
      </c>
      <c r="K483" s="244"/>
      <c r="L483" s="162">
        <v>248.39999389648437</v>
      </c>
      <c r="M483" s="69">
        <v>3.0492017799588211E-7</v>
      </c>
      <c r="N483" s="68"/>
      <c r="O483" s="68"/>
      <c r="P483" s="68"/>
      <c r="Q483" s="68"/>
      <c r="R483" s="68"/>
      <c r="S483" s="68"/>
      <c r="T483" s="68"/>
      <c r="U483" s="230"/>
      <c r="V483" s="68"/>
      <c r="W483" s="68"/>
      <c r="X483" s="68"/>
      <c r="Z483" s="68"/>
      <c r="AM483" s="162"/>
      <c r="AN483" s="69"/>
    </row>
    <row r="484" spans="1:40">
      <c r="A484" s="269" t="s">
        <v>455</v>
      </c>
      <c r="B484" s="221" t="s">
        <v>443</v>
      </c>
      <c r="C484" s="221" t="s">
        <v>476</v>
      </c>
      <c r="D484" s="228">
        <v>119</v>
      </c>
      <c r="E484" s="228">
        <v>410</v>
      </c>
      <c r="F484" s="69">
        <v>4.4131067963907217E-6</v>
      </c>
      <c r="G484" s="228">
        <v>226597.73400857969</v>
      </c>
      <c r="H484" s="228">
        <v>0</v>
      </c>
      <c r="I484" s="69">
        <v>0</v>
      </c>
      <c r="J484" s="69">
        <f t="shared" si="7"/>
        <v>8.1301859033416895E-3</v>
      </c>
      <c r="K484" s="244"/>
      <c r="L484" s="162">
        <v>251.5</v>
      </c>
      <c r="M484" s="69">
        <v>3.0492017799588211E-7</v>
      </c>
      <c r="N484" s="68"/>
      <c r="O484" s="68"/>
      <c r="P484" s="68"/>
      <c r="Q484" s="68"/>
      <c r="R484" s="68"/>
      <c r="S484" s="68"/>
      <c r="T484" s="68"/>
      <c r="U484" s="230"/>
      <c r="V484" s="68"/>
      <c r="W484" s="68"/>
      <c r="X484" s="68"/>
      <c r="Z484" s="68"/>
      <c r="AM484" s="162"/>
      <c r="AN484" s="69"/>
    </row>
    <row r="485" spans="1:40">
      <c r="A485" s="269" t="s">
        <v>456</v>
      </c>
      <c r="B485" s="221" t="s">
        <v>443</v>
      </c>
      <c r="C485" s="221" t="s">
        <v>476</v>
      </c>
      <c r="D485" s="228">
        <v>119</v>
      </c>
      <c r="E485" s="228">
        <v>328</v>
      </c>
      <c r="F485" s="69">
        <v>4.4131067963907217E-6</v>
      </c>
      <c r="G485" s="228">
        <v>226597.73400857969</v>
      </c>
      <c r="H485" s="228">
        <v>0</v>
      </c>
      <c r="I485" s="69">
        <v>0</v>
      </c>
      <c r="J485" s="69">
        <f t="shared" si="7"/>
        <v>8.1345990101380806E-3</v>
      </c>
      <c r="K485" s="244"/>
      <c r="L485" s="162">
        <v>251.5</v>
      </c>
      <c r="M485" s="69">
        <v>1.539847005460615E-7</v>
      </c>
      <c r="N485" s="68"/>
      <c r="O485" s="68"/>
      <c r="P485" s="68"/>
      <c r="Q485" s="68"/>
      <c r="R485" s="68"/>
      <c r="S485" s="68"/>
      <c r="T485" s="68"/>
      <c r="U485" s="230"/>
      <c r="V485" s="68"/>
      <c r="W485" s="68"/>
      <c r="X485" s="68"/>
      <c r="Z485" s="68"/>
      <c r="AM485" s="162"/>
      <c r="AN485" s="69"/>
    </row>
    <row r="486" spans="1:40">
      <c r="A486" s="269" t="s">
        <v>511</v>
      </c>
      <c r="B486" s="221" t="s">
        <v>443</v>
      </c>
      <c r="C486" s="221" t="s">
        <v>476</v>
      </c>
      <c r="D486" s="228">
        <v>119</v>
      </c>
      <c r="E486" s="228">
        <v>314</v>
      </c>
      <c r="F486" s="69">
        <v>4.4131067963907217E-6</v>
      </c>
      <c r="G486" s="228">
        <v>226597.73400857969</v>
      </c>
      <c r="H486" s="228">
        <v>0</v>
      </c>
      <c r="I486" s="69">
        <v>0</v>
      </c>
      <c r="J486" s="69">
        <f t="shared" si="7"/>
        <v>8.1390121169344718E-3</v>
      </c>
      <c r="L486" s="162">
        <v>256.20001220703125</v>
      </c>
      <c r="M486" s="69">
        <v>1.539847005460615E-7</v>
      </c>
      <c r="U486" s="230"/>
      <c r="V486" s="68"/>
      <c r="W486" s="68"/>
      <c r="AM486" s="162"/>
      <c r="AN486" s="69"/>
    </row>
    <row r="487" spans="1:40">
      <c r="A487" s="269" t="s">
        <v>512</v>
      </c>
      <c r="B487" s="221" t="s">
        <v>443</v>
      </c>
      <c r="C487" s="221" t="s">
        <v>476</v>
      </c>
      <c r="D487" s="228">
        <v>119</v>
      </c>
      <c r="E487" s="228">
        <v>308</v>
      </c>
      <c r="F487" s="69">
        <v>4.4131067963907217E-6</v>
      </c>
      <c r="G487" s="228">
        <v>226597.73400857969</v>
      </c>
      <c r="H487" s="228">
        <v>0</v>
      </c>
      <c r="I487" s="69">
        <v>0</v>
      </c>
      <c r="J487" s="69">
        <f t="shared" si="7"/>
        <v>8.143425223730863E-3</v>
      </c>
      <c r="L487" s="162">
        <v>256.20001220703125</v>
      </c>
      <c r="M487" s="69">
        <v>3.049228869400622E-9</v>
      </c>
      <c r="U487" s="230"/>
      <c r="V487" s="68"/>
      <c r="W487" s="68"/>
      <c r="AM487" s="162"/>
      <c r="AN487" s="69"/>
    </row>
    <row r="488" spans="1:40">
      <c r="A488" s="269" t="s">
        <v>454</v>
      </c>
      <c r="B488" s="221" t="s">
        <v>475</v>
      </c>
      <c r="C488" s="221" t="s">
        <v>476</v>
      </c>
      <c r="D488" s="228">
        <v>119</v>
      </c>
      <c r="E488" s="228">
        <v>324</v>
      </c>
      <c r="F488" s="69">
        <v>4.413146514749072E-6</v>
      </c>
      <c r="G488" s="228">
        <v>226595.69462693427</v>
      </c>
      <c r="H488" s="228">
        <v>0</v>
      </c>
      <c r="I488" s="69">
        <v>0</v>
      </c>
      <c r="J488" s="69">
        <f t="shared" si="7"/>
        <v>8.1478383702456112E-3</v>
      </c>
      <c r="L488" s="162">
        <v>272.39999389648437</v>
      </c>
      <c r="M488" s="69">
        <v>3.049228869400622E-9</v>
      </c>
      <c r="U488" s="230"/>
      <c r="V488" s="68"/>
      <c r="W488" s="68"/>
      <c r="AM488" s="162"/>
      <c r="AN488" s="69"/>
    </row>
    <row r="489" spans="1:40">
      <c r="A489" s="269" t="s">
        <v>455</v>
      </c>
      <c r="B489" s="221" t="s">
        <v>475</v>
      </c>
      <c r="C489" s="221" t="s">
        <v>476</v>
      </c>
      <c r="D489" s="228">
        <v>119</v>
      </c>
      <c r="E489" s="228">
        <v>344</v>
      </c>
      <c r="F489" s="69">
        <v>4.413146514749072E-6</v>
      </c>
      <c r="G489" s="228">
        <v>226595.69462693427</v>
      </c>
      <c r="H489" s="228">
        <v>0</v>
      </c>
      <c r="I489" s="69">
        <v>0</v>
      </c>
      <c r="J489" s="69">
        <f t="shared" si="7"/>
        <v>8.1522515167603594E-3</v>
      </c>
      <c r="L489" s="162">
        <v>272.39999389648437</v>
      </c>
      <c r="M489" s="69">
        <v>1.524614434700311E-9</v>
      </c>
      <c r="U489" s="230"/>
      <c r="V489" s="68"/>
      <c r="W489" s="68"/>
      <c r="AM489" s="162"/>
      <c r="AN489" s="69"/>
    </row>
    <row r="490" spans="1:40">
      <c r="A490" s="269" t="s">
        <v>456</v>
      </c>
      <c r="B490" s="221" t="s">
        <v>475</v>
      </c>
      <c r="C490" s="221" t="s">
        <v>476</v>
      </c>
      <c r="D490" s="228">
        <v>119</v>
      </c>
      <c r="E490" s="228">
        <v>314</v>
      </c>
      <c r="F490" s="69">
        <v>4.413146514749072E-6</v>
      </c>
      <c r="G490" s="228">
        <v>226595.69462693427</v>
      </c>
      <c r="H490" s="228">
        <v>0</v>
      </c>
      <c r="I490" s="69">
        <v>0</v>
      </c>
      <c r="J490" s="69">
        <f t="shared" si="7"/>
        <v>8.1566646632751077E-3</v>
      </c>
      <c r="L490" s="162">
        <v>272.39999389648437</v>
      </c>
      <c r="M490" s="69">
        <v>1.0000000000000001E-9</v>
      </c>
      <c r="U490" s="230"/>
      <c r="V490" s="68"/>
      <c r="W490" s="68"/>
      <c r="AM490" s="162"/>
      <c r="AN490" s="69"/>
    </row>
    <row r="491" spans="1:40">
      <c r="A491" s="269" t="s">
        <v>511</v>
      </c>
      <c r="B491" s="221" t="s">
        <v>475</v>
      </c>
      <c r="C491" s="221" t="s">
        <v>476</v>
      </c>
      <c r="D491" s="228">
        <v>119</v>
      </c>
      <c r="E491" s="228">
        <v>308</v>
      </c>
      <c r="F491" s="69">
        <v>4.413146514749072E-6</v>
      </c>
      <c r="G491" s="228">
        <v>226595.69462693427</v>
      </c>
      <c r="H491" s="228">
        <v>0</v>
      </c>
      <c r="I491" s="69">
        <v>0</v>
      </c>
      <c r="J491" s="69">
        <f t="shared" si="7"/>
        <v>8.1610778097898559E-3</v>
      </c>
      <c r="L491" s="162"/>
      <c r="M491" s="69"/>
      <c r="U491" s="230"/>
      <c r="V491" s="68"/>
      <c r="W491" s="68"/>
      <c r="AM491" s="162"/>
      <c r="AN491" s="69"/>
    </row>
    <row r="492" spans="1:40">
      <c r="A492" s="269" t="s">
        <v>512</v>
      </c>
      <c r="B492" s="221" t="s">
        <v>475</v>
      </c>
      <c r="C492" s="221" t="s">
        <v>476</v>
      </c>
      <c r="D492" s="228">
        <v>119</v>
      </c>
      <c r="E492" s="228">
        <v>314</v>
      </c>
      <c r="F492" s="69">
        <v>4.413146514749072E-6</v>
      </c>
      <c r="G492" s="228">
        <v>226595.69462693427</v>
      </c>
      <c r="H492" s="228">
        <v>0</v>
      </c>
      <c r="I492" s="69">
        <v>0</v>
      </c>
      <c r="J492" s="69">
        <f t="shared" si="7"/>
        <v>8.1654909563046042E-3</v>
      </c>
      <c r="L492" s="162"/>
      <c r="M492" s="69"/>
      <c r="U492" s="230"/>
      <c r="V492" s="68"/>
      <c r="W492" s="68"/>
      <c r="AM492" s="162"/>
      <c r="AN492" s="69"/>
    </row>
    <row r="493" spans="1:40">
      <c r="A493" s="269" t="s">
        <v>454</v>
      </c>
      <c r="B493" s="221" t="s">
        <v>445</v>
      </c>
      <c r="C493" s="221" t="s">
        <v>476</v>
      </c>
      <c r="D493" s="228">
        <v>119</v>
      </c>
      <c r="E493" s="228">
        <v>322</v>
      </c>
      <c r="F493" s="69">
        <v>1.1915507505329999E-4</v>
      </c>
      <c r="G493" s="228">
        <v>8392.4247418977648</v>
      </c>
      <c r="H493" s="228">
        <v>0</v>
      </c>
      <c r="I493" s="69">
        <v>0</v>
      </c>
      <c r="J493" s="69">
        <f t="shared" si="7"/>
        <v>8.2846460313579038E-3</v>
      </c>
      <c r="L493" s="162"/>
      <c r="M493" s="69"/>
      <c r="U493" s="230"/>
      <c r="V493" s="68"/>
      <c r="W493" s="68"/>
      <c r="AM493" s="162"/>
      <c r="AN493" s="69"/>
    </row>
    <row r="494" spans="1:40">
      <c r="A494" s="269" t="s">
        <v>455</v>
      </c>
      <c r="B494" s="221" t="s">
        <v>445</v>
      </c>
      <c r="C494" s="221" t="s">
        <v>476</v>
      </c>
      <c r="D494" s="228">
        <v>119</v>
      </c>
      <c r="E494" s="228">
        <v>350</v>
      </c>
      <c r="F494" s="69">
        <v>1.1915507505329999E-4</v>
      </c>
      <c r="G494" s="228">
        <v>8392.4247418977648</v>
      </c>
      <c r="H494" s="228">
        <v>0</v>
      </c>
      <c r="I494" s="69">
        <v>0</v>
      </c>
      <c r="J494" s="69">
        <f t="shared" si="7"/>
        <v>8.4038011064112034E-3</v>
      </c>
      <c r="L494" s="162"/>
      <c r="M494" s="69"/>
      <c r="U494" s="230"/>
      <c r="V494" s="68"/>
      <c r="W494" s="68"/>
      <c r="AM494" s="162"/>
      <c r="AN494" s="69"/>
    </row>
    <row r="495" spans="1:40">
      <c r="A495" s="269" t="s">
        <v>456</v>
      </c>
      <c r="B495" s="221" t="s">
        <v>445</v>
      </c>
      <c r="C495" s="221" t="s">
        <v>476</v>
      </c>
      <c r="D495" s="228">
        <v>119</v>
      </c>
      <c r="E495" s="228">
        <v>326</v>
      </c>
      <c r="F495" s="69">
        <v>1.1915507505329999E-4</v>
      </c>
      <c r="G495" s="228">
        <v>8392.4247418977648</v>
      </c>
      <c r="H495" s="228">
        <v>0</v>
      </c>
      <c r="I495" s="69">
        <v>0</v>
      </c>
      <c r="J495" s="69">
        <f t="shared" si="7"/>
        <v>8.5229561814645031E-3</v>
      </c>
      <c r="L495" s="162"/>
      <c r="M495" s="69"/>
      <c r="U495" s="230"/>
      <c r="V495" s="68"/>
      <c r="W495" s="68"/>
      <c r="AM495" s="162"/>
      <c r="AN495" s="69"/>
    </row>
    <row r="496" spans="1:40">
      <c r="A496" s="269" t="s">
        <v>511</v>
      </c>
      <c r="B496" s="221" t="s">
        <v>445</v>
      </c>
      <c r="C496" s="221" t="s">
        <v>476</v>
      </c>
      <c r="D496" s="228">
        <v>119</v>
      </c>
      <c r="E496" s="228">
        <v>338</v>
      </c>
      <c r="F496" s="69">
        <v>1.1915507505329999E-4</v>
      </c>
      <c r="G496" s="228">
        <v>8392.4247418977648</v>
      </c>
      <c r="H496" s="228">
        <v>0</v>
      </c>
      <c r="I496" s="69">
        <v>0</v>
      </c>
      <c r="J496" s="69">
        <f t="shared" si="7"/>
        <v>8.6421112565178027E-3</v>
      </c>
      <c r="L496" s="162"/>
      <c r="M496" s="69"/>
      <c r="U496" s="230"/>
      <c r="V496" s="68"/>
      <c r="W496" s="68"/>
      <c r="AM496" s="162"/>
      <c r="AN496" s="69"/>
    </row>
    <row r="497" spans="1:40">
      <c r="A497" s="269" t="s">
        <v>512</v>
      </c>
      <c r="B497" s="221" t="s">
        <v>445</v>
      </c>
      <c r="C497" s="221" t="s">
        <v>476</v>
      </c>
      <c r="D497" s="228">
        <v>119</v>
      </c>
      <c r="E497" s="228">
        <v>336</v>
      </c>
      <c r="F497" s="69">
        <v>1.1915507505329999E-4</v>
      </c>
      <c r="G497" s="228">
        <v>8392.4247418977648</v>
      </c>
      <c r="H497" s="228">
        <v>0</v>
      </c>
      <c r="I497" s="69">
        <v>0</v>
      </c>
      <c r="J497" s="69">
        <f t="shared" si="7"/>
        <v>8.7612663315711024E-3</v>
      </c>
      <c r="L497" s="162"/>
      <c r="M497" s="69"/>
      <c r="U497" s="230"/>
      <c r="V497" s="68"/>
      <c r="W497" s="68"/>
      <c r="AM497" s="162"/>
      <c r="AN497" s="69"/>
    </row>
    <row r="498" spans="1:40">
      <c r="A498" s="269" t="s">
        <v>454</v>
      </c>
      <c r="B498" s="221" t="s">
        <v>441</v>
      </c>
      <c r="C498" s="221" t="s">
        <v>442</v>
      </c>
      <c r="D498" s="228">
        <v>525</v>
      </c>
      <c r="E498" s="228">
        <v>850</v>
      </c>
      <c r="F498" s="69">
        <v>4.4577237522717891E-8</v>
      </c>
      <c r="G498" s="228">
        <v>22432973.768066496</v>
      </c>
      <c r="H498" s="228">
        <v>0</v>
      </c>
      <c r="I498" s="69">
        <v>0</v>
      </c>
      <c r="J498" s="69">
        <f t="shared" si="7"/>
        <v>8.7613109088086252E-3</v>
      </c>
      <c r="L498" s="162"/>
      <c r="M498" s="69"/>
      <c r="U498" s="230"/>
      <c r="V498" s="68"/>
      <c r="W498" s="68"/>
      <c r="AM498" s="162"/>
      <c r="AN498" s="69"/>
    </row>
    <row r="499" spans="1:40">
      <c r="A499" s="269" t="s">
        <v>455</v>
      </c>
      <c r="B499" s="221" t="s">
        <v>441</v>
      </c>
      <c r="C499" s="221" t="s">
        <v>442</v>
      </c>
      <c r="D499" s="228">
        <v>524</v>
      </c>
      <c r="E499" s="228">
        <v>822</v>
      </c>
      <c r="F499" s="69">
        <v>4.4577237522717891E-8</v>
      </c>
      <c r="G499" s="228">
        <v>22432973.768066496</v>
      </c>
      <c r="H499" s="228">
        <v>0</v>
      </c>
      <c r="I499" s="69">
        <v>0</v>
      </c>
      <c r="J499" s="69">
        <f t="shared" si="7"/>
        <v>8.761355486046148E-3</v>
      </c>
      <c r="L499" s="162"/>
      <c r="M499" s="69"/>
      <c r="U499" s="230"/>
      <c r="V499" s="68"/>
      <c r="W499" s="68"/>
      <c r="AM499" s="162"/>
      <c r="AN499" s="69"/>
    </row>
    <row r="500" spans="1:40">
      <c r="A500" s="269" t="s">
        <v>456</v>
      </c>
      <c r="B500" s="221" t="s">
        <v>441</v>
      </c>
      <c r="C500" s="221" t="s">
        <v>442</v>
      </c>
      <c r="D500" s="228">
        <v>524</v>
      </c>
      <c r="E500" s="228">
        <v>860</v>
      </c>
      <c r="F500" s="69">
        <v>4.4577237522717891E-8</v>
      </c>
      <c r="G500" s="228">
        <v>22432973.768066496</v>
      </c>
      <c r="H500" s="228">
        <v>0</v>
      </c>
      <c r="I500" s="69">
        <v>0</v>
      </c>
      <c r="J500" s="69">
        <f t="shared" si="7"/>
        <v>8.7614000632836708E-3</v>
      </c>
      <c r="L500" s="162"/>
      <c r="M500" s="69"/>
      <c r="U500" s="230"/>
      <c r="V500" s="68"/>
      <c r="W500" s="68"/>
      <c r="AM500" s="162"/>
      <c r="AN500" s="69"/>
    </row>
    <row r="501" spans="1:40">
      <c r="A501" s="269" t="s">
        <v>511</v>
      </c>
      <c r="B501" s="221" t="s">
        <v>441</v>
      </c>
      <c r="C501" s="221" t="s">
        <v>442</v>
      </c>
      <c r="D501" s="228">
        <v>520</v>
      </c>
      <c r="E501" s="228">
        <v>808</v>
      </c>
      <c r="F501" s="69">
        <v>4.4577237522717891E-8</v>
      </c>
      <c r="G501" s="228">
        <v>22432973.768066496</v>
      </c>
      <c r="H501" s="228">
        <v>0</v>
      </c>
      <c r="I501" s="69">
        <v>0</v>
      </c>
      <c r="J501" s="69">
        <f t="shared" si="7"/>
        <v>8.7614446405211936E-3</v>
      </c>
      <c r="L501" s="162"/>
      <c r="M501" s="69"/>
      <c r="U501" s="230"/>
      <c r="V501" s="68"/>
      <c r="W501" s="68"/>
      <c r="AM501" s="162"/>
      <c r="AN501" s="69"/>
    </row>
    <row r="502" spans="1:40">
      <c r="A502" s="269" t="s">
        <v>512</v>
      </c>
      <c r="B502" s="221" t="s">
        <v>441</v>
      </c>
      <c r="C502" s="221" t="s">
        <v>442</v>
      </c>
      <c r="D502" s="228">
        <v>524</v>
      </c>
      <c r="E502" s="228">
        <v>850</v>
      </c>
      <c r="F502" s="69">
        <v>4.4577237522717891E-8</v>
      </c>
      <c r="G502" s="228">
        <v>22432973.768066496</v>
      </c>
      <c r="H502" s="228">
        <v>0</v>
      </c>
      <c r="I502" s="69">
        <v>0</v>
      </c>
      <c r="J502" s="69">
        <f t="shared" si="7"/>
        <v>8.7614892177587163E-3</v>
      </c>
      <c r="L502" s="162"/>
      <c r="M502" s="69"/>
      <c r="U502" s="230"/>
      <c r="V502" s="68"/>
      <c r="W502" s="68"/>
      <c r="AM502" s="162"/>
      <c r="AN502" s="69"/>
    </row>
    <row r="503" spans="1:40">
      <c r="A503" s="269" t="s">
        <v>454</v>
      </c>
      <c r="B503" s="221" t="s">
        <v>443</v>
      </c>
      <c r="C503" s="221" t="s">
        <v>442</v>
      </c>
      <c r="D503" s="228">
        <v>524</v>
      </c>
      <c r="E503" s="228">
        <v>816</v>
      </c>
      <c r="F503" s="69">
        <v>4.4576836327178993E-8</v>
      </c>
      <c r="G503" s="228">
        <v>22433175.666849397</v>
      </c>
      <c r="H503" s="228">
        <v>0</v>
      </c>
      <c r="I503" s="69">
        <v>0</v>
      </c>
      <c r="J503" s="69">
        <f t="shared" si="7"/>
        <v>8.7615337945950427E-3</v>
      </c>
      <c r="L503" s="162"/>
      <c r="M503" s="69"/>
      <c r="U503" s="230"/>
      <c r="V503" s="68"/>
      <c r="W503" s="68"/>
      <c r="AM503" s="162"/>
      <c r="AN503" s="69"/>
    </row>
    <row r="504" spans="1:40">
      <c r="A504" s="269" t="s">
        <v>455</v>
      </c>
      <c r="B504" s="221" t="s">
        <v>443</v>
      </c>
      <c r="C504" s="221" t="s">
        <v>442</v>
      </c>
      <c r="D504" s="228">
        <v>519</v>
      </c>
      <c r="E504" s="228">
        <v>764</v>
      </c>
      <c r="F504" s="69">
        <v>4.4576836327178993E-8</v>
      </c>
      <c r="G504" s="228">
        <v>22433175.666849397</v>
      </c>
      <c r="H504" s="228">
        <v>0</v>
      </c>
      <c r="I504" s="69">
        <v>0</v>
      </c>
      <c r="J504" s="69">
        <f t="shared" si="7"/>
        <v>8.7615783714313691E-3</v>
      </c>
      <c r="L504" s="162"/>
      <c r="M504" s="69"/>
      <c r="U504" s="230"/>
      <c r="V504" s="68"/>
      <c r="W504" s="68"/>
      <c r="AM504" s="162"/>
      <c r="AN504" s="69"/>
    </row>
    <row r="505" spans="1:40">
      <c r="A505" s="269" t="s">
        <v>456</v>
      </c>
      <c r="B505" s="221" t="s">
        <v>443</v>
      </c>
      <c r="C505" s="221" t="s">
        <v>442</v>
      </c>
      <c r="D505" s="228">
        <v>524</v>
      </c>
      <c r="E505" s="228">
        <v>748</v>
      </c>
      <c r="F505" s="69">
        <v>4.4576836327178993E-8</v>
      </c>
      <c r="G505" s="228">
        <v>22433175.666849397</v>
      </c>
      <c r="H505" s="228">
        <v>0</v>
      </c>
      <c r="I505" s="69">
        <v>0</v>
      </c>
      <c r="J505" s="69">
        <f t="shared" si="7"/>
        <v>8.7616229482676954E-3</v>
      </c>
      <c r="L505" s="162"/>
      <c r="M505" s="69"/>
      <c r="U505" s="230"/>
      <c r="V505" s="68"/>
      <c r="W505" s="68"/>
      <c r="AM505" s="162"/>
      <c r="AN505" s="69"/>
    </row>
    <row r="506" spans="1:40">
      <c r="A506" s="269" t="s">
        <v>511</v>
      </c>
      <c r="B506" s="221" t="s">
        <v>443</v>
      </c>
      <c r="C506" s="221" t="s">
        <v>442</v>
      </c>
      <c r="D506" s="228">
        <v>519</v>
      </c>
      <c r="E506" s="228">
        <v>750</v>
      </c>
      <c r="F506" s="69">
        <v>4.4576836327178993E-8</v>
      </c>
      <c r="G506" s="228">
        <v>22433175.666849397</v>
      </c>
      <c r="H506" s="228">
        <v>0</v>
      </c>
      <c r="I506" s="69">
        <v>0</v>
      </c>
      <c r="J506" s="69">
        <f t="shared" si="7"/>
        <v>8.7616675251040218E-3</v>
      </c>
      <c r="L506" s="162"/>
      <c r="M506" s="69"/>
      <c r="U506" s="230"/>
      <c r="V506" s="68"/>
      <c r="W506" s="68"/>
      <c r="AM506" s="162"/>
      <c r="AN506" s="69"/>
    </row>
    <row r="507" spans="1:40">
      <c r="A507" s="269" t="s">
        <v>454</v>
      </c>
      <c r="B507" s="221" t="s">
        <v>446</v>
      </c>
      <c r="C507" s="221" t="s">
        <v>450</v>
      </c>
      <c r="D507" s="228">
        <v>119</v>
      </c>
      <c r="E507" s="228">
        <v>428</v>
      </c>
      <c r="F507" s="69">
        <v>1.5093682811302096E-7</v>
      </c>
      <c r="G507" s="228">
        <v>6625288.291146568</v>
      </c>
      <c r="H507" s="228">
        <v>0</v>
      </c>
      <c r="I507" s="69">
        <v>0</v>
      </c>
      <c r="J507" s="69">
        <f t="shared" si="7"/>
        <v>8.7618184619321342E-3</v>
      </c>
      <c r="L507" s="162"/>
      <c r="M507" s="69"/>
      <c r="U507" s="230"/>
      <c r="V507" s="68"/>
      <c r="W507" s="68"/>
      <c r="AM507" s="162"/>
      <c r="AN507" s="69"/>
    </row>
    <row r="508" spans="1:40">
      <c r="A508" s="269" t="s">
        <v>455</v>
      </c>
      <c r="B508" s="221" t="s">
        <v>446</v>
      </c>
      <c r="C508" s="221" t="s">
        <v>450</v>
      </c>
      <c r="D508" s="228">
        <v>119</v>
      </c>
      <c r="E508" s="228">
        <v>370</v>
      </c>
      <c r="F508" s="69">
        <v>1.5093682811302096E-7</v>
      </c>
      <c r="G508" s="228">
        <v>6625288.291146568</v>
      </c>
      <c r="H508" s="228">
        <v>0</v>
      </c>
      <c r="I508" s="69">
        <v>0</v>
      </c>
      <c r="J508" s="69">
        <f t="shared" si="7"/>
        <v>8.7619693987602467E-3</v>
      </c>
      <c r="L508" s="162"/>
      <c r="M508" s="69"/>
      <c r="U508" s="230"/>
      <c r="V508" s="68"/>
      <c r="W508" s="68"/>
      <c r="AM508" s="162"/>
      <c r="AN508" s="69"/>
    </row>
    <row r="509" spans="1:40">
      <c r="A509" s="269" t="s">
        <v>456</v>
      </c>
      <c r="B509" s="221" t="s">
        <v>446</v>
      </c>
      <c r="C509" s="221" t="s">
        <v>450</v>
      </c>
      <c r="D509" s="228">
        <v>119</v>
      </c>
      <c r="E509" s="228">
        <v>432</v>
      </c>
      <c r="F509" s="69">
        <v>1.5093682811302096E-7</v>
      </c>
      <c r="G509" s="228">
        <v>6625288.291146568</v>
      </c>
      <c r="H509" s="228">
        <v>0</v>
      </c>
      <c r="I509" s="69">
        <v>0</v>
      </c>
      <c r="J509" s="69">
        <f t="shared" si="7"/>
        <v>8.7621203355883592E-3</v>
      </c>
      <c r="L509" s="162"/>
      <c r="M509" s="69"/>
      <c r="U509" s="230"/>
      <c r="V509" s="68"/>
      <c r="W509" s="68"/>
      <c r="AM509" s="162"/>
      <c r="AN509" s="69"/>
    </row>
    <row r="510" spans="1:40">
      <c r="A510" s="269" t="s">
        <v>511</v>
      </c>
      <c r="B510" s="221" t="s">
        <v>446</v>
      </c>
      <c r="C510" s="221" t="s">
        <v>450</v>
      </c>
      <c r="D510" s="228">
        <v>119</v>
      </c>
      <c r="E510" s="228">
        <v>346</v>
      </c>
      <c r="F510" s="69">
        <v>1.5093682811302096E-7</v>
      </c>
      <c r="G510" s="228">
        <v>6625288.291146568</v>
      </c>
      <c r="H510" s="228">
        <v>0</v>
      </c>
      <c r="I510" s="69">
        <v>0</v>
      </c>
      <c r="J510" s="69">
        <f t="shared" si="7"/>
        <v>8.7622712724164716E-3</v>
      </c>
      <c r="L510" s="162"/>
      <c r="M510" s="69"/>
      <c r="U510" s="230"/>
      <c r="V510" s="68"/>
      <c r="W510" s="68"/>
      <c r="AM510" s="162"/>
      <c r="AN510" s="69"/>
    </row>
    <row r="511" spans="1:40">
      <c r="A511" s="269" t="s">
        <v>512</v>
      </c>
      <c r="B511" s="221" t="s">
        <v>446</v>
      </c>
      <c r="C511" s="221" t="s">
        <v>450</v>
      </c>
      <c r="D511" s="228">
        <v>119</v>
      </c>
      <c r="E511" s="228">
        <v>320</v>
      </c>
      <c r="F511" s="69">
        <v>1.5093682811302096E-7</v>
      </c>
      <c r="G511" s="228">
        <v>6625288.291146568</v>
      </c>
      <c r="H511" s="228">
        <v>0</v>
      </c>
      <c r="I511" s="69">
        <v>0</v>
      </c>
      <c r="J511" s="69">
        <f t="shared" si="7"/>
        <v>8.7624222092445841E-3</v>
      </c>
      <c r="L511" s="162"/>
      <c r="M511" s="69"/>
      <c r="U511" s="230"/>
      <c r="V511" s="68"/>
      <c r="W511" s="68"/>
      <c r="AM511" s="162"/>
      <c r="AN511" s="69"/>
    </row>
    <row r="512" spans="1:40">
      <c r="A512" s="269" t="s">
        <v>454</v>
      </c>
      <c r="B512" s="221" t="s">
        <v>449</v>
      </c>
      <c r="C512" s="221" t="s">
        <v>450</v>
      </c>
      <c r="D512" s="228">
        <v>119</v>
      </c>
      <c r="E512" s="228">
        <v>336</v>
      </c>
      <c r="F512" s="69">
        <v>1.5093546968020952E-7</v>
      </c>
      <c r="G512" s="228">
        <v>6625347.9193374701</v>
      </c>
      <c r="H512" s="228">
        <v>0</v>
      </c>
      <c r="I512" s="69">
        <v>0</v>
      </c>
      <c r="J512" s="69">
        <f t="shared" si="7"/>
        <v>8.7625731447142641E-3</v>
      </c>
      <c r="L512" s="162"/>
      <c r="M512" s="69"/>
      <c r="U512" s="230"/>
      <c r="V512" s="68"/>
      <c r="W512" s="68"/>
      <c r="AM512" s="162"/>
      <c r="AN512" s="69"/>
    </row>
    <row r="513" spans="1:40">
      <c r="A513" s="269" t="s">
        <v>456</v>
      </c>
      <c r="B513" s="221" t="s">
        <v>449</v>
      </c>
      <c r="C513" s="221" t="s">
        <v>450</v>
      </c>
      <c r="D513" s="228">
        <v>119</v>
      </c>
      <c r="E513" s="228">
        <v>328</v>
      </c>
      <c r="F513" s="69">
        <v>1.5093546968020952E-7</v>
      </c>
      <c r="G513" s="228">
        <v>6625347.9193374701</v>
      </c>
      <c r="H513" s="228">
        <v>0</v>
      </c>
      <c r="I513" s="69">
        <v>0</v>
      </c>
      <c r="J513" s="69">
        <f t="shared" si="7"/>
        <v>8.7627240801839441E-3</v>
      </c>
      <c r="L513" s="162"/>
      <c r="M513" s="69"/>
      <c r="U513" s="230"/>
      <c r="V513" s="68"/>
      <c r="W513" s="68"/>
      <c r="AM513" s="162"/>
      <c r="AN513" s="69"/>
    </row>
    <row r="514" spans="1:40">
      <c r="A514" s="269" t="s">
        <v>511</v>
      </c>
      <c r="B514" s="221" t="s">
        <v>449</v>
      </c>
      <c r="C514" s="221" t="s">
        <v>450</v>
      </c>
      <c r="D514" s="228">
        <v>119</v>
      </c>
      <c r="E514" s="228">
        <v>318</v>
      </c>
      <c r="F514" s="69">
        <v>1.5093546968020952E-7</v>
      </c>
      <c r="G514" s="228">
        <v>6625347.9193374701</v>
      </c>
      <c r="H514" s="228">
        <v>0</v>
      </c>
      <c r="I514" s="69">
        <v>0</v>
      </c>
      <c r="J514" s="69">
        <f t="shared" si="7"/>
        <v>8.7628750156536241E-3</v>
      </c>
      <c r="L514" s="162"/>
      <c r="M514" s="69"/>
      <c r="U514" s="230"/>
      <c r="V514" s="68"/>
      <c r="W514" s="68"/>
      <c r="AM514" s="162"/>
      <c r="AN514" s="69"/>
    </row>
    <row r="515" spans="1:40">
      <c r="A515" s="269" t="s">
        <v>512</v>
      </c>
      <c r="B515" s="221" t="s">
        <v>449</v>
      </c>
      <c r="C515" s="221" t="s">
        <v>450</v>
      </c>
      <c r="D515" s="228">
        <v>119</v>
      </c>
      <c r="E515" s="228">
        <v>324</v>
      </c>
      <c r="F515" s="69">
        <v>1.5093546968020952E-7</v>
      </c>
      <c r="G515" s="228">
        <v>6625347.9193374701</v>
      </c>
      <c r="H515" s="228">
        <v>0</v>
      </c>
      <c r="I515" s="69">
        <v>0</v>
      </c>
      <c r="J515" s="69">
        <f t="shared" ref="J515:J578" si="8">J514+F515</f>
        <v>8.7630259511233041E-3</v>
      </c>
      <c r="L515" s="162"/>
      <c r="M515" s="69"/>
      <c r="U515" s="230"/>
      <c r="V515" s="68"/>
      <c r="W515" s="68"/>
      <c r="AM515" s="162"/>
      <c r="AN515" s="69"/>
    </row>
    <row r="516" spans="1:40">
      <c r="A516" s="269" t="s">
        <v>454</v>
      </c>
      <c r="B516" s="221" t="s">
        <v>448</v>
      </c>
      <c r="C516" s="221" t="s">
        <v>450</v>
      </c>
      <c r="D516" s="228">
        <v>119</v>
      </c>
      <c r="E516" s="228">
        <v>312</v>
      </c>
      <c r="F516" s="69">
        <v>1.5093682811302096E-7</v>
      </c>
      <c r="G516" s="228">
        <v>6625288.291146568</v>
      </c>
      <c r="H516" s="228">
        <v>0</v>
      </c>
      <c r="I516" s="69">
        <v>0</v>
      </c>
      <c r="J516" s="69">
        <f t="shared" si="8"/>
        <v>8.7631768879514165E-3</v>
      </c>
      <c r="L516" s="162"/>
      <c r="M516" s="69"/>
      <c r="U516" s="230"/>
      <c r="V516" s="68"/>
      <c r="W516" s="68"/>
      <c r="AM516" s="162"/>
      <c r="AN516" s="69"/>
    </row>
    <row r="517" spans="1:40">
      <c r="A517" s="269" t="s">
        <v>455</v>
      </c>
      <c r="B517" s="221" t="s">
        <v>448</v>
      </c>
      <c r="C517" s="221" t="s">
        <v>450</v>
      </c>
      <c r="D517" s="228">
        <v>119</v>
      </c>
      <c r="E517" s="228">
        <v>344</v>
      </c>
      <c r="F517" s="69">
        <v>1.5093682811302096E-7</v>
      </c>
      <c r="G517" s="228">
        <v>6625288.291146568</v>
      </c>
      <c r="H517" s="228">
        <v>0</v>
      </c>
      <c r="I517" s="69">
        <v>0</v>
      </c>
      <c r="J517" s="69">
        <f t="shared" si="8"/>
        <v>8.763327824779529E-3</v>
      </c>
      <c r="L517" s="162"/>
      <c r="M517" s="69"/>
      <c r="U517" s="230"/>
      <c r="V517" s="68"/>
      <c r="W517" s="68"/>
      <c r="AM517" s="162"/>
      <c r="AN517" s="69"/>
    </row>
    <row r="518" spans="1:40">
      <c r="A518" s="269" t="s">
        <v>456</v>
      </c>
      <c r="B518" s="221" t="s">
        <v>448</v>
      </c>
      <c r="C518" s="221" t="s">
        <v>450</v>
      </c>
      <c r="D518" s="228">
        <v>119</v>
      </c>
      <c r="E518" s="228">
        <v>308</v>
      </c>
      <c r="F518" s="69">
        <v>1.5093682811302096E-7</v>
      </c>
      <c r="G518" s="228">
        <v>6625288.291146568</v>
      </c>
      <c r="H518" s="228">
        <v>0</v>
      </c>
      <c r="I518" s="69">
        <v>0</v>
      </c>
      <c r="J518" s="69">
        <f t="shared" si="8"/>
        <v>8.7634787616076414E-3</v>
      </c>
      <c r="L518" s="162"/>
      <c r="M518" s="69"/>
      <c r="U518" s="230"/>
      <c r="V518" s="68"/>
      <c r="W518" s="68"/>
      <c r="AM518" s="162"/>
      <c r="AN518" s="69"/>
    </row>
    <row r="519" spans="1:40">
      <c r="A519" s="269" t="s">
        <v>511</v>
      </c>
      <c r="B519" s="221" t="s">
        <v>448</v>
      </c>
      <c r="C519" s="221" t="s">
        <v>450</v>
      </c>
      <c r="D519" s="228">
        <v>119</v>
      </c>
      <c r="E519" s="228">
        <v>298</v>
      </c>
      <c r="F519" s="69">
        <v>1.5093682811302096E-7</v>
      </c>
      <c r="G519" s="228">
        <v>6625288.291146568</v>
      </c>
      <c r="H519" s="228">
        <v>0</v>
      </c>
      <c r="I519" s="69">
        <v>0</v>
      </c>
      <c r="J519" s="69">
        <f t="shared" si="8"/>
        <v>8.7636296984357539E-3</v>
      </c>
      <c r="L519" s="162"/>
      <c r="M519" s="69"/>
      <c r="U519" s="230"/>
      <c r="V519" s="68"/>
      <c r="W519" s="68"/>
      <c r="AM519" s="162"/>
      <c r="AN519" s="69"/>
    </row>
    <row r="520" spans="1:40">
      <c r="A520" s="269" t="s">
        <v>512</v>
      </c>
      <c r="B520" s="221" t="s">
        <v>448</v>
      </c>
      <c r="C520" s="221" t="s">
        <v>450</v>
      </c>
      <c r="D520" s="228">
        <v>119</v>
      </c>
      <c r="E520" s="228">
        <v>292</v>
      </c>
      <c r="F520" s="69">
        <v>1.5093682811302096E-7</v>
      </c>
      <c r="G520" s="228">
        <v>6625288.291146568</v>
      </c>
      <c r="H520" s="228">
        <v>0</v>
      </c>
      <c r="I520" s="69">
        <v>0</v>
      </c>
      <c r="J520" s="69">
        <f t="shared" si="8"/>
        <v>8.7637806352638663E-3</v>
      </c>
      <c r="L520" s="162"/>
      <c r="M520" s="69"/>
      <c r="U520" s="230"/>
      <c r="V520" s="68"/>
      <c r="W520" s="68"/>
      <c r="AM520" s="162"/>
      <c r="AN520" s="69"/>
    </row>
    <row r="521" spans="1:40">
      <c r="A521" s="269" t="s">
        <v>454</v>
      </c>
      <c r="B521" s="221" t="s">
        <v>1379</v>
      </c>
      <c r="C521" s="221" t="s">
        <v>450</v>
      </c>
      <c r="D521" s="228">
        <v>119</v>
      </c>
      <c r="E521" s="228">
        <v>322</v>
      </c>
      <c r="F521" s="69">
        <v>4.0752984343500006E-6</v>
      </c>
      <c r="G521" s="228">
        <v>245380.80243919545</v>
      </c>
      <c r="H521" s="228">
        <v>0</v>
      </c>
      <c r="I521" s="69">
        <v>0</v>
      </c>
      <c r="J521" s="69">
        <f t="shared" si="8"/>
        <v>8.7678559336982157E-3</v>
      </c>
      <c r="L521" s="162"/>
      <c r="M521" s="69"/>
      <c r="U521" s="230"/>
      <c r="V521" s="68"/>
      <c r="W521" s="68"/>
      <c r="AM521" s="162"/>
      <c r="AN521" s="69"/>
    </row>
    <row r="522" spans="1:40">
      <c r="A522" s="269" t="s">
        <v>455</v>
      </c>
      <c r="B522" s="221" t="s">
        <v>1379</v>
      </c>
      <c r="C522" s="221" t="s">
        <v>450</v>
      </c>
      <c r="D522" s="228">
        <v>119</v>
      </c>
      <c r="E522" s="228">
        <v>330</v>
      </c>
      <c r="F522" s="69">
        <v>4.0752984343500006E-6</v>
      </c>
      <c r="G522" s="228">
        <v>245380.80243919545</v>
      </c>
      <c r="H522" s="228">
        <v>0</v>
      </c>
      <c r="I522" s="69">
        <v>0</v>
      </c>
      <c r="J522" s="69">
        <f t="shared" si="8"/>
        <v>8.7719312321325651E-3</v>
      </c>
      <c r="L522" s="162"/>
      <c r="M522" s="69"/>
      <c r="U522" s="230"/>
      <c r="V522" s="68"/>
      <c r="W522" s="68"/>
      <c r="AM522" s="162"/>
      <c r="AN522" s="69"/>
    </row>
    <row r="523" spans="1:40">
      <c r="A523" s="269" t="s">
        <v>456</v>
      </c>
      <c r="B523" s="221" t="s">
        <v>1379</v>
      </c>
      <c r="C523" s="221" t="s">
        <v>450</v>
      </c>
      <c r="D523" s="228">
        <v>119</v>
      </c>
      <c r="E523" s="228">
        <v>318</v>
      </c>
      <c r="F523" s="69">
        <v>4.0752984343500006E-6</v>
      </c>
      <c r="G523" s="228">
        <v>245380.80243919545</v>
      </c>
      <c r="H523" s="228">
        <v>0</v>
      </c>
      <c r="I523" s="69">
        <v>0</v>
      </c>
      <c r="J523" s="69">
        <f t="shared" si="8"/>
        <v>8.7760065305669144E-3</v>
      </c>
      <c r="L523" s="162"/>
      <c r="M523" s="69"/>
      <c r="U523" s="230"/>
      <c r="V523" s="68"/>
      <c r="W523" s="68"/>
      <c r="AM523" s="162"/>
      <c r="AN523" s="69"/>
    </row>
    <row r="524" spans="1:40">
      <c r="A524" s="269" t="s">
        <v>511</v>
      </c>
      <c r="B524" s="221" t="s">
        <v>1379</v>
      </c>
      <c r="C524" s="221" t="s">
        <v>450</v>
      </c>
      <c r="D524" s="228">
        <v>119</v>
      </c>
      <c r="E524" s="228">
        <v>336</v>
      </c>
      <c r="F524" s="69">
        <v>4.0752984343500006E-6</v>
      </c>
      <c r="G524" s="228">
        <v>245380.80243919545</v>
      </c>
      <c r="H524" s="228">
        <v>0</v>
      </c>
      <c r="I524" s="69">
        <v>0</v>
      </c>
      <c r="J524" s="69">
        <f t="shared" si="8"/>
        <v>8.7800818290012638E-3</v>
      </c>
      <c r="L524" s="162"/>
      <c r="M524" s="69"/>
      <c r="U524" s="230"/>
      <c r="V524" s="68"/>
      <c r="W524" s="68"/>
      <c r="AM524" s="162"/>
      <c r="AN524" s="69"/>
    </row>
    <row r="525" spans="1:40">
      <c r="A525" s="269" t="s">
        <v>512</v>
      </c>
      <c r="B525" s="221" t="s">
        <v>1379</v>
      </c>
      <c r="C525" s="221" t="s">
        <v>450</v>
      </c>
      <c r="D525" s="228">
        <v>119</v>
      </c>
      <c r="E525" s="228">
        <v>334</v>
      </c>
      <c r="F525" s="69">
        <v>4.0752984343500006E-6</v>
      </c>
      <c r="G525" s="228">
        <v>245380.80243919545</v>
      </c>
      <c r="H525" s="228">
        <v>0</v>
      </c>
      <c r="I525" s="69">
        <v>0</v>
      </c>
      <c r="J525" s="69">
        <f t="shared" si="8"/>
        <v>8.7841571274356132E-3</v>
      </c>
      <c r="L525" s="162"/>
      <c r="M525" s="69"/>
      <c r="U525" s="230"/>
      <c r="V525" s="68"/>
      <c r="W525" s="68"/>
      <c r="AM525" s="162"/>
      <c r="AN525" s="69"/>
    </row>
    <row r="526" spans="1:40">
      <c r="A526" s="269" t="s">
        <v>454</v>
      </c>
      <c r="B526" s="221" t="s">
        <v>446</v>
      </c>
      <c r="C526" s="221" t="s">
        <v>447</v>
      </c>
      <c r="D526" s="228">
        <v>525</v>
      </c>
      <c r="E526" s="228">
        <v>852</v>
      </c>
      <c r="F526" s="69">
        <v>1.5246144253840504E-9</v>
      </c>
      <c r="G526" s="228">
        <v>655903540.82351017</v>
      </c>
      <c r="H526" s="228">
        <v>0</v>
      </c>
      <c r="I526" s="69">
        <v>0</v>
      </c>
      <c r="J526" s="69">
        <f t="shared" si="8"/>
        <v>8.7841586520500392E-3</v>
      </c>
      <c r="L526" s="162"/>
      <c r="M526" s="69"/>
      <c r="U526" s="230"/>
      <c r="V526" s="68"/>
      <c r="W526" s="68"/>
      <c r="AM526" s="162"/>
      <c r="AN526" s="69"/>
    </row>
    <row r="527" spans="1:40">
      <c r="A527" s="269" t="s">
        <v>455</v>
      </c>
      <c r="B527" s="221" t="s">
        <v>446</v>
      </c>
      <c r="C527" s="221" t="s">
        <v>447</v>
      </c>
      <c r="D527" s="228">
        <v>524</v>
      </c>
      <c r="E527" s="228">
        <v>868</v>
      </c>
      <c r="F527" s="69">
        <v>1.5246144253840504E-9</v>
      </c>
      <c r="G527" s="228">
        <v>655903540.82351017</v>
      </c>
      <c r="H527" s="228">
        <v>0</v>
      </c>
      <c r="I527" s="69">
        <v>0</v>
      </c>
      <c r="J527" s="69">
        <f t="shared" si="8"/>
        <v>8.7841601766644652E-3</v>
      </c>
      <c r="L527" s="162"/>
      <c r="M527" s="69"/>
      <c r="U527" s="230"/>
      <c r="V527" s="68"/>
      <c r="W527" s="68"/>
      <c r="AM527" s="162"/>
      <c r="AN527" s="69"/>
    </row>
    <row r="528" spans="1:40">
      <c r="A528" s="269" t="s">
        <v>511</v>
      </c>
      <c r="B528" s="221" t="s">
        <v>446</v>
      </c>
      <c r="C528" s="221" t="s">
        <v>447</v>
      </c>
      <c r="D528" s="228">
        <v>520</v>
      </c>
      <c r="E528" s="228">
        <v>874</v>
      </c>
      <c r="F528" s="69">
        <v>1.5246144253840504E-9</v>
      </c>
      <c r="G528" s="228">
        <v>655903540.82351017</v>
      </c>
      <c r="H528" s="228">
        <v>0</v>
      </c>
      <c r="I528" s="69">
        <v>0</v>
      </c>
      <c r="J528" s="69">
        <f t="shared" si="8"/>
        <v>8.7841617012788913E-3</v>
      </c>
      <c r="L528" s="162"/>
      <c r="M528" s="69"/>
      <c r="U528" s="230"/>
      <c r="V528" s="68"/>
      <c r="W528" s="68"/>
      <c r="AM528" s="162"/>
      <c r="AN528" s="69"/>
    </row>
    <row r="529" spans="1:40">
      <c r="A529" s="269" t="s">
        <v>457</v>
      </c>
      <c r="B529" s="221" t="s">
        <v>473</v>
      </c>
      <c r="C529" s="221" t="s">
        <v>508</v>
      </c>
      <c r="D529" s="228">
        <v>218</v>
      </c>
      <c r="E529" s="228">
        <v>520</v>
      </c>
      <c r="F529" s="69">
        <v>2.225365578577196E-5</v>
      </c>
      <c r="G529" s="228">
        <v>44936.436944412402</v>
      </c>
      <c r="H529" s="228">
        <v>0</v>
      </c>
      <c r="I529" s="69">
        <v>0</v>
      </c>
      <c r="J529" s="69">
        <f t="shared" si="8"/>
        <v>8.806415357064664E-3</v>
      </c>
      <c r="L529" s="162"/>
      <c r="M529" s="69"/>
      <c r="U529" s="230"/>
      <c r="V529" s="68"/>
      <c r="W529" s="68"/>
      <c r="AM529" s="162"/>
      <c r="AN529" s="69"/>
    </row>
    <row r="530" spans="1:40">
      <c r="A530" s="269" t="s">
        <v>458</v>
      </c>
      <c r="B530" s="221" t="s">
        <v>473</v>
      </c>
      <c r="C530" s="221" t="s">
        <v>508</v>
      </c>
      <c r="D530" s="228">
        <v>218</v>
      </c>
      <c r="E530" s="228">
        <v>508</v>
      </c>
      <c r="F530" s="69">
        <v>2.225365578577196E-5</v>
      </c>
      <c r="G530" s="228">
        <v>44936.436944412402</v>
      </c>
      <c r="H530" s="228">
        <v>0</v>
      </c>
      <c r="I530" s="69">
        <v>0</v>
      </c>
      <c r="J530" s="69">
        <f t="shared" si="8"/>
        <v>8.8286690128504368E-3</v>
      </c>
      <c r="L530" s="162"/>
      <c r="M530" s="69"/>
      <c r="U530" s="230"/>
      <c r="V530" s="68"/>
      <c r="W530" s="68"/>
      <c r="AM530" s="162"/>
      <c r="AN530" s="69"/>
    </row>
    <row r="531" spans="1:40">
      <c r="A531" s="269" t="s">
        <v>459</v>
      </c>
      <c r="B531" s="221" t="s">
        <v>473</v>
      </c>
      <c r="C531" s="221" t="s">
        <v>508</v>
      </c>
      <c r="D531" s="228">
        <v>218</v>
      </c>
      <c r="E531" s="228">
        <v>504</v>
      </c>
      <c r="F531" s="69">
        <v>2.225365578577196E-5</v>
      </c>
      <c r="G531" s="228">
        <v>44936.436944412402</v>
      </c>
      <c r="H531" s="228">
        <v>0</v>
      </c>
      <c r="I531" s="69">
        <v>0</v>
      </c>
      <c r="J531" s="69">
        <f t="shared" si="8"/>
        <v>8.8509226686362096E-3</v>
      </c>
      <c r="L531" s="162"/>
      <c r="M531" s="69"/>
      <c r="U531" s="230"/>
      <c r="V531" s="68"/>
      <c r="W531" s="68"/>
      <c r="AM531" s="162"/>
      <c r="AN531" s="69"/>
    </row>
    <row r="532" spans="1:40">
      <c r="A532" s="269" t="s">
        <v>513</v>
      </c>
      <c r="B532" s="221" t="s">
        <v>473</v>
      </c>
      <c r="C532" s="221" t="s">
        <v>508</v>
      </c>
      <c r="D532" s="228">
        <v>214</v>
      </c>
      <c r="E532" s="228">
        <v>550</v>
      </c>
      <c r="F532" s="69">
        <v>2.225365578577196E-5</v>
      </c>
      <c r="G532" s="228">
        <v>44936.436944412402</v>
      </c>
      <c r="H532" s="228">
        <v>0</v>
      </c>
      <c r="I532" s="69">
        <v>0</v>
      </c>
      <c r="J532" s="69">
        <f t="shared" si="8"/>
        <v>8.8731763244219823E-3</v>
      </c>
      <c r="L532" s="162"/>
      <c r="M532" s="69"/>
      <c r="U532" s="230"/>
      <c r="V532" s="68"/>
      <c r="W532" s="68"/>
      <c r="AM532" s="162"/>
      <c r="AN532" s="69"/>
    </row>
    <row r="533" spans="1:40">
      <c r="A533" s="269" t="s">
        <v>514</v>
      </c>
      <c r="B533" s="221" t="s">
        <v>473</v>
      </c>
      <c r="C533" s="221" t="s">
        <v>508</v>
      </c>
      <c r="D533" s="228">
        <v>219</v>
      </c>
      <c r="E533" s="228">
        <v>572</v>
      </c>
      <c r="F533" s="69">
        <v>2.225365578577196E-5</v>
      </c>
      <c r="G533" s="228">
        <v>44936.436944412402</v>
      </c>
      <c r="H533" s="228">
        <v>0</v>
      </c>
      <c r="I533" s="69">
        <v>0</v>
      </c>
      <c r="J533" s="69">
        <f t="shared" si="8"/>
        <v>8.8954299802077551E-3</v>
      </c>
      <c r="L533" s="162"/>
      <c r="M533" s="69"/>
      <c r="U533" s="230"/>
      <c r="V533" s="68"/>
      <c r="W533" s="68"/>
      <c r="AM533" s="162"/>
      <c r="AN533" s="69"/>
    </row>
    <row r="534" spans="1:40">
      <c r="A534" s="269" t="s">
        <v>457</v>
      </c>
      <c r="B534" s="221" t="s">
        <v>439</v>
      </c>
      <c r="C534" s="221" t="s">
        <v>508</v>
      </c>
      <c r="D534" s="228">
        <v>218</v>
      </c>
      <c r="E534" s="228">
        <v>594</v>
      </c>
      <c r="F534" s="69">
        <v>2.2253455502669612E-5</v>
      </c>
      <c r="G534" s="228">
        <v>44936.841376389209</v>
      </c>
      <c r="H534" s="228">
        <v>0</v>
      </c>
      <c r="I534" s="69">
        <v>0</v>
      </c>
      <c r="J534" s="69">
        <f t="shared" si="8"/>
        <v>8.9176834357104252E-3</v>
      </c>
      <c r="L534" s="162"/>
      <c r="M534" s="69"/>
      <c r="U534" s="230"/>
      <c r="V534" s="68"/>
      <c r="W534" s="68"/>
      <c r="AM534" s="162"/>
      <c r="AN534" s="69"/>
    </row>
    <row r="535" spans="1:40">
      <c r="A535" s="269" t="s">
        <v>458</v>
      </c>
      <c r="B535" s="221" t="s">
        <v>439</v>
      </c>
      <c r="C535" s="221" t="s">
        <v>508</v>
      </c>
      <c r="D535" s="228">
        <v>218</v>
      </c>
      <c r="E535" s="228">
        <v>692</v>
      </c>
      <c r="F535" s="69">
        <v>2.2253455502669612E-5</v>
      </c>
      <c r="G535" s="228">
        <v>44936.841376389209</v>
      </c>
      <c r="H535" s="228">
        <v>0</v>
      </c>
      <c r="I535" s="69">
        <v>0</v>
      </c>
      <c r="J535" s="69">
        <f t="shared" si="8"/>
        <v>8.9399368912130954E-3</v>
      </c>
      <c r="L535" s="162"/>
      <c r="M535" s="69"/>
      <c r="U535" s="230"/>
      <c r="V535" s="68"/>
      <c r="W535" s="68"/>
      <c r="AM535" s="162"/>
      <c r="AN535" s="69"/>
    </row>
    <row r="536" spans="1:40">
      <c r="A536" s="269" t="s">
        <v>459</v>
      </c>
      <c r="B536" s="221" t="s">
        <v>439</v>
      </c>
      <c r="C536" s="221" t="s">
        <v>508</v>
      </c>
      <c r="D536" s="228">
        <v>194</v>
      </c>
      <c r="E536" s="228">
        <v>606</v>
      </c>
      <c r="F536" s="69">
        <v>2.2253455502669612E-5</v>
      </c>
      <c r="G536" s="228">
        <v>44936.841376389209</v>
      </c>
      <c r="H536" s="228">
        <v>0</v>
      </c>
      <c r="I536" s="69">
        <v>0</v>
      </c>
      <c r="J536" s="69">
        <f t="shared" si="8"/>
        <v>8.9621903467157656E-3</v>
      </c>
      <c r="L536" s="162"/>
      <c r="M536" s="69"/>
      <c r="U536" s="230"/>
      <c r="V536" s="68"/>
      <c r="W536" s="68"/>
      <c r="AM536" s="162"/>
      <c r="AN536" s="69"/>
    </row>
    <row r="537" spans="1:40">
      <c r="A537" s="269" t="s">
        <v>513</v>
      </c>
      <c r="B537" s="221" t="s">
        <v>439</v>
      </c>
      <c r="C537" s="221" t="s">
        <v>508</v>
      </c>
      <c r="D537" s="228">
        <v>221</v>
      </c>
      <c r="E537" s="228">
        <v>674</v>
      </c>
      <c r="F537" s="69">
        <v>2.2253455502669612E-5</v>
      </c>
      <c r="G537" s="228">
        <v>44936.841376389209</v>
      </c>
      <c r="H537" s="228">
        <v>0</v>
      </c>
      <c r="I537" s="69">
        <v>0</v>
      </c>
      <c r="J537" s="69">
        <f t="shared" si="8"/>
        <v>8.9844438022184357E-3</v>
      </c>
      <c r="L537" s="162"/>
      <c r="M537" s="69"/>
      <c r="U537" s="230"/>
      <c r="V537" s="68"/>
      <c r="W537" s="68"/>
      <c r="AM537" s="162"/>
      <c r="AN537" s="69"/>
    </row>
    <row r="538" spans="1:40">
      <c r="A538" s="269" t="s">
        <v>514</v>
      </c>
      <c r="B538" s="221" t="s">
        <v>439</v>
      </c>
      <c r="C538" s="221" t="s">
        <v>508</v>
      </c>
      <c r="D538" s="228">
        <v>219</v>
      </c>
      <c r="E538" s="228">
        <v>492</v>
      </c>
      <c r="F538" s="69">
        <v>2.2253455502669612E-5</v>
      </c>
      <c r="G538" s="228">
        <v>44936.841376389209</v>
      </c>
      <c r="H538" s="228">
        <v>0</v>
      </c>
      <c r="I538" s="69">
        <v>0</v>
      </c>
      <c r="J538" s="69">
        <f t="shared" si="8"/>
        <v>9.0066972577211059E-3</v>
      </c>
      <c r="L538" s="162"/>
      <c r="M538" s="69"/>
      <c r="U538" s="230"/>
      <c r="V538" s="68"/>
      <c r="W538" s="68"/>
      <c r="AM538" s="162"/>
      <c r="AN538" s="69"/>
    </row>
    <row r="539" spans="1:40">
      <c r="A539" s="269" t="s">
        <v>457</v>
      </c>
      <c r="B539" s="221" t="s">
        <v>474</v>
      </c>
      <c r="C539" s="221" t="s">
        <v>508</v>
      </c>
      <c r="D539" s="228">
        <v>218</v>
      </c>
      <c r="E539" s="228">
        <v>524</v>
      </c>
      <c r="F539" s="69">
        <v>2.225365578577196E-5</v>
      </c>
      <c r="G539" s="228">
        <v>44936.436944412402</v>
      </c>
      <c r="H539" s="228">
        <v>0</v>
      </c>
      <c r="I539" s="69">
        <v>0</v>
      </c>
      <c r="J539" s="69">
        <f t="shared" si="8"/>
        <v>9.0289509135068786E-3</v>
      </c>
      <c r="L539" s="162"/>
      <c r="M539" s="69"/>
      <c r="U539" s="230"/>
      <c r="V539" s="68"/>
      <c r="W539" s="68"/>
      <c r="AM539" s="162"/>
      <c r="AN539" s="69"/>
    </row>
    <row r="540" spans="1:40">
      <c r="A540" s="269" t="s">
        <v>458</v>
      </c>
      <c r="B540" s="221" t="s">
        <v>474</v>
      </c>
      <c r="C540" s="221" t="s">
        <v>508</v>
      </c>
      <c r="D540" s="228">
        <v>218</v>
      </c>
      <c r="E540" s="228">
        <v>496</v>
      </c>
      <c r="F540" s="69">
        <v>2.225365578577196E-5</v>
      </c>
      <c r="G540" s="228">
        <v>44936.436944412402</v>
      </c>
      <c r="H540" s="228">
        <v>0</v>
      </c>
      <c r="I540" s="69">
        <v>0</v>
      </c>
      <c r="J540" s="69">
        <f t="shared" si="8"/>
        <v>9.0512045692926514E-3</v>
      </c>
      <c r="L540" s="162"/>
      <c r="M540" s="69"/>
      <c r="U540" s="230"/>
      <c r="V540" s="68"/>
      <c r="W540" s="68"/>
      <c r="AM540" s="162"/>
      <c r="AN540" s="69"/>
    </row>
    <row r="541" spans="1:40">
      <c r="A541" s="269" t="s">
        <v>459</v>
      </c>
      <c r="B541" s="221" t="s">
        <v>474</v>
      </c>
      <c r="C541" s="221" t="s">
        <v>508</v>
      </c>
      <c r="D541" s="228">
        <v>191</v>
      </c>
      <c r="E541" s="228">
        <v>480</v>
      </c>
      <c r="F541" s="69">
        <v>2.225365578577196E-5</v>
      </c>
      <c r="G541" s="228">
        <v>44936.436944412402</v>
      </c>
      <c r="H541" s="228">
        <v>0</v>
      </c>
      <c r="I541" s="69">
        <v>0</v>
      </c>
      <c r="J541" s="69">
        <f t="shared" si="8"/>
        <v>9.0734582250784242E-3</v>
      </c>
      <c r="L541" s="162"/>
      <c r="M541" s="69"/>
      <c r="U541" s="230"/>
      <c r="V541" s="68"/>
      <c r="W541" s="68"/>
      <c r="AM541" s="162"/>
      <c r="AN541" s="69"/>
    </row>
    <row r="542" spans="1:40">
      <c r="A542" s="269" t="s">
        <v>513</v>
      </c>
      <c r="B542" s="221" t="s">
        <v>474</v>
      </c>
      <c r="C542" s="221" t="s">
        <v>508</v>
      </c>
      <c r="D542" s="228">
        <v>213</v>
      </c>
      <c r="E542" s="228">
        <v>500</v>
      </c>
      <c r="F542" s="69">
        <v>2.225365578577196E-5</v>
      </c>
      <c r="G542" s="228">
        <v>44936.436944412402</v>
      </c>
      <c r="H542" s="228">
        <v>0</v>
      </c>
      <c r="I542" s="69">
        <v>0</v>
      </c>
      <c r="J542" s="69">
        <f t="shared" si="8"/>
        <v>9.0957118808641969E-3</v>
      </c>
      <c r="L542" s="162"/>
      <c r="M542" s="69"/>
      <c r="U542" s="230"/>
      <c r="V542" s="68"/>
      <c r="W542" s="68"/>
      <c r="AM542" s="162"/>
      <c r="AN542" s="69"/>
    </row>
    <row r="543" spans="1:40">
      <c r="A543" s="269" t="s">
        <v>514</v>
      </c>
      <c r="B543" s="221" t="s">
        <v>474</v>
      </c>
      <c r="C543" s="221" t="s">
        <v>508</v>
      </c>
      <c r="D543" s="228">
        <v>220</v>
      </c>
      <c r="E543" s="228">
        <v>468</v>
      </c>
      <c r="F543" s="69">
        <v>2.225365578577196E-5</v>
      </c>
      <c r="G543" s="228">
        <v>44936.436944412402</v>
      </c>
      <c r="H543" s="228">
        <v>0</v>
      </c>
      <c r="I543" s="69">
        <v>0</v>
      </c>
      <c r="J543" s="69">
        <f t="shared" si="8"/>
        <v>9.1179655366499697E-3</v>
      </c>
      <c r="L543" s="162"/>
      <c r="M543" s="69"/>
      <c r="U543" s="230"/>
      <c r="V543" s="68"/>
      <c r="W543" s="68"/>
      <c r="AM543" s="162"/>
      <c r="AN543" s="69"/>
    </row>
    <row r="544" spans="1:40">
      <c r="A544" s="269" t="s">
        <v>457</v>
      </c>
      <c r="B544" s="221" t="s">
        <v>440</v>
      </c>
      <c r="C544" s="221" t="s">
        <v>508</v>
      </c>
      <c r="D544" s="228">
        <v>221</v>
      </c>
      <c r="E544" s="228">
        <v>452</v>
      </c>
      <c r="F544" s="69">
        <v>6.0084930706515009E-4</v>
      </c>
      <c r="G544" s="228">
        <v>1664.3108151102019</v>
      </c>
      <c r="H544" s="228">
        <v>0</v>
      </c>
      <c r="I544" s="69">
        <v>0</v>
      </c>
      <c r="J544" s="69">
        <f t="shared" si="8"/>
        <v>9.7188148437151196E-3</v>
      </c>
      <c r="L544" s="162"/>
      <c r="M544" s="69"/>
      <c r="U544" s="230"/>
      <c r="V544" s="68"/>
      <c r="W544" s="68"/>
      <c r="AM544" s="162"/>
      <c r="AN544" s="69"/>
    </row>
    <row r="545" spans="1:40">
      <c r="A545" s="269" t="s">
        <v>458</v>
      </c>
      <c r="B545" s="221" t="s">
        <v>440</v>
      </c>
      <c r="C545" s="221" t="s">
        <v>508</v>
      </c>
      <c r="D545" s="228">
        <v>219</v>
      </c>
      <c r="E545" s="228">
        <v>456</v>
      </c>
      <c r="F545" s="69">
        <v>6.0084930706515009E-4</v>
      </c>
      <c r="G545" s="228">
        <v>1664.3108151102019</v>
      </c>
      <c r="H545" s="228">
        <v>0</v>
      </c>
      <c r="I545" s="69">
        <v>0</v>
      </c>
      <c r="J545" s="69">
        <f t="shared" si="8"/>
        <v>1.0319664150780269E-2</v>
      </c>
      <c r="L545" s="162"/>
      <c r="M545" s="69"/>
      <c r="U545" s="230"/>
      <c r="V545" s="68"/>
      <c r="W545" s="68"/>
      <c r="AM545" s="162"/>
      <c r="AN545" s="69"/>
    </row>
    <row r="546" spans="1:40">
      <c r="A546" s="269" t="s">
        <v>459</v>
      </c>
      <c r="B546" s="221" t="s">
        <v>440</v>
      </c>
      <c r="C546" s="221" t="s">
        <v>508</v>
      </c>
      <c r="D546" s="228">
        <v>218</v>
      </c>
      <c r="E546" s="228">
        <v>468</v>
      </c>
      <c r="F546" s="69">
        <v>6.0084930706515009E-4</v>
      </c>
      <c r="G546" s="228">
        <v>1664.3108151102019</v>
      </c>
      <c r="H546" s="228">
        <v>0</v>
      </c>
      <c r="I546" s="69">
        <v>0</v>
      </c>
      <c r="J546" s="69">
        <f t="shared" si="8"/>
        <v>1.0920513457845419E-2</v>
      </c>
      <c r="L546" s="162"/>
      <c r="M546" s="69"/>
      <c r="U546" s="230"/>
      <c r="V546" s="68"/>
      <c r="W546" s="68"/>
      <c r="AM546" s="162"/>
      <c r="AN546" s="69"/>
    </row>
    <row r="547" spans="1:40">
      <c r="A547" s="269" t="s">
        <v>513</v>
      </c>
      <c r="B547" s="221" t="s">
        <v>440</v>
      </c>
      <c r="C547" s="221" t="s">
        <v>508</v>
      </c>
      <c r="D547" s="228">
        <v>218</v>
      </c>
      <c r="E547" s="228">
        <v>526</v>
      </c>
      <c r="F547" s="69">
        <v>6.0084930706515009E-4</v>
      </c>
      <c r="G547" s="228">
        <v>1664.3108151102019</v>
      </c>
      <c r="H547" s="228">
        <v>0</v>
      </c>
      <c r="I547" s="69">
        <v>0</v>
      </c>
      <c r="J547" s="69">
        <f t="shared" si="8"/>
        <v>1.1521362764910569E-2</v>
      </c>
      <c r="L547" s="162"/>
      <c r="M547" s="69"/>
      <c r="U547" s="230"/>
      <c r="V547" s="68"/>
      <c r="W547" s="68"/>
      <c r="AM547" s="162"/>
      <c r="AN547" s="69"/>
    </row>
    <row r="548" spans="1:40">
      <c r="A548" s="269" t="s">
        <v>514</v>
      </c>
      <c r="B548" s="221" t="s">
        <v>440</v>
      </c>
      <c r="C548" s="221" t="s">
        <v>508</v>
      </c>
      <c r="D548" s="228">
        <v>218</v>
      </c>
      <c r="E548" s="228">
        <v>494</v>
      </c>
      <c r="F548" s="69">
        <v>6.0084930706515009E-4</v>
      </c>
      <c r="G548" s="228">
        <v>1664.3108151102019</v>
      </c>
      <c r="H548" s="228">
        <v>0</v>
      </c>
      <c r="I548" s="69">
        <v>0</v>
      </c>
      <c r="J548" s="69">
        <f t="shared" si="8"/>
        <v>1.2122212071975719E-2</v>
      </c>
      <c r="L548" s="162"/>
      <c r="M548" s="69"/>
      <c r="U548" s="230"/>
      <c r="V548" s="68"/>
      <c r="W548" s="68"/>
      <c r="AM548" s="162"/>
      <c r="AN548" s="69"/>
    </row>
    <row r="549" spans="1:40">
      <c r="A549" s="269" t="s">
        <v>457</v>
      </c>
      <c r="B549" s="221" t="s">
        <v>473</v>
      </c>
      <c r="C549" s="221" t="s">
        <v>438</v>
      </c>
      <c r="D549" s="228">
        <v>524</v>
      </c>
      <c r="E549" s="228">
        <v>684</v>
      </c>
      <c r="F549" s="69">
        <v>2.247844018764845E-7</v>
      </c>
      <c r="G549" s="228">
        <v>4448707.2574968273</v>
      </c>
      <c r="H549" s="228">
        <v>0</v>
      </c>
      <c r="I549" s="69">
        <v>0</v>
      </c>
      <c r="J549" s="69">
        <f t="shared" si="8"/>
        <v>1.2122436856377596E-2</v>
      </c>
      <c r="L549" s="162"/>
      <c r="M549" s="69"/>
      <c r="U549" s="230"/>
      <c r="V549" s="68"/>
      <c r="W549" s="68"/>
      <c r="AM549" s="162"/>
      <c r="AN549" s="69"/>
    </row>
    <row r="550" spans="1:40">
      <c r="A550" s="269" t="s">
        <v>458</v>
      </c>
      <c r="B550" s="221" t="s">
        <v>473</v>
      </c>
      <c r="C550" s="221" t="s">
        <v>438</v>
      </c>
      <c r="D550" s="228">
        <v>524</v>
      </c>
      <c r="E550" s="228">
        <v>664</v>
      </c>
      <c r="F550" s="69">
        <v>2.247844018764845E-7</v>
      </c>
      <c r="G550" s="228">
        <v>4448707.2574968273</v>
      </c>
      <c r="H550" s="228">
        <v>0</v>
      </c>
      <c r="I550" s="69">
        <v>0</v>
      </c>
      <c r="J550" s="69">
        <f t="shared" si="8"/>
        <v>1.2122661640779473E-2</v>
      </c>
      <c r="K550" s="244"/>
      <c r="L550" s="162"/>
      <c r="M550" s="69"/>
      <c r="N550" s="68"/>
      <c r="O550" s="68"/>
      <c r="P550" s="68"/>
      <c r="Q550" s="68"/>
      <c r="R550" s="68"/>
      <c r="S550" s="68"/>
      <c r="T550" s="68"/>
      <c r="U550" s="230"/>
      <c r="V550" s="68"/>
      <c r="W550" s="68"/>
      <c r="X550" s="68"/>
      <c r="Z550" s="68"/>
      <c r="AM550" s="162"/>
      <c r="AN550" s="69"/>
    </row>
    <row r="551" spans="1:40">
      <c r="A551" s="269" t="s">
        <v>459</v>
      </c>
      <c r="B551" s="221" t="s">
        <v>473</v>
      </c>
      <c r="C551" s="221" t="s">
        <v>438</v>
      </c>
      <c r="D551" s="228">
        <v>524</v>
      </c>
      <c r="E551" s="228">
        <v>692</v>
      </c>
      <c r="F551" s="69">
        <v>2.247844018764845E-7</v>
      </c>
      <c r="G551" s="228">
        <v>4448707.2574968273</v>
      </c>
      <c r="H551" s="228">
        <v>0</v>
      </c>
      <c r="I551" s="69">
        <v>0</v>
      </c>
      <c r="J551" s="69">
        <f t="shared" si="8"/>
        <v>1.212288642518135E-2</v>
      </c>
      <c r="K551" s="244"/>
      <c r="L551" s="162"/>
      <c r="M551" s="69"/>
      <c r="N551" s="68"/>
      <c r="O551" s="68"/>
      <c r="P551" s="68"/>
      <c r="Q551" s="68"/>
      <c r="R551" s="68"/>
      <c r="S551" s="68"/>
      <c r="T551" s="68"/>
      <c r="U551" s="230"/>
      <c r="V551" s="68"/>
      <c r="W551" s="68"/>
      <c r="X551" s="68"/>
      <c r="Z551" s="68"/>
      <c r="AM551" s="162"/>
      <c r="AN551" s="69"/>
    </row>
    <row r="552" spans="1:40">
      <c r="A552" s="269" t="s">
        <v>513</v>
      </c>
      <c r="B552" s="221" t="s">
        <v>473</v>
      </c>
      <c r="C552" s="221" t="s">
        <v>438</v>
      </c>
      <c r="D552" s="228">
        <v>524</v>
      </c>
      <c r="E552" s="228">
        <v>744</v>
      </c>
      <c r="F552" s="69">
        <v>2.247844018764845E-7</v>
      </c>
      <c r="G552" s="228">
        <v>4448707.2574968273</v>
      </c>
      <c r="H552" s="228">
        <v>0</v>
      </c>
      <c r="I552" s="69">
        <v>0</v>
      </c>
      <c r="J552" s="69">
        <f t="shared" si="8"/>
        <v>1.2123111209583226E-2</v>
      </c>
      <c r="K552" s="244"/>
      <c r="L552" s="162"/>
      <c r="M552" s="69"/>
      <c r="N552" s="68"/>
      <c r="O552" s="68"/>
      <c r="P552" s="68"/>
      <c r="Q552" s="68"/>
      <c r="R552" s="68"/>
      <c r="S552" s="68"/>
      <c r="T552" s="68"/>
      <c r="U552" s="230"/>
      <c r="V552" s="68"/>
      <c r="W552" s="68"/>
      <c r="X552" s="68"/>
      <c r="Z552" s="68"/>
      <c r="AM552" s="162"/>
      <c r="AN552" s="69"/>
    </row>
    <row r="553" spans="1:40">
      <c r="A553" s="269" t="s">
        <v>514</v>
      </c>
      <c r="B553" s="221" t="s">
        <v>473</v>
      </c>
      <c r="C553" s="221" t="s">
        <v>438</v>
      </c>
      <c r="D553" s="228">
        <v>525</v>
      </c>
      <c r="E553" s="228">
        <v>698</v>
      </c>
      <c r="F553" s="69">
        <v>2.247844018764845E-7</v>
      </c>
      <c r="G553" s="228">
        <v>4448707.2574968273</v>
      </c>
      <c r="H553" s="228">
        <v>0</v>
      </c>
      <c r="I553" s="69">
        <v>0</v>
      </c>
      <c r="J553" s="69">
        <f t="shared" si="8"/>
        <v>1.2123335993985103E-2</v>
      </c>
      <c r="K553" s="244"/>
      <c r="L553" s="162"/>
      <c r="M553" s="69"/>
      <c r="N553" s="68"/>
      <c r="O553" s="68"/>
      <c r="P553" s="68"/>
      <c r="Q553" s="68"/>
      <c r="R553" s="68"/>
      <c r="S553" s="68"/>
      <c r="T553" s="68"/>
      <c r="U553" s="230"/>
      <c r="V553" s="68"/>
      <c r="W553" s="68"/>
      <c r="X553" s="68"/>
      <c r="Z553" s="68"/>
      <c r="AM553" s="162"/>
      <c r="AN553" s="69"/>
    </row>
    <row r="554" spans="1:40">
      <c r="A554" s="269" t="s">
        <v>457</v>
      </c>
      <c r="B554" s="221" t="s">
        <v>474</v>
      </c>
      <c r="C554" s="221" t="s">
        <v>438</v>
      </c>
      <c r="D554" s="228">
        <v>524</v>
      </c>
      <c r="E554" s="228">
        <v>888</v>
      </c>
      <c r="F554" s="69">
        <v>2.247844018764845E-7</v>
      </c>
      <c r="G554" s="228">
        <v>4448707.2574968273</v>
      </c>
      <c r="H554" s="228">
        <v>0</v>
      </c>
      <c r="I554" s="69">
        <v>0</v>
      </c>
      <c r="J554" s="69">
        <f t="shared" si="8"/>
        <v>1.212356077838698E-2</v>
      </c>
      <c r="K554" s="244"/>
      <c r="L554" s="162"/>
      <c r="M554" s="69"/>
      <c r="N554" s="68"/>
      <c r="O554" s="68"/>
      <c r="P554" s="68"/>
      <c r="Q554" s="68"/>
      <c r="R554" s="68"/>
      <c r="S554" s="68"/>
      <c r="T554" s="68"/>
      <c r="U554" s="230"/>
      <c r="V554" s="68"/>
      <c r="W554" s="68"/>
      <c r="X554" s="68"/>
      <c r="Z554" s="68"/>
      <c r="AM554" s="162"/>
      <c r="AN554" s="69"/>
    </row>
    <row r="555" spans="1:40">
      <c r="A555" s="269" t="s">
        <v>458</v>
      </c>
      <c r="B555" s="221" t="s">
        <v>474</v>
      </c>
      <c r="C555" s="221" t="s">
        <v>438</v>
      </c>
      <c r="D555" s="228">
        <v>525</v>
      </c>
      <c r="E555" s="228">
        <v>1084</v>
      </c>
      <c r="F555" s="69">
        <v>2.247844018764845E-7</v>
      </c>
      <c r="G555" s="228">
        <v>4448707.2574968273</v>
      </c>
      <c r="H555" s="228">
        <v>0</v>
      </c>
      <c r="I555" s="69">
        <v>0</v>
      </c>
      <c r="J555" s="69">
        <f t="shared" si="8"/>
        <v>1.2123785562788857E-2</v>
      </c>
      <c r="K555" s="244"/>
      <c r="L555" s="162"/>
      <c r="M555" s="69"/>
      <c r="N555" s="68"/>
      <c r="O555" s="68"/>
      <c r="P555" s="68"/>
      <c r="Q555" s="68"/>
      <c r="R555" s="68"/>
      <c r="S555" s="68"/>
      <c r="T555" s="68"/>
      <c r="U555" s="230"/>
      <c r="V555" s="68"/>
      <c r="W555" s="68"/>
      <c r="X555" s="68"/>
      <c r="Z555" s="68"/>
      <c r="AM555" s="162"/>
      <c r="AN555" s="69"/>
    </row>
    <row r="556" spans="1:40">
      <c r="A556" s="269" t="s">
        <v>459</v>
      </c>
      <c r="B556" s="221" t="s">
        <v>474</v>
      </c>
      <c r="C556" s="221" t="s">
        <v>438</v>
      </c>
      <c r="D556" s="228">
        <v>524</v>
      </c>
      <c r="E556" s="228">
        <v>912</v>
      </c>
      <c r="F556" s="69">
        <v>2.247844018764845E-7</v>
      </c>
      <c r="G556" s="228">
        <v>4448707.2574968273</v>
      </c>
      <c r="H556" s="228">
        <v>0</v>
      </c>
      <c r="I556" s="69">
        <v>0</v>
      </c>
      <c r="J556" s="69">
        <f t="shared" si="8"/>
        <v>1.2124010347190734E-2</v>
      </c>
      <c r="K556" s="244"/>
      <c r="L556" s="162"/>
      <c r="M556" s="69"/>
      <c r="N556" s="68"/>
      <c r="O556" s="68"/>
      <c r="P556" s="68"/>
      <c r="Q556" s="68"/>
      <c r="R556" s="68"/>
      <c r="S556" s="68"/>
      <c r="T556" s="68"/>
      <c r="U556" s="230"/>
      <c r="V556" s="68"/>
      <c r="W556" s="68"/>
      <c r="X556" s="68"/>
      <c r="Z556" s="68"/>
      <c r="AM556" s="162"/>
      <c r="AN556" s="69"/>
    </row>
    <row r="557" spans="1:40">
      <c r="A557" s="269" t="s">
        <v>513</v>
      </c>
      <c r="B557" s="221" t="s">
        <v>474</v>
      </c>
      <c r="C557" s="221" t="s">
        <v>438</v>
      </c>
      <c r="D557" s="228">
        <v>519</v>
      </c>
      <c r="E557" s="228">
        <v>842</v>
      </c>
      <c r="F557" s="69">
        <v>2.247844018764845E-7</v>
      </c>
      <c r="G557" s="228">
        <v>4448707.2574968273</v>
      </c>
      <c r="H557" s="228">
        <v>0</v>
      </c>
      <c r="I557" s="69">
        <v>0</v>
      </c>
      <c r="J557" s="69">
        <f t="shared" si="8"/>
        <v>1.2124235131592611E-2</v>
      </c>
      <c r="K557" s="244"/>
      <c r="L557" s="162"/>
      <c r="M557" s="69"/>
      <c r="N557" s="68"/>
      <c r="O557" s="68"/>
      <c r="P557" s="68"/>
      <c r="Q557" s="68"/>
      <c r="R557" s="68"/>
      <c r="S557" s="68"/>
      <c r="T557" s="68"/>
      <c r="U557" s="230"/>
      <c r="V557" s="68"/>
      <c r="W557" s="68"/>
      <c r="X557" s="68"/>
      <c r="Z557" s="68"/>
      <c r="AM557" s="162"/>
      <c r="AN557" s="69"/>
    </row>
    <row r="558" spans="1:40">
      <c r="A558" s="269" t="s">
        <v>514</v>
      </c>
      <c r="B558" s="221" t="s">
        <v>474</v>
      </c>
      <c r="C558" s="221" t="s">
        <v>438</v>
      </c>
      <c r="D558" s="228">
        <v>524</v>
      </c>
      <c r="E558" s="228">
        <v>950</v>
      </c>
      <c r="F558" s="69">
        <v>2.247844018764845E-7</v>
      </c>
      <c r="G558" s="228">
        <v>4448707.2574968273</v>
      </c>
      <c r="H558" s="228">
        <v>0</v>
      </c>
      <c r="I558" s="69">
        <v>0</v>
      </c>
      <c r="J558" s="69">
        <f t="shared" si="8"/>
        <v>1.2124459915994487E-2</v>
      </c>
      <c r="K558" s="244"/>
      <c r="L558" s="162"/>
      <c r="M558" s="69"/>
      <c r="N558" s="68"/>
      <c r="O558" s="68"/>
      <c r="P558" s="68"/>
      <c r="Q558" s="68"/>
      <c r="R558" s="68"/>
      <c r="S558" s="68"/>
      <c r="T558" s="68"/>
      <c r="U558" s="230"/>
      <c r="V558" s="68"/>
      <c r="W558" s="68"/>
      <c r="X558" s="68"/>
      <c r="Z558" s="68"/>
      <c r="AM558" s="162"/>
      <c r="AN558" s="69"/>
    </row>
    <row r="559" spans="1:40">
      <c r="A559" s="269" t="s">
        <v>457</v>
      </c>
      <c r="B559" s="221" t="s">
        <v>1377</v>
      </c>
      <c r="C559" s="221" t="s">
        <v>438</v>
      </c>
      <c r="D559" s="228">
        <v>524</v>
      </c>
      <c r="E559" s="228">
        <v>802</v>
      </c>
      <c r="F559" s="69">
        <v>6.0691849198500013E-6</v>
      </c>
      <c r="G559" s="228">
        <v>164766.77069591</v>
      </c>
      <c r="H559" s="228">
        <v>0</v>
      </c>
      <c r="I559" s="69">
        <v>0</v>
      </c>
      <c r="J559" s="69">
        <f t="shared" si="8"/>
        <v>1.2130529100914337E-2</v>
      </c>
      <c r="K559" s="244"/>
      <c r="L559" s="162"/>
      <c r="M559" s="69"/>
      <c r="N559" s="68"/>
      <c r="O559" s="68"/>
      <c r="P559" s="68"/>
      <c r="Q559" s="68"/>
      <c r="R559" s="68"/>
      <c r="S559" s="68"/>
      <c r="T559" s="68"/>
      <c r="U559" s="230"/>
      <c r="V559" s="68"/>
      <c r="W559" s="68"/>
      <c r="X559" s="68"/>
      <c r="Z559" s="68"/>
      <c r="AM559" s="162"/>
      <c r="AN559" s="69"/>
    </row>
    <row r="560" spans="1:40">
      <c r="A560" s="269" t="s">
        <v>458</v>
      </c>
      <c r="B560" s="221" t="s">
        <v>1377</v>
      </c>
      <c r="C560" s="221" t="s">
        <v>438</v>
      </c>
      <c r="D560" s="228">
        <v>524</v>
      </c>
      <c r="E560" s="228">
        <v>854</v>
      </c>
      <c r="F560" s="69">
        <v>6.0691849198500013E-6</v>
      </c>
      <c r="G560" s="228">
        <v>164766.77069591</v>
      </c>
      <c r="H560" s="228">
        <v>0</v>
      </c>
      <c r="I560" s="69">
        <v>0</v>
      </c>
      <c r="J560" s="69">
        <f t="shared" si="8"/>
        <v>1.2136598285834186E-2</v>
      </c>
      <c r="K560" s="244"/>
      <c r="L560" s="162"/>
      <c r="M560" s="69"/>
      <c r="N560" s="68"/>
      <c r="O560" s="68"/>
      <c r="P560" s="68"/>
      <c r="Q560" s="68"/>
      <c r="R560" s="68"/>
      <c r="S560" s="68"/>
      <c r="T560" s="68"/>
      <c r="U560" s="230"/>
      <c r="V560" s="68"/>
      <c r="W560" s="68"/>
      <c r="X560" s="68"/>
      <c r="Z560" s="68"/>
      <c r="AM560" s="162"/>
      <c r="AN560" s="69"/>
    </row>
    <row r="561" spans="1:40">
      <c r="A561" s="269" t="s">
        <v>513</v>
      </c>
      <c r="B561" s="221" t="s">
        <v>1377</v>
      </c>
      <c r="C561" s="221" t="s">
        <v>438</v>
      </c>
      <c r="D561" s="228">
        <v>524</v>
      </c>
      <c r="E561" s="228">
        <v>822</v>
      </c>
      <c r="F561" s="69">
        <v>6.0691849198500013E-6</v>
      </c>
      <c r="G561" s="228">
        <v>164766.77069591</v>
      </c>
      <c r="H561" s="228">
        <v>0</v>
      </c>
      <c r="I561" s="69">
        <v>0</v>
      </c>
      <c r="J561" s="69">
        <f t="shared" si="8"/>
        <v>1.2142667470754036E-2</v>
      </c>
      <c r="K561" s="244"/>
      <c r="L561" s="162"/>
      <c r="M561" s="69"/>
      <c r="N561" s="68"/>
      <c r="O561" s="68"/>
      <c r="P561" s="68"/>
      <c r="Q561" s="68"/>
      <c r="R561" s="68"/>
      <c r="S561" s="68"/>
      <c r="T561" s="68"/>
      <c r="U561" s="230"/>
      <c r="V561" s="68"/>
      <c r="W561" s="68"/>
      <c r="X561" s="68"/>
      <c r="Z561" s="68"/>
      <c r="AM561" s="162"/>
      <c r="AN561" s="69"/>
    </row>
    <row r="562" spans="1:40">
      <c r="A562" s="269" t="s">
        <v>514</v>
      </c>
      <c r="B562" s="221" t="s">
        <v>1377</v>
      </c>
      <c r="C562" s="221" t="s">
        <v>438</v>
      </c>
      <c r="D562" s="228">
        <v>524</v>
      </c>
      <c r="E562" s="228">
        <v>836</v>
      </c>
      <c r="F562" s="69">
        <v>6.0691849198500013E-6</v>
      </c>
      <c r="G562" s="228">
        <v>164766.77069591</v>
      </c>
      <c r="H562" s="228">
        <v>0</v>
      </c>
      <c r="I562" s="69">
        <v>0</v>
      </c>
      <c r="J562" s="69">
        <f t="shared" si="8"/>
        <v>1.2148736655673885E-2</v>
      </c>
      <c r="L562" s="162"/>
      <c r="M562" s="69"/>
      <c r="U562" s="230"/>
      <c r="V562" s="68"/>
      <c r="W562" s="68"/>
      <c r="AM562" s="162"/>
      <c r="AN562" s="69"/>
    </row>
    <row r="563" spans="1:40">
      <c r="A563" s="269" t="s">
        <v>457</v>
      </c>
      <c r="B563" s="221" t="s">
        <v>441</v>
      </c>
      <c r="C563" s="221" t="s">
        <v>476</v>
      </c>
      <c r="D563" s="228">
        <v>218</v>
      </c>
      <c r="E563" s="228">
        <v>560</v>
      </c>
      <c r="F563" s="69">
        <v>4.413146514749072E-6</v>
      </c>
      <c r="G563" s="228">
        <v>226595.69462693427</v>
      </c>
      <c r="H563" s="228">
        <v>0</v>
      </c>
      <c r="I563" s="69">
        <v>0</v>
      </c>
      <c r="J563" s="69">
        <f t="shared" si="8"/>
        <v>1.2153149802188633E-2</v>
      </c>
      <c r="L563" s="162"/>
      <c r="M563" s="69"/>
      <c r="U563" s="230"/>
      <c r="V563" s="68"/>
      <c r="W563" s="68"/>
      <c r="AM563" s="162"/>
      <c r="AN563" s="69"/>
    </row>
    <row r="564" spans="1:40">
      <c r="A564" s="269" t="s">
        <v>458</v>
      </c>
      <c r="B564" s="221" t="s">
        <v>441</v>
      </c>
      <c r="C564" s="221" t="s">
        <v>476</v>
      </c>
      <c r="D564" s="228">
        <v>218</v>
      </c>
      <c r="E564" s="228">
        <v>550</v>
      </c>
      <c r="F564" s="69">
        <v>4.413146514749072E-6</v>
      </c>
      <c r="G564" s="228">
        <v>226595.69462693427</v>
      </c>
      <c r="H564" s="228">
        <v>0</v>
      </c>
      <c r="I564" s="69">
        <v>0</v>
      </c>
      <c r="J564" s="69">
        <f t="shared" si="8"/>
        <v>1.2157562948703382E-2</v>
      </c>
      <c r="L564" s="162"/>
      <c r="M564" s="69"/>
      <c r="U564" s="230"/>
      <c r="V564" s="68"/>
      <c r="W564" s="68"/>
      <c r="AM564" s="162"/>
      <c r="AN564" s="69"/>
    </row>
    <row r="565" spans="1:40">
      <c r="A565" s="269" t="s">
        <v>459</v>
      </c>
      <c r="B565" s="221" t="s">
        <v>441</v>
      </c>
      <c r="C565" s="221" t="s">
        <v>476</v>
      </c>
      <c r="D565" s="228">
        <v>218</v>
      </c>
      <c r="E565" s="228">
        <v>546</v>
      </c>
      <c r="F565" s="69">
        <v>4.413146514749072E-6</v>
      </c>
      <c r="G565" s="228">
        <v>226595.69462693427</v>
      </c>
      <c r="H565" s="228">
        <v>0</v>
      </c>
      <c r="I565" s="69">
        <v>0</v>
      </c>
      <c r="J565" s="69">
        <f t="shared" si="8"/>
        <v>1.216197609521813E-2</v>
      </c>
      <c r="L565" s="162"/>
      <c r="M565" s="69"/>
      <c r="U565" s="230"/>
      <c r="V565" s="68"/>
      <c r="W565" s="68"/>
      <c r="AM565" s="162"/>
      <c r="AN565" s="69"/>
    </row>
    <row r="566" spans="1:40">
      <c r="A566" s="269" t="s">
        <v>513</v>
      </c>
      <c r="B566" s="221" t="s">
        <v>441</v>
      </c>
      <c r="C566" s="221" t="s">
        <v>476</v>
      </c>
      <c r="D566" s="228">
        <v>214</v>
      </c>
      <c r="E566" s="228">
        <v>592</v>
      </c>
      <c r="F566" s="69">
        <v>4.413146514749072E-6</v>
      </c>
      <c r="G566" s="228">
        <v>226595.69462693427</v>
      </c>
      <c r="H566" s="228">
        <v>0</v>
      </c>
      <c r="I566" s="69">
        <v>0</v>
      </c>
      <c r="J566" s="69">
        <f t="shared" si="8"/>
        <v>1.2166389241732878E-2</v>
      </c>
      <c r="L566" s="162"/>
      <c r="M566" s="69"/>
      <c r="U566" s="230"/>
      <c r="V566" s="68"/>
      <c r="W566" s="68"/>
      <c r="AM566" s="162"/>
      <c r="AN566" s="69"/>
    </row>
    <row r="567" spans="1:40">
      <c r="A567" s="269" t="s">
        <v>514</v>
      </c>
      <c r="B567" s="221" t="s">
        <v>441</v>
      </c>
      <c r="C567" s="221" t="s">
        <v>476</v>
      </c>
      <c r="D567" s="228">
        <v>219</v>
      </c>
      <c r="E567" s="228">
        <v>570</v>
      </c>
      <c r="F567" s="69">
        <v>4.413146514749072E-6</v>
      </c>
      <c r="G567" s="228">
        <v>226595.69462693427</v>
      </c>
      <c r="H567" s="228">
        <v>0</v>
      </c>
      <c r="I567" s="69">
        <v>0</v>
      </c>
      <c r="J567" s="69">
        <f t="shared" si="8"/>
        <v>1.2170802388247626E-2</v>
      </c>
      <c r="L567" s="162"/>
      <c r="M567" s="69"/>
      <c r="U567" s="230"/>
      <c r="V567" s="68"/>
      <c r="W567" s="68"/>
      <c r="AM567" s="162"/>
      <c r="AN567" s="69"/>
    </row>
    <row r="568" spans="1:40">
      <c r="A568" s="269" t="s">
        <v>457</v>
      </c>
      <c r="B568" s="221" t="s">
        <v>443</v>
      </c>
      <c r="C568" s="221" t="s">
        <v>476</v>
      </c>
      <c r="D568" s="228">
        <v>218</v>
      </c>
      <c r="E568" s="228">
        <v>616</v>
      </c>
      <c r="F568" s="69">
        <v>4.4131067963907217E-6</v>
      </c>
      <c r="G568" s="228">
        <v>226597.73400857969</v>
      </c>
      <c r="H568" s="228">
        <v>0</v>
      </c>
      <c r="I568" s="69">
        <v>0</v>
      </c>
      <c r="J568" s="69">
        <f t="shared" si="8"/>
        <v>1.2175215495044018E-2</v>
      </c>
      <c r="L568" s="162"/>
      <c r="M568" s="69"/>
      <c r="U568" s="230"/>
      <c r="V568" s="68"/>
      <c r="W568" s="68"/>
      <c r="AM568" s="162"/>
      <c r="AN568" s="69"/>
    </row>
    <row r="569" spans="1:40">
      <c r="A569" s="269" t="s">
        <v>459</v>
      </c>
      <c r="B569" s="221" t="s">
        <v>443</v>
      </c>
      <c r="C569" s="221" t="s">
        <v>476</v>
      </c>
      <c r="D569" s="228">
        <v>194</v>
      </c>
      <c r="E569" s="228">
        <v>576</v>
      </c>
      <c r="F569" s="69">
        <v>4.4131067963907217E-6</v>
      </c>
      <c r="G569" s="228">
        <v>226597.73400857969</v>
      </c>
      <c r="H569" s="228">
        <v>0</v>
      </c>
      <c r="I569" s="69">
        <v>0</v>
      </c>
      <c r="J569" s="69">
        <f t="shared" si="8"/>
        <v>1.2179628601840409E-2</v>
      </c>
      <c r="L569" s="162"/>
      <c r="M569" s="69"/>
      <c r="U569" s="230"/>
      <c r="V569" s="68"/>
      <c r="W569" s="68"/>
      <c r="AM569" s="162"/>
      <c r="AN569" s="69"/>
    </row>
    <row r="570" spans="1:40">
      <c r="A570" s="269" t="s">
        <v>514</v>
      </c>
      <c r="B570" s="221" t="s">
        <v>443</v>
      </c>
      <c r="C570" s="221" t="s">
        <v>476</v>
      </c>
      <c r="D570" s="228">
        <v>219</v>
      </c>
      <c r="E570" s="228">
        <v>506</v>
      </c>
      <c r="F570" s="69">
        <v>4.4131067963907217E-6</v>
      </c>
      <c r="G570" s="228">
        <v>226597.73400857969</v>
      </c>
      <c r="H570" s="228">
        <v>0</v>
      </c>
      <c r="I570" s="69">
        <v>0</v>
      </c>
      <c r="J570" s="69">
        <f t="shared" si="8"/>
        <v>1.21840417086368E-2</v>
      </c>
      <c r="L570" s="162"/>
      <c r="M570" s="69"/>
      <c r="U570" s="230"/>
      <c r="V570" s="68"/>
      <c r="W570" s="68"/>
      <c r="AM570" s="162"/>
      <c r="AN570" s="69"/>
    </row>
    <row r="571" spans="1:40">
      <c r="A571" s="269" t="s">
        <v>457</v>
      </c>
      <c r="B571" s="221" t="s">
        <v>475</v>
      </c>
      <c r="C571" s="221" t="s">
        <v>476</v>
      </c>
      <c r="D571" s="228">
        <v>218</v>
      </c>
      <c r="E571" s="228">
        <v>524</v>
      </c>
      <c r="F571" s="69">
        <v>4.413146514749072E-6</v>
      </c>
      <c r="G571" s="228">
        <v>226595.69462693427</v>
      </c>
      <c r="H571" s="228">
        <v>0</v>
      </c>
      <c r="I571" s="69">
        <v>0</v>
      </c>
      <c r="J571" s="69">
        <f t="shared" si="8"/>
        <v>1.2188454855151548E-2</v>
      </c>
      <c r="L571" s="162"/>
      <c r="M571" s="69"/>
      <c r="U571" s="230"/>
      <c r="V571" s="68"/>
      <c r="W571" s="68"/>
      <c r="AM571" s="162"/>
      <c r="AN571" s="69"/>
    </row>
    <row r="572" spans="1:40">
      <c r="A572" s="269" t="s">
        <v>458</v>
      </c>
      <c r="B572" s="221" t="s">
        <v>475</v>
      </c>
      <c r="C572" s="221" t="s">
        <v>476</v>
      </c>
      <c r="D572" s="228">
        <v>218</v>
      </c>
      <c r="E572" s="228">
        <v>496</v>
      </c>
      <c r="F572" s="69">
        <v>4.413146514749072E-6</v>
      </c>
      <c r="G572" s="228">
        <v>226595.69462693427</v>
      </c>
      <c r="H572" s="228">
        <v>0</v>
      </c>
      <c r="I572" s="69">
        <v>0</v>
      </c>
      <c r="J572" s="69">
        <f t="shared" si="8"/>
        <v>1.2192868001666296E-2</v>
      </c>
      <c r="L572" s="162"/>
      <c r="M572" s="69"/>
      <c r="U572" s="230"/>
      <c r="V572" s="68"/>
      <c r="W572" s="68"/>
      <c r="AM572" s="162"/>
      <c r="AN572" s="69"/>
    </row>
    <row r="573" spans="1:40">
      <c r="A573" s="269" t="s">
        <v>459</v>
      </c>
      <c r="B573" s="221" t="s">
        <v>475</v>
      </c>
      <c r="C573" s="221" t="s">
        <v>476</v>
      </c>
      <c r="D573" s="228">
        <v>191</v>
      </c>
      <c r="E573" s="228">
        <v>480</v>
      </c>
      <c r="F573" s="69">
        <v>4.413146514749072E-6</v>
      </c>
      <c r="G573" s="228">
        <v>226595.69462693427</v>
      </c>
      <c r="H573" s="228">
        <v>0</v>
      </c>
      <c r="I573" s="69">
        <v>0</v>
      </c>
      <c r="J573" s="69">
        <f t="shared" si="8"/>
        <v>1.2197281148181045E-2</v>
      </c>
      <c r="L573" s="162"/>
      <c r="M573" s="69"/>
      <c r="U573" s="230"/>
      <c r="V573" s="68"/>
      <c r="W573" s="68"/>
      <c r="AM573" s="162"/>
      <c r="AN573" s="69"/>
    </row>
    <row r="574" spans="1:40">
      <c r="A574" s="269" t="s">
        <v>513</v>
      </c>
      <c r="B574" s="221" t="s">
        <v>475</v>
      </c>
      <c r="C574" s="221" t="s">
        <v>476</v>
      </c>
      <c r="D574" s="228">
        <v>213</v>
      </c>
      <c r="E574" s="228">
        <v>500</v>
      </c>
      <c r="F574" s="69">
        <v>4.413146514749072E-6</v>
      </c>
      <c r="G574" s="228">
        <v>226595.69462693427</v>
      </c>
      <c r="H574" s="228">
        <v>0</v>
      </c>
      <c r="I574" s="69">
        <v>0</v>
      </c>
      <c r="J574" s="69">
        <f t="shared" si="8"/>
        <v>1.2201694294695793E-2</v>
      </c>
      <c r="L574" s="162"/>
      <c r="M574" s="69"/>
      <c r="U574" s="230"/>
      <c r="V574" s="68"/>
      <c r="W574" s="68"/>
      <c r="AM574" s="162"/>
      <c r="AN574" s="69"/>
    </row>
    <row r="575" spans="1:40">
      <c r="A575" s="269" t="s">
        <v>514</v>
      </c>
      <c r="B575" s="221" t="s">
        <v>475</v>
      </c>
      <c r="C575" s="221" t="s">
        <v>476</v>
      </c>
      <c r="D575" s="228">
        <v>220</v>
      </c>
      <c r="E575" s="228">
        <v>468</v>
      </c>
      <c r="F575" s="69">
        <v>4.413146514749072E-6</v>
      </c>
      <c r="G575" s="228">
        <v>226595.69462693427</v>
      </c>
      <c r="H575" s="228">
        <v>0</v>
      </c>
      <c r="I575" s="69">
        <v>0</v>
      </c>
      <c r="J575" s="69">
        <f t="shared" si="8"/>
        <v>1.2206107441210541E-2</v>
      </c>
      <c r="L575" s="162"/>
      <c r="M575" s="69"/>
      <c r="U575" s="230"/>
      <c r="V575" s="68"/>
      <c r="W575" s="68"/>
      <c r="AM575" s="162"/>
      <c r="AN575" s="69"/>
    </row>
    <row r="576" spans="1:40">
      <c r="A576" s="269" t="s">
        <v>457</v>
      </c>
      <c r="B576" s="221" t="s">
        <v>445</v>
      </c>
      <c r="C576" s="221" t="s">
        <v>476</v>
      </c>
      <c r="D576" s="228">
        <v>221</v>
      </c>
      <c r="E576" s="228">
        <v>452</v>
      </c>
      <c r="F576" s="69">
        <v>1.1915507505329999E-4</v>
      </c>
      <c r="G576" s="228">
        <v>8392.4247418977648</v>
      </c>
      <c r="H576" s="228">
        <v>0</v>
      </c>
      <c r="I576" s="69">
        <v>0</v>
      </c>
      <c r="J576" s="69">
        <f t="shared" si="8"/>
        <v>1.2325262516263841E-2</v>
      </c>
      <c r="L576" s="162"/>
      <c r="M576" s="69"/>
      <c r="U576" s="230"/>
      <c r="V576" s="68"/>
      <c r="W576" s="68"/>
      <c r="AM576" s="162"/>
      <c r="AN576" s="69"/>
    </row>
    <row r="577" spans="1:40">
      <c r="A577" s="269" t="s">
        <v>458</v>
      </c>
      <c r="B577" s="221" t="s">
        <v>445</v>
      </c>
      <c r="C577" s="221" t="s">
        <v>476</v>
      </c>
      <c r="D577" s="228">
        <v>219</v>
      </c>
      <c r="E577" s="228">
        <v>456</v>
      </c>
      <c r="F577" s="69">
        <v>1.1915507505329999E-4</v>
      </c>
      <c r="G577" s="228">
        <v>8392.4247418977648</v>
      </c>
      <c r="H577" s="228">
        <v>0</v>
      </c>
      <c r="I577" s="69">
        <v>0</v>
      </c>
      <c r="J577" s="69">
        <f t="shared" si="8"/>
        <v>1.244441759131714E-2</v>
      </c>
      <c r="L577" s="162"/>
      <c r="M577" s="69"/>
      <c r="U577" s="230"/>
      <c r="V577" s="68"/>
      <c r="W577" s="68"/>
      <c r="AM577" s="162"/>
      <c r="AN577" s="69"/>
    </row>
    <row r="578" spans="1:40">
      <c r="A578" s="269" t="s">
        <v>459</v>
      </c>
      <c r="B578" s="221" t="s">
        <v>445</v>
      </c>
      <c r="C578" s="221" t="s">
        <v>476</v>
      </c>
      <c r="D578" s="228">
        <v>218</v>
      </c>
      <c r="E578" s="228">
        <v>468</v>
      </c>
      <c r="F578" s="69">
        <v>1.1915507505329999E-4</v>
      </c>
      <c r="G578" s="228">
        <v>8392.4247418977648</v>
      </c>
      <c r="H578" s="228">
        <v>0</v>
      </c>
      <c r="I578" s="69">
        <v>0</v>
      </c>
      <c r="J578" s="69">
        <f t="shared" si="8"/>
        <v>1.256357266637044E-2</v>
      </c>
      <c r="K578" s="244"/>
      <c r="L578" s="162"/>
      <c r="M578" s="69"/>
      <c r="N578" s="68"/>
      <c r="O578" s="68"/>
      <c r="P578" s="68"/>
      <c r="Q578" s="68"/>
      <c r="R578" s="68"/>
      <c r="S578" s="68"/>
      <c r="T578" s="68"/>
      <c r="U578" s="230"/>
      <c r="V578" s="68"/>
      <c r="W578" s="68"/>
      <c r="X578" s="68"/>
      <c r="Z578" s="68"/>
      <c r="AM578" s="162"/>
      <c r="AN578" s="69"/>
    </row>
    <row r="579" spans="1:40">
      <c r="A579" s="269" t="s">
        <v>513</v>
      </c>
      <c r="B579" s="221" t="s">
        <v>445</v>
      </c>
      <c r="C579" s="221" t="s">
        <v>476</v>
      </c>
      <c r="D579" s="228">
        <v>218</v>
      </c>
      <c r="E579" s="228">
        <v>526</v>
      </c>
      <c r="F579" s="69">
        <v>1.1915507505329999E-4</v>
      </c>
      <c r="G579" s="228">
        <v>8392.4247418977648</v>
      </c>
      <c r="H579" s="228">
        <v>0</v>
      </c>
      <c r="I579" s="69">
        <v>0</v>
      </c>
      <c r="J579" s="69">
        <f t="shared" ref="J579:J642" si="9">J578+F579</f>
        <v>1.268272774142374E-2</v>
      </c>
      <c r="K579" s="244"/>
      <c r="L579" s="162"/>
      <c r="M579" s="69"/>
      <c r="N579" s="68"/>
      <c r="O579" s="68"/>
      <c r="P579" s="68"/>
      <c r="Q579" s="68"/>
      <c r="R579" s="68"/>
      <c r="S579" s="68"/>
      <c r="T579" s="68"/>
      <c r="U579" s="230"/>
      <c r="V579" s="68"/>
      <c r="W579" s="68"/>
      <c r="X579" s="68"/>
      <c r="Z579" s="68"/>
      <c r="AM579" s="162"/>
      <c r="AN579" s="69"/>
    </row>
    <row r="580" spans="1:40">
      <c r="A580" s="269" t="s">
        <v>514</v>
      </c>
      <c r="B580" s="221" t="s">
        <v>445</v>
      </c>
      <c r="C580" s="221" t="s">
        <v>476</v>
      </c>
      <c r="D580" s="228">
        <v>218</v>
      </c>
      <c r="E580" s="228">
        <v>494</v>
      </c>
      <c r="F580" s="69">
        <v>1.1915507505329999E-4</v>
      </c>
      <c r="G580" s="228">
        <v>8392.4247418977648</v>
      </c>
      <c r="H580" s="228">
        <v>0</v>
      </c>
      <c r="I580" s="69">
        <v>0</v>
      </c>
      <c r="J580" s="69">
        <f t="shared" si="9"/>
        <v>1.2801882816477039E-2</v>
      </c>
      <c r="K580" s="244"/>
      <c r="L580" s="162"/>
      <c r="M580" s="69"/>
      <c r="N580" s="68"/>
      <c r="O580" s="68"/>
      <c r="P580" s="68"/>
      <c r="Q580" s="68"/>
      <c r="R580" s="68"/>
      <c r="S580" s="68"/>
      <c r="T580" s="68"/>
      <c r="U580" s="230"/>
      <c r="V580" s="68"/>
      <c r="W580" s="68"/>
      <c r="X580" s="68"/>
      <c r="Z580" s="68"/>
      <c r="AM580" s="162"/>
      <c r="AN580" s="69"/>
    </row>
    <row r="581" spans="1:40">
      <c r="A581" s="269" t="s">
        <v>457</v>
      </c>
      <c r="B581" s="221" t="s">
        <v>441</v>
      </c>
      <c r="C581" s="221" t="s">
        <v>442</v>
      </c>
      <c r="D581" s="228">
        <v>524</v>
      </c>
      <c r="E581" s="228">
        <v>700</v>
      </c>
      <c r="F581" s="69">
        <v>4.4577237522717891E-8</v>
      </c>
      <c r="G581" s="228">
        <v>22432973.768066496</v>
      </c>
      <c r="H581" s="228">
        <v>0</v>
      </c>
      <c r="I581" s="69">
        <v>0</v>
      </c>
      <c r="J581" s="69">
        <f t="shared" si="9"/>
        <v>1.2801927393714562E-2</v>
      </c>
      <c r="K581" s="244"/>
      <c r="L581" s="162"/>
      <c r="M581" s="69"/>
      <c r="N581" s="68"/>
      <c r="O581" s="68"/>
      <c r="P581" s="68"/>
      <c r="Q581" s="68"/>
      <c r="R581" s="68"/>
      <c r="S581" s="68"/>
      <c r="T581" s="68"/>
      <c r="U581" s="230"/>
      <c r="V581" s="68"/>
      <c r="W581" s="68"/>
      <c r="X581" s="68"/>
      <c r="Z581" s="68"/>
      <c r="AM581" s="162"/>
      <c r="AN581" s="69"/>
    </row>
    <row r="582" spans="1:40">
      <c r="A582" s="269" t="s">
        <v>458</v>
      </c>
      <c r="B582" s="221" t="s">
        <v>441</v>
      </c>
      <c r="C582" s="221" t="s">
        <v>442</v>
      </c>
      <c r="D582" s="228">
        <v>524</v>
      </c>
      <c r="E582" s="228">
        <v>682</v>
      </c>
      <c r="F582" s="69">
        <v>4.4577237522717891E-8</v>
      </c>
      <c r="G582" s="228">
        <v>22432973.768066496</v>
      </c>
      <c r="H582" s="228">
        <v>0</v>
      </c>
      <c r="I582" s="69">
        <v>0</v>
      </c>
      <c r="J582" s="69">
        <f t="shared" si="9"/>
        <v>1.2801971970952085E-2</v>
      </c>
      <c r="K582" s="245"/>
      <c r="L582" s="162"/>
      <c r="M582" s="69"/>
      <c r="N582" s="162"/>
      <c r="O582" s="69"/>
      <c r="AM582" s="162"/>
      <c r="AN582" s="69"/>
    </row>
    <row r="583" spans="1:40">
      <c r="A583" s="269" t="s">
        <v>459</v>
      </c>
      <c r="B583" s="221" t="s">
        <v>441</v>
      </c>
      <c r="C583" s="221" t="s">
        <v>442</v>
      </c>
      <c r="D583" s="228">
        <v>524</v>
      </c>
      <c r="E583" s="228">
        <v>704</v>
      </c>
      <c r="F583" s="69">
        <v>4.4577237522717891E-8</v>
      </c>
      <c r="G583" s="228">
        <v>22432973.768066496</v>
      </c>
      <c r="H583" s="228">
        <v>0</v>
      </c>
      <c r="I583" s="69">
        <v>0</v>
      </c>
      <c r="J583" s="69">
        <f t="shared" si="9"/>
        <v>1.2802016548189608E-2</v>
      </c>
      <c r="K583" s="245"/>
      <c r="L583" s="162"/>
      <c r="M583" s="69"/>
      <c r="N583" s="162"/>
      <c r="O583" s="69"/>
      <c r="AM583" s="162"/>
      <c r="AN583" s="69"/>
    </row>
    <row r="584" spans="1:40">
      <c r="A584" s="269" t="s">
        <v>513</v>
      </c>
      <c r="B584" s="221" t="s">
        <v>441</v>
      </c>
      <c r="C584" s="221" t="s">
        <v>442</v>
      </c>
      <c r="D584" s="228">
        <v>524</v>
      </c>
      <c r="E584" s="228">
        <v>760</v>
      </c>
      <c r="F584" s="69">
        <v>4.4577237522717891E-8</v>
      </c>
      <c r="G584" s="228">
        <v>22432973.768066496</v>
      </c>
      <c r="H584" s="228">
        <v>0</v>
      </c>
      <c r="I584" s="69">
        <v>0</v>
      </c>
      <c r="J584" s="69">
        <f t="shared" si="9"/>
        <v>1.280206112542713E-2</v>
      </c>
      <c r="K584" s="245"/>
      <c r="L584" s="162"/>
      <c r="M584" s="69"/>
      <c r="N584" s="162"/>
      <c r="O584" s="69"/>
      <c r="AM584" s="162"/>
      <c r="AN584" s="69"/>
    </row>
    <row r="585" spans="1:40">
      <c r="A585" s="269" t="s">
        <v>514</v>
      </c>
      <c r="B585" s="221" t="s">
        <v>441</v>
      </c>
      <c r="C585" s="221" t="s">
        <v>442</v>
      </c>
      <c r="D585" s="228">
        <v>525</v>
      </c>
      <c r="E585" s="228">
        <v>708</v>
      </c>
      <c r="F585" s="69">
        <v>4.4577237522717891E-8</v>
      </c>
      <c r="G585" s="228">
        <v>22432973.768066496</v>
      </c>
      <c r="H585" s="228">
        <v>0</v>
      </c>
      <c r="I585" s="69">
        <v>0</v>
      </c>
      <c r="J585" s="69">
        <f t="shared" si="9"/>
        <v>1.2802105702664653E-2</v>
      </c>
      <c r="K585" s="245"/>
      <c r="L585" s="162"/>
      <c r="M585" s="69"/>
      <c r="N585" s="162"/>
      <c r="O585" s="69"/>
      <c r="AM585" s="162"/>
      <c r="AN585" s="69"/>
    </row>
    <row r="586" spans="1:40">
      <c r="A586" s="269" t="s">
        <v>457</v>
      </c>
      <c r="B586" s="221" t="s">
        <v>444</v>
      </c>
      <c r="C586" s="221" t="s">
        <v>442</v>
      </c>
      <c r="D586" s="228">
        <v>524</v>
      </c>
      <c r="E586" s="228">
        <v>854</v>
      </c>
      <c r="F586" s="69">
        <v>1.2035866167E-6</v>
      </c>
      <c r="G586" s="228">
        <v>830850.04944787861</v>
      </c>
      <c r="H586" s="228">
        <v>0</v>
      </c>
      <c r="I586" s="69">
        <v>0</v>
      </c>
      <c r="J586" s="69">
        <f t="shared" si="9"/>
        <v>1.2803309289281353E-2</v>
      </c>
      <c r="K586" s="245"/>
      <c r="L586" s="162"/>
      <c r="M586" s="69"/>
      <c r="N586" s="162"/>
      <c r="O586" s="69"/>
      <c r="AM586" s="162"/>
      <c r="AN586" s="69"/>
    </row>
    <row r="587" spans="1:40">
      <c r="A587" s="269" t="s">
        <v>514</v>
      </c>
      <c r="B587" s="221" t="s">
        <v>448</v>
      </c>
      <c r="C587" s="221" t="s">
        <v>450</v>
      </c>
      <c r="D587" s="228">
        <v>220</v>
      </c>
      <c r="E587" s="228">
        <v>442</v>
      </c>
      <c r="F587" s="69">
        <v>1.5093682811302096E-7</v>
      </c>
      <c r="G587" s="228">
        <v>6625288.291146568</v>
      </c>
      <c r="H587" s="228">
        <v>0</v>
      </c>
      <c r="I587" s="69">
        <v>0</v>
      </c>
      <c r="J587" s="69">
        <f t="shared" si="9"/>
        <v>1.2803460226109465E-2</v>
      </c>
      <c r="K587" s="245"/>
      <c r="L587" s="162"/>
      <c r="M587" s="69"/>
      <c r="N587" s="162"/>
      <c r="O587" s="69"/>
      <c r="AM587" s="162"/>
      <c r="AN587" s="69"/>
    </row>
    <row r="588" spans="1:40">
      <c r="A588" s="269" t="s">
        <v>457</v>
      </c>
      <c r="B588" s="221" t="s">
        <v>1379</v>
      </c>
      <c r="C588" s="221" t="s">
        <v>450</v>
      </c>
      <c r="D588" s="228">
        <v>221</v>
      </c>
      <c r="E588" s="228">
        <v>452</v>
      </c>
      <c r="F588" s="69">
        <v>4.0752984343500006E-6</v>
      </c>
      <c r="G588" s="228">
        <v>245380.80243919545</v>
      </c>
      <c r="H588" s="228">
        <v>0</v>
      </c>
      <c r="I588" s="69">
        <v>0</v>
      </c>
      <c r="J588" s="69">
        <f t="shared" si="9"/>
        <v>1.2807535524543815E-2</v>
      </c>
      <c r="K588" s="245"/>
      <c r="L588" s="162"/>
      <c r="M588" s="69"/>
      <c r="N588" s="162"/>
      <c r="O588" s="69"/>
      <c r="AM588" s="162"/>
      <c r="AN588" s="69"/>
    </row>
    <row r="589" spans="1:40">
      <c r="A589" s="269" t="s">
        <v>458</v>
      </c>
      <c r="B589" s="221" t="s">
        <v>1379</v>
      </c>
      <c r="C589" s="221" t="s">
        <v>450</v>
      </c>
      <c r="D589" s="228">
        <v>219</v>
      </c>
      <c r="E589" s="228">
        <v>456</v>
      </c>
      <c r="F589" s="69">
        <v>4.0752984343500006E-6</v>
      </c>
      <c r="G589" s="228">
        <v>245380.80243919545</v>
      </c>
      <c r="H589" s="228">
        <v>0</v>
      </c>
      <c r="I589" s="69">
        <v>0</v>
      </c>
      <c r="J589" s="69">
        <f t="shared" si="9"/>
        <v>1.2811610822978164E-2</v>
      </c>
      <c r="K589" s="245"/>
      <c r="L589" s="162"/>
      <c r="M589" s="69"/>
      <c r="N589" s="162"/>
      <c r="O589" s="69"/>
      <c r="AM589" s="162"/>
      <c r="AN589" s="69"/>
    </row>
    <row r="590" spans="1:40">
      <c r="A590" s="269" t="s">
        <v>459</v>
      </c>
      <c r="B590" s="221" t="s">
        <v>1379</v>
      </c>
      <c r="C590" s="221" t="s">
        <v>450</v>
      </c>
      <c r="D590" s="228">
        <v>218</v>
      </c>
      <c r="E590" s="228">
        <v>446</v>
      </c>
      <c r="F590" s="69">
        <v>4.0752984343500006E-6</v>
      </c>
      <c r="G590" s="228">
        <v>245380.80243919545</v>
      </c>
      <c r="H590" s="228">
        <v>0</v>
      </c>
      <c r="I590" s="69">
        <v>0</v>
      </c>
      <c r="J590" s="69">
        <f t="shared" si="9"/>
        <v>1.2815686121412513E-2</v>
      </c>
      <c r="K590" s="245"/>
      <c r="L590" s="162"/>
      <c r="M590" s="69"/>
      <c r="N590" s="162"/>
      <c r="O590" s="69"/>
      <c r="AM590" s="162"/>
      <c r="AN590" s="69"/>
    </row>
    <row r="591" spans="1:40">
      <c r="A591" s="269" t="s">
        <v>513</v>
      </c>
      <c r="B591" s="221" t="s">
        <v>1379</v>
      </c>
      <c r="C591" s="221" t="s">
        <v>450</v>
      </c>
      <c r="D591" s="228">
        <v>218</v>
      </c>
      <c r="E591" s="228">
        <v>510</v>
      </c>
      <c r="F591" s="69">
        <v>4.0752984343500006E-6</v>
      </c>
      <c r="G591" s="228">
        <v>245380.80243919545</v>
      </c>
      <c r="H591" s="228">
        <v>0</v>
      </c>
      <c r="I591" s="69">
        <v>0</v>
      </c>
      <c r="J591" s="69">
        <f t="shared" si="9"/>
        <v>1.2819761419846863E-2</v>
      </c>
      <c r="K591" s="245"/>
      <c r="L591" s="162"/>
      <c r="M591" s="69"/>
      <c r="N591" s="162"/>
      <c r="O591" s="69"/>
      <c r="AM591" s="162"/>
      <c r="AN591" s="69"/>
    </row>
    <row r="592" spans="1:40">
      <c r="A592" s="269" t="s">
        <v>514</v>
      </c>
      <c r="B592" s="221" t="s">
        <v>1379</v>
      </c>
      <c r="C592" s="221" t="s">
        <v>450</v>
      </c>
      <c r="D592" s="228">
        <v>218</v>
      </c>
      <c r="E592" s="228">
        <v>494</v>
      </c>
      <c r="F592" s="69">
        <v>4.0752984343500006E-6</v>
      </c>
      <c r="G592" s="228">
        <v>245380.80243919545</v>
      </c>
      <c r="H592" s="228">
        <v>0</v>
      </c>
      <c r="I592" s="69">
        <v>0</v>
      </c>
      <c r="J592" s="69">
        <f t="shared" si="9"/>
        <v>1.2823836718281212E-2</v>
      </c>
      <c r="K592" s="245"/>
      <c r="L592" s="162"/>
      <c r="M592" s="69"/>
      <c r="N592" s="162"/>
      <c r="O592" s="69"/>
      <c r="AM592" s="162"/>
      <c r="AN592" s="69"/>
    </row>
    <row r="593" spans="1:40">
      <c r="A593" s="269" t="s">
        <v>460</v>
      </c>
      <c r="B593" s="221" t="s">
        <v>473</v>
      </c>
      <c r="C593" s="221" t="s">
        <v>508</v>
      </c>
      <c r="D593" s="228">
        <v>296</v>
      </c>
      <c r="E593" s="228">
        <v>792</v>
      </c>
      <c r="F593" s="69">
        <v>2.225365578577196E-5</v>
      </c>
      <c r="G593" s="228">
        <v>44936.436944412402</v>
      </c>
      <c r="H593" s="228">
        <v>0</v>
      </c>
      <c r="I593" s="69">
        <v>0</v>
      </c>
      <c r="J593" s="69">
        <f t="shared" si="9"/>
        <v>1.2846090374066985E-2</v>
      </c>
      <c r="K593" s="245"/>
      <c r="L593" s="162"/>
      <c r="M593" s="69"/>
      <c r="N593" s="162"/>
      <c r="O593" s="69"/>
      <c r="AM593" s="162"/>
      <c r="AN593" s="69"/>
    </row>
    <row r="594" spans="1:40">
      <c r="A594" s="269" t="s">
        <v>461</v>
      </c>
      <c r="B594" s="221" t="s">
        <v>473</v>
      </c>
      <c r="C594" s="221" t="s">
        <v>508</v>
      </c>
      <c r="D594" s="228">
        <v>296</v>
      </c>
      <c r="E594" s="228">
        <v>812</v>
      </c>
      <c r="F594" s="69">
        <v>2.225365578577196E-5</v>
      </c>
      <c r="G594" s="228">
        <v>44936.436944412402</v>
      </c>
      <c r="H594" s="228">
        <v>0</v>
      </c>
      <c r="I594" s="69">
        <v>0</v>
      </c>
      <c r="J594" s="69">
        <f t="shared" si="9"/>
        <v>1.2868344029852758E-2</v>
      </c>
      <c r="K594" s="245"/>
      <c r="L594" s="162"/>
      <c r="M594" s="69"/>
      <c r="N594" s="162"/>
      <c r="O594" s="69"/>
      <c r="AM594" s="162"/>
      <c r="AN594" s="69"/>
    </row>
    <row r="595" spans="1:40">
      <c r="A595" s="269" t="s">
        <v>462</v>
      </c>
      <c r="B595" s="221" t="s">
        <v>473</v>
      </c>
      <c r="C595" s="221" t="s">
        <v>508</v>
      </c>
      <c r="D595" s="228">
        <v>297</v>
      </c>
      <c r="E595" s="228">
        <v>760</v>
      </c>
      <c r="F595" s="69">
        <v>2.225365578577196E-5</v>
      </c>
      <c r="G595" s="228">
        <v>44936.436944412402</v>
      </c>
      <c r="H595" s="228">
        <v>0</v>
      </c>
      <c r="I595" s="69">
        <v>0</v>
      </c>
      <c r="J595" s="69">
        <f t="shared" si="9"/>
        <v>1.289059768563853E-2</v>
      </c>
      <c r="K595" s="245"/>
      <c r="L595" s="162"/>
      <c r="M595" s="69"/>
      <c r="N595" s="162"/>
      <c r="O595" s="69"/>
      <c r="AM595" s="162"/>
      <c r="AN595" s="69"/>
    </row>
    <row r="596" spans="1:40">
      <c r="A596" s="269" t="s">
        <v>515</v>
      </c>
      <c r="B596" s="221" t="s">
        <v>473</v>
      </c>
      <c r="C596" s="221" t="s">
        <v>508</v>
      </c>
      <c r="D596" s="228">
        <v>297</v>
      </c>
      <c r="E596" s="228">
        <v>838</v>
      </c>
      <c r="F596" s="69">
        <v>2.225365578577196E-5</v>
      </c>
      <c r="G596" s="228">
        <v>44936.436944412402</v>
      </c>
      <c r="H596" s="228">
        <v>0</v>
      </c>
      <c r="I596" s="69">
        <v>0</v>
      </c>
      <c r="J596" s="69">
        <f t="shared" si="9"/>
        <v>1.2912851341424303E-2</v>
      </c>
      <c r="K596" s="245"/>
      <c r="L596" s="162"/>
      <c r="M596" s="69"/>
      <c r="N596" s="162"/>
      <c r="O596" s="69"/>
      <c r="AM596" s="162"/>
      <c r="AN596" s="69"/>
    </row>
    <row r="597" spans="1:40">
      <c r="A597" s="269" t="s">
        <v>516</v>
      </c>
      <c r="B597" s="221" t="s">
        <v>473</v>
      </c>
      <c r="C597" s="221" t="s">
        <v>508</v>
      </c>
      <c r="D597" s="228">
        <v>292</v>
      </c>
      <c r="E597" s="228">
        <v>890</v>
      </c>
      <c r="F597" s="69">
        <v>2.225365578577196E-5</v>
      </c>
      <c r="G597" s="228">
        <v>44936.436944412402</v>
      </c>
      <c r="H597" s="228">
        <v>0</v>
      </c>
      <c r="I597" s="69">
        <v>0</v>
      </c>
      <c r="J597" s="69">
        <f t="shared" si="9"/>
        <v>1.2935104997210076E-2</v>
      </c>
      <c r="K597" s="245"/>
      <c r="L597" s="162"/>
      <c r="M597" s="69"/>
      <c r="N597" s="162"/>
      <c r="O597" s="69"/>
      <c r="AM597" s="162"/>
      <c r="AN597" s="69"/>
    </row>
    <row r="598" spans="1:40">
      <c r="A598" s="269" t="s">
        <v>460</v>
      </c>
      <c r="B598" s="221" t="s">
        <v>474</v>
      </c>
      <c r="C598" s="221" t="s">
        <v>508</v>
      </c>
      <c r="D598" s="228">
        <v>296</v>
      </c>
      <c r="E598" s="228">
        <v>564</v>
      </c>
      <c r="F598" s="69">
        <v>2.225365578577196E-5</v>
      </c>
      <c r="G598" s="228">
        <v>44936.436944412402</v>
      </c>
      <c r="H598" s="228">
        <v>0</v>
      </c>
      <c r="I598" s="69">
        <v>0</v>
      </c>
      <c r="J598" s="69">
        <f t="shared" si="9"/>
        <v>1.2957358652995849E-2</v>
      </c>
      <c r="K598" s="245"/>
      <c r="L598" s="162"/>
      <c r="M598" s="69"/>
      <c r="N598" s="162"/>
      <c r="O598" s="69"/>
      <c r="AM598" s="162"/>
      <c r="AN598" s="69"/>
    </row>
    <row r="599" spans="1:40">
      <c r="A599" s="269" t="s">
        <v>461</v>
      </c>
      <c r="B599" s="221" t="s">
        <v>474</v>
      </c>
      <c r="C599" s="221" t="s">
        <v>508</v>
      </c>
      <c r="D599" s="228">
        <v>291</v>
      </c>
      <c r="E599" s="228">
        <v>604</v>
      </c>
      <c r="F599" s="69">
        <v>2.225365578577196E-5</v>
      </c>
      <c r="G599" s="228">
        <v>44936.436944412402</v>
      </c>
      <c r="H599" s="228">
        <v>0</v>
      </c>
      <c r="I599" s="69">
        <v>0</v>
      </c>
      <c r="J599" s="69">
        <f t="shared" si="9"/>
        <v>1.2979612308781622E-2</v>
      </c>
      <c r="K599" s="245"/>
      <c r="L599" s="162"/>
      <c r="M599" s="69"/>
      <c r="N599" s="162"/>
      <c r="O599" s="69"/>
      <c r="AM599" s="162"/>
      <c r="AN599" s="69"/>
    </row>
    <row r="600" spans="1:40">
      <c r="A600" s="269" t="s">
        <v>462</v>
      </c>
      <c r="B600" s="221" t="s">
        <v>474</v>
      </c>
      <c r="C600" s="221" t="s">
        <v>508</v>
      </c>
      <c r="D600" s="228">
        <v>296</v>
      </c>
      <c r="E600" s="228">
        <v>614</v>
      </c>
      <c r="F600" s="69">
        <v>2.225365578577196E-5</v>
      </c>
      <c r="G600" s="228">
        <v>44936.436944412402</v>
      </c>
      <c r="H600" s="228">
        <v>0</v>
      </c>
      <c r="I600" s="69">
        <v>0</v>
      </c>
      <c r="J600" s="69">
        <f t="shared" si="9"/>
        <v>1.3001865964567394E-2</v>
      </c>
      <c r="K600" s="245"/>
      <c r="L600" s="162"/>
      <c r="M600" s="69"/>
      <c r="N600" s="162"/>
      <c r="O600" s="69"/>
      <c r="AM600" s="162"/>
      <c r="AN600" s="69"/>
    </row>
    <row r="601" spans="1:40">
      <c r="A601" s="269" t="s">
        <v>515</v>
      </c>
      <c r="B601" s="221" t="s">
        <v>474</v>
      </c>
      <c r="C601" s="221" t="s">
        <v>508</v>
      </c>
      <c r="D601" s="228">
        <v>298</v>
      </c>
      <c r="E601" s="228">
        <v>606</v>
      </c>
      <c r="F601" s="69">
        <v>2.225365578577196E-5</v>
      </c>
      <c r="G601" s="228">
        <v>44936.436944412402</v>
      </c>
      <c r="H601" s="228">
        <v>0</v>
      </c>
      <c r="I601" s="69">
        <v>0</v>
      </c>
      <c r="J601" s="69">
        <f t="shared" si="9"/>
        <v>1.3024119620353167E-2</v>
      </c>
      <c r="K601" s="245"/>
      <c r="L601" s="162"/>
      <c r="M601" s="69"/>
      <c r="N601" s="162"/>
      <c r="O601" s="69"/>
      <c r="AM601" s="162"/>
      <c r="AN601" s="69"/>
    </row>
    <row r="602" spans="1:40">
      <c r="A602" s="269" t="s">
        <v>516</v>
      </c>
      <c r="B602" s="221" t="s">
        <v>474</v>
      </c>
      <c r="C602" s="221" t="s">
        <v>508</v>
      </c>
      <c r="D602" s="228">
        <v>272</v>
      </c>
      <c r="E602" s="228">
        <v>638</v>
      </c>
      <c r="F602" s="69">
        <v>2.225365578577196E-5</v>
      </c>
      <c r="G602" s="228">
        <v>44936.436944412402</v>
      </c>
      <c r="H602" s="228">
        <v>0</v>
      </c>
      <c r="I602" s="69">
        <v>0</v>
      </c>
      <c r="J602" s="69">
        <f t="shared" si="9"/>
        <v>1.304637327613894E-2</v>
      </c>
      <c r="K602" s="245"/>
      <c r="L602" s="162"/>
      <c r="M602" s="69"/>
      <c r="N602" s="162"/>
      <c r="O602" s="69"/>
      <c r="AM602" s="162"/>
      <c r="AN602" s="69"/>
    </row>
    <row r="603" spans="1:40">
      <c r="A603" s="269" t="s">
        <v>460</v>
      </c>
      <c r="B603" s="221" t="s">
        <v>440</v>
      </c>
      <c r="C603" s="221" t="s">
        <v>508</v>
      </c>
      <c r="D603" s="228">
        <v>292</v>
      </c>
      <c r="E603" s="228">
        <v>618</v>
      </c>
      <c r="F603" s="69">
        <v>6.0084930706515009E-4</v>
      </c>
      <c r="G603" s="228">
        <v>1664.3108151102019</v>
      </c>
      <c r="H603" s="228">
        <v>0</v>
      </c>
      <c r="I603" s="69">
        <v>0</v>
      </c>
      <c r="J603" s="69">
        <f t="shared" si="9"/>
        <v>1.364722258320409E-2</v>
      </c>
      <c r="K603" s="245"/>
      <c r="L603" s="162"/>
      <c r="M603" s="69"/>
      <c r="N603" s="162"/>
      <c r="O603" s="69"/>
      <c r="AM603" s="162"/>
      <c r="AN603" s="69"/>
    </row>
    <row r="604" spans="1:40">
      <c r="A604" s="269" t="s">
        <v>461</v>
      </c>
      <c r="B604" s="221" t="s">
        <v>440</v>
      </c>
      <c r="C604" s="221" t="s">
        <v>508</v>
      </c>
      <c r="D604" s="228">
        <v>297</v>
      </c>
      <c r="E604" s="228">
        <v>602</v>
      </c>
      <c r="F604" s="69">
        <v>6.0084930706515009E-4</v>
      </c>
      <c r="G604" s="228">
        <v>1664.3108151102019</v>
      </c>
      <c r="H604" s="228">
        <v>0</v>
      </c>
      <c r="I604" s="69">
        <v>0</v>
      </c>
      <c r="J604" s="69">
        <f t="shared" si="9"/>
        <v>1.424807189026924E-2</v>
      </c>
      <c r="K604" s="245"/>
      <c r="L604" s="162"/>
      <c r="M604" s="69"/>
      <c r="N604" s="162"/>
      <c r="O604" s="69"/>
      <c r="AM604" s="162"/>
      <c r="AN604" s="69"/>
    </row>
    <row r="605" spans="1:40">
      <c r="A605" s="269" t="s">
        <v>462</v>
      </c>
      <c r="B605" s="221" t="s">
        <v>440</v>
      </c>
      <c r="C605" s="221" t="s">
        <v>508</v>
      </c>
      <c r="D605" s="228">
        <v>274</v>
      </c>
      <c r="E605" s="228">
        <v>622</v>
      </c>
      <c r="F605" s="69">
        <v>6.0084930706515009E-4</v>
      </c>
      <c r="G605" s="228">
        <v>1664.3108151102019</v>
      </c>
      <c r="H605" s="228">
        <v>0</v>
      </c>
      <c r="I605" s="69">
        <v>0</v>
      </c>
      <c r="J605" s="69">
        <f t="shared" si="9"/>
        <v>1.4848921197334389E-2</v>
      </c>
      <c r="K605" s="245"/>
      <c r="L605" s="162"/>
      <c r="M605" s="69"/>
      <c r="N605" s="162"/>
      <c r="O605" s="69"/>
      <c r="AM605" s="162"/>
      <c r="AN605" s="69"/>
    </row>
    <row r="606" spans="1:40">
      <c r="A606" s="269" t="s">
        <v>515</v>
      </c>
      <c r="B606" s="221" t="s">
        <v>440</v>
      </c>
      <c r="C606" s="221" t="s">
        <v>508</v>
      </c>
      <c r="D606" s="228">
        <v>296</v>
      </c>
      <c r="E606" s="228">
        <v>596</v>
      </c>
      <c r="F606" s="69">
        <v>6.0084930706515009E-4</v>
      </c>
      <c r="G606" s="228">
        <v>1664.3108151102019</v>
      </c>
      <c r="H606" s="228">
        <v>0</v>
      </c>
      <c r="I606" s="69">
        <v>0</v>
      </c>
      <c r="J606" s="69">
        <f t="shared" si="9"/>
        <v>1.5449770504399539E-2</v>
      </c>
      <c r="K606" s="245"/>
      <c r="L606" s="162"/>
      <c r="M606" s="69"/>
      <c r="N606" s="162"/>
      <c r="O606" s="69"/>
      <c r="AM606" s="162"/>
      <c r="AN606" s="69"/>
    </row>
    <row r="607" spans="1:40">
      <c r="A607" s="269" t="s">
        <v>516</v>
      </c>
      <c r="B607" s="221" t="s">
        <v>440</v>
      </c>
      <c r="C607" s="221" t="s">
        <v>508</v>
      </c>
      <c r="D607" s="228">
        <v>296</v>
      </c>
      <c r="E607" s="228">
        <v>646</v>
      </c>
      <c r="F607" s="69">
        <v>6.0084930706515009E-4</v>
      </c>
      <c r="G607" s="228">
        <v>1664.3108151102019</v>
      </c>
      <c r="H607" s="228">
        <v>0</v>
      </c>
      <c r="I607" s="69">
        <v>0</v>
      </c>
      <c r="J607" s="69">
        <f t="shared" si="9"/>
        <v>1.6050619811464689E-2</v>
      </c>
      <c r="K607" s="245"/>
      <c r="L607" s="162"/>
      <c r="M607" s="69"/>
      <c r="N607" s="162"/>
      <c r="O607" s="69"/>
      <c r="AM607" s="162"/>
      <c r="AN607" s="69"/>
    </row>
    <row r="608" spans="1:40">
      <c r="A608" s="269" t="s">
        <v>460</v>
      </c>
      <c r="B608" s="221" t="s">
        <v>473</v>
      </c>
      <c r="C608" s="221" t="s">
        <v>438</v>
      </c>
      <c r="D608" s="228">
        <v>519</v>
      </c>
      <c r="E608" s="228">
        <v>866</v>
      </c>
      <c r="F608" s="69">
        <v>2.247844018764845E-7</v>
      </c>
      <c r="G608" s="228">
        <v>4448707.2574968273</v>
      </c>
      <c r="H608" s="228">
        <v>0</v>
      </c>
      <c r="I608" s="69">
        <v>0</v>
      </c>
      <c r="J608" s="69">
        <f t="shared" si="9"/>
        <v>1.6050844595866566E-2</v>
      </c>
      <c r="K608" s="245"/>
      <c r="L608" s="162"/>
      <c r="M608" s="69"/>
      <c r="N608" s="162"/>
      <c r="O608" s="69"/>
      <c r="AM608" s="162"/>
      <c r="AN608" s="69"/>
    </row>
    <row r="609" spans="1:40">
      <c r="A609" s="269" t="s">
        <v>461</v>
      </c>
      <c r="B609" s="221" t="s">
        <v>473</v>
      </c>
      <c r="C609" s="221" t="s">
        <v>438</v>
      </c>
      <c r="D609" s="228">
        <v>519</v>
      </c>
      <c r="E609" s="228">
        <v>858</v>
      </c>
      <c r="F609" s="69">
        <v>2.247844018764845E-7</v>
      </c>
      <c r="G609" s="228">
        <v>4448707.2574968273</v>
      </c>
      <c r="H609" s="228">
        <v>0</v>
      </c>
      <c r="I609" s="69">
        <v>0</v>
      </c>
      <c r="J609" s="69">
        <f t="shared" si="9"/>
        <v>1.6051069380268443E-2</v>
      </c>
      <c r="K609" s="245"/>
      <c r="L609" s="162"/>
      <c r="M609" s="69"/>
      <c r="N609" s="162"/>
      <c r="O609" s="69"/>
      <c r="AM609" s="162"/>
      <c r="AN609" s="69"/>
    </row>
    <row r="610" spans="1:40">
      <c r="A610" s="269" t="s">
        <v>462</v>
      </c>
      <c r="B610" s="221" t="s">
        <v>473</v>
      </c>
      <c r="C610" s="221" t="s">
        <v>438</v>
      </c>
      <c r="D610" s="228">
        <v>524</v>
      </c>
      <c r="E610" s="228">
        <v>864</v>
      </c>
      <c r="F610" s="69">
        <v>2.247844018764845E-7</v>
      </c>
      <c r="G610" s="228">
        <v>4448707.2574968273</v>
      </c>
      <c r="H610" s="228">
        <v>0</v>
      </c>
      <c r="I610" s="69">
        <v>0</v>
      </c>
      <c r="J610" s="69">
        <f t="shared" si="9"/>
        <v>1.605129416467032E-2</v>
      </c>
      <c r="K610" s="245"/>
      <c r="L610" s="162"/>
      <c r="M610" s="69"/>
      <c r="N610" s="162"/>
      <c r="O610" s="69"/>
      <c r="AM610" s="162"/>
      <c r="AN610" s="69"/>
    </row>
    <row r="611" spans="1:40">
      <c r="A611" s="269" t="s">
        <v>515</v>
      </c>
      <c r="B611" s="221" t="s">
        <v>473</v>
      </c>
      <c r="C611" s="221" t="s">
        <v>438</v>
      </c>
      <c r="D611" s="228">
        <v>525</v>
      </c>
      <c r="E611" s="228">
        <v>818</v>
      </c>
      <c r="F611" s="69">
        <v>2.247844018764845E-7</v>
      </c>
      <c r="G611" s="228">
        <v>4448707.2574968273</v>
      </c>
      <c r="H611" s="228">
        <v>0</v>
      </c>
      <c r="I611" s="69">
        <v>0</v>
      </c>
      <c r="J611" s="69">
        <f t="shared" si="9"/>
        <v>1.6051518949072197E-2</v>
      </c>
      <c r="K611" s="245"/>
      <c r="L611" s="162"/>
      <c r="M611" s="69"/>
      <c r="N611" s="162"/>
      <c r="O611" s="69"/>
      <c r="AM611" s="162"/>
      <c r="AN611" s="69"/>
    </row>
    <row r="612" spans="1:40">
      <c r="A612" s="269" t="s">
        <v>516</v>
      </c>
      <c r="B612" s="221" t="s">
        <v>473</v>
      </c>
      <c r="C612" s="221" t="s">
        <v>438</v>
      </c>
      <c r="D612" s="228">
        <v>524</v>
      </c>
      <c r="E612" s="228">
        <v>862</v>
      </c>
      <c r="F612" s="69">
        <v>2.247844018764845E-7</v>
      </c>
      <c r="G612" s="228">
        <v>4448707.2574968273</v>
      </c>
      <c r="H612" s="228">
        <v>0</v>
      </c>
      <c r="I612" s="69">
        <v>0</v>
      </c>
      <c r="J612" s="69">
        <f t="shared" si="9"/>
        <v>1.6051743733474073E-2</v>
      </c>
      <c r="K612" s="245"/>
      <c r="L612" s="162"/>
      <c r="M612" s="69"/>
      <c r="N612" s="162"/>
      <c r="O612" s="69"/>
      <c r="AM612" s="162"/>
      <c r="AN612" s="69"/>
    </row>
    <row r="613" spans="1:40">
      <c r="A613" s="269" t="s">
        <v>460</v>
      </c>
      <c r="B613" s="221" t="s">
        <v>474</v>
      </c>
      <c r="C613" s="221" t="s">
        <v>438</v>
      </c>
      <c r="D613" s="228">
        <v>525</v>
      </c>
      <c r="E613" s="228">
        <v>632</v>
      </c>
      <c r="F613" s="69">
        <v>2.247844018764845E-7</v>
      </c>
      <c r="G613" s="228">
        <v>4448707.2574968273</v>
      </c>
      <c r="H613" s="228">
        <v>0</v>
      </c>
      <c r="I613" s="69">
        <v>0</v>
      </c>
      <c r="J613" s="69">
        <f t="shared" si="9"/>
        <v>1.605196851787595E-2</v>
      </c>
      <c r="K613" s="245"/>
      <c r="L613" s="162"/>
      <c r="M613" s="69"/>
      <c r="N613" s="162"/>
      <c r="O613" s="69"/>
      <c r="AM613" s="162"/>
      <c r="AN613" s="69"/>
    </row>
    <row r="614" spans="1:40">
      <c r="A614" s="269" t="s">
        <v>461</v>
      </c>
      <c r="B614" s="221" t="s">
        <v>474</v>
      </c>
      <c r="C614" s="221" t="s">
        <v>438</v>
      </c>
      <c r="D614" s="228">
        <v>524</v>
      </c>
      <c r="E614" s="228">
        <v>636</v>
      </c>
      <c r="F614" s="69">
        <v>2.247844018764845E-7</v>
      </c>
      <c r="G614" s="228">
        <v>4448707.2574968273</v>
      </c>
      <c r="H614" s="228">
        <v>0</v>
      </c>
      <c r="I614" s="69">
        <v>0</v>
      </c>
      <c r="J614" s="69">
        <f t="shared" si="9"/>
        <v>1.6052193302277827E-2</v>
      </c>
      <c r="K614" s="245"/>
      <c r="L614" s="162"/>
      <c r="M614" s="69"/>
      <c r="N614" s="162"/>
      <c r="O614" s="69"/>
      <c r="AM614" s="162"/>
      <c r="AN614" s="69"/>
    </row>
    <row r="615" spans="1:40">
      <c r="A615" s="269" t="s">
        <v>462</v>
      </c>
      <c r="B615" s="221" t="s">
        <v>474</v>
      </c>
      <c r="C615" s="221" t="s">
        <v>438</v>
      </c>
      <c r="D615" s="228">
        <v>524</v>
      </c>
      <c r="E615" s="228">
        <v>650</v>
      </c>
      <c r="F615" s="69">
        <v>2.247844018764845E-7</v>
      </c>
      <c r="G615" s="228">
        <v>4448707.2574968273</v>
      </c>
      <c r="H615" s="228">
        <v>0</v>
      </c>
      <c r="I615" s="69">
        <v>0</v>
      </c>
      <c r="J615" s="69">
        <f t="shared" si="9"/>
        <v>1.6052418086679704E-2</v>
      </c>
      <c r="K615" s="245"/>
      <c r="L615" s="162"/>
      <c r="M615" s="69"/>
      <c r="N615" s="162"/>
      <c r="O615" s="69"/>
      <c r="AM615" s="162"/>
      <c r="AN615" s="69"/>
    </row>
    <row r="616" spans="1:40">
      <c r="A616" s="269" t="s">
        <v>515</v>
      </c>
      <c r="B616" s="221" t="s">
        <v>474</v>
      </c>
      <c r="C616" s="221" t="s">
        <v>438</v>
      </c>
      <c r="D616" s="228">
        <v>524</v>
      </c>
      <c r="E616" s="228">
        <v>646</v>
      </c>
      <c r="F616" s="69">
        <v>2.247844018764845E-7</v>
      </c>
      <c r="G616" s="228">
        <v>4448707.2574968273</v>
      </c>
      <c r="H616" s="228">
        <v>0</v>
      </c>
      <c r="I616" s="69">
        <v>0</v>
      </c>
      <c r="J616" s="69">
        <f t="shared" si="9"/>
        <v>1.6052642871081581E-2</v>
      </c>
      <c r="K616" s="245"/>
      <c r="L616" s="162"/>
      <c r="M616" s="69"/>
      <c r="N616" s="162"/>
      <c r="O616" s="69"/>
      <c r="AM616" s="162"/>
      <c r="AN616" s="69"/>
    </row>
    <row r="617" spans="1:40">
      <c r="A617" s="269" t="s">
        <v>516</v>
      </c>
      <c r="B617" s="221" t="s">
        <v>474</v>
      </c>
      <c r="C617" s="221" t="s">
        <v>438</v>
      </c>
      <c r="D617" s="228">
        <v>524</v>
      </c>
      <c r="E617" s="228">
        <v>622</v>
      </c>
      <c r="F617" s="69">
        <v>2.247844018764845E-7</v>
      </c>
      <c r="G617" s="228">
        <v>4448707.2574968273</v>
      </c>
      <c r="H617" s="228">
        <v>0</v>
      </c>
      <c r="I617" s="69">
        <v>0</v>
      </c>
      <c r="J617" s="69">
        <f t="shared" si="9"/>
        <v>1.6052867655483458E-2</v>
      </c>
      <c r="K617" s="245"/>
      <c r="L617" s="162"/>
      <c r="M617" s="69"/>
      <c r="N617" s="162"/>
      <c r="O617" s="69"/>
      <c r="AM617" s="162"/>
      <c r="AN617" s="69"/>
    </row>
    <row r="618" spans="1:40">
      <c r="A618" s="269" t="s">
        <v>460</v>
      </c>
      <c r="B618" s="221" t="s">
        <v>1377</v>
      </c>
      <c r="C618" s="221" t="s">
        <v>438</v>
      </c>
      <c r="D618" s="228">
        <v>524</v>
      </c>
      <c r="E618" s="228">
        <v>890</v>
      </c>
      <c r="F618" s="69">
        <v>6.0691849198500013E-6</v>
      </c>
      <c r="G618" s="228">
        <v>164766.77069591</v>
      </c>
      <c r="H618" s="228">
        <v>0</v>
      </c>
      <c r="I618" s="69">
        <v>0</v>
      </c>
      <c r="J618" s="69">
        <f t="shared" si="9"/>
        <v>1.6058936840403309E-2</v>
      </c>
      <c r="K618" s="245"/>
      <c r="L618" s="162"/>
      <c r="M618" s="69"/>
      <c r="N618" s="162"/>
      <c r="O618" s="69"/>
      <c r="AM618" s="162"/>
      <c r="AN618" s="69"/>
    </row>
    <row r="619" spans="1:40">
      <c r="A619" s="269" t="s">
        <v>461</v>
      </c>
      <c r="B619" s="221" t="s">
        <v>1377</v>
      </c>
      <c r="C619" s="221" t="s">
        <v>438</v>
      </c>
      <c r="D619" s="228">
        <v>524</v>
      </c>
      <c r="E619" s="228">
        <v>806</v>
      </c>
      <c r="F619" s="69">
        <v>6.0691849198500013E-6</v>
      </c>
      <c r="G619" s="228">
        <v>164766.77069591</v>
      </c>
      <c r="H619" s="228">
        <v>0</v>
      </c>
      <c r="I619" s="69">
        <v>0</v>
      </c>
      <c r="J619" s="69">
        <f t="shared" si="9"/>
        <v>1.606500602532316E-2</v>
      </c>
      <c r="K619" s="245"/>
      <c r="L619" s="162"/>
      <c r="M619" s="69"/>
      <c r="N619" s="162"/>
      <c r="O619" s="69"/>
      <c r="AM619" s="162"/>
      <c r="AN619" s="69"/>
    </row>
    <row r="620" spans="1:40">
      <c r="A620" s="269" t="s">
        <v>462</v>
      </c>
      <c r="B620" s="221" t="s">
        <v>1377</v>
      </c>
      <c r="C620" s="221" t="s">
        <v>438</v>
      </c>
      <c r="D620" s="228">
        <v>524</v>
      </c>
      <c r="E620" s="228">
        <v>784</v>
      </c>
      <c r="F620" s="69">
        <v>6.0691849198500013E-6</v>
      </c>
      <c r="G620" s="228">
        <v>164766.77069591</v>
      </c>
      <c r="H620" s="228">
        <v>0</v>
      </c>
      <c r="I620" s="69">
        <v>0</v>
      </c>
      <c r="J620" s="69">
        <f t="shared" si="9"/>
        <v>1.6071075210243011E-2</v>
      </c>
      <c r="K620" s="245"/>
      <c r="L620" s="162"/>
      <c r="M620" s="69"/>
      <c r="N620" s="162"/>
      <c r="O620" s="69"/>
      <c r="AM620" s="162"/>
      <c r="AN620" s="69"/>
    </row>
    <row r="621" spans="1:40">
      <c r="A621" s="269" t="s">
        <v>515</v>
      </c>
      <c r="B621" s="221" t="s">
        <v>1377</v>
      </c>
      <c r="C621" s="221" t="s">
        <v>438</v>
      </c>
      <c r="D621" s="228">
        <v>525</v>
      </c>
      <c r="E621" s="228">
        <v>814</v>
      </c>
      <c r="F621" s="69">
        <v>6.0691849198500013E-6</v>
      </c>
      <c r="G621" s="228">
        <v>164766.77069591</v>
      </c>
      <c r="H621" s="228">
        <v>0</v>
      </c>
      <c r="I621" s="69">
        <v>0</v>
      </c>
      <c r="J621" s="69">
        <f t="shared" si="9"/>
        <v>1.6077144395162862E-2</v>
      </c>
      <c r="K621" s="245"/>
      <c r="L621" s="162"/>
      <c r="M621" s="69"/>
      <c r="N621" s="162"/>
      <c r="O621" s="69"/>
      <c r="AM621" s="162"/>
      <c r="AN621" s="69"/>
    </row>
    <row r="622" spans="1:40">
      <c r="A622" s="269" t="s">
        <v>516</v>
      </c>
      <c r="B622" s="221" t="s">
        <v>1377</v>
      </c>
      <c r="C622" s="221" t="s">
        <v>438</v>
      </c>
      <c r="D622" s="228">
        <v>524</v>
      </c>
      <c r="E622" s="228">
        <v>860</v>
      </c>
      <c r="F622" s="69">
        <v>6.0691849198500013E-6</v>
      </c>
      <c r="G622" s="228">
        <v>164766.77069591</v>
      </c>
      <c r="H622" s="228">
        <v>0</v>
      </c>
      <c r="I622" s="69">
        <v>0</v>
      </c>
      <c r="J622" s="69">
        <f t="shared" si="9"/>
        <v>1.6083213580082713E-2</v>
      </c>
      <c r="K622" s="245"/>
      <c r="L622" s="162"/>
      <c r="M622" s="69"/>
      <c r="N622" s="162"/>
      <c r="O622" s="69"/>
      <c r="AM622" s="162"/>
      <c r="AN622" s="69"/>
    </row>
    <row r="623" spans="1:40">
      <c r="A623" s="269" t="s">
        <v>460</v>
      </c>
      <c r="B623" s="221" t="s">
        <v>441</v>
      </c>
      <c r="C623" s="221" t="s">
        <v>476</v>
      </c>
      <c r="D623" s="228">
        <v>296</v>
      </c>
      <c r="E623" s="228">
        <v>844</v>
      </c>
      <c r="F623" s="69">
        <v>4.413146514749072E-6</v>
      </c>
      <c r="G623" s="228">
        <v>226595.69462693427</v>
      </c>
      <c r="H623" s="228">
        <v>0</v>
      </c>
      <c r="I623" s="69">
        <v>0</v>
      </c>
      <c r="J623" s="69">
        <f t="shared" si="9"/>
        <v>1.6087626726597463E-2</v>
      </c>
      <c r="L623" s="162"/>
      <c r="M623" s="69"/>
      <c r="AM623" s="162"/>
      <c r="AN623" s="69"/>
    </row>
    <row r="624" spans="1:40">
      <c r="A624" s="269" t="s">
        <v>461</v>
      </c>
      <c r="B624" s="221" t="s">
        <v>441</v>
      </c>
      <c r="C624" s="221" t="s">
        <v>476</v>
      </c>
      <c r="D624" s="228">
        <v>296</v>
      </c>
      <c r="E624" s="228">
        <v>866</v>
      </c>
      <c r="F624" s="69">
        <v>4.413146514749072E-6</v>
      </c>
      <c r="G624" s="228">
        <v>226595.69462693427</v>
      </c>
      <c r="H624" s="228">
        <v>0</v>
      </c>
      <c r="I624" s="69">
        <v>0</v>
      </c>
      <c r="J624" s="69">
        <f t="shared" si="9"/>
        <v>1.6092039873112213E-2</v>
      </c>
      <c r="L624" s="162"/>
      <c r="M624" s="69"/>
      <c r="AM624" s="162"/>
      <c r="AN624" s="69"/>
    </row>
    <row r="625" spans="1:40">
      <c r="A625" s="269" t="s">
        <v>515</v>
      </c>
      <c r="B625" s="221" t="s">
        <v>441</v>
      </c>
      <c r="C625" s="221" t="s">
        <v>476</v>
      </c>
      <c r="D625" s="228">
        <v>297</v>
      </c>
      <c r="E625" s="228">
        <v>890</v>
      </c>
      <c r="F625" s="69">
        <v>4.413146514749072E-6</v>
      </c>
      <c r="G625" s="228">
        <v>226595.69462693427</v>
      </c>
      <c r="H625" s="228">
        <v>0</v>
      </c>
      <c r="I625" s="69">
        <v>0</v>
      </c>
      <c r="J625" s="69">
        <f t="shared" si="9"/>
        <v>1.6096453019626963E-2</v>
      </c>
      <c r="L625" s="162"/>
      <c r="M625" s="69"/>
      <c r="AM625" s="162"/>
      <c r="AN625" s="69"/>
    </row>
    <row r="626" spans="1:40">
      <c r="A626" s="269" t="s">
        <v>460</v>
      </c>
      <c r="B626" s="221" t="s">
        <v>475</v>
      </c>
      <c r="C626" s="221" t="s">
        <v>476</v>
      </c>
      <c r="D626" s="228">
        <v>296</v>
      </c>
      <c r="E626" s="228">
        <v>564</v>
      </c>
      <c r="F626" s="69">
        <v>4.413146514749072E-6</v>
      </c>
      <c r="G626" s="228">
        <v>226595.69462693427</v>
      </c>
      <c r="H626" s="228">
        <v>0</v>
      </c>
      <c r="I626" s="69">
        <v>0</v>
      </c>
      <c r="J626" s="69">
        <f t="shared" si="9"/>
        <v>1.6100866166141713E-2</v>
      </c>
      <c r="L626" s="162"/>
      <c r="M626" s="69"/>
    </row>
    <row r="627" spans="1:40">
      <c r="A627" s="269" t="s">
        <v>461</v>
      </c>
      <c r="B627" s="221" t="s">
        <v>475</v>
      </c>
      <c r="C627" s="221" t="s">
        <v>476</v>
      </c>
      <c r="D627" s="228">
        <v>291</v>
      </c>
      <c r="E627" s="228">
        <v>604</v>
      </c>
      <c r="F627" s="69">
        <v>4.413146514749072E-6</v>
      </c>
      <c r="G627" s="228">
        <v>226595.69462693427</v>
      </c>
      <c r="H627" s="228">
        <v>0</v>
      </c>
      <c r="I627" s="69">
        <v>0</v>
      </c>
      <c r="J627" s="69">
        <f t="shared" si="9"/>
        <v>1.6105279312656463E-2</v>
      </c>
      <c r="L627" s="162"/>
      <c r="M627" s="69"/>
    </row>
    <row r="628" spans="1:40">
      <c r="A628" s="269" t="s">
        <v>462</v>
      </c>
      <c r="B628" s="221" t="s">
        <v>475</v>
      </c>
      <c r="C628" s="221" t="s">
        <v>476</v>
      </c>
      <c r="D628" s="228">
        <v>296</v>
      </c>
      <c r="E628" s="228">
        <v>614</v>
      </c>
      <c r="F628" s="69">
        <v>4.413146514749072E-6</v>
      </c>
      <c r="G628" s="228">
        <v>226595.69462693427</v>
      </c>
      <c r="H628" s="228">
        <v>0</v>
      </c>
      <c r="I628" s="69">
        <v>0</v>
      </c>
      <c r="J628" s="69">
        <f t="shared" si="9"/>
        <v>1.6109692459171213E-2</v>
      </c>
      <c r="L628" s="162"/>
      <c r="M628" s="69"/>
    </row>
    <row r="629" spans="1:40">
      <c r="A629" s="269" t="s">
        <v>515</v>
      </c>
      <c r="B629" s="221" t="s">
        <v>475</v>
      </c>
      <c r="C629" s="221" t="s">
        <v>476</v>
      </c>
      <c r="D629" s="228">
        <v>298</v>
      </c>
      <c r="E629" s="228">
        <v>606</v>
      </c>
      <c r="F629" s="69">
        <v>4.413146514749072E-6</v>
      </c>
      <c r="G629" s="228">
        <v>226595.69462693427</v>
      </c>
      <c r="H629" s="228">
        <v>0</v>
      </c>
      <c r="I629" s="69">
        <v>0</v>
      </c>
      <c r="J629" s="69">
        <f t="shared" si="9"/>
        <v>1.6114105605685963E-2</v>
      </c>
      <c r="L629" s="162"/>
      <c r="M629" s="69"/>
    </row>
    <row r="630" spans="1:40">
      <c r="A630" s="269" t="s">
        <v>516</v>
      </c>
      <c r="B630" s="221" t="s">
        <v>475</v>
      </c>
      <c r="C630" s="221" t="s">
        <v>476</v>
      </c>
      <c r="D630" s="228">
        <v>272</v>
      </c>
      <c r="E630" s="228">
        <v>638</v>
      </c>
      <c r="F630" s="69">
        <v>4.413146514749072E-6</v>
      </c>
      <c r="G630" s="228">
        <v>226595.69462693427</v>
      </c>
      <c r="H630" s="228">
        <v>0</v>
      </c>
      <c r="I630" s="69">
        <v>0</v>
      </c>
      <c r="J630" s="69">
        <f t="shared" si="9"/>
        <v>1.6118518752200713E-2</v>
      </c>
      <c r="L630" s="162"/>
      <c r="M630" s="69"/>
    </row>
    <row r="631" spans="1:40">
      <c r="A631" s="269" t="s">
        <v>460</v>
      </c>
      <c r="B631" s="221" t="s">
        <v>445</v>
      </c>
      <c r="C631" s="221" t="s">
        <v>476</v>
      </c>
      <c r="D631" s="228">
        <v>292</v>
      </c>
      <c r="E631" s="228">
        <v>618</v>
      </c>
      <c r="F631" s="69">
        <v>1.1915507505329999E-4</v>
      </c>
      <c r="G631" s="228">
        <v>8392.4247418977648</v>
      </c>
      <c r="H631" s="228">
        <v>0</v>
      </c>
      <c r="I631" s="69">
        <v>0</v>
      </c>
      <c r="J631" s="69">
        <f t="shared" si="9"/>
        <v>1.6237673827254013E-2</v>
      </c>
      <c r="L631" s="162"/>
      <c r="M631" s="69"/>
    </row>
    <row r="632" spans="1:40">
      <c r="A632" s="269" t="s">
        <v>461</v>
      </c>
      <c r="B632" s="221" t="s">
        <v>445</v>
      </c>
      <c r="C632" s="221" t="s">
        <v>476</v>
      </c>
      <c r="D632" s="228">
        <v>297</v>
      </c>
      <c r="E632" s="228">
        <v>602</v>
      </c>
      <c r="F632" s="69">
        <v>1.1915507505329999E-4</v>
      </c>
      <c r="G632" s="228">
        <v>8392.4247418977648</v>
      </c>
      <c r="H632" s="228">
        <v>0</v>
      </c>
      <c r="I632" s="69">
        <v>0</v>
      </c>
      <c r="J632" s="69">
        <f t="shared" si="9"/>
        <v>1.6356828902307313E-2</v>
      </c>
      <c r="L632" s="162"/>
      <c r="M632" s="69"/>
    </row>
    <row r="633" spans="1:40">
      <c r="A633" s="269" t="s">
        <v>462</v>
      </c>
      <c r="B633" s="221" t="s">
        <v>445</v>
      </c>
      <c r="C633" s="221" t="s">
        <v>476</v>
      </c>
      <c r="D633" s="228">
        <v>274</v>
      </c>
      <c r="E633" s="228">
        <v>622</v>
      </c>
      <c r="F633" s="69">
        <v>1.1915507505329999E-4</v>
      </c>
      <c r="G633" s="228">
        <v>8392.4247418977648</v>
      </c>
      <c r="H633" s="228">
        <v>0</v>
      </c>
      <c r="I633" s="69">
        <v>0</v>
      </c>
      <c r="J633" s="69">
        <f t="shared" si="9"/>
        <v>1.6475983977360612E-2</v>
      </c>
      <c r="L633" s="162"/>
      <c r="M633" s="69"/>
    </row>
    <row r="634" spans="1:40">
      <c r="A634" s="269" t="s">
        <v>515</v>
      </c>
      <c r="B634" s="221" t="s">
        <v>445</v>
      </c>
      <c r="C634" s="221" t="s">
        <v>476</v>
      </c>
      <c r="D634" s="228">
        <v>296</v>
      </c>
      <c r="E634" s="228">
        <v>596</v>
      </c>
      <c r="F634" s="69">
        <v>1.1915507505329999E-4</v>
      </c>
      <c r="G634" s="228">
        <v>8392.4247418977648</v>
      </c>
      <c r="H634" s="228">
        <v>0</v>
      </c>
      <c r="I634" s="69">
        <v>0</v>
      </c>
      <c r="J634" s="69">
        <f t="shared" si="9"/>
        <v>1.6595139052413912E-2</v>
      </c>
      <c r="L634" s="162"/>
      <c r="M634" s="69"/>
    </row>
    <row r="635" spans="1:40">
      <c r="A635" s="269" t="s">
        <v>516</v>
      </c>
      <c r="B635" s="221" t="s">
        <v>445</v>
      </c>
      <c r="C635" s="221" t="s">
        <v>476</v>
      </c>
      <c r="D635" s="228">
        <v>296</v>
      </c>
      <c r="E635" s="228">
        <v>646</v>
      </c>
      <c r="F635" s="69">
        <v>1.1915507505329999E-4</v>
      </c>
      <c r="G635" s="228">
        <v>8392.4247418977648</v>
      </c>
      <c r="H635" s="228">
        <v>0</v>
      </c>
      <c r="I635" s="69">
        <v>0</v>
      </c>
      <c r="J635" s="69">
        <f t="shared" si="9"/>
        <v>1.6714294127467211E-2</v>
      </c>
      <c r="L635" s="162"/>
      <c r="M635" s="69"/>
    </row>
    <row r="636" spans="1:40">
      <c r="A636" s="269" t="s">
        <v>460</v>
      </c>
      <c r="B636" s="221" t="s">
        <v>475</v>
      </c>
      <c r="C636" s="221" t="s">
        <v>442</v>
      </c>
      <c r="D636" s="228">
        <v>525</v>
      </c>
      <c r="E636" s="228">
        <v>742</v>
      </c>
      <c r="F636" s="69">
        <v>4.4577237522717891E-8</v>
      </c>
      <c r="G636" s="228">
        <v>22432973.768066496</v>
      </c>
      <c r="H636" s="228">
        <v>0</v>
      </c>
      <c r="I636" s="69">
        <v>0</v>
      </c>
      <c r="J636" s="69">
        <f t="shared" si="9"/>
        <v>1.6714338704704734E-2</v>
      </c>
      <c r="L636" s="162"/>
      <c r="M636" s="69"/>
    </row>
    <row r="637" spans="1:40">
      <c r="A637" s="269" t="s">
        <v>461</v>
      </c>
      <c r="B637" s="221" t="s">
        <v>475</v>
      </c>
      <c r="C637" s="221" t="s">
        <v>442</v>
      </c>
      <c r="D637" s="228">
        <v>524</v>
      </c>
      <c r="E637" s="228">
        <v>718</v>
      </c>
      <c r="F637" s="69">
        <v>4.4577237522717891E-8</v>
      </c>
      <c r="G637" s="228">
        <v>22432973.768066496</v>
      </c>
      <c r="H637" s="228">
        <v>0</v>
      </c>
      <c r="I637" s="69">
        <v>0</v>
      </c>
      <c r="J637" s="69">
        <f t="shared" si="9"/>
        <v>1.6714383281942257E-2</v>
      </c>
      <c r="L637" s="162"/>
      <c r="M637" s="69"/>
    </row>
    <row r="638" spans="1:40">
      <c r="A638" s="269" t="s">
        <v>462</v>
      </c>
      <c r="B638" s="221" t="s">
        <v>475</v>
      </c>
      <c r="C638" s="221" t="s">
        <v>442</v>
      </c>
      <c r="D638" s="228">
        <v>524</v>
      </c>
      <c r="E638" s="228">
        <v>652</v>
      </c>
      <c r="F638" s="69">
        <v>4.4577237522717891E-8</v>
      </c>
      <c r="G638" s="228">
        <v>22432973.768066496</v>
      </c>
      <c r="H638" s="228">
        <v>0</v>
      </c>
      <c r="I638" s="69">
        <v>0</v>
      </c>
      <c r="J638" s="69">
        <f t="shared" si="9"/>
        <v>1.671442785917978E-2</v>
      </c>
      <c r="L638" s="162"/>
      <c r="M638" s="69"/>
    </row>
    <row r="639" spans="1:40">
      <c r="A639" s="269" t="s">
        <v>515</v>
      </c>
      <c r="B639" s="221" t="s">
        <v>475</v>
      </c>
      <c r="C639" s="221" t="s">
        <v>442</v>
      </c>
      <c r="D639" s="228">
        <v>524</v>
      </c>
      <c r="E639" s="228">
        <v>796</v>
      </c>
      <c r="F639" s="69">
        <v>4.4577237522717891E-8</v>
      </c>
      <c r="G639" s="228">
        <v>22432973.768066496</v>
      </c>
      <c r="H639" s="228">
        <v>0</v>
      </c>
      <c r="I639" s="69">
        <v>0</v>
      </c>
      <c r="J639" s="69">
        <f t="shared" si="9"/>
        <v>1.6714472436417303E-2</v>
      </c>
      <c r="L639" s="162"/>
      <c r="M639" s="69"/>
    </row>
    <row r="640" spans="1:40">
      <c r="A640" s="269" t="s">
        <v>516</v>
      </c>
      <c r="B640" s="221" t="s">
        <v>475</v>
      </c>
      <c r="C640" s="221" t="s">
        <v>442</v>
      </c>
      <c r="D640" s="228">
        <v>524</v>
      </c>
      <c r="E640" s="228">
        <v>644</v>
      </c>
      <c r="F640" s="69">
        <v>4.4577237522717891E-8</v>
      </c>
      <c r="G640" s="228">
        <v>22432973.768066496</v>
      </c>
      <c r="H640" s="228">
        <v>0</v>
      </c>
      <c r="I640" s="69">
        <v>0</v>
      </c>
      <c r="J640" s="69">
        <f t="shared" si="9"/>
        <v>1.6714517013654825E-2</v>
      </c>
      <c r="L640" s="162"/>
      <c r="M640" s="69"/>
    </row>
    <row r="641" spans="1:13">
      <c r="A641" s="269" t="s">
        <v>461</v>
      </c>
      <c r="B641" s="221" t="s">
        <v>444</v>
      </c>
      <c r="C641" s="221" t="s">
        <v>442</v>
      </c>
      <c r="D641" s="228">
        <v>524</v>
      </c>
      <c r="E641" s="228">
        <v>856</v>
      </c>
      <c r="F641" s="69">
        <v>1.2035866167E-6</v>
      </c>
      <c r="G641" s="228">
        <v>830850.04944787861</v>
      </c>
      <c r="H641" s="228">
        <v>0</v>
      </c>
      <c r="I641" s="69">
        <v>0</v>
      </c>
      <c r="J641" s="69">
        <f t="shared" si="9"/>
        <v>1.6715720600271527E-2</v>
      </c>
      <c r="L641" s="162"/>
      <c r="M641" s="69"/>
    </row>
    <row r="642" spans="1:13">
      <c r="A642" s="269" t="s">
        <v>460</v>
      </c>
      <c r="B642" s="221" t="s">
        <v>1379</v>
      </c>
      <c r="C642" s="221" t="s">
        <v>450</v>
      </c>
      <c r="D642" s="228">
        <v>292</v>
      </c>
      <c r="E642" s="228">
        <v>618</v>
      </c>
      <c r="F642" s="69">
        <v>4.0752984343500006E-6</v>
      </c>
      <c r="G642" s="228">
        <v>245380.80243919545</v>
      </c>
      <c r="H642" s="228">
        <v>0</v>
      </c>
      <c r="I642" s="69">
        <v>0</v>
      </c>
      <c r="J642" s="69">
        <f t="shared" si="9"/>
        <v>1.6719795898705876E-2</v>
      </c>
      <c r="L642" s="162"/>
      <c r="M642" s="69"/>
    </row>
    <row r="643" spans="1:13">
      <c r="A643" s="269" t="s">
        <v>461</v>
      </c>
      <c r="B643" s="221" t="s">
        <v>1379</v>
      </c>
      <c r="C643" s="221" t="s">
        <v>450</v>
      </c>
      <c r="D643" s="228">
        <v>297</v>
      </c>
      <c r="E643" s="228">
        <v>598</v>
      </c>
      <c r="F643" s="69">
        <v>4.0752984343500006E-6</v>
      </c>
      <c r="G643" s="228">
        <v>245380.80243919545</v>
      </c>
      <c r="H643" s="228">
        <v>0</v>
      </c>
      <c r="I643" s="69">
        <v>0</v>
      </c>
      <c r="J643" s="69">
        <f t="shared" ref="J643:J706" si="10">J642+F643</f>
        <v>1.6723871197140226E-2</v>
      </c>
      <c r="L643" s="162"/>
      <c r="M643" s="69"/>
    </row>
    <row r="644" spans="1:13">
      <c r="A644" s="269" t="s">
        <v>462</v>
      </c>
      <c r="B644" s="221" t="s">
        <v>1379</v>
      </c>
      <c r="C644" s="221" t="s">
        <v>450</v>
      </c>
      <c r="D644" s="228">
        <v>274</v>
      </c>
      <c r="E644" s="228">
        <v>620</v>
      </c>
      <c r="F644" s="69">
        <v>4.0752984343500006E-6</v>
      </c>
      <c r="G644" s="228">
        <v>245380.80243919545</v>
      </c>
      <c r="H644" s="228">
        <v>0</v>
      </c>
      <c r="I644" s="69">
        <v>0</v>
      </c>
      <c r="J644" s="69">
        <f t="shared" si="10"/>
        <v>1.6727946495574575E-2</v>
      </c>
      <c r="L644" s="162"/>
      <c r="M644" s="69"/>
    </row>
    <row r="645" spans="1:13">
      <c r="A645" s="269" t="s">
        <v>515</v>
      </c>
      <c r="B645" s="221" t="s">
        <v>1379</v>
      </c>
      <c r="C645" s="221" t="s">
        <v>450</v>
      </c>
      <c r="D645" s="228">
        <v>296</v>
      </c>
      <c r="E645" s="228">
        <v>588</v>
      </c>
      <c r="F645" s="69">
        <v>4.0752984343500006E-6</v>
      </c>
      <c r="G645" s="228">
        <v>245380.80243919545</v>
      </c>
      <c r="H645" s="228">
        <v>0</v>
      </c>
      <c r="I645" s="69">
        <v>0</v>
      </c>
      <c r="J645" s="69">
        <f t="shared" si="10"/>
        <v>1.6732021794008924E-2</v>
      </c>
      <c r="L645" s="162"/>
      <c r="M645" s="69"/>
    </row>
    <row r="646" spans="1:13">
      <c r="A646" s="269" t="s">
        <v>516</v>
      </c>
      <c r="B646" s="221" t="s">
        <v>1379</v>
      </c>
      <c r="C646" s="221" t="s">
        <v>450</v>
      </c>
      <c r="D646" s="228">
        <v>296</v>
      </c>
      <c r="E646" s="228">
        <v>646</v>
      </c>
      <c r="F646" s="69">
        <v>4.0752984343500006E-6</v>
      </c>
      <c r="G646" s="228">
        <v>245380.80243919545</v>
      </c>
      <c r="H646" s="228">
        <v>0</v>
      </c>
      <c r="I646" s="69">
        <v>0</v>
      </c>
      <c r="J646" s="69">
        <f t="shared" si="10"/>
        <v>1.6736097092443274E-2</v>
      </c>
      <c r="L646" s="162"/>
      <c r="M646" s="69"/>
    </row>
    <row r="647" spans="1:13">
      <c r="A647" s="269" t="s">
        <v>465</v>
      </c>
      <c r="B647" s="221" t="s">
        <v>473</v>
      </c>
      <c r="C647" s="221" t="s">
        <v>508</v>
      </c>
      <c r="D647" s="228">
        <v>389</v>
      </c>
      <c r="E647" s="228">
        <v>1110</v>
      </c>
      <c r="F647" s="69">
        <v>2.225365578577196E-5</v>
      </c>
      <c r="G647" s="228">
        <v>44936.436944412402</v>
      </c>
      <c r="H647" s="228">
        <v>0</v>
      </c>
      <c r="I647" s="69">
        <v>0</v>
      </c>
      <c r="J647" s="69">
        <f t="shared" si="10"/>
        <v>1.6758350748229046E-2</v>
      </c>
      <c r="L647" s="162"/>
      <c r="M647" s="69"/>
    </row>
    <row r="648" spans="1:13">
      <c r="A648" s="269" t="s">
        <v>464</v>
      </c>
      <c r="B648" s="221" t="s">
        <v>474</v>
      </c>
      <c r="C648" s="221" t="s">
        <v>508</v>
      </c>
      <c r="D648" s="228">
        <v>390</v>
      </c>
      <c r="E648" s="228">
        <v>802</v>
      </c>
      <c r="F648" s="69">
        <v>2.225365578577196E-5</v>
      </c>
      <c r="G648" s="228">
        <v>44936.436944412402</v>
      </c>
      <c r="H648" s="228">
        <v>0</v>
      </c>
      <c r="I648" s="69">
        <v>0</v>
      </c>
      <c r="J648" s="69">
        <f t="shared" si="10"/>
        <v>1.6780604404014819E-2</v>
      </c>
      <c r="L648" s="162"/>
      <c r="M648" s="69"/>
    </row>
    <row r="649" spans="1:13">
      <c r="A649" s="269" t="s">
        <v>465</v>
      </c>
      <c r="B649" s="221" t="s">
        <v>474</v>
      </c>
      <c r="C649" s="221" t="s">
        <v>508</v>
      </c>
      <c r="D649" s="228">
        <v>388</v>
      </c>
      <c r="E649" s="228">
        <v>730</v>
      </c>
      <c r="F649" s="69">
        <v>2.225365578577196E-5</v>
      </c>
      <c r="G649" s="228">
        <v>44936.436944412402</v>
      </c>
      <c r="H649" s="228">
        <v>0</v>
      </c>
      <c r="I649" s="69">
        <v>0</v>
      </c>
      <c r="J649" s="69">
        <f t="shared" si="10"/>
        <v>1.6802858059800592E-2</v>
      </c>
      <c r="L649" s="162"/>
      <c r="M649" s="69"/>
    </row>
    <row r="650" spans="1:13">
      <c r="A650" s="269" t="s">
        <v>463</v>
      </c>
      <c r="B650" s="221" t="s">
        <v>474</v>
      </c>
      <c r="C650" s="221" t="s">
        <v>508</v>
      </c>
      <c r="D650" s="228">
        <v>387</v>
      </c>
      <c r="E650" s="228">
        <v>756</v>
      </c>
      <c r="F650" s="69">
        <v>2.225365578577196E-5</v>
      </c>
      <c r="G650" s="228">
        <v>44936.436944412402</v>
      </c>
      <c r="H650" s="228">
        <v>0</v>
      </c>
      <c r="I650" s="69">
        <v>0</v>
      </c>
      <c r="J650" s="69">
        <f t="shared" si="10"/>
        <v>1.6825111715586365E-2</v>
      </c>
      <c r="L650" s="162"/>
      <c r="M650" s="69"/>
    </row>
    <row r="651" spans="1:13">
      <c r="A651" s="269" t="s">
        <v>517</v>
      </c>
      <c r="B651" s="221" t="s">
        <v>474</v>
      </c>
      <c r="C651" s="221" t="s">
        <v>508</v>
      </c>
      <c r="D651" s="228">
        <v>387</v>
      </c>
      <c r="E651" s="228">
        <v>760</v>
      </c>
      <c r="F651" s="69">
        <v>2.225365578577196E-5</v>
      </c>
      <c r="G651" s="228">
        <v>44936.436944412402</v>
      </c>
      <c r="H651" s="228">
        <v>0</v>
      </c>
      <c r="I651" s="69">
        <v>0</v>
      </c>
      <c r="J651" s="69">
        <f t="shared" si="10"/>
        <v>1.6847365371372137E-2</v>
      </c>
      <c r="L651" s="162"/>
      <c r="M651" s="69"/>
    </row>
    <row r="652" spans="1:13">
      <c r="A652" s="269" t="s">
        <v>518</v>
      </c>
      <c r="B652" s="221" t="s">
        <v>474</v>
      </c>
      <c r="C652" s="221" t="s">
        <v>508</v>
      </c>
      <c r="D652" s="228">
        <v>387</v>
      </c>
      <c r="E652" s="228">
        <v>764</v>
      </c>
      <c r="F652" s="69">
        <v>2.225365578577196E-5</v>
      </c>
      <c r="G652" s="228">
        <v>44936.436944412402</v>
      </c>
      <c r="H652" s="228">
        <v>0</v>
      </c>
      <c r="I652" s="69">
        <v>0</v>
      </c>
      <c r="J652" s="69">
        <f t="shared" si="10"/>
        <v>1.686961902715791E-2</v>
      </c>
      <c r="L652" s="162"/>
      <c r="M652" s="69"/>
    </row>
    <row r="653" spans="1:13">
      <c r="A653" s="269" t="s">
        <v>464</v>
      </c>
      <c r="B653" s="221" t="s">
        <v>440</v>
      </c>
      <c r="C653" s="221" t="s">
        <v>508</v>
      </c>
      <c r="D653" s="228">
        <v>392</v>
      </c>
      <c r="E653" s="228">
        <v>776</v>
      </c>
      <c r="F653" s="69">
        <v>6.0084930706515009E-4</v>
      </c>
      <c r="G653" s="228">
        <v>1664.3108151102019</v>
      </c>
      <c r="H653" s="228">
        <v>0</v>
      </c>
      <c r="I653" s="69">
        <v>0</v>
      </c>
      <c r="J653" s="69">
        <f t="shared" si="10"/>
        <v>1.7470468334223062E-2</v>
      </c>
      <c r="L653" s="162"/>
      <c r="M653" s="69"/>
    </row>
    <row r="654" spans="1:13">
      <c r="A654" s="269" t="s">
        <v>465</v>
      </c>
      <c r="B654" s="221" t="s">
        <v>440</v>
      </c>
      <c r="C654" s="221" t="s">
        <v>508</v>
      </c>
      <c r="D654" s="228">
        <v>388</v>
      </c>
      <c r="E654" s="228">
        <v>744</v>
      </c>
      <c r="F654" s="69">
        <v>6.0084930706515009E-4</v>
      </c>
      <c r="G654" s="228">
        <v>1664.3108151102019</v>
      </c>
      <c r="H654" s="228">
        <v>0</v>
      </c>
      <c r="I654" s="69">
        <v>0</v>
      </c>
      <c r="J654" s="69">
        <f t="shared" si="10"/>
        <v>1.8071317641288213E-2</v>
      </c>
      <c r="L654" s="162"/>
      <c r="M654" s="69"/>
    </row>
    <row r="655" spans="1:13">
      <c r="A655" s="269" t="s">
        <v>463</v>
      </c>
      <c r="B655" s="221" t="s">
        <v>440</v>
      </c>
      <c r="C655" s="221" t="s">
        <v>508</v>
      </c>
      <c r="D655" s="228">
        <v>363</v>
      </c>
      <c r="E655" s="228">
        <v>900</v>
      </c>
      <c r="F655" s="69">
        <v>6.0084930706515009E-4</v>
      </c>
      <c r="G655" s="228">
        <v>1664.3108151102019</v>
      </c>
      <c r="H655" s="228">
        <v>0</v>
      </c>
      <c r="I655" s="69">
        <v>0</v>
      </c>
      <c r="J655" s="69">
        <f t="shared" si="10"/>
        <v>1.8672166948353365E-2</v>
      </c>
      <c r="L655" s="162"/>
      <c r="M655" s="69"/>
    </row>
    <row r="656" spans="1:13">
      <c r="A656" s="269" t="s">
        <v>517</v>
      </c>
      <c r="B656" s="221" t="s">
        <v>440</v>
      </c>
      <c r="C656" s="221" t="s">
        <v>508</v>
      </c>
      <c r="D656" s="228">
        <v>390</v>
      </c>
      <c r="E656" s="228">
        <v>790</v>
      </c>
      <c r="F656" s="69">
        <v>6.0084930706515009E-4</v>
      </c>
      <c r="G656" s="228">
        <v>1664.3108151102019</v>
      </c>
      <c r="H656" s="228">
        <v>0</v>
      </c>
      <c r="I656" s="69">
        <v>0</v>
      </c>
      <c r="J656" s="69">
        <f t="shared" si="10"/>
        <v>1.9273016255418517E-2</v>
      </c>
      <c r="L656" s="162"/>
      <c r="M656" s="69"/>
    </row>
    <row r="657" spans="1:13">
      <c r="A657" s="269" t="s">
        <v>518</v>
      </c>
      <c r="B657" s="221" t="s">
        <v>440</v>
      </c>
      <c r="C657" s="221" t="s">
        <v>508</v>
      </c>
      <c r="D657" s="228">
        <v>391</v>
      </c>
      <c r="E657" s="228">
        <v>754</v>
      </c>
      <c r="F657" s="69">
        <v>6.0084930706515009E-4</v>
      </c>
      <c r="G657" s="228">
        <v>1664.3108151102019</v>
      </c>
      <c r="H657" s="228">
        <v>0</v>
      </c>
      <c r="I657" s="69">
        <v>0</v>
      </c>
      <c r="J657" s="69">
        <f t="shared" si="10"/>
        <v>1.9873865562483668E-2</v>
      </c>
      <c r="L657" s="162"/>
      <c r="M657" s="69"/>
    </row>
    <row r="658" spans="1:13">
      <c r="A658" s="269" t="s">
        <v>464</v>
      </c>
      <c r="B658" s="221" t="s">
        <v>474</v>
      </c>
      <c r="C658" s="221" t="s">
        <v>438</v>
      </c>
      <c r="D658" s="228">
        <v>524</v>
      </c>
      <c r="E658" s="228">
        <v>840</v>
      </c>
      <c r="F658" s="69">
        <v>2.247844018764845E-7</v>
      </c>
      <c r="G658" s="228">
        <v>4448707.2574968273</v>
      </c>
      <c r="H658" s="228">
        <v>0</v>
      </c>
      <c r="I658" s="69">
        <v>0</v>
      </c>
      <c r="J658" s="69">
        <f t="shared" si="10"/>
        <v>1.9874090346885545E-2</v>
      </c>
      <c r="L658" s="162"/>
      <c r="M658" s="69"/>
    </row>
    <row r="659" spans="1:13">
      <c r="A659" s="269" t="s">
        <v>465</v>
      </c>
      <c r="B659" s="221" t="s">
        <v>474</v>
      </c>
      <c r="C659" s="221" t="s">
        <v>438</v>
      </c>
      <c r="D659" s="228">
        <v>525</v>
      </c>
      <c r="E659" s="228">
        <v>758</v>
      </c>
      <c r="F659" s="69">
        <v>2.247844018764845E-7</v>
      </c>
      <c r="G659" s="228">
        <v>4448707.2574968273</v>
      </c>
      <c r="H659" s="228">
        <v>0</v>
      </c>
      <c r="I659" s="69">
        <v>0</v>
      </c>
      <c r="J659" s="69">
        <f t="shared" si="10"/>
        <v>1.9874315131287422E-2</v>
      </c>
      <c r="L659" s="162"/>
      <c r="M659" s="69"/>
    </row>
    <row r="660" spans="1:13">
      <c r="A660" s="269" t="s">
        <v>463</v>
      </c>
      <c r="B660" s="221" t="s">
        <v>474</v>
      </c>
      <c r="C660" s="221" t="s">
        <v>438</v>
      </c>
      <c r="D660" s="228">
        <v>524</v>
      </c>
      <c r="E660" s="228">
        <v>784</v>
      </c>
      <c r="F660" s="69">
        <v>2.247844018764845E-7</v>
      </c>
      <c r="G660" s="228">
        <v>4448707.2574968273</v>
      </c>
      <c r="H660" s="228">
        <v>0</v>
      </c>
      <c r="I660" s="69">
        <v>0</v>
      </c>
      <c r="J660" s="69">
        <f t="shared" si="10"/>
        <v>1.9874539915689299E-2</v>
      </c>
      <c r="L660" s="162"/>
      <c r="M660" s="69"/>
    </row>
    <row r="661" spans="1:13">
      <c r="A661" s="269" t="s">
        <v>517</v>
      </c>
      <c r="B661" s="221" t="s">
        <v>474</v>
      </c>
      <c r="C661" s="221" t="s">
        <v>438</v>
      </c>
      <c r="D661" s="228">
        <v>524</v>
      </c>
      <c r="E661" s="228">
        <v>752</v>
      </c>
      <c r="F661" s="69">
        <v>2.247844018764845E-7</v>
      </c>
      <c r="G661" s="228">
        <v>4448707.2574968273</v>
      </c>
      <c r="H661" s="228">
        <v>0</v>
      </c>
      <c r="I661" s="69">
        <v>0</v>
      </c>
      <c r="J661" s="69">
        <f t="shared" si="10"/>
        <v>1.9874764700091176E-2</v>
      </c>
      <c r="L661" s="162"/>
      <c r="M661" s="69"/>
    </row>
    <row r="662" spans="1:13">
      <c r="A662" s="269" t="s">
        <v>518</v>
      </c>
      <c r="B662" s="221" t="s">
        <v>474</v>
      </c>
      <c r="C662" s="221" t="s">
        <v>438</v>
      </c>
      <c r="D662" s="228">
        <v>524</v>
      </c>
      <c r="E662" s="228">
        <v>762</v>
      </c>
      <c r="F662" s="69">
        <v>2.247844018764845E-7</v>
      </c>
      <c r="G662" s="228">
        <v>4448707.2574968273</v>
      </c>
      <c r="H662" s="228">
        <v>0</v>
      </c>
      <c r="I662" s="69">
        <v>0</v>
      </c>
      <c r="J662" s="69">
        <f t="shared" si="10"/>
        <v>1.9874989484493052E-2</v>
      </c>
      <c r="L662" s="162"/>
      <c r="M662" s="69"/>
    </row>
    <row r="663" spans="1:13">
      <c r="A663" s="269" t="s">
        <v>464</v>
      </c>
      <c r="B663" s="221" t="s">
        <v>475</v>
      </c>
      <c r="C663" s="221" t="s">
        <v>476</v>
      </c>
      <c r="D663" s="228">
        <v>390</v>
      </c>
      <c r="E663" s="228">
        <v>802</v>
      </c>
      <c r="F663" s="69">
        <v>4.413146514749072E-6</v>
      </c>
      <c r="G663" s="228">
        <v>226595.69462693427</v>
      </c>
      <c r="H663" s="228">
        <v>0</v>
      </c>
      <c r="I663" s="69">
        <v>0</v>
      </c>
      <c r="J663" s="69">
        <f t="shared" si="10"/>
        <v>1.9879402631007802E-2</v>
      </c>
      <c r="L663" s="162"/>
      <c r="M663" s="69"/>
    </row>
    <row r="664" spans="1:13">
      <c r="A664" s="269" t="s">
        <v>465</v>
      </c>
      <c r="B664" s="221" t="s">
        <v>475</v>
      </c>
      <c r="C664" s="221" t="s">
        <v>476</v>
      </c>
      <c r="D664" s="228">
        <v>388</v>
      </c>
      <c r="E664" s="228">
        <v>730</v>
      </c>
      <c r="F664" s="69">
        <v>4.413146514749072E-6</v>
      </c>
      <c r="G664" s="228">
        <v>226595.69462693427</v>
      </c>
      <c r="H664" s="228">
        <v>0</v>
      </c>
      <c r="I664" s="69">
        <v>0</v>
      </c>
      <c r="J664" s="69">
        <f t="shared" si="10"/>
        <v>1.9883815777522552E-2</v>
      </c>
      <c r="L664" s="162"/>
      <c r="M664" s="69"/>
    </row>
    <row r="665" spans="1:13">
      <c r="A665" s="269" t="s">
        <v>463</v>
      </c>
      <c r="B665" s="221" t="s">
        <v>475</v>
      </c>
      <c r="C665" s="221" t="s">
        <v>476</v>
      </c>
      <c r="D665" s="228">
        <v>387</v>
      </c>
      <c r="E665" s="228">
        <v>756</v>
      </c>
      <c r="F665" s="69">
        <v>4.413146514749072E-6</v>
      </c>
      <c r="G665" s="228">
        <v>226595.69462693427</v>
      </c>
      <c r="H665" s="228">
        <v>0</v>
      </c>
      <c r="I665" s="69">
        <v>0</v>
      </c>
      <c r="J665" s="69">
        <f t="shared" si="10"/>
        <v>1.9888228924037302E-2</v>
      </c>
      <c r="L665" s="162"/>
      <c r="M665" s="69"/>
    </row>
    <row r="666" spans="1:13">
      <c r="A666" s="269" t="s">
        <v>517</v>
      </c>
      <c r="B666" s="221" t="s">
        <v>475</v>
      </c>
      <c r="C666" s="221" t="s">
        <v>476</v>
      </c>
      <c r="D666" s="228">
        <v>387</v>
      </c>
      <c r="E666" s="228">
        <v>760</v>
      </c>
      <c r="F666" s="69">
        <v>4.413146514749072E-6</v>
      </c>
      <c r="G666" s="228">
        <v>226595.69462693427</v>
      </c>
      <c r="H666" s="228">
        <v>0</v>
      </c>
      <c r="I666" s="69">
        <v>0</v>
      </c>
      <c r="J666" s="69">
        <f t="shared" si="10"/>
        <v>1.9892642070552052E-2</v>
      </c>
      <c r="L666" s="162"/>
      <c r="M666" s="69"/>
    </row>
    <row r="667" spans="1:13">
      <c r="A667" s="269" t="s">
        <v>518</v>
      </c>
      <c r="B667" s="221" t="s">
        <v>475</v>
      </c>
      <c r="C667" s="221" t="s">
        <v>476</v>
      </c>
      <c r="D667" s="228">
        <v>387</v>
      </c>
      <c r="E667" s="228">
        <v>764</v>
      </c>
      <c r="F667" s="69">
        <v>4.413146514749072E-6</v>
      </c>
      <c r="G667" s="228">
        <v>226595.69462693427</v>
      </c>
      <c r="H667" s="228">
        <v>0</v>
      </c>
      <c r="I667" s="69">
        <v>0</v>
      </c>
      <c r="J667" s="69">
        <f t="shared" si="10"/>
        <v>1.9897055217066802E-2</v>
      </c>
      <c r="L667" s="162"/>
      <c r="M667" s="69"/>
    </row>
    <row r="668" spans="1:13">
      <c r="A668" s="269" t="s">
        <v>464</v>
      </c>
      <c r="B668" s="221" t="s">
        <v>445</v>
      </c>
      <c r="C668" s="221" t="s">
        <v>476</v>
      </c>
      <c r="D668" s="228">
        <v>392</v>
      </c>
      <c r="E668" s="228">
        <v>772</v>
      </c>
      <c r="F668" s="69">
        <v>1.1915507505329999E-4</v>
      </c>
      <c r="G668" s="228">
        <v>8392.4247418977648</v>
      </c>
      <c r="H668" s="228">
        <v>0</v>
      </c>
      <c r="I668" s="69">
        <v>0</v>
      </c>
      <c r="J668" s="69">
        <f t="shared" si="10"/>
        <v>2.0016210292120102E-2</v>
      </c>
      <c r="L668" s="162"/>
      <c r="M668" s="69"/>
    </row>
    <row r="669" spans="1:13">
      <c r="A669" s="269" t="s">
        <v>465</v>
      </c>
      <c r="B669" s="221" t="s">
        <v>445</v>
      </c>
      <c r="C669" s="221" t="s">
        <v>476</v>
      </c>
      <c r="D669" s="228">
        <v>388</v>
      </c>
      <c r="E669" s="228">
        <v>744</v>
      </c>
      <c r="F669" s="69">
        <v>1.1915507505329999E-4</v>
      </c>
      <c r="G669" s="228">
        <v>8392.4247418977648</v>
      </c>
      <c r="H669" s="228">
        <v>0</v>
      </c>
      <c r="I669" s="69">
        <v>0</v>
      </c>
      <c r="J669" s="69">
        <f t="shared" si="10"/>
        <v>2.0135365367173402E-2</v>
      </c>
      <c r="L669" s="162"/>
      <c r="M669" s="69"/>
    </row>
    <row r="670" spans="1:13">
      <c r="A670" s="269" t="s">
        <v>463</v>
      </c>
      <c r="B670" s="221" t="s">
        <v>445</v>
      </c>
      <c r="C670" s="221" t="s">
        <v>476</v>
      </c>
      <c r="D670" s="228">
        <v>363</v>
      </c>
      <c r="E670" s="228">
        <v>900</v>
      </c>
      <c r="F670" s="69">
        <v>1.1915507505329999E-4</v>
      </c>
      <c r="G670" s="228">
        <v>8392.4247418977648</v>
      </c>
      <c r="H670" s="228">
        <v>0</v>
      </c>
      <c r="I670" s="69">
        <v>0</v>
      </c>
      <c r="J670" s="69">
        <f t="shared" si="10"/>
        <v>2.0254520442226701E-2</v>
      </c>
      <c r="L670" s="162"/>
      <c r="M670" s="69"/>
    </row>
    <row r="671" spans="1:13">
      <c r="A671" s="269" t="s">
        <v>517</v>
      </c>
      <c r="B671" s="221" t="s">
        <v>445</v>
      </c>
      <c r="C671" s="221" t="s">
        <v>476</v>
      </c>
      <c r="D671" s="228">
        <v>390</v>
      </c>
      <c r="E671" s="228">
        <v>790</v>
      </c>
      <c r="F671" s="69">
        <v>1.1915507505329999E-4</v>
      </c>
      <c r="G671" s="228">
        <v>8392.4247418977648</v>
      </c>
      <c r="H671" s="228">
        <v>0</v>
      </c>
      <c r="I671" s="69">
        <v>0</v>
      </c>
      <c r="J671" s="69">
        <f t="shared" si="10"/>
        <v>2.0373675517280001E-2</v>
      </c>
      <c r="L671" s="162"/>
      <c r="M671" s="69"/>
    </row>
    <row r="672" spans="1:13">
      <c r="A672" s="269" t="s">
        <v>518</v>
      </c>
      <c r="B672" s="221" t="s">
        <v>445</v>
      </c>
      <c r="C672" s="221" t="s">
        <v>476</v>
      </c>
      <c r="D672" s="228">
        <v>391</v>
      </c>
      <c r="E672" s="228">
        <v>754</v>
      </c>
      <c r="F672" s="69">
        <v>1.1915507505329999E-4</v>
      </c>
      <c r="G672" s="228">
        <v>8392.4247418977648</v>
      </c>
      <c r="H672" s="228">
        <v>0</v>
      </c>
      <c r="I672" s="69">
        <v>0</v>
      </c>
      <c r="J672" s="69">
        <f t="shared" si="10"/>
        <v>2.0492830592333301E-2</v>
      </c>
      <c r="L672" s="162"/>
      <c r="M672" s="69"/>
    </row>
    <row r="673" spans="1:13">
      <c r="A673" s="269" t="s">
        <v>464</v>
      </c>
      <c r="B673" s="221" t="s">
        <v>475</v>
      </c>
      <c r="C673" s="221" t="s">
        <v>442</v>
      </c>
      <c r="D673" s="228">
        <v>524</v>
      </c>
      <c r="E673" s="228">
        <v>840</v>
      </c>
      <c r="F673" s="69">
        <v>4.4577237522717891E-8</v>
      </c>
      <c r="G673" s="228">
        <v>22432973.768066496</v>
      </c>
      <c r="H673" s="228">
        <v>0</v>
      </c>
      <c r="I673" s="69">
        <v>0</v>
      </c>
      <c r="J673" s="69">
        <f t="shared" si="10"/>
        <v>2.0492875169570823E-2</v>
      </c>
      <c r="L673" s="162"/>
      <c r="M673" s="69"/>
    </row>
    <row r="674" spans="1:13">
      <c r="A674" s="269" t="s">
        <v>465</v>
      </c>
      <c r="B674" s="221" t="s">
        <v>475</v>
      </c>
      <c r="C674" s="221" t="s">
        <v>442</v>
      </c>
      <c r="D674" s="228">
        <v>525</v>
      </c>
      <c r="E674" s="228">
        <v>758</v>
      </c>
      <c r="F674" s="69">
        <v>4.4577237522717891E-8</v>
      </c>
      <c r="G674" s="228">
        <v>22432973.768066496</v>
      </c>
      <c r="H674" s="228">
        <v>0</v>
      </c>
      <c r="I674" s="69">
        <v>0</v>
      </c>
      <c r="J674" s="69">
        <f t="shared" si="10"/>
        <v>2.0492919746808346E-2</v>
      </c>
      <c r="L674" s="162"/>
      <c r="M674" s="69"/>
    </row>
    <row r="675" spans="1:13">
      <c r="A675" s="269" t="s">
        <v>463</v>
      </c>
      <c r="B675" s="221" t="s">
        <v>475</v>
      </c>
      <c r="C675" s="221" t="s">
        <v>442</v>
      </c>
      <c r="D675" s="228">
        <v>524</v>
      </c>
      <c r="E675" s="228">
        <v>764</v>
      </c>
      <c r="F675" s="69">
        <v>4.4577237522717891E-8</v>
      </c>
      <c r="G675" s="228">
        <v>22432973.768066496</v>
      </c>
      <c r="H675" s="228">
        <v>0</v>
      </c>
      <c r="I675" s="69">
        <v>0</v>
      </c>
      <c r="J675" s="69">
        <f t="shared" si="10"/>
        <v>2.0492964324045869E-2</v>
      </c>
      <c r="L675" s="162"/>
      <c r="M675" s="69"/>
    </row>
    <row r="676" spans="1:13">
      <c r="A676" s="269" t="s">
        <v>517</v>
      </c>
      <c r="B676" s="221" t="s">
        <v>475</v>
      </c>
      <c r="C676" s="221" t="s">
        <v>442</v>
      </c>
      <c r="D676" s="228">
        <v>524</v>
      </c>
      <c r="E676" s="228">
        <v>752</v>
      </c>
      <c r="F676" s="69">
        <v>4.4577237522717891E-8</v>
      </c>
      <c r="G676" s="228">
        <v>22432973.768066496</v>
      </c>
      <c r="H676" s="228">
        <v>0</v>
      </c>
      <c r="I676" s="69">
        <v>0</v>
      </c>
      <c r="J676" s="69">
        <f t="shared" si="10"/>
        <v>2.0493008901283392E-2</v>
      </c>
      <c r="L676" s="162"/>
      <c r="M676" s="69"/>
    </row>
    <row r="677" spans="1:13">
      <c r="A677" s="269" t="s">
        <v>518</v>
      </c>
      <c r="B677" s="221" t="s">
        <v>475</v>
      </c>
      <c r="C677" s="221" t="s">
        <v>442</v>
      </c>
      <c r="D677" s="228">
        <v>524</v>
      </c>
      <c r="E677" s="228">
        <v>762</v>
      </c>
      <c r="F677" s="69">
        <v>4.4577237522717891E-8</v>
      </c>
      <c r="G677" s="228">
        <v>22432973.768066496</v>
      </c>
      <c r="H677" s="228">
        <v>0</v>
      </c>
      <c r="I677" s="69">
        <v>0</v>
      </c>
      <c r="J677" s="69">
        <f t="shared" si="10"/>
        <v>2.0493053478520915E-2</v>
      </c>
      <c r="L677" s="162"/>
      <c r="M677" s="69"/>
    </row>
    <row r="678" spans="1:13">
      <c r="A678" s="269" t="s">
        <v>464</v>
      </c>
      <c r="B678" s="221" t="s">
        <v>1379</v>
      </c>
      <c r="C678" s="221" t="s">
        <v>450</v>
      </c>
      <c r="D678" s="228">
        <v>392</v>
      </c>
      <c r="E678" s="228">
        <v>740</v>
      </c>
      <c r="F678" s="69">
        <v>4.0752984343500006E-6</v>
      </c>
      <c r="G678" s="228">
        <v>245380.80243919545</v>
      </c>
      <c r="H678" s="228">
        <v>0</v>
      </c>
      <c r="I678" s="69">
        <v>0</v>
      </c>
      <c r="J678" s="69">
        <f t="shared" si="10"/>
        <v>2.0497128776955264E-2</v>
      </c>
      <c r="L678" s="162"/>
      <c r="M678" s="69"/>
    </row>
    <row r="679" spans="1:13">
      <c r="A679" s="269" t="s">
        <v>465</v>
      </c>
      <c r="B679" s="221" t="s">
        <v>1379</v>
      </c>
      <c r="C679" s="221" t="s">
        <v>450</v>
      </c>
      <c r="D679" s="228">
        <v>388</v>
      </c>
      <c r="E679" s="228">
        <v>744</v>
      </c>
      <c r="F679" s="69">
        <v>4.0752984343500006E-6</v>
      </c>
      <c r="G679" s="228">
        <v>245380.80243919545</v>
      </c>
      <c r="H679" s="228">
        <v>0</v>
      </c>
      <c r="I679" s="69">
        <v>0</v>
      </c>
      <c r="J679" s="69">
        <f t="shared" si="10"/>
        <v>2.0501204075389613E-2</v>
      </c>
      <c r="L679" s="162"/>
      <c r="M679" s="69"/>
    </row>
    <row r="680" spans="1:13">
      <c r="A680" s="269" t="s">
        <v>463</v>
      </c>
      <c r="B680" s="221" t="s">
        <v>1379</v>
      </c>
      <c r="C680" s="221" t="s">
        <v>450</v>
      </c>
      <c r="D680" s="228">
        <v>363</v>
      </c>
      <c r="E680" s="228">
        <v>1002</v>
      </c>
      <c r="F680" s="69">
        <v>4.0752984343500006E-6</v>
      </c>
      <c r="G680" s="228">
        <v>245380.80243919545</v>
      </c>
      <c r="H680" s="228">
        <v>0</v>
      </c>
      <c r="I680" s="69">
        <v>0</v>
      </c>
      <c r="J680" s="69">
        <f t="shared" si="10"/>
        <v>2.0505279373823963E-2</v>
      </c>
      <c r="L680" s="162"/>
      <c r="M680" s="69"/>
    </row>
    <row r="681" spans="1:13">
      <c r="A681" s="269" t="s">
        <v>517</v>
      </c>
      <c r="B681" s="221" t="s">
        <v>1379</v>
      </c>
      <c r="C681" s="221" t="s">
        <v>450</v>
      </c>
      <c r="D681" s="228">
        <v>390</v>
      </c>
      <c r="E681" s="228">
        <v>752</v>
      </c>
      <c r="F681" s="69">
        <v>4.0752984343500006E-6</v>
      </c>
      <c r="G681" s="228">
        <v>245380.80243919545</v>
      </c>
      <c r="H681" s="228">
        <v>0</v>
      </c>
      <c r="I681" s="69">
        <v>0</v>
      </c>
      <c r="J681" s="69">
        <f t="shared" si="10"/>
        <v>2.0509354672258312E-2</v>
      </c>
      <c r="L681" s="162"/>
      <c r="M681" s="69"/>
    </row>
    <row r="682" spans="1:13">
      <c r="A682" s="269" t="s">
        <v>518</v>
      </c>
      <c r="B682" s="221" t="s">
        <v>1379</v>
      </c>
      <c r="C682" s="221" t="s">
        <v>450</v>
      </c>
      <c r="D682" s="228">
        <v>391</v>
      </c>
      <c r="E682" s="228">
        <v>734</v>
      </c>
      <c r="F682" s="69">
        <v>4.0752984343500006E-6</v>
      </c>
      <c r="G682" s="228">
        <v>245380.80243919545</v>
      </c>
      <c r="H682" s="228">
        <v>0</v>
      </c>
      <c r="I682" s="69">
        <v>0</v>
      </c>
      <c r="J682" s="69">
        <f t="shared" si="10"/>
        <v>2.0513429970692661E-2</v>
      </c>
      <c r="L682" s="162"/>
      <c r="M682" s="69"/>
    </row>
    <row r="683" spans="1:13">
      <c r="A683" s="269" t="s">
        <v>467</v>
      </c>
      <c r="B683" s="221" t="s">
        <v>474</v>
      </c>
      <c r="C683" s="221" t="s">
        <v>508</v>
      </c>
      <c r="D683" s="228">
        <v>476</v>
      </c>
      <c r="E683" s="228">
        <v>902</v>
      </c>
      <c r="F683" s="69">
        <v>2.225365578577196E-5</v>
      </c>
      <c r="G683" s="228">
        <v>44936.436944412402</v>
      </c>
      <c r="H683" s="228">
        <v>0</v>
      </c>
      <c r="I683" s="69">
        <v>0</v>
      </c>
      <c r="J683" s="69">
        <f t="shared" si="10"/>
        <v>2.0535683626478434E-2</v>
      </c>
      <c r="L683" s="162"/>
      <c r="M683" s="69"/>
    </row>
    <row r="684" spans="1:13">
      <c r="A684" s="269" t="s">
        <v>468</v>
      </c>
      <c r="B684" s="221" t="s">
        <v>474</v>
      </c>
      <c r="C684" s="221" t="s">
        <v>508</v>
      </c>
      <c r="D684" s="228">
        <v>481</v>
      </c>
      <c r="E684" s="228">
        <v>948</v>
      </c>
      <c r="F684" s="69">
        <v>2.225365578577196E-5</v>
      </c>
      <c r="G684" s="228">
        <v>44936.436944412402</v>
      </c>
      <c r="H684" s="228">
        <v>0</v>
      </c>
      <c r="I684" s="69">
        <v>0</v>
      </c>
      <c r="J684" s="69">
        <f t="shared" si="10"/>
        <v>2.0557937282264207E-2</v>
      </c>
      <c r="L684" s="162"/>
      <c r="M684" s="69"/>
    </row>
    <row r="685" spans="1:13">
      <c r="A685" s="269" t="s">
        <v>466</v>
      </c>
      <c r="B685" s="221" t="s">
        <v>474</v>
      </c>
      <c r="C685" s="221" t="s">
        <v>508</v>
      </c>
      <c r="D685" s="228">
        <v>455</v>
      </c>
      <c r="E685" s="228">
        <v>894</v>
      </c>
      <c r="F685" s="69">
        <v>2.225365578577196E-5</v>
      </c>
      <c r="G685" s="228">
        <v>44936.436944412402</v>
      </c>
      <c r="H685" s="228">
        <v>0</v>
      </c>
      <c r="I685" s="69">
        <v>0</v>
      </c>
      <c r="J685" s="69">
        <f t="shared" si="10"/>
        <v>2.058019093804998E-2</v>
      </c>
      <c r="L685" s="162"/>
      <c r="M685" s="69"/>
    </row>
    <row r="686" spans="1:13">
      <c r="A686" s="269" t="s">
        <v>519</v>
      </c>
      <c r="B686" s="221" t="s">
        <v>474</v>
      </c>
      <c r="C686" s="221" t="s">
        <v>508</v>
      </c>
      <c r="D686" s="228">
        <v>480</v>
      </c>
      <c r="E686" s="228">
        <v>914</v>
      </c>
      <c r="F686" s="69">
        <v>2.225365578577196E-5</v>
      </c>
      <c r="G686" s="228">
        <v>44936.436944412402</v>
      </c>
      <c r="H686" s="228">
        <v>0</v>
      </c>
      <c r="I686" s="69">
        <v>0</v>
      </c>
      <c r="J686" s="69">
        <f t="shared" si="10"/>
        <v>2.0602444593835752E-2</v>
      </c>
      <c r="L686" s="162"/>
      <c r="M686" s="69"/>
    </row>
    <row r="687" spans="1:13">
      <c r="A687" s="269" t="s">
        <v>520</v>
      </c>
      <c r="B687" s="221" t="s">
        <v>474</v>
      </c>
      <c r="C687" s="221" t="s">
        <v>508</v>
      </c>
      <c r="D687" s="228">
        <v>481</v>
      </c>
      <c r="E687" s="228">
        <v>916</v>
      </c>
      <c r="F687" s="69">
        <v>2.225365578577196E-5</v>
      </c>
      <c r="G687" s="228">
        <v>44936.436944412402</v>
      </c>
      <c r="H687" s="228">
        <v>0</v>
      </c>
      <c r="I687" s="69">
        <v>0</v>
      </c>
      <c r="J687" s="69">
        <f t="shared" si="10"/>
        <v>2.0624698249621525E-2</v>
      </c>
      <c r="L687" s="162"/>
      <c r="M687" s="69"/>
    </row>
    <row r="688" spans="1:13">
      <c r="A688" s="269" t="s">
        <v>467</v>
      </c>
      <c r="B688" s="221" t="s">
        <v>440</v>
      </c>
      <c r="C688" s="221" t="s">
        <v>508</v>
      </c>
      <c r="D688" s="228">
        <v>478</v>
      </c>
      <c r="E688" s="228">
        <v>894</v>
      </c>
      <c r="F688" s="69">
        <v>6.0084930706515009E-4</v>
      </c>
      <c r="G688" s="228">
        <v>1664.3108151102019</v>
      </c>
      <c r="H688" s="228">
        <v>0</v>
      </c>
      <c r="I688" s="69">
        <v>0</v>
      </c>
      <c r="J688" s="69">
        <f t="shared" si="10"/>
        <v>2.1225547556686677E-2</v>
      </c>
      <c r="L688" s="162"/>
      <c r="M688" s="69"/>
    </row>
    <row r="689" spans="1:13">
      <c r="A689" s="269" t="s">
        <v>468</v>
      </c>
      <c r="B689" s="221" t="s">
        <v>440</v>
      </c>
      <c r="C689" s="221" t="s">
        <v>508</v>
      </c>
      <c r="D689" s="228">
        <v>476</v>
      </c>
      <c r="E689" s="228">
        <v>896</v>
      </c>
      <c r="F689" s="69">
        <v>6.0084930706515009E-4</v>
      </c>
      <c r="G689" s="228">
        <v>1664.3108151102019</v>
      </c>
      <c r="H689" s="228">
        <v>0</v>
      </c>
      <c r="I689" s="69">
        <v>0</v>
      </c>
      <c r="J689" s="69">
        <f t="shared" si="10"/>
        <v>2.1826396863751828E-2</v>
      </c>
      <c r="L689" s="162"/>
      <c r="M689" s="69"/>
    </row>
    <row r="690" spans="1:13">
      <c r="A690" s="269" t="s">
        <v>466</v>
      </c>
      <c r="B690" s="221" t="s">
        <v>440</v>
      </c>
      <c r="C690" s="221" t="s">
        <v>508</v>
      </c>
      <c r="D690" s="228">
        <v>478</v>
      </c>
      <c r="E690" s="228">
        <v>938</v>
      </c>
      <c r="F690" s="69">
        <v>6.0084930706515009E-4</v>
      </c>
      <c r="G690" s="228">
        <v>1664.3108151102019</v>
      </c>
      <c r="H690" s="228">
        <v>0</v>
      </c>
      <c r="I690" s="69">
        <v>0</v>
      </c>
      <c r="J690" s="69">
        <f t="shared" si="10"/>
        <v>2.242724617081698E-2</v>
      </c>
      <c r="L690" s="162"/>
      <c r="M690" s="69"/>
    </row>
    <row r="691" spans="1:13">
      <c r="A691" s="269" t="s">
        <v>519</v>
      </c>
      <c r="B691" s="221" t="s">
        <v>440</v>
      </c>
      <c r="C691" s="221" t="s">
        <v>508</v>
      </c>
      <c r="D691" s="228">
        <v>476</v>
      </c>
      <c r="E691" s="228">
        <v>944</v>
      </c>
      <c r="F691" s="69">
        <v>6.0084930706515009E-4</v>
      </c>
      <c r="G691" s="228">
        <v>1664.3108151102019</v>
      </c>
      <c r="H691" s="228">
        <v>0</v>
      </c>
      <c r="I691" s="69">
        <v>0</v>
      </c>
      <c r="J691" s="69">
        <f t="shared" si="10"/>
        <v>2.3028095477882132E-2</v>
      </c>
      <c r="L691" s="162"/>
      <c r="M691" s="69"/>
    </row>
    <row r="692" spans="1:13">
      <c r="A692" s="269" t="s">
        <v>520</v>
      </c>
      <c r="B692" s="221" t="s">
        <v>440</v>
      </c>
      <c r="C692" s="221" t="s">
        <v>508</v>
      </c>
      <c r="D692" s="228">
        <v>481</v>
      </c>
      <c r="E692" s="228">
        <v>972</v>
      </c>
      <c r="F692" s="69">
        <v>6.0084930706515009E-4</v>
      </c>
      <c r="G692" s="228">
        <v>1664.3108151102019</v>
      </c>
      <c r="H692" s="228">
        <v>0</v>
      </c>
      <c r="I692" s="69">
        <v>0</v>
      </c>
      <c r="J692" s="69">
        <f t="shared" si="10"/>
        <v>2.3628944784947283E-2</v>
      </c>
      <c r="L692" s="162"/>
      <c r="M692" s="69"/>
    </row>
    <row r="693" spans="1:13">
      <c r="A693" s="269" t="s">
        <v>467</v>
      </c>
      <c r="B693" s="221" t="s">
        <v>474</v>
      </c>
      <c r="C693" s="221" t="s">
        <v>438</v>
      </c>
      <c r="D693" s="228">
        <v>524</v>
      </c>
      <c r="E693" s="228">
        <v>968</v>
      </c>
      <c r="F693" s="69">
        <v>2.247844018764845E-7</v>
      </c>
      <c r="G693" s="228">
        <v>4448707.2574968273</v>
      </c>
      <c r="H693" s="228">
        <v>0</v>
      </c>
      <c r="I693" s="69">
        <v>0</v>
      </c>
      <c r="J693" s="69">
        <f t="shared" si="10"/>
        <v>2.362916956934916E-2</v>
      </c>
      <c r="L693" s="162"/>
      <c r="M693" s="69"/>
    </row>
    <row r="694" spans="1:13">
      <c r="A694" s="269" t="s">
        <v>468</v>
      </c>
      <c r="B694" s="221" t="s">
        <v>474</v>
      </c>
      <c r="C694" s="221" t="s">
        <v>438</v>
      </c>
      <c r="D694" s="228">
        <v>501</v>
      </c>
      <c r="E694" s="228">
        <v>916</v>
      </c>
      <c r="F694" s="69">
        <v>2.247844018764845E-7</v>
      </c>
      <c r="G694" s="228">
        <v>4448707.2574968273</v>
      </c>
      <c r="H694" s="228">
        <v>0</v>
      </c>
      <c r="I694" s="69">
        <v>0</v>
      </c>
      <c r="J694" s="69">
        <f t="shared" si="10"/>
        <v>2.3629394353751037E-2</v>
      </c>
      <c r="L694" s="162"/>
      <c r="M694" s="69"/>
    </row>
    <row r="695" spans="1:13">
      <c r="A695" s="269" t="s">
        <v>466</v>
      </c>
      <c r="B695" s="221" t="s">
        <v>474</v>
      </c>
      <c r="C695" s="221" t="s">
        <v>438</v>
      </c>
      <c r="D695" s="228">
        <v>524</v>
      </c>
      <c r="E695" s="228">
        <v>902</v>
      </c>
      <c r="F695" s="69">
        <v>2.247844018764845E-7</v>
      </c>
      <c r="G695" s="228">
        <v>4448707.2574968273</v>
      </c>
      <c r="H695" s="228">
        <v>0</v>
      </c>
      <c r="I695" s="69">
        <v>0</v>
      </c>
      <c r="J695" s="69">
        <f t="shared" si="10"/>
        <v>2.3629619138152914E-2</v>
      </c>
      <c r="L695" s="162"/>
      <c r="M695" s="69"/>
    </row>
    <row r="696" spans="1:13">
      <c r="A696" s="269" t="s">
        <v>519</v>
      </c>
      <c r="B696" s="221" t="s">
        <v>474</v>
      </c>
      <c r="C696" s="221" t="s">
        <v>438</v>
      </c>
      <c r="D696" s="228">
        <v>524</v>
      </c>
      <c r="E696" s="228">
        <v>900</v>
      </c>
      <c r="F696" s="69">
        <v>2.247844018764845E-7</v>
      </c>
      <c r="G696" s="228">
        <v>4448707.2574968273</v>
      </c>
      <c r="H696" s="228">
        <v>0</v>
      </c>
      <c r="I696" s="69">
        <v>0</v>
      </c>
      <c r="J696" s="69">
        <f t="shared" si="10"/>
        <v>2.3629843922554791E-2</v>
      </c>
      <c r="L696" s="162"/>
      <c r="M696" s="69"/>
    </row>
    <row r="697" spans="1:13">
      <c r="A697" s="269" t="s">
        <v>520</v>
      </c>
      <c r="B697" s="221" t="s">
        <v>474</v>
      </c>
      <c r="C697" s="221" t="s">
        <v>438</v>
      </c>
      <c r="D697" s="228">
        <v>524</v>
      </c>
      <c r="E697" s="228">
        <v>920</v>
      </c>
      <c r="F697" s="69">
        <v>2.247844018764845E-7</v>
      </c>
      <c r="G697" s="228">
        <v>4448707.2574968273</v>
      </c>
      <c r="H697" s="228">
        <v>0</v>
      </c>
      <c r="I697" s="69">
        <v>0</v>
      </c>
      <c r="J697" s="69">
        <f t="shared" si="10"/>
        <v>2.3630068706956667E-2</v>
      </c>
      <c r="L697" s="162"/>
      <c r="M697" s="69"/>
    </row>
    <row r="698" spans="1:13">
      <c r="A698" s="269" t="s">
        <v>467</v>
      </c>
      <c r="B698" s="221" t="s">
        <v>475</v>
      </c>
      <c r="C698" s="221" t="s">
        <v>476</v>
      </c>
      <c r="D698" s="228">
        <v>476</v>
      </c>
      <c r="E698" s="228">
        <v>900</v>
      </c>
      <c r="F698" s="69">
        <v>4.413146514749072E-6</v>
      </c>
      <c r="G698" s="228">
        <v>226595.69462693427</v>
      </c>
      <c r="H698" s="228">
        <v>0</v>
      </c>
      <c r="I698" s="69">
        <v>0</v>
      </c>
      <c r="J698" s="69">
        <f t="shared" si="10"/>
        <v>2.3634481853471417E-2</v>
      </c>
      <c r="L698" s="162"/>
      <c r="M698" s="69"/>
    </row>
    <row r="699" spans="1:13">
      <c r="A699" s="269" t="s">
        <v>468</v>
      </c>
      <c r="B699" s="221" t="s">
        <v>475</v>
      </c>
      <c r="C699" s="221" t="s">
        <v>476</v>
      </c>
      <c r="D699" s="228">
        <v>481</v>
      </c>
      <c r="E699" s="228">
        <v>938</v>
      </c>
      <c r="F699" s="69">
        <v>4.413146514749072E-6</v>
      </c>
      <c r="G699" s="228">
        <v>226595.69462693427</v>
      </c>
      <c r="H699" s="228">
        <v>0</v>
      </c>
      <c r="I699" s="69">
        <v>0</v>
      </c>
      <c r="J699" s="69">
        <f t="shared" si="10"/>
        <v>2.3638894999986167E-2</v>
      </c>
      <c r="L699" s="162"/>
      <c r="M699" s="69"/>
    </row>
    <row r="700" spans="1:13">
      <c r="A700" s="269" t="s">
        <v>466</v>
      </c>
      <c r="B700" s="221" t="s">
        <v>475</v>
      </c>
      <c r="C700" s="221" t="s">
        <v>476</v>
      </c>
      <c r="D700" s="228">
        <v>455</v>
      </c>
      <c r="E700" s="228">
        <v>894</v>
      </c>
      <c r="F700" s="69">
        <v>4.413146514749072E-6</v>
      </c>
      <c r="G700" s="228">
        <v>226595.69462693427</v>
      </c>
      <c r="H700" s="228">
        <v>0</v>
      </c>
      <c r="I700" s="69">
        <v>0</v>
      </c>
      <c r="J700" s="69">
        <f t="shared" si="10"/>
        <v>2.3643308146500917E-2</v>
      </c>
      <c r="L700" s="162"/>
      <c r="M700" s="69"/>
    </row>
    <row r="701" spans="1:13">
      <c r="A701" s="269" t="s">
        <v>519</v>
      </c>
      <c r="B701" s="221" t="s">
        <v>475</v>
      </c>
      <c r="C701" s="221" t="s">
        <v>476</v>
      </c>
      <c r="D701" s="228">
        <v>480</v>
      </c>
      <c r="E701" s="228">
        <v>914</v>
      </c>
      <c r="F701" s="69">
        <v>4.413146514749072E-6</v>
      </c>
      <c r="G701" s="228">
        <v>226595.69462693427</v>
      </c>
      <c r="H701" s="228">
        <v>0</v>
      </c>
      <c r="I701" s="69">
        <v>0</v>
      </c>
      <c r="J701" s="69">
        <f t="shared" si="10"/>
        <v>2.3647721293015667E-2</v>
      </c>
      <c r="L701" s="162"/>
      <c r="M701" s="69"/>
    </row>
    <row r="702" spans="1:13">
      <c r="A702" s="269" t="s">
        <v>520</v>
      </c>
      <c r="B702" s="221" t="s">
        <v>475</v>
      </c>
      <c r="C702" s="221" t="s">
        <v>476</v>
      </c>
      <c r="D702" s="228">
        <v>481</v>
      </c>
      <c r="E702" s="228">
        <v>908</v>
      </c>
      <c r="F702" s="69">
        <v>4.413146514749072E-6</v>
      </c>
      <c r="G702" s="228">
        <v>226595.69462693427</v>
      </c>
      <c r="H702" s="228">
        <v>0</v>
      </c>
      <c r="I702" s="69">
        <v>0</v>
      </c>
      <c r="J702" s="69">
        <f t="shared" si="10"/>
        <v>2.3652134439530417E-2</v>
      </c>
      <c r="L702" s="162"/>
      <c r="M702" s="69"/>
    </row>
    <row r="703" spans="1:13">
      <c r="A703" s="269" t="s">
        <v>467</v>
      </c>
      <c r="B703" s="221" t="s">
        <v>445</v>
      </c>
      <c r="C703" s="221" t="s">
        <v>476</v>
      </c>
      <c r="D703" s="228">
        <v>478</v>
      </c>
      <c r="E703" s="228">
        <v>894</v>
      </c>
      <c r="F703" s="69">
        <v>1.1915507505329999E-4</v>
      </c>
      <c r="G703" s="228">
        <v>8392.4247418977648</v>
      </c>
      <c r="H703" s="228">
        <v>0</v>
      </c>
      <c r="I703" s="69">
        <v>0</v>
      </c>
      <c r="J703" s="69">
        <f t="shared" si="10"/>
        <v>2.3771289514583717E-2</v>
      </c>
      <c r="L703" s="162"/>
      <c r="M703" s="69"/>
    </row>
    <row r="704" spans="1:13">
      <c r="A704" s="269" t="s">
        <v>468</v>
      </c>
      <c r="B704" s="221" t="s">
        <v>445</v>
      </c>
      <c r="C704" s="221" t="s">
        <v>476</v>
      </c>
      <c r="D704" s="228">
        <v>476</v>
      </c>
      <c r="E704" s="228">
        <v>896</v>
      </c>
      <c r="F704" s="69">
        <v>1.1915507505329999E-4</v>
      </c>
      <c r="G704" s="228">
        <v>8392.4247418977648</v>
      </c>
      <c r="H704" s="228">
        <v>0</v>
      </c>
      <c r="I704" s="69">
        <v>0</v>
      </c>
      <c r="J704" s="69">
        <f t="shared" si="10"/>
        <v>2.3890444589637017E-2</v>
      </c>
      <c r="L704" s="162"/>
      <c r="M704" s="69"/>
    </row>
    <row r="705" spans="1:13">
      <c r="A705" s="269" t="s">
        <v>466</v>
      </c>
      <c r="B705" s="221" t="s">
        <v>445</v>
      </c>
      <c r="C705" s="221" t="s">
        <v>476</v>
      </c>
      <c r="D705" s="228">
        <v>478</v>
      </c>
      <c r="E705" s="228">
        <v>938</v>
      </c>
      <c r="F705" s="69">
        <v>1.1915507505329999E-4</v>
      </c>
      <c r="G705" s="228">
        <v>8392.4247418977648</v>
      </c>
      <c r="H705" s="228">
        <v>0</v>
      </c>
      <c r="I705" s="69">
        <v>0</v>
      </c>
      <c r="J705" s="69">
        <f t="shared" si="10"/>
        <v>2.4009599664690316E-2</v>
      </c>
      <c r="L705" s="162"/>
      <c r="M705" s="69"/>
    </row>
    <row r="706" spans="1:13">
      <c r="A706" s="269" t="s">
        <v>519</v>
      </c>
      <c r="B706" s="221" t="s">
        <v>445</v>
      </c>
      <c r="C706" s="221" t="s">
        <v>476</v>
      </c>
      <c r="D706" s="228">
        <v>476</v>
      </c>
      <c r="E706" s="228">
        <v>944</v>
      </c>
      <c r="F706" s="69">
        <v>1.1915507505329999E-4</v>
      </c>
      <c r="G706" s="228">
        <v>8392.4247418977648</v>
      </c>
      <c r="H706" s="228">
        <v>0</v>
      </c>
      <c r="I706" s="69">
        <v>0</v>
      </c>
      <c r="J706" s="69">
        <f t="shared" si="10"/>
        <v>2.4128754739743616E-2</v>
      </c>
      <c r="L706" s="162"/>
      <c r="M706" s="69"/>
    </row>
    <row r="707" spans="1:13">
      <c r="A707" s="269" t="s">
        <v>520</v>
      </c>
      <c r="B707" s="221" t="s">
        <v>445</v>
      </c>
      <c r="C707" s="221" t="s">
        <v>476</v>
      </c>
      <c r="D707" s="228">
        <v>481</v>
      </c>
      <c r="E707" s="228">
        <v>972</v>
      </c>
      <c r="F707" s="69">
        <v>1.1915507505329999E-4</v>
      </c>
      <c r="G707" s="228">
        <v>8392.4247418977648</v>
      </c>
      <c r="H707" s="228">
        <v>0</v>
      </c>
      <c r="I707" s="69">
        <v>0</v>
      </c>
      <c r="J707" s="69">
        <f t="shared" ref="J707:J717" si="11">J706+F707</f>
        <v>2.4247909814796915E-2</v>
      </c>
      <c r="L707" s="162"/>
      <c r="M707" s="69"/>
    </row>
    <row r="708" spans="1:13">
      <c r="A708" s="269" t="s">
        <v>467</v>
      </c>
      <c r="B708" s="221" t="s">
        <v>475</v>
      </c>
      <c r="C708" s="221" t="s">
        <v>442</v>
      </c>
      <c r="D708" s="228">
        <v>524</v>
      </c>
      <c r="E708" s="228">
        <v>968</v>
      </c>
      <c r="F708" s="69">
        <v>4.4577237522717891E-8</v>
      </c>
      <c r="G708" s="228">
        <v>22432973.768066496</v>
      </c>
      <c r="H708" s="228">
        <v>0</v>
      </c>
      <c r="I708" s="69">
        <v>0</v>
      </c>
      <c r="J708" s="69">
        <f t="shared" si="11"/>
        <v>2.4247954392034438E-2</v>
      </c>
      <c r="L708" s="162"/>
      <c r="M708" s="69"/>
    </row>
    <row r="709" spans="1:13">
      <c r="A709" s="269" t="s">
        <v>468</v>
      </c>
      <c r="B709" s="221" t="s">
        <v>475</v>
      </c>
      <c r="C709" s="221" t="s">
        <v>442</v>
      </c>
      <c r="D709" s="228">
        <v>501</v>
      </c>
      <c r="E709" s="228">
        <v>906</v>
      </c>
      <c r="F709" s="69">
        <v>4.4577237522717891E-8</v>
      </c>
      <c r="G709" s="228">
        <v>22432973.768066496</v>
      </c>
      <c r="H709" s="228">
        <v>0</v>
      </c>
      <c r="I709" s="69">
        <v>0</v>
      </c>
      <c r="J709" s="69">
        <f t="shared" si="11"/>
        <v>2.4247998969271961E-2</v>
      </c>
      <c r="L709" s="162"/>
      <c r="M709" s="69"/>
    </row>
    <row r="710" spans="1:13">
      <c r="A710" s="269" t="s">
        <v>466</v>
      </c>
      <c r="B710" s="221" t="s">
        <v>475</v>
      </c>
      <c r="C710" s="221" t="s">
        <v>442</v>
      </c>
      <c r="D710" s="228">
        <v>524</v>
      </c>
      <c r="E710" s="228">
        <v>900</v>
      </c>
      <c r="F710" s="69">
        <v>4.4577237522717891E-8</v>
      </c>
      <c r="G710" s="228">
        <v>22432973.768066496</v>
      </c>
      <c r="H710" s="228">
        <v>0</v>
      </c>
      <c r="I710" s="69">
        <v>0</v>
      </c>
      <c r="J710" s="69">
        <f t="shared" si="11"/>
        <v>2.4248043546509484E-2</v>
      </c>
      <c r="L710" s="162"/>
      <c r="M710" s="69"/>
    </row>
    <row r="711" spans="1:13">
      <c r="A711" s="269" t="s">
        <v>519</v>
      </c>
      <c r="B711" s="221" t="s">
        <v>475</v>
      </c>
      <c r="C711" s="221" t="s">
        <v>442</v>
      </c>
      <c r="D711" s="228">
        <v>524</v>
      </c>
      <c r="E711" s="228">
        <v>900</v>
      </c>
      <c r="F711" s="69">
        <v>4.4577237522717891E-8</v>
      </c>
      <c r="G711" s="228">
        <v>22432973.768066496</v>
      </c>
      <c r="H711" s="228">
        <v>0</v>
      </c>
      <c r="I711" s="69">
        <v>0</v>
      </c>
      <c r="J711" s="69">
        <f t="shared" si="11"/>
        <v>2.4248088123747007E-2</v>
      </c>
      <c r="L711" s="162"/>
      <c r="M711" s="69"/>
    </row>
    <row r="712" spans="1:13">
      <c r="A712" s="269" t="s">
        <v>520</v>
      </c>
      <c r="B712" s="221" t="s">
        <v>475</v>
      </c>
      <c r="C712" s="221" t="s">
        <v>442</v>
      </c>
      <c r="D712" s="228">
        <v>524</v>
      </c>
      <c r="E712" s="228">
        <v>920</v>
      </c>
      <c r="F712" s="69">
        <v>4.4577237522717891E-8</v>
      </c>
      <c r="G712" s="228">
        <v>22432973.768066496</v>
      </c>
      <c r="H712" s="228">
        <v>0</v>
      </c>
      <c r="I712" s="69">
        <v>0</v>
      </c>
      <c r="J712" s="69">
        <f t="shared" si="11"/>
        <v>2.4248132700984529E-2</v>
      </c>
      <c r="L712" s="162"/>
      <c r="M712" s="69"/>
    </row>
    <row r="713" spans="1:13">
      <c r="A713" s="269" t="s">
        <v>467</v>
      </c>
      <c r="B713" s="221" t="s">
        <v>1379</v>
      </c>
      <c r="C713" s="221" t="s">
        <v>450</v>
      </c>
      <c r="D713" s="228">
        <v>478</v>
      </c>
      <c r="E713" s="228">
        <v>870</v>
      </c>
      <c r="F713" s="69">
        <v>4.0752984343500006E-6</v>
      </c>
      <c r="G713" s="228">
        <v>245380.80243919545</v>
      </c>
      <c r="H713" s="228">
        <v>0</v>
      </c>
      <c r="I713" s="69">
        <v>0</v>
      </c>
      <c r="J713" s="69">
        <f t="shared" si="11"/>
        <v>2.4252207999418879E-2</v>
      </c>
      <c r="L713" s="162"/>
      <c r="M713" s="69"/>
    </row>
    <row r="714" spans="1:13">
      <c r="A714" s="269" t="s">
        <v>468</v>
      </c>
      <c r="B714" s="221" t="s">
        <v>1379</v>
      </c>
      <c r="C714" s="221" t="s">
        <v>450</v>
      </c>
      <c r="D714" s="228">
        <v>476</v>
      </c>
      <c r="E714" s="228">
        <v>870</v>
      </c>
      <c r="F714" s="69">
        <v>4.0752984343500006E-6</v>
      </c>
      <c r="G714" s="228">
        <v>245380.80243919545</v>
      </c>
      <c r="H714" s="228">
        <v>0</v>
      </c>
      <c r="I714" s="69">
        <v>0</v>
      </c>
      <c r="J714" s="69">
        <f t="shared" si="11"/>
        <v>2.4256283297853228E-2</v>
      </c>
      <c r="L714" s="162"/>
      <c r="M714" s="69"/>
    </row>
    <row r="715" spans="1:13">
      <c r="A715" s="269" t="s">
        <v>466</v>
      </c>
      <c r="B715" s="221" t="s">
        <v>1379</v>
      </c>
      <c r="C715" s="221" t="s">
        <v>450</v>
      </c>
      <c r="D715" s="228">
        <v>478</v>
      </c>
      <c r="E715" s="228">
        <v>938</v>
      </c>
      <c r="F715" s="69">
        <v>4.0752984343500006E-6</v>
      </c>
      <c r="G715" s="228">
        <v>245380.80243919545</v>
      </c>
      <c r="H715" s="228">
        <v>0</v>
      </c>
      <c r="I715" s="69">
        <v>0</v>
      </c>
      <c r="J715" s="69">
        <f t="shared" si="11"/>
        <v>2.4260358596287578E-2</v>
      </c>
      <c r="L715" s="162"/>
      <c r="M715" s="69"/>
    </row>
    <row r="716" spans="1:13">
      <c r="A716" s="269" t="s">
        <v>519</v>
      </c>
      <c r="B716" s="221" t="s">
        <v>1379</v>
      </c>
      <c r="C716" s="221" t="s">
        <v>450</v>
      </c>
      <c r="D716" s="228">
        <v>476</v>
      </c>
      <c r="E716" s="228">
        <v>934</v>
      </c>
      <c r="F716" s="69">
        <v>4.0752984343500006E-6</v>
      </c>
      <c r="G716" s="228">
        <v>245380.80243919545</v>
      </c>
      <c r="H716" s="228">
        <v>0</v>
      </c>
      <c r="I716" s="69">
        <v>0</v>
      </c>
      <c r="J716" s="69">
        <f t="shared" si="11"/>
        <v>2.4264433894721927E-2</v>
      </c>
      <c r="L716" s="162"/>
      <c r="M716" s="69"/>
    </row>
    <row r="717" spans="1:13">
      <c r="A717" s="269" t="s">
        <v>520</v>
      </c>
      <c r="B717" s="221" t="s">
        <v>1379</v>
      </c>
      <c r="C717" s="221" t="s">
        <v>450</v>
      </c>
      <c r="D717" s="228">
        <v>481</v>
      </c>
      <c r="E717" s="228">
        <v>912</v>
      </c>
      <c r="F717" s="69">
        <v>4.0752984343500006E-6</v>
      </c>
      <c r="G717" s="228">
        <v>245380.80243919545</v>
      </c>
      <c r="H717" s="228">
        <v>0</v>
      </c>
      <c r="I717" s="69">
        <v>0</v>
      </c>
      <c r="J717" s="69">
        <f t="shared" si="11"/>
        <v>2.4268509193156276E-2</v>
      </c>
      <c r="L717" s="162"/>
      <c r="M717" s="69"/>
    </row>
    <row r="718" spans="1:13">
      <c r="D718" s="228"/>
      <c r="E718" s="228"/>
      <c r="F718" s="69"/>
      <c r="G718" s="228"/>
      <c r="H718" s="228"/>
      <c r="I718" s="69"/>
      <c r="J718" s="69"/>
      <c r="L718" s="162"/>
      <c r="M718" s="69"/>
    </row>
    <row r="719" spans="1:13">
      <c r="D719" s="228"/>
      <c r="E719" s="228"/>
      <c r="F719" s="69"/>
      <c r="G719" s="228"/>
      <c r="H719" s="228"/>
      <c r="I719" s="69"/>
      <c r="J719" s="69"/>
      <c r="L719" s="162"/>
      <c r="M719" s="69"/>
    </row>
    <row r="720" spans="1:13">
      <c r="D720" s="228"/>
      <c r="E720" s="228"/>
      <c r="F720" s="69"/>
      <c r="G720" s="228"/>
      <c r="H720" s="228"/>
      <c r="I720" s="69"/>
      <c r="J720" s="69"/>
      <c r="L720" s="162"/>
      <c r="M720" s="69"/>
    </row>
    <row r="721" spans="4:13">
      <c r="D721" s="228"/>
      <c r="E721" s="228"/>
      <c r="F721" s="69"/>
      <c r="G721" s="228"/>
      <c r="H721" s="228"/>
      <c r="I721" s="69"/>
      <c r="J721" s="69"/>
      <c r="L721" s="162"/>
      <c r="M721" s="69"/>
    </row>
    <row r="722" spans="4:13">
      <c r="D722" s="228"/>
      <c r="E722" s="228"/>
      <c r="F722" s="69"/>
      <c r="G722" s="228"/>
      <c r="H722" s="228"/>
      <c r="I722" s="69"/>
      <c r="J722" s="69"/>
      <c r="L722" s="162"/>
      <c r="M722" s="69"/>
    </row>
    <row r="723" spans="4:13">
      <c r="D723" s="228"/>
      <c r="E723" s="228"/>
      <c r="F723" s="69"/>
      <c r="G723" s="228"/>
      <c r="H723" s="228"/>
      <c r="I723" s="69"/>
      <c r="J723" s="69"/>
      <c r="L723" s="162"/>
      <c r="M723" s="69"/>
    </row>
    <row r="724" spans="4:13">
      <c r="D724" s="228"/>
      <c r="E724" s="228"/>
      <c r="F724" s="69"/>
      <c r="G724" s="228"/>
      <c r="H724" s="228"/>
      <c r="I724" s="69"/>
      <c r="J724" s="69"/>
      <c r="L724" s="162"/>
      <c r="M724" s="69"/>
    </row>
    <row r="725" spans="4:13">
      <c r="D725" s="228"/>
      <c r="E725" s="228"/>
      <c r="F725" s="69"/>
      <c r="G725" s="228"/>
      <c r="H725" s="228"/>
      <c r="I725" s="69"/>
      <c r="J725" s="69"/>
      <c r="L725" s="162"/>
      <c r="M725" s="69"/>
    </row>
    <row r="726" spans="4:13">
      <c r="D726" s="228"/>
      <c r="E726" s="228"/>
      <c r="F726" s="69"/>
      <c r="G726" s="228"/>
      <c r="H726" s="228"/>
      <c r="I726" s="69"/>
      <c r="J726" s="69"/>
      <c r="L726" s="162"/>
      <c r="M726" s="69"/>
    </row>
    <row r="727" spans="4:13">
      <c r="D727" s="228"/>
      <c r="E727" s="228"/>
      <c r="F727" s="69"/>
      <c r="G727" s="228"/>
      <c r="H727" s="228"/>
      <c r="I727" s="69"/>
      <c r="J727" s="69"/>
      <c r="L727" s="162"/>
      <c r="M727" s="69"/>
    </row>
    <row r="728" spans="4:13">
      <c r="D728" s="228"/>
      <c r="E728" s="228"/>
      <c r="F728" s="69"/>
      <c r="G728" s="228"/>
      <c r="H728" s="228"/>
      <c r="I728" s="69"/>
      <c r="J728" s="69"/>
      <c r="L728" s="162"/>
      <c r="M728" s="69"/>
    </row>
    <row r="729" spans="4:13">
      <c r="D729" s="228"/>
      <c r="E729" s="228"/>
      <c r="F729" s="69"/>
      <c r="G729" s="228"/>
      <c r="H729" s="228"/>
      <c r="I729" s="69"/>
      <c r="J729" s="69"/>
      <c r="L729" s="162"/>
      <c r="M729" s="69"/>
    </row>
    <row r="730" spans="4:13">
      <c r="D730" s="228"/>
      <c r="E730" s="228"/>
      <c r="F730" s="69"/>
      <c r="G730" s="228"/>
      <c r="H730" s="228"/>
      <c r="I730" s="69"/>
      <c r="J730" s="69"/>
      <c r="L730" s="162"/>
      <c r="M730" s="69"/>
    </row>
    <row r="731" spans="4:13">
      <c r="D731" s="228"/>
      <c r="E731" s="228"/>
      <c r="F731" s="69"/>
      <c r="G731" s="228"/>
      <c r="H731" s="228"/>
      <c r="I731" s="69"/>
      <c r="J731" s="69"/>
      <c r="L731" s="162"/>
      <c r="M731" s="69"/>
    </row>
    <row r="732" spans="4:13">
      <c r="D732" s="228"/>
      <c r="E732" s="228"/>
      <c r="F732" s="69"/>
      <c r="G732" s="228"/>
      <c r="H732" s="228"/>
      <c r="I732" s="69"/>
      <c r="J732" s="69"/>
      <c r="L732" s="162"/>
      <c r="M732" s="69"/>
    </row>
    <row r="733" spans="4:13">
      <c r="D733" s="228"/>
      <c r="E733" s="228"/>
      <c r="F733" s="69"/>
      <c r="G733" s="228"/>
      <c r="H733" s="228"/>
      <c r="I733" s="69"/>
      <c r="J733" s="69"/>
      <c r="L733" s="162"/>
      <c r="M733" s="69"/>
    </row>
    <row r="734" spans="4:13">
      <c r="D734" s="228"/>
      <c r="E734" s="228"/>
      <c r="F734" s="69"/>
      <c r="G734" s="228"/>
      <c r="H734" s="228"/>
      <c r="I734" s="69"/>
      <c r="J734" s="69"/>
      <c r="L734" s="162"/>
      <c r="M734" s="69"/>
    </row>
    <row r="735" spans="4:13">
      <c r="D735" s="228"/>
      <c r="E735" s="228"/>
      <c r="F735" s="69"/>
      <c r="G735" s="228"/>
      <c r="H735" s="228"/>
      <c r="I735" s="69"/>
      <c r="J735" s="69"/>
    </row>
    <row r="736" spans="4:13">
      <c r="D736" s="228"/>
      <c r="E736" s="228"/>
      <c r="F736" s="69"/>
      <c r="G736" s="228"/>
      <c r="H736" s="228"/>
      <c r="I736" s="69"/>
      <c r="J736" s="69"/>
      <c r="L736" s="69"/>
      <c r="M736" s="69"/>
    </row>
    <row r="737" spans="4:13">
      <c r="D737" s="228"/>
      <c r="E737" s="228"/>
      <c r="F737" s="69"/>
      <c r="G737" s="228"/>
      <c r="H737" s="228"/>
      <c r="I737" s="69"/>
      <c r="J737" s="69"/>
      <c r="L737" s="69"/>
      <c r="M737" s="69"/>
    </row>
    <row r="738" spans="4:13">
      <c r="D738" s="228"/>
      <c r="E738" s="228"/>
      <c r="F738" s="69"/>
      <c r="G738" s="228"/>
      <c r="H738" s="228"/>
      <c r="I738" s="69"/>
      <c r="J738" s="69"/>
      <c r="L738" s="69"/>
      <c r="M738" s="69"/>
    </row>
    <row r="739" spans="4:13">
      <c r="D739" s="228"/>
      <c r="E739" s="228"/>
      <c r="F739" s="69"/>
      <c r="G739" s="228"/>
      <c r="H739" s="228"/>
      <c r="I739" s="69"/>
      <c r="J739" s="69"/>
      <c r="L739" s="69"/>
      <c r="M739" s="69"/>
    </row>
    <row r="740" spans="4:13">
      <c r="D740" s="228"/>
      <c r="E740" s="228"/>
      <c r="F740" s="69"/>
      <c r="G740" s="228"/>
      <c r="H740" s="228"/>
      <c r="I740" s="69"/>
      <c r="J740" s="69"/>
      <c r="L740" s="69"/>
      <c r="M740" s="69"/>
    </row>
    <row r="741" spans="4:13">
      <c r="D741" s="228"/>
      <c r="E741" s="228"/>
      <c r="F741" s="69"/>
      <c r="G741" s="228"/>
      <c r="H741" s="228"/>
      <c r="I741" s="69"/>
      <c r="J741" s="69"/>
      <c r="L741" s="69"/>
      <c r="M741" s="69"/>
    </row>
    <row r="742" spans="4:13">
      <c r="D742" s="228"/>
      <c r="E742" s="228"/>
      <c r="F742" s="69"/>
      <c r="G742" s="228"/>
      <c r="H742" s="228"/>
      <c r="I742" s="69"/>
      <c r="J742" s="69"/>
      <c r="L742" s="69"/>
      <c r="M742" s="69"/>
    </row>
    <row r="743" spans="4:13">
      <c r="D743" s="228"/>
      <c r="E743" s="228"/>
      <c r="F743" s="69"/>
      <c r="G743" s="228"/>
      <c r="H743" s="228"/>
      <c r="I743" s="69"/>
      <c r="J743" s="69"/>
      <c r="L743" s="69"/>
      <c r="M743" s="69"/>
    </row>
    <row r="744" spans="4:13">
      <c r="D744" s="228"/>
      <c r="E744" s="228"/>
      <c r="F744" s="69"/>
      <c r="G744" s="228"/>
      <c r="H744" s="228"/>
      <c r="I744" s="69"/>
      <c r="J744" s="69"/>
      <c r="L744" s="69"/>
      <c r="M744" s="69"/>
    </row>
    <row r="745" spans="4:13">
      <c r="D745" s="228"/>
      <c r="E745" s="228"/>
      <c r="F745" s="69"/>
      <c r="G745" s="228"/>
      <c r="H745" s="228"/>
      <c r="I745" s="69"/>
      <c r="J745" s="69"/>
      <c r="L745" s="69"/>
      <c r="M745" s="69"/>
    </row>
    <row r="746" spans="4:13">
      <c r="D746" s="228"/>
      <c r="E746" s="228"/>
      <c r="F746" s="69"/>
      <c r="G746" s="228"/>
      <c r="H746" s="228"/>
      <c r="I746" s="69"/>
      <c r="J746" s="69"/>
      <c r="L746" s="69"/>
      <c r="M746" s="69"/>
    </row>
    <row r="747" spans="4:13">
      <c r="D747" s="228"/>
      <c r="E747" s="228"/>
      <c r="F747" s="69"/>
      <c r="G747" s="228"/>
      <c r="H747" s="228"/>
      <c r="I747" s="69"/>
      <c r="J747" s="69"/>
      <c r="L747" s="69"/>
      <c r="M747" s="69"/>
    </row>
    <row r="748" spans="4:13">
      <c r="D748" s="228"/>
      <c r="E748" s="228"/>
      <c r="F748" s="69"/>
      <c r="G748" s="228"/>
      <c r="H748" s="228"/>
      <c r="I748" s="69"/>
      <c r="J748" s="69"/>
      <c r="L748" s="69"/>
      <c r="M748" s="69"/>
    </row>
    <row r="749" spans="4:13">
      <c r="D749" s="228"/>
      <c r="E749" s="228"/>
      <c r="F749" s="69"/>
      <c r="G749" s="228"/>
      <c r="H749" s="228"/>
      <c r="I749" s="69"/>
      <c r="J749" s="69"/>
      <c r="L749" s="69"/>
      <c r="M749" s="69"/>
    </row>
    <row r="750" spans="4:13">
      <c r="D750" s="228"/>
      <c r="E750" s="228"/>
      <c r="F750" s="69"/>
      <c r="G750" s="228"/>
      <c r="H750" s="228"/>
      <c r="I750" s="69"/>
      <c r="J750" s="69"/>
      <c r="L750" s="69"/>
      <c r="M750" s="69"/>
    </row>
    <row r="751" spans="4:13">
      <c r="D751" s="228"/>
      <c r="E751" s="228"/>
      <c r="F751" s="69"/>
      <c r="G751" s="228"/>
      <c r="H751" s="228"/>
      <c r="I751" s="69"/>
      <c r="J751" s="69"/>
      <c r="L751" s="69"/>
      <c r="M751" s="69"/>
    </row>
    <row r="752" spans="4:13">
      <c r="D752" s="228"/>
      <c r="E752" s="228"/>
      <c r="F752" s="69"/>
      <c r="G752" s="228"/>
      <c r="H752" s="228"/>
      <c r="I752" s="69"/>
      <c r="J752" s="69"/>
      <c r="L752" s="69"/>
      <c r="M752" s="69"/>
    </row>
    <row r="753" spans="4:13">
      <c r="D753" s="228"/>
      <c r="E753" s="228"/>
      <c r="F753" s="69"/>
      <c r="G753" s="228"/>
      <c r="H753" s="228"/>
      <c r="I753" s="69"/>
      <c r="J753" s="69"/>
      <c r="L753" s="69"/>
      <c r="M753" s="69"/>
    </row>
    <row r="754" spans="4:13">
      <c r="D754" s="228"/>
      <c r="E754" s="228"/>
      <c r="F754" s="69"/>
      <c r="G754" s="228"/>
      <c r="H754" s="228"/>
      <c r="I754" s="69"/>
      <c r="J754" s="69"/>
      <c r="L754" s="69"/>
      <c r="M754" s="69"/>
    </row>
    <row r="755" spans="4:13">
      <c r="D755" s="228"/>
      <c r="E755" s="228"/>
      <c r="F755" s="69"/>
      <c r="G755" s="228"/>
      <c r="H755" s="228"/>
      <c r="I755" s="69"/>
      <c r="J755" s="69"/>
      <c r="L755" s="69"/>
      <c r="M755" s="69"/>
    </row>
    <row r="756" spans="4:13">
      <c r="D756" s="228"/>
      <c r="E756" s="228"/>
      <c r="F756" s="69"/>
      <c r="G756" s="228"/>
      <c r="H756" s="228"/>
      <c r="I756" s="69"/>
      <c r="J756" s="69"/>
      <c r="L756" s="69"/>
      <c r="M756" s="69"/>
    </row>
    <row r="757" spans="4:13">
      <c r="D757" s="228"/>
      <c r="E757" s="228"/>
      <c r="F757" s="69"/>
      <c r="G757" s="228"/>
      <c r="H757" s="228"/>
      <c r="I757" s="69"/>
      <c r="J757" s="69"/>
      <c r="L757" s="69"/>
      <c r="M757" s="69"/>
    </row>
    <row r="758" spans="4:13">
      <c r="D758" s="228"/>
      <c r="E758" s="228"/>
      <c r="F758" s="69"/>
      <c r="G758" s="228"/>
      <c r="H758" s="228"/>
      <c r="I758" s="69"/>
      <c r="J758" s="69"/>
      <c r="L758" s="69"/>
      <c r="M758" s="69"/>
    </row>
    <row r="759" spans="4:13">
      <c r="D759" s="228"/>
      <c r="E759" s="228"/>
      <c r="F759" s="69"/>
      <c r="G759" s="228"/>
      <c r="H759" s="228"/>
      <c r="I759" s="69"/>
      <c r="J759" s="69"/>
      <c r="L759" s="69"/>
      <c r="M759" s="69"/>
    </row>
    <row r="760" spans="4:13">
      <c r="D760" s="228"/>
      <c r="E760" s="228"/>
      <c r="F760" s="69"/>
      <c r="G760" s="228"/>
      <c r="H760" s="228"/>
      <c r="I760" s="69"/>
      <c r="J760" s="69"/>
      <c r="L760" s="69"/>
      <c r="M760" s="69"/>
    </row>
    <row r="761" spans="4:13">
      <c r="D761" s="228"/>
      <c r="E761" s="228"/>
      <c r="F761" s="69"/>
      <c r="G761" s="228"/>
      <c r="H761" s="228"/>
      <c r="I761" s="69"/>
      <c r="J761" s="69"/>
      <c r="L761" s="69"/>
      <c r="M761" s="69"/>
    </row>
    <row r="762" spans="4:13">
      <c r="D762" s="228"/>
      <c r="E762" s="228"/>
      <c r="F762" s="69"/>
      <c r="G762" s="228"/>
      <c r="H762" s="228"/>
      <c r="I762" s="69"/>
      <c r="J762" s="69"/>
      <c r="L762" s="69"/>
      <c r="M762" s="69"/>
    </row>
    <row r="763" spans="4:13">
      <c r="D763" s="228"/>
      <c r="E763" s="228"/>
      <c r="F763" s="69"/>
      <c r="G763" s="228"/>
      <c r="H763" s="228"/>
      <c r="I763" s="69"/>
      <c r="J763" s="69"/>
      <c r="L763" s="69"/>
      <c r="M763" s="69"/>
    </row>
    <row r="764" spans="4:13">
      <c r="D764" s="228"/>
      <c r="E764" s="228"/>
      <c r="F764" s="69"/>
      <c r="G764" s="228"/>
      <c r="H764" s="228"/>
      <c r="I764" s="69"/>
      <c r="J764" s="69"/>
      <c r="L764" s="69"/>
      <c r="M764" s="69"/>
    </row>
    <row r="765" spans="4:13">
      <c r="D765" s="228"/>
      <c r="E765" s="228"/>
      <c r="F765" s="69"/>
      <c r="G765" s="228"/>
      <c r="H765" s="228"/>
      <c r="I765" s="69"/>
      <c r="J765" s="69"/>
      <c r="L765" s="69"/>
      <c r="M765" s="69"/>
    </row>
    <row r="766" spans="4:13">
      <c r="D766" s="228"/>
      <c r="E766" s="228"/>
      <c r="F766" s="69"/>
      <c r="G766" s="228"/>
      <c r="H766" s="228"/>
      <c r="I766" s="69"/>
      <c r="J766" s="69"/>
      <c r="L766" s="69"/>
      <c r="M766" s="69"/>
    </row>
    <row r="767" spans="4:13">
      <c r="D767" s="228"/>
      <c r="E767" s="228"/>
      <c r="F767" s="69"/>
      <c r="G767" s="228"/>
      <c r="H767" s="228"/>
      <c r="I767" s="69"/>
      <c r="J767" s="69"/>
      <c r="L767" s="69"/>
      <c r="M767" s="69"/>
    </row>
    <row r="768" spans="4:13">
      <c r="D768" s="228"/>
      <c r="E768" s="228"/>
      <c r="F768" s="69"/>
      <c r="G768" s="228"/>
      <c r="H768" s="228"/>
      <c r="I768" s="69"/>
      <c r="J768" s="69"/>
      <c r="L768" s="69"/>
      <c r="M768" s="69"/>
    </row>
    <row r="769" spans="4:13">
      <c r="D769" s="228"/>
      <c r="E769" s="228"/>
      <c r="F769" s="69"/>
      <c r="G769" s="228"/>
      <c r="H769" s="228"/>
      <c r="I769" s="69"/>
      <c r="J769" s="69"/>
      <c r="L769" s="69"/>
      <c r="M769" s="69"/>
    </row>
    <row r="770" spans="4:13">
      <c r="D770" s="228"/>
      <c r="E770" s="228"/>
      <c r="F770" s="69"/>
      <c r="G770" s="228"/>
      <c r="H770" s="228"/>
      <c r="I770" s="69"/>
      <c r="J770" s="69"/>
      <c r="L770" s="69"/>
      <c r="M770" s="69"/>
    </row>
    <row r="771" spans="4:13">
      <c r="D771" s="228"/>
      <c r="E771" s="228"/>
      <c r="F771" s="69"/>
      <c r="G771" s="228"/>
      <c r="H771" s="228"/>
      <c r="I771" s="69"/>
      <c r="J771" s="69"/>
      <c r="L771" s="69"/>
      <c r="M771" s="69"/>
    </row>
    <row r="772" spans="4:13">
      <c r="D772" s="228"/>
      <c r="E772" s="228"/>
      <c r="F772" s="69"/>
      <c r="G772" s="228"/>
      <c r="H772" s="228"/>
      <c r="I772" s="69"/>
      <c r="J772" s="69"/>
      <c r="L772" s="69"/>
      <c r="M772" s="69"/>
    </row>
    <row r="773" spans="4:13">
      <c r="D773" s="228"/>
      <c r="E773" s="228"/>
      <c r="F773" s="69"/>
      <c r="G773" s="228"/>
      <c r="H773" s="228"/>
      <c r="I773" s="69"/>
      <c r="J773" s="69"/>
      <c r="L773" s="69"/>
      <c r="M773" s="69"/>
    </row>
    <row r="774" spans="4:13">
      <c r="D774" s="228"/>
      <c r="E774" s="228"/>
      <c r="F774" s="69"/>
      <c r="G774" s="228"/>
      <c r="H774" s="228"/>
      <c r="I774" s="69"/>
      <c r="J774" s="69"/>
      <c r="L774" s="69"/>
      <c r="M774" s="69"/>
    </row>
    <row r="775" spans="4:13">
      <c r="D775" s="228"/>
      <c r="E775" s="228"/>
      <c r="F775" s="69"/>
      <c r="G775" s="228"/>
      <c r="H775" s="228"/>
      <c r="I775" s="69"/>
      <c r="J775" s="69"/>
      <c r="L775" s="69"/>
      <c r="M775" s="69"/>
    </row>
    <row r="776" spans="4:13">
      <c r="D776" s="228"/>
      <c r="E776" s="228"/>
      <c r="F776" s="69"/>
      <c r="G776" s="228"/>
      <c r="H776" s="228"/>
      <c r="I776" s="69"/>
      <c r="J776" s="69"/>
      <c r="L776" s="69"/>
      <c r="M776" s="69"/>
    </row>
    <row r="777" spans="4:13">
      <c r="D777" s="228"/>
      <c r="E777" s="228"/>
      <c r="F777" s="69"/>
      <c r="G777" s="228"/>
      <c r="H777" s="228"/>
      <c r="I777" s="69"/>
      <c r="J777" s="69"/>
      <c r="L777" s="69"/>
      <c r="M777" s="69"/>
    </row>
    <row r="778" spans="4:13">
      <c r="D778" s="228"/>
      <c r="E778" s="228"/>
      <c r="F778" s="69"/>
      <c r="G778" s="228"/>
      <c r="H778" s="228"/>
      <c r="I778" s="69"/>
      <c r="J778" s="69"/>
      <c r="L778" s="69"/>
      <c r="M778" s="69"/>
    </row>
    <row r="779" spans="4:13">
      <c r="D779" s="228"/>
      <c r="E779" s="228"/>
      <c r="F779" s="69"/>
      <c r="G779" s="228"/>
      <c r="H779" s="228"/>
      <c r="I779" s="69"/>
      <c r="J779" s="69"/>
      <c r="L779" s="69"/>
      <c r="M779" s="69"/>
    </row>
    <row r="780" spans="4:13">
      <c r="D780" s="228"/>
      <c r="E780" s="228"/>
      <c r="F780" s="69"/>
      <c r="G780" s="228"/>
      <c r="H780" s="228"/>
      <c r="I780" s="69"/>
      <c r="J780" s="69"/>
      <c r="L780" s="69"/>
      <c r="M780" s="69"/>
    </row>
    <row r="781" spans="4:13">
      <c r="D781" s="228"/>
      <c r="E781" s="228"/>
      <c r="F781" s="69"/>
      <c r="G781" s="228"/>
      <c r="H781" s="228"/>
      <c r="I781" s="69"/>
      <c r="J781" s="69"/>
      <c r="L781" s="69"/>
      <c r="M781" s="69"/>
    </row>
    <row r="782" spans="4:13">
      <c r="D782" s="228"/>
      <c r="E782" s="228"/>
      <c r="F782" s="69"/>
      <c r="G782" s="228"/>
      <c r="H782" s="228"/>
      <c r="I782" s="69"/>
      <c r="J782" s="69"/>
      <c r="L782" s="69"/>
      <c r="M782" s="69"/>
    </row>
    <row r="783" spans="4:13">
      <c r="D783" s="228"/>
      <c r="E783" s="228"/>
      <c r="F783" s="69"/>
      <c r="G783" s="228"/>
      <c r="H783" s="228"/>
      <c r="I783" s="69"/>
      <c r="J783" s="69"/>
      <c r="L783" s="69"/>
      <c r="M783" s="69"/>
    </row>
    <row r="784" spans="4:13">
      <c r="D784" s="228"/>
      <c r="E784" s="228"/>
      <c r="F784" s="69"/>
      <c r="G784" s="228"/>
      <c r="H784" s="228"/>
      <c r="I784" s="69"/>
      <c r="J784" s="69"/>
      <c r="L784" s="69"/>
      <c r="M784" s="69"/>
    </row>
    <row r="785" spans="4:13">
      <c r="D785" s="228"/>
      <c r="E785" s="228"/>
      <c r="F785" s="69"/>
      <c r="G785" s="228"/>
      <c r="H785" s="228"/>
      <c r="I785" s="69"/>
      <c r="J785" s="69"/>
      <c r="L785" s="69"/>
      <c r="M785" s="69"/>
    </row>
    <row r="786" spans="4:13">
      <c r="D786" s="228"/>
      <c r="E786" s="228"/>
      <c r="F786" s="69"/>
      <c r="G786" s="228"/>
      <c r="H786" s="228"/>
      <c r="I786" s="69"/>
      <c r="J786" s="69"/>
      <c r="L786" s="69"/>
      <c r="M786" s="69"/>
    </row>
    <row r="787" spans="4:13">
      <c r="D787" s="228"/>
      <c r="E787" s="228"/>
      <c r="F787" s="69"/>
      <c r="G787" s="228"/>
      <c r="H787" s="228"/>
      <c r="I787" s="69"/>
      <c r="J787" s="69"/>
      <c r="L787" s="69"/>
      <c r="M787" s="69"/>
    </row>
    <row r="788" spans="4:13">
      <c r="D788" s="228"/>
      <c r="E788" s="228"/>
      <c r="F788" s="69"/>
      <c r="G788" s="228"/>
      <c r="H788" s="228"/>
      <c r="I788" s="69"/>
      <c r="J788" s="69"/>
      <c r="L788" s="69"/>
      <c r="M788" s="69"/>
    </row>
    <row r="789" spans="4:13">
      <c r="D789" s="228"/>
      <c r="E789" s="228"/>
      <c r="F789" s="69"/>
      <c r="G789" s="228"/>
      <c r="H789" s="228"/>
      <c r="I789" s="69"/>
      <c r="J789" s="69"/>
      <c r="L789" s="69"/>
      <c r="M789" s="69"/>
    </row>
    <row r="790" spans="4:13">
      <c r="D790" s="228"/>
      <c r="E790" s="228"/>
      <c r="F790" s="69"/>
      <c r="G790" s="228"/>
      <c r="H790" s="228"/>
      <c r="I790" s="69"/>
      <c r="J790" s="69"/>
      <c r="L790" s="69"/>
      <c r="M790" s="69"/>
    </row>
    <row r="791" spans="4:13">
      <c r="D791" s="228"/>
      <c r="E791" s="228"/>
      <c r="F791" s="69"/>
      <c r="G791" s="228"/>
      <c r="H791" s="228"/>
      <c r="I791" s="69"/>
      <c r="J791" s="69"/>
      <c r="L791" s="69"/>
      <c r="M791" s="69"/>
    </row>
    <row r="792" spans="4:13">
      <c r="D792" s="228"/>
      <c r="E792" s="228"/>
      <c r="F792" s="69"/>
      <c r="G792" s="228"/>
      <c r="H792" s="228"/>
      <c r="I792" s="69"/>
      <c r="J792" s="69"/>
      <c r="L792" s="69"/>
      <c r="M792" s="69"/>
    </row>
    <row r="793" spans="4:13">
      <c r="D793" s="228"/>
      <c r="E793" s="228"/>
      <c r="F793" s="69"/>
      <c r="G793" s="228"/>
      <c r="H793" s="228"/>
      <c r="I793" s="69"/>
      <c r="J793" s="69"/>
      <c r="L793" s="69"/>
      <c r="M793" s="69"/>
    </row>
    <row r="794" spans="4:13">
      <c r="D794" s="228"/>
      <c r="E794" s="228"/>
      <c r="F794" s="69"/>
      <c r="G794" s="228"/>
      <c r="H794" s="228"/>
      <c r="I794" s="69"/>
      <c r="J794" s="69"/>
      <c r="L794" s="69"/>
      <c r="M794" s="69"/>
    </row>
    <row r="795" spans="4:13">
      <c r="D795" s="228"/>
      <c r="E795" s="228"/>
      <c r="F795" s="69"/>
      <c r="G795" s="228"/>
      <c r="H795" s="228"/>
      <c r="I795" s="69"/>
      <c r="J795" s="69"/>
      <c r="L795" s="69"/>
      <c r="M795" s="69"/>
    </row>
    <row r="796" spans="4:13">
      <c r="D796" s="228"/>
      <c r="E796" s="228"/>
      <c r="F796" s="69"/>
      <c r="G796" s="228"/>
      <c r="H796" s="228"/>
      <c r="I796" s="69"/>
      <c r="J796" s="69"/>
      <c r="L796" s="69"/>
      <c r="M796" s="69"/>
    </row>
    <row r="797" spans="4:13">
      <c r="D797" s="228"/>
      <c r="E797" s="228"/>
      <c r="F797" s="69"/>
      <c r="G797" s="228"/>
      <c r="H797" s="228"/>
      <c r="I797" s="69"/>
      <c r="J797" s="69"/>
      <c r="L797" s="69"/>
      <c r="M797" s="69"/>
    </row>
    <row r="798" spans="4:13">
      <c r="D798" s="228"/>
      <c r="E798" s="228"/>
      <c r="F798" s="69"/>
      <c r="G798" s="228"/>
      <c r="H798" s="228"/>
      <c r="I798" s="69"/>
      <c r="J798" s="69"/>
      <c r="L798" s="69"/>
      <c r="M798" s="69"/>
    </row>
    <row r="799" spans="4:13">
      <c r="D799" s="228"/>
      <c r="E799" s="228"/>
      <c r="F799" s="69"/>
      <c r="G799" s="228"/>
      <c r="H799" s="228"/>
      <c r="I799" s="69"/>
      <c r="J799" s="69"/>
      <c r="L799" s="69"/>
      <c r="M799" s="69"/>
    </row>
    <row r="800" spans="4:13">
      <c r="D800" s="228"/>
      <c r="E800" s="228"/>
      <c r="F800" s="69"/>
      <c r="G800" s="228"/>
      <c r="H800" s="228"/>
      <c r="I800" s="69"/>
      <c r="J800" s="69"/>
      <c r="L800" s="69"/>
      <c r="M800" s="69"/>
    </row>
    <row r="801" spans="4:13">
      <c r="D801" s="228"/>
      <c r="E801" s="228"/>
      <c r="F801" s="69"/>
      <c r="G801" s="228"/>
      <c r="H801" s="228"/>
      <c r="I801" s="69"/>
      <c r="J801" s="69"/>
      <c r="L801" s="69"/>
      <c r="M801" s="69"/>
    </row>
    <row r="802" spans="4:13">
      <c r="D802" s="228"/>
      <c r="E802" s="228"/>
      <c r="F802" s="69"/>
      <c r="G802" s="228"/>
      <c r="H802" s="228"/>
      <c r="I802" s="69"/>
      <c r="J802" s="69"/>
      <c r="L802" s="69"/>
      <c r="M802" s="69"/>
    </row>
    <row r="803" spans="4:13">
      <c r="D803" s="228"/>
      <c r="E803" s="228"/>
      <c r="F803" s="69"/>
      <c r="G803" s="228"/>
      <c r="H803" s="228"/>
      <c r="I803" s="69"/>
      <c r="J803" s="69"/>
      <c r="L803" s="69"/>
      <c r="M803" s="69"/>
    </row>
    <row r="804" spans="4:13">
      <c r="D804" s="228"/>
      <c r="E804" s="228"/>
      <c r="F804" s="69"/>
      <c r="G804" s="228"/>
      <c r="H804" s="228"/>
      <c r="I804" s="69"/>
      <c r="J804" s="69"/>
      <c r="L804" s="69"/>
      <c r="M804" s="69"/>
    </row>
    <row r="805" spans="4:13">
      <c r="D805" s="228"/>
      <c r="E805" s="228"/>
      <c r="F805" s="69"/>
      <c r="G805" s="228"/>
      <c r="H805" s="228"/>
      <c r="I805" s="69"/>
      <c r="J805" s="69"/>
      <c r="L805" s="69"/>
      <c r="M805" s="69"/>
    </row>
    <row r="806" spans="4:13">
      <c r="D806" s="228"/>
      <c r="E806" s="228"/>
      <c r="F806" s="69"/>
      <c r="G806" s="228"/>
      <c r="H806" s="228"/>
      <c r="I806" s="69"/>
      <c r="J806" s="69"/>
      <c r="L806" s="69"/>
      <c r="M806" s="69"/>
    </row>
    <row r="807" spans="4:13">
      <c r="D807" s="228"/>
      <c r="E807" s="228"/>
      <c r="F807" s="69"/>
      <c r="G807" s="228"/>
      <c r="H807" s="228"/>
      <c r="I807" s="69"/>
      <c r="J807" s="69"/>
      <c r="L807" s="69"/>
      <c r="M807" s="69"/>
    </row>
    <row r="808" spans="4:13">
      <c r="D808" s="228"/>
      <c r="E808" s="228"/>
      <c r="F808" s="69"/>
      <c r="G808" s="228"/>
      <c r="H808" s="228"/>
      <c r="I808" s="69"/>
      <c r="J808" s="69"/>
      <c r="L808" s="69"/>
      <c r="M808" s="69"/>
    </row>
    <row r="809" spans="4:13">
      <c r="D809" s="228"/>
      <c r="E809" s="228"/>
      <c r="F809" s="69"/>
      <c r="G809" s="228"/>
      <c r="H809" s="228"/>
      <c r="I809" s="69"/>
      <c r="J809" s="69"/>
      <c r="L809" s="69"/>
      <c r="M809" s="69"/>
    </row>
    <row r="810" spans="4:13">
      <c r="D810" s="228"/>
      <c r="E810" s="228"/>
      <c r="F810" s="69"/>
      <c r="G810" s="228"/>
      <c r="H810" s="228"/>
      <c r="I810" s="69"/>
      <c r="J810" s="69"/>
      <c r="L810" s="69"/>
      <c r="M810" s="69"/>
    </row>
    <row r="811" spans="4:13">
      <c r="D811" s="228"/>
      <c r="E811" s="228"/>
      <c r="F811" s="69"/>
      <c r="G811" s="228"/>
      <c r="H811" s="228"/>
      <c r="I811" s="69"/>
      <c r="J811" s="69"/>
      <c r="L811" s="69"/>
      <c r="M811" s="69"/>
    </row>
    <row r="812" spans="4:13">
      <c r="D812" s="228"/>
      <c r="E812" s="228"/>
      <c r="F812" s="69"/>
      <c r="G812" s="228"/>
      <c r="H812" s="228"/>
      <c r="I812" s="69"/>
      <c r="J812" s="69"/>
      <c r="L812" s="69"/>
      <c r="M812" s="69"/>
    </row>
    <row r="813" spans="4:13">
      <c r="D813" s="228"/>
      <c r="E813" s="228"/>
      <c r="F813" s="69"/>
      <c r="G813" s="228"/>
      <c r="H813" s="228"/>
      <c r="I813" s="69"/>
      <c r="J813" s="69"/>
      <c r="L813" s="69"/>
      <c r="M813" s="69"/>
    </row>
    <row r="814" spans="4:13">
      <c r="D814" s="228"/>
      <c r="E814" s="228"/>
      <c r="F814" s="69"/>
      <c r="G814" s="228"/>
      <c r="H814" s="228"/>
      <c r="I814" s="69"/>
      <c r="J814" s="69"/>
      <c r="L814" s="69"/>
      <c r="M814" s="69"/>
    </row>
    <row r="815" spans="4:13">
      <c r="D815" s="228"/>
      <c r="E815" s="228"/>
      <c r="F815" s="69"/>
      <c r="G815" s="228"/>
      <c r="H815" s="228"/>
      <c r="I815" s="69"/>
      <c r="J815" s="69"/>
      <c r="L815" s="69"/>
      <c r="M815" s="69"/>
    </row>
    <row r="816" spans="4:13">
      <c r="D816" s="228"/>
      <c r="E816" s="228"/>
      <c r="F816" s="69"/>
      <c r="G816" s="228"/>
      <c r="H816" s="228"/>
      <c r="I816" s="69"/>
      <c r="J816" s="69"/>
      <c r="L816" s="69"/>
      <c r="M816" s="69"/>
    </row>
    <row r="817" spans="4:13">
      <c r="D817" s="228"/>
      <c r="E817" s="228"/>
      <c r="F817" s="69"/>
      <c r="G817" s="228"/>
      <c r="H817" s="228"/>
      <c r="I817" s="69"/>
      <c r="J817" s="69"/>
      <c r="L817" s="69"/>
      <c r="M817" s="69"/>
    </row>
    <row r="818" spans="4:13">
      <c r="D818" s="228"/>
      <c r="E818" s="228"/>
      <c r="F818" s="69"/>
      <c r="G818" s="228"/>
      <c r="H818" s="228"/>
      <c r="I818" s="69"/>
      <c r="J818" s="69"/>
      <c r="L818" s="69"/>
      <c r="M818" s="69"/>
    </row>
    <row r="819" spans="4:13">
      <c r="D819" s="228"/>
      <c r="E819" s="228"/>
      <c r="F819" s="69"/>
      <c r="G819" s="228"/>
      <c r="H819" s="228"/>
      <c r="I819" s="69"/>
      <c r="J819" s="69"/>
      <c r="L819" s="69"/>
      <c r="M819" s="69"/>
    </row>
    <row r="820" spans="4:13">
      <c r="D820" s="228"/>
      <c r="E820" s="228"/>
      <c r="F820" s="69"/>
      <c r="G820" s="228"/>
      <c r="H820" s="228"/>
      <c r="I820" s="69"/>
      <c r="J820" s="69"/>
      <c r="L820" s="69"/>
      <c r="M820" s="69"/>
    </row>
    <row r="821" spans="4:13">
      <c r="D821" s="228"/>
      <c r="E821" s="228"/>
      <c r="F821" s="69"/>
      <c r="G821" s="228"/>
      <c r="H821" s="228"/>
      <c r="I821" s="69"/>
      <c r="J821" s="69"/>
      <c r="L821" s="69"/>
      <c r="M821" s="69"/>
    </row>
    <row r="822" spans="4:13">
      <c r="D822" s="228"/>
      <c r="E822" s="228"/>
      <c r="F822" s="69"/>
      <c r="G822" s="228"/>
      <c r="H822" s="228"/>
      <c r="I822" s="69"/>
      <c r="J822" s="69"/>
      <c r="L822" s="69"/>
      <c r="M822" s="69"/>
    </row>
    <row r="823" spans="4:13">
      <c r="D823" s="228"/>
      <c r="E823" s="228"/>
      <c r="F823" s="69"/>
      <c r="G823" s="228"/>
      <c r="H823" s="228"/>
      <c r="I823" s="69"/>
      <c r="J823" s="69"/>
      <c r="L823" s="69"/>
      <c r="M823" s="69"/>
    </row>
    <row r="824" spans="4:13">
      <c r="D824" s="228"/>
      <c r="E824" s="228"/>
      <c r="F824" s="69"/>
      <c r="G824" s="228"/>
      <c r="H824" s="228"/>
      <c r="I824" s="69"/>
      <c r="J824" s="69"/>
      <c r="L824" s="69"/>
      <c r="M824" s="69"/>
    </row>
    <row r="825" spans="4:13">
      <c r="D825" s="228"/>
      <c r="E825" s="228"/>
      <c r="F825" s="69"/>
      <c r="G825" s="228"/>
      <c r="H825" s="228"/>
      <c r="I825" s="69"/>
      <c r="J825" s="69"/>
      <c r="L825" s="69"/>
      <c r="M825" s="69"/>
    </row>
    <row r="826" spans="4:13">
      <c r="D826" s="228"/>
      <c r="E826" s="228"/>
      <c r="F826" s="69"/>
      <c r="G826" s="228"/>
      <c r="H826" s="228"/>
      <c r="I826" s="69"/>
      <c r="J826" s="69"/>
      <c r="L826" s="69"/>
      <c r="M826" s="69"/>
    </row>
    <row r="827" spans="4:13">
      <c r="D827" s="228"/>
      <c r="E827" s="228"/>
      <c r="F827" s="69"/>
      <c r="G827" s="228"/>
      <c r="H827" s="228"/>
      <c r="I827" s="69"/>
      <c r="J827" s="69"/>
      <c r="L827" s="69"/>
      <c r="M827" s="69"/>
    </row>
    <row r="828" spans="4:13">
      <c r="D828" s="228"/>
      <c r="E828" s="228"/>
      <c r="F828" s="69"/>
      <c r="G828" s="228"/>
      <c r="H828" s="228"/>
      <c r="I828" s="69"/>
      <c r="J828" s="69"/>
      <c r="L828" s="69"/>
      <c r="M828" s="69"/>
    </row>
    <row r="829" spans="4:13">
      <c r="D829" s="228"/>
      <c r="E829" s="228"/>
      <c r="F829" s="69"/>
      <c r="G829" s="228"/>
      <c r="H829" s="228"/>
      <c r="I829" s="69"/>
      <c r="J829" s="69"/>
      <c r="L829" s="69"/>
      <c r="M829" s="69"/>
    </row>
    <row r="830" spans="4:13">
      <c r="D830" s="228"/>
      <c r="E830" s="228"/>
      <c r="F830" s="69"/>
      <c r="G830" s="228"/>
      <c r="H830" s="228"/>
      <c r="I830" s="69"/>
      <c r="J830" s="69"/>
      <c r="L830" s="69"/>
      <c r="M830" s="69"/>
    </row>
    <row r="831" spans="4:13">
      <c r="D831" s="228"/>
      <c r="E831" s="228"/>
      <c r="F831" s="69"/>
      <c r="G831" s="228"/>
      <c r="H831" s="228"/>
      <c r="I831" s="69"/>
      <c r="J831" s="69"/>
      <c r="L831" s="69"/>
      <c r="M831" s="69"/>
    </row>
    <row r="832" spans="4:13">
      <c r="D832" s="228"/>
      <c r="E832" s="228"/>
      <c r="F832" s="69"/>
      <c r="G832" s="228"/>
      <c r="H832" s="228"/>
      <c r="I832" s="69"/>
      <c r="J832" s="69"/>
      <c r="L832" s="69"/>
      <c r="M832" s="69"/>
    </row>
    <row r="833" spans="4:13">
      <c r="D833" s="228"/>
      <c r="E833" s="228"/>
      <c r="F833" s="69"/>
      <c r="G833" s="228"/>
      <c r="H833" s="228"/>
      <c r="I833" s="69"/>
      <c r="J833" s="69"/>
      <c r="L833" s="69"/>
      <c r="M833" s="69"/>
    </row>
    <row r="834" spans="4:13">
      <c r="D834" s="228"/>
      <c r="E834" s="228"/>
      <c r="F834" s="69"/>
      <c r="G834" s="228"/>
      <c r="H834" s="228"/>
      <c r="I834" s="69"/>
      <c r="J834" s="69"/>
      <c r="L834" s="69"/>
      <c r="M834" s="69"/>
    </row>
    <row r="835" spans="4:13">
      <c r="D835" s="228"/>
      <c r="E835" s="228"/>
      <c r="F835" s="69"/>
      <c r="G835" s="228"/>
      <c r="H835" s="228"/>
      <c r="I835" s="69"/>
      <c r="J835" s="69"/>
      <c r="L835" s="69"/>
      <c r="M835" s="69"/>
    </row>
    <row r="836" spans="4:13">
      <c r="D836" s="228"/>
      <c r="E836" s="228"/>
      <c r="F836" s="69"/>
      <c r="G836" s="228"/>
      <c r="H836" s="228"/>
      <c r="I836" s="69"/>
      <c r="J836" s="69"/>
      <c r="L836" s="69"/>
      <c r="M836" s="69"/>
    </row>
    <row r="837" spans="4:13">
      <c r="D837" s="228"/>
      <c r="E837" s="228"/>
      <c r="F837" s="69"/>
      <c r="G837" s="228"/>
      <c r="H837" s="228"/>
      <c r="I837" s="69"/>
      <c r="J837" s="69"/>
      <c r="L837" s="69"/>
      <c r="M837" s="69"/>
    </row>
    <row r="838" spans="4:13">
      <c r="D838" s="228"/>
      <c r="E838" s="228"/>
      <c r="F838" s="69"/>
      <c r="G838" s="228"/>
      <c r="H838" s="228"/>
      <c r="I838" s="69"/>
      <c r="J838" s="69"/>
      <c r="L838" s="69"/>
      <c r="M838" s="69"/>
    </row>
    <row r="839" spans="4:13">
      <c r="D839" s="228"/>
      <c r="E839" s="228"/>
      <c r="F839" s="69"/>
      <c r="G839" s="228"/>
      <c r="H839" s="228"/>
      <c r="I839" s="69"/>
      <c r="J839" s="69"/>
      <c r="L839" s="69"/>
      <c r="M839" s="69"/>
    </row>
    <row r="840" spans="4:13">
      <c r="D840" s="228"/>
      <c r="E840" s="228"/>
      <c r="F840" s="69"/>
      <c r="G840" s="228"/>
      <c r="H840" s="228"/>
      <c r="I840" s="69"/>
      <c r="J840" s="69"/>
      <c r="L840" s="69"/>
      <c r="M840" s="69"/>
    </row>
    <row r="841" spans="4:13">
      <c r="D841" s="228"/>
      <c r="E841" s="228"/>
      <c r="F841" s="69"/>
      <c r="G841" s="228"/>
      <c r="H841" s="228"/>
      <c r="I841" s="69"/>
      <c r="J841" s="69"/>
      <c r="L841" s="69"/>
      <c r="M841" s="69"/>
    </row>
    <row r="842" spans="4:13">
      <c r="D842" s="228"/>
      <c r="E842" s="228"/>
      <c r="F842" s="69"/>
      <c r="G842" s="228"/>
      <c r="H842" s="228"/>
      <c r="I842" s="69"/>
      <c r="J842" s="69"/>
      <c r="L842" s="69"/>
      <c r="M842" s="69"/>
    </row>
    <row r="843" spans="4:13">
      <c r="D843" s="228"/>
      <c r="E843" s="228"/>
      <c r="F843" s="69"/>
      <c r="G843" s="228"/>
      <c r="H843" s="228"/>
      <c r="I843" s="69"/>
      <c r="J843" s="69"/>
      <c r="L843" s="69"/>
      <c r="M843" s="69"/>
    </row>
    <row r="844" spans="4:13">
      <c r="D844" s="228"/>
      <c r="E844" s="228"/>
      <c r="F844" s="69"/>
      <c r="G844" s="228"/>
      <c r="H844" s="228"/>
      <c r="I844" s="69"/>
      <c r="J844" s="69"/>
      <c r="L844" s="69"/>
      <c r="M844" s="69"/>
    </row>
    <row r="845" spans="4:13">
      <c r="D845" s="228"/>
      <c r="E845" s="228"/>
      <c r="F845" s="69"/>
      <c r="G845" s="228"/>
      <c r="H845" s="228"/>
      <c r="I845" s="69"/>
      <c r="J845" s="69"/>
      <c r="L845" s="69"/>
      <c r="M845" s="69"/>
    </row>
    <row r="846" spans="4:13">
      <c r="D846" s="228"/>
      <c r="E846" s="228"/>
      <c r="F846" s="69"/>
      <c r="G846" s="228"/>
      <c r="H846" s="228"/>
      <c r="I846" s="69"/>
      <c r="J846" s="69"/>
      <c r="L846" s="69"/>
      <c r="M846" s="69"/>
    </row>
    <row r="847" spans="4:13">
      <c r="D847" s="228"/>
      <c r="E847" s="228"/>
      <c r="F847" s="69"/>
      <c r="G847" s="228"/>
      <c r="H847" s="228"/>
      <c r="I847" s="69"/>
      <c r="J847" s="69"/>
      <c r="L847" s="69"/>
      <c r="M847" s="69"/>
    </row>
    <row r="848" spans="4:13">
      <c r="D848" s="228"/>
      <c r="E848" s="228"/>
      <c r="F848" s="69"/>
      <c r="G848" s="228"/>
      <c r="H848" s="228"/>
      <c r="I848" s="69"/>
      <c r="J848" s="69"/>
      <c r="L848" s="69"/>
      <c r="M848" s="69"/>
    </row>
    <row r="849" spans="4:13">
      <c r="D849" s="228"/>
      <c r="E849" s="228"/>
      <c r="F849" s="69"/>
      <c r="G849" s="228"/>
      <c r="H849" s="228"/>
      <c r="I849" s="69"/>
      <c r="J849" s="69"/>
      <c r="L849" s="69"/>
      <c r="M849" s="69"/>
    </row>
    <row r="850" spans="4:13">
      <c r="D850" s="228"/>
      <c r="E850" s="228"/>
      <c r="F850" s="69"/>
      <c r="G850" s="228"/>
      <c r="H850" s="228"/>
      <c r="I850" s="69"/>
      <c r="J850" s="69"/>
      <c r="L850" s="69"/>
      <c r="M850" s="69"/>
    </row>
    <row r="851" spans="4:13">
      <c r="D851" s="228"/>
      <c r="E851" s="228"/>
      <c r="F851" s="69"/>
      <c r="G851" s="228"/>
      <c r="H851" s="228"/>
      <c r="I851" s="69"/>
      <c r="J851" s="69"/>
      <c r="L851" s="69"/>
      <c r="M851" s="69"/>
    </row>
    <row r="852" spans="4:13">
      <c r="D852" s="228"/>
      <c r="E852" s="228"/>
      <c r="F852" s="69"/>
      <c r="G852" s="228"/>
      <c r="H852" s="228"/>
      <c r="I852" s="69"/>
      <c r="J852" s="69"/>
      <c r="L852" s="69"/>
      <c r="M852" s="69"/>
    </row>
    <row r="853" spans="4:13">
      <c r="D853" s="228"/>
      <c r="E853" s="228"/>
      <c r="F853" s="69"/>
      <c r="G853" s="228"/>
      <c r="H853" s="228"/>
      <c r="I853" s="69"/>
      <c r="J853" s="69"/>
      <c r="L853" s="69"/>
      <c r="M853" s="69"/>
    </row>
    <row r="854" spans="4:13">
      <c r="D854" s="228"/>
      <c r="E854" s="228"/>
      <c r="F854" s="69"/>
      <c r="G854" s="228"/>
      <c r="H854" s="228"/>
      <c r="I854" s="69"/>
      <c r="J854" s="69"/>
      <c r="L854" s="69"/>
      <c r="M854" s="69"/>
    </row>
    <row r="855" spans="4:13">
      <c r="D855" s="228"/>
      <c r="E855" s="228"/>
      <c r="F855" s="69"/>
      <c r="G855" s="228"/>
      <c r="H855" s="228"/>
      <c r="I855" s="69"/>
      <c r="J855" s="69"/>
      <c r="L855" s="69"/>
      <c r="M855" s="69"/>
    </row>
    <row r="856" spans="4:13">
      <c r="D856" s="228"/>
      <c r="E856" s="228"/>
      <c r="F856" s="69"/>
      <c r="G856" s="228"/>
      <c r="H856" s="228"/>
      <c r="I856" s="69"/>
      <c r="J856" s="69"/>
      <c r="L856" s="69"/>
      <c r="M856" s="69"/>
    </row>
    <row r="857" spans="4:13">
      <c r="D857" s="228"/>
      <c r="E857" s="228"/>
      <c r="F857" s="69"/>
      <c r="G857" s="228"/>
      <c r="H857" s="228"/>
      <c r="I857" s="69"/>
      <c r="J857" s="69"/>
      <c r="L857" s="69"/>
    </row>
    <row r="858" spans="4:13">
      <c r="D858" s="228"/>
      <c r="E858" s="228"/>
      <c r="F858" s="69"/>
      <c r="G858" s="228"/>
      <c r="H858" s="228"/>
      <c r="I858" s="69"/>
      <c r="J858" s="69"/>
      <c r="L858" s="69"/>
      <c r="M858" s="69"/>
    </row>
    <row r="859" spans="4:13">
      <c r="D859" s="228"/>
      <c r="E859" s="228"/>
      <c r="F859" s="69"/>
      <c r="G859" s="228"/>
      <c r="H859" s="228"/>
      <c r="I859" s="69"/>
      <c r="J859" s="69"/>
      <c r="L859" s="69"/>
      <c r="M859" s="69"/>
    </row>
    <row r="860" spans="4:13">
      <c r="D860" s="228"/>
      <c r="E860" s="228"/>
      <c r="F860" s="69"/>
      <c r="G860" s="228"/>
      <c r="H860" s="228"/>
      <c r="I860" s="69"/>
      <c r="J860" s="69"/>
      <c r="L860" s="69"/>
      <c r="M860" s="69"/>
    </row>
    <row r="861" spans="4:13">
      <c r="D861" s="228"/>
      <c r="E861" s="228"/>
      <c r="F861" s="69"/>
      <c r="G861" s="228"/>
      <c r="H861" s="228"/>
      <c r="I861" s="69"/>
      <c r="J861" s="69"/>
      <c r="L861" s="69"/>
      <c r="M861" s="69"/>
    </row>
    <row r="862" spans="4:13">
      <c r="D862" s="228"/>
      <c r="E862" s="228"/>
      <c r="F862" s="69"/>
      <c r="G862" s="228"/>
      <c r="H862" s="228"/>
      <c r="I862" s="69"/>
      <c r="J862" s="69"/>
      <c r="L862" s="69"/>
      <c r="M862" s="69"/>
    </row>
    <row r="863" spans="4:13">
      <c r="D863" s="228"/>
      <c r="E863" s="228"/>
      <c r="F863" s="69"/>
      <c r="G863" s="228"/>
      <c r="H863" s="228"/>
      <c r="I863" s="69"/>
      <c r="J863" s="69"/>
      <c r="L863" s="69"/>
      <c r="M863" s="69"/>
    </row>
    <row r="864" spans="4:13">
      <c r="D864" s="228"/>
      <c r="E864" s="228"/>
      <c r="F864" s="69"/>
      <c r="G864" s="228"/>
      <c r="H864" s="228"/>
      <c r="I864" s="69"/>
      <c r="J864" s="69"/>
      <c r="L864" s="69"/>
      <c r="M864" s="69"/>
    </row>
    <row r="865" spans="4:13">
      <c r="D865" s="228"/>
      <c r="E865" s="228"/>
      <c r="F865" s="69"/>
      <c r="G865" s="228"/>
      <c r="H865" s="228"/>
      <c r="I865" s="69"/>
      <c r="J865" s="69"/>
      <c r="L865" s="69"/>
      <c r="M865" s="69"/>
    </row>
    <row r="866" spans="4:13">
      <c r="D866" s="228"/>
      <c r="E866" s="228"/>
      <c r="F866" s="69"/>
      <c r="G866" s="228"/>
      <c r="H866" s="228"/>
      <c r="I866" s="69"/>
      <c r="J866" s="69"/>
      <c r="L866" s="69"/>
      <c r="M866" s="69"/>
    </row>
    <row r="867" spans="4:13">
      <c r="D867" s="228"/>
      <c r="E867" s="228"/>
      <c r="F867" s="69"/>
      <c r="G867" s="228"/>
      <c r="H867" s="228"/>
      <c r="I867" s="69"/>
      <c r="J867" s="69"/>
      <c r="L867" s="69"/>
      <c r="M867" s="69"/>
    </row>
    <row r="868" spans="4:13">
      <c r="D868" s="228"/>
      <c r="E868" s="228"/>
      <c r="F868" s="69"/>
      <c r="G868" s="228"/>
      <c r="H868" s="228"/>
      <c r="I868" s="69"/>
      <c r="J868" s="69"/>
      <c r="L868" s="69"/>
      <c r="M868" s="69"/>
    </row>
    <row r="869" spans="4:13">
      <c r="D869" s="228"/>
      <c r="E869" s="228"/>
      <c r="F869" s="69"/>
      <c r="G869" s="228"/>
      <c r="H869" s="228"/>
      <c r="I869" s="69"/>
      <c r="J869" s="69"/>
      <c r="L869" s="69"/>
      <c r="M869" s="69"/>
    </row>
    <row r="870" spans="4:13">
      <c r="D870" s="228"/>
      <c r="E870" s="228"/>
      <c r="F870" s="69"/>
      <c r="G870" s="228"/>
      <c r="H870" s="228"/>
      <c r="I870" s="69"/>
      <c r="J870" s="69"/>
      <c r="L870" s="69"/>
      <c r="M870" s="69"/>
    </row>
    <row r="871" spans="4:13">
      <c r="D871" s="228"/>
      <c r="E871" s="228"/>
      <c r="F871" s="69"/>
      <c r="G871" s="228"/>
      <c r="H871" s="228"/>
      <c r="I871" s="69"/>
      <c r="J871" s="69"/>
      <c r="L871" s="69"/>
      <c r="M871" s="69"/>
    </row>
    <row r="872" spans="4:13">
      <c r="D872" s="228"/>
      <c r="E872" s="228"/>
      <c r="F872" s="69"/>
      <c r="G872" s="228"/>
      <c r="H872" s="228"/>
      <c r="I872" s="69"/>
      <c r="J872" s="69"/>
      <c r="L872" s="69"/>
      <c r="M872" s="69"/>
    </row>
    <row r="873" spans="4:13">
      <c r="D873" s="228"/>
      <c r="E873" s="228"/>
      <c r="F873" s="69"/>
      <c r="G873" s="228"/>
      <c r="H873" s="228"/>
      <c r="I873" s="69"/>
      <c r="J873" s="69"/>
      <c r="L873" s="69"/>
      <c r="M873" s="69"/>
    </row>
    <row r="874" spans="4:13">
      <c r="D874" s="228"/>
      <c r="E874" s="228"/>
      <c r="F874" s="69"/>
      <c r="G874" s="228"/>
      <c r="H874" s="228"/>
      <c r="I874" s="69"/>
      <c r="J874" s="69"/>
      <c r="L874" s="69"/>
      <c r="M874" s="69"/>
    </row>
    <row r="875" spans="4:13">
      <c r="D875" s="228"/>
      <c r="E875" s="228"/>
      <c r="F875" s="69"/>
      <c r="G875" s="228"/>
      <c r="H875" s="228"/>
      <c r="I875" s="69"/>
      <c r="J875" s="69"/>
      <c r="L875" s="69"/>
      <c r="M875" s="69"/>
    </row>
    <row r="876" spans="4:13">
      <c r="D876" s="228"/>
      <c r="E876" s="228"/>
      <c r="F876" s="69"/>
      <c r="G876" s="228"/>
      <c r="H876" s="228"/>
      <c r="I876" s="69"/>
      <c r="J876" s="69"/>
      <c r="L876" s="69"/>
      <c r="M876" s="69"/>
    </row>
    <row r="877" spans="4:13">
      <c r="D877" s="228"/>
      <c r="E877" s="228"/>
      <c r="F877" s="69"/>
      <c r="G877" s="228"/>
      <c r="H877" s="228"/>
      <c r="I877" s="69"/>
      <c r="J877" s="69"/>
      <c r="L877" s="69"/>
      <c r="M877" s="69"/>
    </row>
    <row r="878" spans="4:13">
      <c r="D878" s="228"/>
      <c r="E878" s="228"/>
      <c r="F878" s="69"/>
      <c r="G878" s="228"/>
      <c r="H878" s="228"/>
      <c r="I878" s="69"/>
      <c r="J878" s="69"/>
      <c r="L878" s="69"/>
      <c r="M878" s="69"/>
    </row>
    <row r="879" spans="4:13">
      <c r="D879" s="228"/>
      <c r="E879" s="228"/>
      <c r="F879" s="69"/>
      <c r="G879" s="228"/>
      <c r="H879" s="228"/>
      <c r="I879" s="69"/>
      <c r="J879" s="69"/>
      <c r="L879" s="69"/>
      <c r="M879" s="69"/>
    </row>
    <row r="880" spans="4:13">
      <c r="D880" s="228"/>
      <c r="E880" s="228"/>
      <c r="F880" s="69"/>
      <c r="G880" s="228"/>
      <c r="H880" s="228"/>
      <c r="I880" s="69"/>
      <c r="J880" s="69"/>
      <c r="L880" s="69"/>
      <c r="M880" s="69"/>
    </row>
    <row r="881" spans="4:13">
      <c r="D881" s="228"/>
      <c r="E881" s="228"/>
      <c r="F881" s="69"/>
      <c r="G881" s="228"/>
      <c r="H881" s="228"/>
      <c r="I881" s="69"/>
      <c r="J881" s="69"/>
      <c r="L881" s="69"/>
      <c r="M881" s="69"/>
    </row>
    <row r="882" spans="4:13">
      <c r="D882" s="228"/>
      <c r="E882" s="228"/>
      <c r="F882" s="69"/>
      <c r="G882" s="228"/>
      <c r="H882" s="228"/>
      <c r="I882" s="69"/>
      <c r="J882" s="69"/>
      <c r="L882" s="69"/>
      <c r="M882" s="69"/>
    </row>
    <row r="883" spans="4:13">
      <c r="D883" s="228"/>
      <c r="E883" s="228"/>
      <c r="F883" s="69"/>
      <c r="G883" s="228"/>
      <c r="H883" s="228"/>
      <c r="I883" s="69"/>
      <c r="J883" s="69"/>
      <c r="L883" s="69"/>
      <c r="M883" s="69"/>
    </row>
    <row r="884" spans="4:13">
      <c r="D884" s="228"/>
      <c r="E884" s="228"/>
      <c r="F884" s="69"/>
      <c r="G884" s="228"/>
      <c r="H884" s="228"/>
      <c r="I884" s="69"/>
      <c r="J884" s="69"/>
      <c r="L884" s="69"/>
      <c r="M884" s="69"/>
    </row>
    <row r="885" spans="4:13">
      <c r="D885" s="228"/>
      <c r="E885" s="228"/>
      <c r="F885" s="69"/>
      <c r="G885" s="228"/>
      <c r="H885" s="228"/>
      <c r="I885" s="69"/>
      <c r="J885" s="69"/>
      <c r="L885" s="69"/>
      <c r="M885" s="69"/>
    </row>
    <row r="886" spans="4:13">
      <c r="D886" s="228"/>
      <c r="E886" s="228"/>
      <c r="F886" s="69"/>
      <c r="G886" s="228"/>
      <c r="H886" s="228"/>
      <c r="I886" s="69"/>
      <c r="J886" s="69"/>
      <c r="L886" s="69"/>
      <c r="M886" s="69"/>
    </row>
    <row r="887" spans="4:13">
      <c r="D887" s="228"/>
      <c r="E887" s="228"/>
      <c r="F887" s="69"/>
      <c r="G887" s="228"/>
      <c r="H887" s="228"/>
      <c r="I887" s="69"/>
      <c r="J887" s="69"/>
      <c r="L887" s="69"/>
      <c r="M887" s="69"/>
    </row>
    <row r="888" spans="4:13">
      <c r="D888" s="228"/>
      <c r="E888" s="228"/>
      <c r="F888" s="69"/>
      <c r="G888" s="228"/>
      <c r="H888" s="228"/>
      <c r="I888" s="69"/>
      <c r="J888" s="69"/>
      <c r="L888" s="69"/>
      <c r="M888" s="69"/>
    </row>
    <row r="889" spans="4:13">
      <c r="D889" s="228"/>
      <c r="E889" s="228"/>
      <c r="F889" s="69"/>
      <c r="G889" s="228"/>
      <c r="H889" s="228"/>
      <c r="I889" s="69"/>
      <c r="J889" s="69"/>
      <c r="L889" s="69"/>
      <c r="M889" s="69"/>
    </row>
    <row r="890" spans="4:13">
      <c r="D890" s="228"/>
      <c r="E890" s="228"/>
      <c r="F890" s="69"/>
      <c r="G890" s="228"/>
      <c r="H890" s="228"/>
      <c r="I890" s="69"/>
      <c r="J890" s="69"/>
      <c r="L890" s="69"/>
      <c r="M890" s="69"/>
    </row>
    <row r="891" spans="4:13">
      <c r="D891" s="228"/>
      <c r="E891" s="228"/>
      <c r="F891" s="69"/>
      <c r="G891" s="228"/>
      <c r="H891" s="228"/>
      <c r="I891" s="69"/>
      <c r="J891" s="69"/>
      <c r="L891" s="69"/>
      <c r="M891" s="69"/>
    </row>
    <row r="892" spans="4:13">
      <c r="D892" s="228"/>
      <c r="E892" s="228"/>
      <c r="F892" s="69"/>
      <c r="G892" s="228"/>
      <c r="H892" s="228"/>
      <c r="I892" s="69"/>
      <c r="J892" s="69"/>
      <c r="L892" s="69"/>
      <c r="M892" s="69"/>
    </row>
    <row r="893" spans="4:13">
      <c r="D893" s="228"/>
      <c r="E893" s="228"/>
      <c r="F893" s="69"/>
      <c r="G893" s="228"/>
      <c r="H893" s="228"/>
      <c r="I893" s="69"/>
      <c r="J893" s="69"/>
      <c r="L893" s="69"/>
      <c r="M893" s="69"/>
    </row>
    <row r="894" spans="4:13">
      <c r="D894" s="228"/>
      <c r="E894" s="228"/>
      <c r="F894" s="69"/>
      <c r="G894" s="228"/>
      <c r="H894" s="228"/>
      <c r="I894" s="69"/>
      <c r="J894" s="69"/>
      <c r="L894" s="69"/>
      <c r="M894" s="69"/>
    </row>
    <row r="895" spans="4:13">
      <c r="D895" s="228"/>
      <c r="E895" s="228"/>
      <c r="F895" s="69"/>
      <c r="G895" s="228"/>
      <c r="H895" s="228"/>
      <c r="I895" s="69"/>
      <c r="J895" s="69"/>
      <c r="L895" s="69"/>
      <c r="M895" s="69"/>
    </row>
    <row r="896" spans="4:13">
      <c r="D896" s="228"/>
      <c r="E896" s="228"/>
      <c r="F896" s="69"/>
      <c r="G896" s="228"/>
      <c r="H896" s="228"/>
      <c r="I896" s="69"/>
      <c r="J896" s="69"/>
      <c r="L896" s="69"/>
      <c r="M896" s="69"/>
    </row>
    <row r="897" spans="4:13">
      <c r="D897" s="228"/>
      <c r="E897" s="228"/>
      <c r="F897" s="69"/>
      <c r="G897" s="228"/>
      <c r="H897" s="228"/>
      <c r="I897" s="69"/>
      <c r="J897" s="69"/>
      <c r="L897" s="69"/>
      <c r="M897" s="69"/>
    </row>
    <row r="898" spans="4:13">
      <c r="D898" s="228"/>
      <c r="E898" s="228"/>
      <c r="F898" s="69"/>
      <c r="G898" s="228"/>
      <c r="H898" s="228"/>
      <c r="I898" s="69"/>
      <c r="J898" s="69"/>
      <c r="L898" s="69"/>
      <c r="M898" s="69"/>
    </row>
    <row r="899" spans="4:13">
      <c r="D899" s="228"/>
      <c r="E899" s="228"/>
      <c r="F899" s="69"/>
      <c r="G899" s="228"/>
      <c r="H899" s="228"/>
      <c r="I899" s="69"/>
      <c r="J899" s="69"/>
      <c r="L899" s="69"/>
      <c r="M899" s="69"/>
    </row>
    <row r="900" spans="4:13">
      <c r="D900" s="228"/>
      <c r="E900" s="228"/>
      <c r="F900" s="69"/>
      <c r="G900" s="228"/>
      <c r="H900" s="228"/>
      <c r="I900" s="69"/>
      <c r="J900" s="69"/>
      <c r="L900" s="69"/>
      <c r="M900" s="69"/>
    </row>
    <row r="901" spans="4:13">
      <c r="D901" s="228"/>
      <c r="E901" s="228"/>
      <c r="F901" s="69"/>
      <c r="G901" s="228"/>
      <c r="H901" s="228"/>
      <c r="I901" s="69"/>
      <c r="J901" s="69"/>
      <c r="L901" s="69"/>
      <c r="M901" s="69"/>
    </row>
    <row r="902" spans="4:13">
      <c r="D902" s="228"/>
      <c r="E902" s="228"/>
      <c r="F902" s="69"/>
      <c r="G902" s="228"/>
      <c r="H902" s="228"/>
      <c r="I902" s="69"/>
      <c r="J902" s="69"/>
      <c r="L902" s="69"/>
      <c r="M902" s="69"/>
    </row>
    <row r="903" spans="4:13">
      <c r="D903" s="228"/>
      <c r="E903" s="228"/>
      <c r="F903" s="69"/>
      <c r="G903" s="228"/>
      <c r="H903" s="228"/>
      <c r="I903" s="69"/>
      <c r="J903" s="69"/>
      <c r="L903" s="69"/>
      <c r="M903" s="69"/>
    </row>
    <row r="904" spans="4:13">
      <c r="D904" s="228"/>
      <c r="E904" s="228"/>
      <c r="F904" s="69"/>
      <c r="G904" s="228"/>
      <c r="H904" s="228"/>
      <c r="I904" s="69"/>
      <c r="J904" s="69"/>
      <c r="L904" s="69"/>
      <c r="M904" s="69"/>
    </row>
    <row r="905" spans="4:13">
      <c r="D905" s="228"/>
      <c r="E905" s="228"/>
      <c r="F905" s="69"/>
      <c r="G905" s="228"/>
      <c r="H905" s="228"/>
      <c r="I905" s="69"/>
      <c r="J905" s="69"/>
      <c r="L905" s="69"/>
      <c r="M905" s="69"/>
    </row>
    <row r="906" spans="4:13">
      <c r="D906" s="228"/>
      <c r="E906" s="228"/>
      <c r="F906" s="69"/>
      <c r="G906" s="228"/>
      <c r="H906" s="228"/>
      <c r="I906" s="69"/>
      <c r="J906" s="69"/>
      <c r="L906" s="69"/>
      <c r="M906" s="69"/>
    </row>
    <row r="907" spans="4:13">
      <c r="D907" s="228"/>
      <c r="E907" s="228"/>
      <c r="F907" s="69"/>
      <c r="G907" s="228"/>
      <c r="H907" s="228"/>
      <c r="I907" s="69"/>
      <c r="J907" s="69"/>
      <c r="L907" s="69"/>
      <c r="M907" s="69"/>
    </row>
    <row r="908" spans="4:13">
      <c r="D908" s="228"/>
      <c r="E908" s="228"/>
      <c r="F908" s="69"/>
      <c r="G908" s="228"/>
      <c r="H908" s="228"/>
      <c r="I908" s="69"/>
      <c r="J908" s="69"/>
      <c r="L908" s="69"/>
      <c r="M908" s="69"/>
    </row>
    <row r="909" spans="4:13">
      <c r="D909" s="228"/>
      <c r="E909" s="228"/>
      <c r="F909" s="69"/>
      <c r="G909" s="228"/>
      <c r="H909" s="228"/>
      <c r="I909" s="69"/>
      <c r="J909" s="69"/>
      <c r="L909" s="69"/>
      <c r="M909" s="69"/>
    </row>
    <row r="910" spans="4:13">
      <c r="D910" s="228"/>
      <c r="E910" s="228"/>
      <c r="F910" s="69"/>
      <c r="G910" s="228"/>
      <c r="H910" s="228"/>
      <c r="I910" s="69"/>
      <c r="J910" s="69"/>
      <c r="L910" s="69"/>
      <c r="M910" s="69"/>
    </row>
    <row r="911" spans="4:13">
      <c r="D911" s="228"/>
      <c r="E911" s="228"/>
      <c r="F911" s="69"/>
      <c r="G911" s="228"/>
      <c r="H911" s="228"/>
      <c r="I911" s="69"/>
      <c r="J911" s="69"/>
      <c r="L911" s="69"/>
      <c r="M911" s="69"/>
    </row>
    <row r="912" spans="4:13">
      <c r="D912" s="228"/>
      <c r="E912" s="228"/>
      <c r="F912" s="69"/>
      <c r="G912" s="228"/>
      <c r="H912" s="228"/>
      <c r="I912" s="69"/>
      <c r="J912" s="69"/>
      <c r="L912" s="69"/>
      <c r="M912" s="69"/>
    </row>
    <row r="913" spans="4:13">
      <c r="D913" s="228"/>
      <c r="E913" s="228"/>
      <c r="F913" s="69"/>
      <c r="G913" s="228"/>
      <c r="H913" s="228"/>
      <c r="I913" s="69"/>
      <c r="J913" s="69"/>
      <c r="L913" s="69"/>
      <c r="M913" s="69"/>
    </row>
    <row r="914" spans="4:13">
      <c r="D914" s="228"/>
      <c r="E914" s="228"/>
      <c r="F914" s="69"/>
      <c r="G914" s="228"/>
      <c r="H914" s="228"/>
      <c r="I914" s="69"/>
      <c r="J914" s="69"/>
      <c r="L914" s="69"/>
      <c r="M914" s="69"/>
    </row>
    <row r="915" spans="4:13">
      <c r="D915" s="228"/>
      <c r="E915" s="228"/>
      <c r="F915" s="69"/>
      <c r="G915" s="228"/>
      <c r="H915" s="228"/>
      <c r="I915" s="69"/>
      <c r="J915" s="69"/>
      <c r="L915" s="69"/>
      <c r="M915" s="69"/>
    </row>
    <row r="916" spans="4:13">
      <c r="D916" s="228"/>
      <c r="E916" s="228"/>
      <c r="F916" s="69"/>
      <c r="G916" s="228"/>
      <c r="H916" s="228"/>
      <c r="I916" s="69"/>
      <c r="J916" s="69"/>
      <c r="L916" s="69"/>
      <c r="M916" s="69"/>
    </row>
    <row r="917" spans="4:13">
      <c r="D917" s="228"/>
      <c r="E917" s="228"/>
      <c r="F917" s="69"/>
      <c r="G917" s="228"/>
      <c r="H917" s="228"/>
      <c r="I917" s="69"/>
      <c r="J917" s="69"/>
      <c r="L917" s="69"/>
      <c r="M917" s="69"/>
    </row>
    <row r="918" spans="4:13">
      <c r="D918" s="228"/>
      <c r="E918" s="228"/>
      <c r="F918" s="69"/>
      <c r="G918" s="228"/>
      <c r="H918" s="228"/>
      <c r="I918" s="69"/>
      <c r="J918" s="69"/>
      <c r="L918" s="69"/>
      <c r="M918" s="69"/>
    </row>
    <row r="919" spans="4:13">
      <c r="D919" s="228"/>
      <c r="E919" s="228"/>
      <c r="F919" s="69"/>
      <c r="G919" s="228"/>
      <c r="H919" s="228"/>
      <c r="I919" s="69"/>
      <c r="J919" s="69"/>
      <c r="L919" s="69"/>
      <c r="M919" s="69"/>
    </row>
    <row r="920" spans="4:13">
      <c r="D920" s="228"/>
      <c r="E920" s="228"/>
      <c r="F920" s="69"/>
      <c r="G920" s="228"/>
      <c r="H920" s="228"/>
      <c r="I920" s="69"/>
      <c r="J920" s="69"/>
      <c r="L920" s="69"/>
      <c r="M920" s="69"/>
    </row>
    <row r="921" spans="4:13">
      <c r="D921" s="228"/>
      <c r="E921" s="228"/>
      <c r="F921" s="69"/>
      <c r="G921" s="228"/>
      <c r="H921" s="228"/>
      <c r="I921" s="69"/>
      <c r="J921" s="69"/>
      <c r="L921" s="69"/>
      <c r="M921" s="69"/>
    </row>
    <row r="922" spans="4:13">
      <c r="D922" s="228"/>
      <c r="E922" s="228"/>
      <c r="F922" s="69"/>
      <c r="G922" s="228"/>
      <c r="H922" s="228"/>
      <c r="I922" s="69"/>
      <c r="J922" s="69"/>
      <c r="L922" s="69"/>
      <c r="M922" s="69"/>
    </row>
    <row r="923" spans="4:13">
      <c r="D923" s="228"/>
      <c r="E923" s="228"/>
      <c r="F923" s="69"/>
      <c r="G923" s="228"/>
      <c r="H923" s="228"/>
      <c r="I923" s="69"/>
      <c r="J923" s="69"/>
      <c r="L923" s="69"/>
      <c r="M923" s="69"/>
    </row>
    <row r="924" spans="4:13">
      <c r="D924" s="228"/>
      <c r="E924" s="228"/>
      <c r="F924" s="69"/>
      <c r="G924" s="228"/>
      <c r="H924" s="228"/>
      <c r="I924" s="69"/>
      <c r="J924" s="69"/>
      <c r="L924" s="69"/>
      <c r="M924" s="69"/>
    </row>
    <row r="925" spans="4:13">
      <c r="D925" s="228"/>
      <c r="E925" s="228"/>
      <c r="F925" s="69"/>
      <c r="G925" s="228"/>
      <c r="H925" s="228"/>
      <c r="I925" s="69"/>
      <c r="J925" s="69"/>
      <c r="L925" s="69"/>
      <c r="M925" s="69"/>
    </row>
    <row r="926" spans="4:13">
      <c r="D926" s="228"/>
      <c r="E926" s="228"/>
      <c r="F926" s="69"/>
      <c r="G926" s="228"/>
      <c r="H926" s="228"/>
      <c r="I926" s="69"/>
      <c r="J926" s="69"/>
      <c r="L926" s="69"/>
      <c r="M926" s="69"/>
    </row>
    <row r="927" spans="4:13">
      <c r="D927" s="228"/>
      <c r="E927" s="228"/>
      <c r="F927" s="69"/>
      <c r="G927" s="228"/>
      <c r="H927" s="228"/>
      <c r="I927" s="69"/>
      <c r="J927" s="69"/>
      <c r="L927" s="69"/>
      <c r="M927" s="69"/>
    </row>
    <row r="928" spans="4:13">
      <c r="D928" s="228"/>
      <c r="E928" s="228"/>
      <c r="F928" s="69"/>
      <c r="G928" s="228"/>
      <c r="H928" s="228"/>
      <c r="I928" s="69"/>
      <c r="J928" s="69"/>
      <c r="L928" s="69"/>
      <c r="M928" s="69"/>
    </row>
    <row r="929" spans="4:13">
      <c r="D929" s="228"/>
      <c r="E929" s="228"/>
      <c r="F929" s="69"/>
      <c r="G929" s="228"/>
      <c r="H929" s="228"/>
      <c r="I929" s="69"/>
      <c r="J929" s="69"/>
      <c r="L929" s="69"/>
      <c r="M929" s="69"/>
    </row>
    <row r="930" spans="4:13">
      <c r="D930" s="228"/>
      <c r="E930" s="228"/>
      <c r="F930" s="69"/>
      <c r="G930" s="228"/>
      <c r="H930" s="228"/>
      <c r="I930" s="69"/>
      <c r="J930" s="69"/>
      <c r="L930" s="69"/>
      <c r="M930" s="69"/>
    </row>
    <row r="931" spans="4:13">
      <c r="D931" s="228"/>
      <c r="E931" s="228"/>
      <c r="F931" s="69"/>
      <c r="G931" s="228"/>
      <c r="H931" s="228"/>
      <c r="I931" s="69"/>
      <c r="J931" s="69"/>
      <c r="L931" s="69"/>
      <c r="M931" s="69"/>
    </row>
    <row r="932" spans="4:13">
      <c r="D932" s="228"/>
      <c r="E932" s="228"/>
      <c r="F932" s="69"/>
      <c r="G932" s="228"/>
      <c r="H932" s="228"/>
      <c r="I932" s="69"/>
      <c r="J932" s="69"/>
      <c r="L932" s="69"/>
      <c r="M932" s="69"/>
    </row>
    <row r="933" spans="4:13">
      <c r="D933" s="228"/>
      <c r="E933" s="228"/>
      <c r="F933" s="69"/>
      <c r="G933" s="228"/>
      <c r="H933" s="228"/>
      <c r="I933" s="69"/>
      <c r="J933" s="69"/>
      <c r="L933" s="69"/>
      <c r="M933" s="69"/>
    </row>
    <row r="934" spans="4:13">
      <c r="D934" s="228"/>
      <c r="E934" s="228"/>
      <c r="F934" s="69"/>
      <c r="G934" s="228"/>
      <c r="H934" s="228"/>
      <c r="I934" s="69"/>
      <c r="J934" s="69"/>
      <c r="L934" s="69"/>
      <c r="M934" s="69"/>
    </row>
    <row r="935" spans="4:13">
      <c r="D935" s="228"/>
      <c r="E935" s="228"/>
      <c r="F935" s="69"/>
      <c r="G935" s="228"/>
      <c r="H935" s="228"/>
      <c r="I935" s="69"/>
      <c r="J935" s="69"/>
      <c r="L935" s="69"/>
      <c r="M935" s="69"/>
    </row>
    <row r="936" spans="4:13">
      <c r="D936" s="228"/>
      <c r="E936" s="228"/>
      <c r="F936" s="69"/>
      <c r="G936" s="228"/>
      <c r="H936" s="228"/>
      <c r="I936" s="69"/>
      <c r="J936" s="69"/>
      <c r="L936" s="69"/>
      <c r="M936" s="69"/>
    </row>
    <row r="937" spans="4:13">
      <c r="D937" s="228"/>
      <c r="E937" s="228"/>
      <c r="F937" s="69"/>
      <c r="G937" s="228"/>
      <c r="H937" s="228"/>
      <c r="I937" s="69"/>
      <c r="J937" s="69"/>
      <c r="L937" s="69"/>
      <c r="M937" s="69"/>
    </row>
    <row r="938" spans="4:13">
      <c r="D938" s="228"/>
      <c r="E938" s="228"/>
      <c r="F938" s="69"/>
      <c r="G938" s="228"/>
      <c r="H938" s="228"/>
      <c r="I938" s="69"/>
      <c r="J938" s="69"/>
      <c r="L938" s="69"/>
      <c r="M938" s="69"/>
    </row>
    <row r="939" spans="4:13">
      <c r="D939" s="228"/>
      <c r="E939" s="228"/>
      <c r="F939" s="69"/>
      <c r="G939" s="228"/>
      <c r="H939" s="228"/>
      <c r="I939" s="69"/>
      <c r="J939" s="69"/>
      <c r="L939" s="69"/>
      <c r="M939" s="69"/>
    </row>
    <row r="940" spans="4:13">
      <c r="D940" s="228"/>
      <c r="E940" s="228"/>
      <c r="F940" s="69"/>
      <c r="G940" s="228"/>
      <c r="H940" s="228"/>
      <c r="I940" s="69"/>
      <c r="J940" s="69"/>
      <c r="L940" s="69"/>
      <c r="M940" s="69"/>
    </row>
    <row r="941" spans="4:13">
      <c r="D941" s="228"/>
      <c r="E941" s="228"/>
      <c r="F941" s="69"/>
      <c r="G941" s="228"/>
      <c r="H941" s="228"/>
      <c r="I941" s="69"/>
      <c r="J941" s="69"/>
      <c r="L941" s="69"/>
      <c r="M941" s="69"/>
    </row>
    <row r="942" spans="4:13">
      <c r="D942" s="228"/>
      <c r="E942" s="228"/>
      <c r="F942" s="69"/>
      <c r="G942" s="228"/>
      <c r="H942" s="228"/>
      <c r="I942" s="69"/>
      <c r="J942" s="69"/>
      <c r="L942" s="69"/>
      <c r="M942" s="69"/>
    </row>
    <row r="943" spans="4:13">
      <c r="D943" s="228"/>
      <c r="E943" s="228"/>
      <c r="F943" s="69"/>
      <c r="G943" s="228"/>
      <c r="H943" s="228"/>
      <c r="I943" s="69"/>
      <c r="J943" s="69"/>
      <c r="L943" s="69"/>
      <c r="M943" s="69"/>
    </row>
    <row r="944" spans="4:13">
      <c r="D944" s="228"/>
      <c r="E944" s="228"/>
      <c r="F944" s="69"/>
      <c r="G944" s="228"/>
      <c r="H944" s="228"/>
      <c r="I944" s="69"/>
      <c r="J944" s="69"/>
      <c r="L944" s="69"/>
      <c r="M944" s="69"/>
    </row>
    <row r="945" spans="4:13">
      <c r="D945" s="228"/>
      <c r="E945" s="228"/>
      <c r="F945" s="69"/>
      <c r="G945" s="228"/>
      <c r="H945" s="228"/>
      <c r="I945" s="69"/>
      <c r="J945" s="69"/>
      <c r="L945" s="69"/>
      <c r="M945" s="69"/>
    </row>
    <row r="946" spans="4:13">
      <c r="D946" s="228"/>
      <c r="E946" s="228"/>
      <c r="F946" s="69"/>
      <c r="G946" s="228"/>
      <c r="H946" s="228"/>
      <c r="I946" s="69"/>
      <c r="J946" s="69"/>
      <c r="L946" s="69"/>
      <c r="M946" s="69"/>
    </row>
    <row r="947" spans="4:13">
      <c r="D947" s="228"/>
      <c r="E947" s="228"/>
      <c r="F947" s="69"/>
      <c r="G947" s="228"/>
      <c r="H947" s="228"/>
      <c r="I947" s="69"/>
      <c r="J947" s="69"/>
      <c r="L947" s="69"/>
      <c r="M947" s="69"/>
    </row>
    <row r="948" spans="4:13">
      <c r="D948" s="228"/>
      <c r="E948" s="228"/>
      <c r="F948" s="69"/>
      <c r="G948" s="228"/>
      <c r="H948" s="228"/>
      <c r="I948" s="69"/>
      <c r="J948" s="69"/>
      <c r="L948" s="69"/>
      <c r="M948" s="69"/>
    </row>
    <row r="949" spans="4:13">
      <c r="D949" s="228"/>
      <c r="E949" s="228"/>
      <c r="F949" s="69"/>
      <c r="G949" s="228"/>
      <c r="H949" s="228"/>
      <c r="I949" s="69"/>
      <c r="J949" s="69"/>
      <c r="L949" s="69"/>
      <c r="M949" s="69"/>
    </row>
    <row r="950" spans="4:13">
      <c r="D950" s="228"/>
      <c r="E950" s="228"/>
      <c r="F950" s="69"/>
      <c r="G950" s="228"/>
      <c r="H950" s="228"/>
      <c r="I950" s="69"/>
      <c r="J950" s="69"/>
      <c r="L950" s="69"/>
      <c r="M950" s="69"/>
    </row>
    <row r="951" spans="4:13">
      <c r="D951" s="228"/>
      <c r="E951" s="228"/>
      <c r="F951" s="69"/>
      <c r="G951" s="228"/>
      <c r="H951" s="228"/>
      <c r="I951" s="69"/>
      <c r="J951" s="69"/>
      <c r="L951" s="69"/>
      <c r="M951" s="69"/>
    </row>
    <row r="952" spans="4:13">
      <c r="D952" s="228"/>
      <c r="E952" s="228"/>
      <c r="F952" s="69"/>
      <c r="G952" s="228"/>
      <c r="H952" s="228"/>
      <c r="I952" s="69"/>
      <c r="J952" s="69"/>
      <c r="L952" s="69"/>
      <c r="M952" s="69"/>
    </row>
    <row r="953" spans="4:13">
      <c r="D953" s="228"/>
      <c r="E953" s="228"/>
      <c r="F953" s="69"/>
      <c r="G953" s="228"/>
      <c r="H953" s="228"/>
      <c r="I953" s="69"/>
      <c r="J953" s="69"/>
      <c r="L953" s="69"/>
      <c r="M953" s="69"/>
    </row>
    <row r="954" spans="4:13">
      <c r="D954" s="228"/>
      <c r="E954" s="228"/>
      <c r="F954" s="69"/>
      <c r="G954" s="228"/>
      <c r="H954" s="228"/>
      <c r="I954" s="69"/>
      <c r="J954" s="69"/>
      <c r="L954" s="69"/>
      <c r="M954" s="69"/>
    </row>
    <row r="955" spans="4:13">
      <c r="D955" s="228"/>
      <c r="E955" s="228"/>
      <c r="F955" s="69"/>
      <c r="G955" s="228"/>
      <c r="H955" s="228"/>
      <c r="I955" s="69"/>
      <c r="J955" s="69"/>
      <c r="L955" s="69"/>
      <c r="M955" s="69"/>
    </row>
    <row r="956" spans="4:13">
      <c r="D956" s="228"/>
      <c r="E956" s="228"/>
      <c r="F956" s="69"/>
      <c r="G956" s="228"/>
      <c r="H956" s="228"/>
      <c r="I956" s="69"/>
      <c r="J956" s="69"/>
      <c r="L956" s="69"/>
      <c r="M956" s="69"/>
    </row>
    <row r="957" spans="4:13">
      <c r="D957" s="228"/>
      <c r="E957" s="228"/>
      <c r="F957" s="69"/>
      <c r="G957" s="228"/>
      <c r="H957" s="228"/>
      <c r="I957" s="69"/>
      <c r="J957" s="69"/>
      <c r="L957" s="69"/>
      <c r="M957" s="69"/>
    </row>
    <row r="958" spans="4:13">
      <c r="D958" s="228"/>
      <c r="E958" s="228"/>
      <c r="F958" s="69"/>
      <c r="G958" s="228"/>
      <c r="H958" s="228"/>
      <c r="I958" s="69"/>
      <c r="J958" s="69"/>
      <c r="L958" s="69"/>
      <c r="M958" s="69"/>
    </row>
    <row r="959" spans="4:13">
      <c r="D959" s="228"/>
      <c r="E959" s="228"/>
      <c r="F959" s="69"/>
      <c r="G959" s="228"/>
      <c r="H959" s="228"/>
      <c r="I959" s="69"/>
      <c r="J959" s="69"/>
      <c r="L959" s="69"/>
      <c r="M959" s="69"/>
    </row>
    <row r="960" spans="4:13">
      <c r="D960" s="228"/>
      <c r="E960" s="228"/>
      <c r="F960" s="69"/>
      <c r="G960" s="228"/>
      <c r="H960" s="228"/>
      <c r="I960" s="69"/>
      <c r="J960" s="69"/>
      <c r="L960" s="69"/>
      <c r="M960" s="69"/>
    </row>
    <row r="961" spans="4:13">
      <c r="D961" s="228"/>
      <c r="E961" s="228"/>
      <c r="F961" s="69"/>
      <c r="G961" s="228"/>
      <c r="H961" s="228"/>
      <c r="I961" s="69"/>
      <c r="J961" s="69"/>
      <c r="L961" s="69"/>
      <c r="M961" s="69"/>
    </row>
    <row r="962" spans="4:13">
      <c r="D962" s="228"/>
      <c r="E962" s="228"/>
      <c r="F962" s="69"/>
      <c r="G962" s="228"/>
      <c r="H962" s="228"/>
      <c r="I962" s="69"/>
      <c r="J962" s="69"/>
      <c r="L962" s="69"/>
      <c r="M962" s="69"/>
    </row>
    <row r="963" spans="4:13">
      <c r="D963" s="228"/>
      <c r="E963" s="228"/>
      <c r="F963" s="69"/>
      <c r="G963" s="228"/>
      <c r="H963" s="228"/>
      <c r="I963" s="69"/>
      <c r="J963" s="69"/>
      <c r="L963" s="69"/>
      <c r="M963" s="69"/>
    </row>
    <row r="964" spans="4:13">
      <c r="D964" s="228"/>
      <c r="E964" s="228"/>
      <c r="F964" s="69"/>
      <c r="G964" s="228"/>
      <c r="H964" s="228"/>
      <c r="I964" s="69"/>
      <c r="J964" s="69"/>
      <c r="L964" s="69"/>
      <c r="M964" s="69"/>
    </row>
    <row r="965" spans="4:13">
      <c r="D965" s="228"/>
      <c r="E965" s="228"/>
      <c r="F965" s="69"/>
      <c r="G965" s="228"/>
      <c r="H965" s="228"/>
      <c r="I965" s="69"/>
      <c r="J965" s="69"/>
      <c r="L965" s="69"/>
      <c r="M965" s="69"/>
    </row>
    <row r="966" spans="4:13">
      <c r="D966" s="228"/>
      <c r="E966" s="228"/>
      <c r="F966" s="69"/>
      <c r="G966" s="228"/>
      <c r="H966" s="228"/>
      <c r="I966" s="69"/>
      <c r="J966" s="69"/>
      <c r="L966" s="69"/>
      <c r="M966" s="69"/>
    </row>
    <row r="967" spans="4:13">
      <c r="D967" s="228"/>
      <c r="E967" s="228"/>
      <c r="F967" s="69"/>
      <c r="G967" s="228"/>
      <c r="H967" s="228"/>
      <c r="I967" s="69"/>
      <c r="J967" s="69"/>
      <c r="L967" s="69"/>
      <c r="M967" s="69"/>
    </row>
    <row r="968" spans="4:13">
      <c r="D968" s="228"/>
      <c r="E968" s="228"/>
      <c r="F968" s="69"/>
      <c r="G968" s="228"/>
      <c r="H968" s="228"/>
      <c r="I968" s="69"/>
      <c r="J968" s="69"/>
      <c r="L968" s="69"/>
      <c r="M968" s="69"/>
    </row>
    <row r="969" spans="4:13">
      <c r="D969" s="228"/>
      <c r="E969" s="228"/>
      <c r="F969" s="69"/>
      <c r="G969" s="228"/>
      <c r="H969" s="228"/>
      <c r="I969" s="69"/>
      <c r="J969" s="69"/>
      <c r="L969" s="69"/>
      <c r="M969" s="69"/>
    </row>
    <row r="970" spans="4:13">
      <c r="D970" s="228"/>
      <c r="E970" s="228"/>
      <c r="F970" s="69"/>
      <c r="G970" s="228"/>
      <c r="H970" s="228"/>
      <c r="I970" s="69"/>
      <c r="J970" s="69"/>
      <c r="L970" s="69"/>
      <c r="M970" s="69"/>
    </row>
    <row r="971" spans="4:13">
      <c r="D971" s="228"/>
      <c r="E971" s="228"/>
      <c r="F971" s="69"/>
      <c r="G971" s="228"/>
      <c r="H971" s="228"/>
      <c r="I971" s="69"/>
      <c r="J971" s="69"/>
      <c r="L971" s="69"/>
      <c r="M971" s="69"/>
    </row>
    <row r="972" spans="4:13">
      <c r="D972" s="228"/>
      <c r="E972" s="228"/>
      <c r="F972" s="69"/>
      <c r="G972" s="228"/>
      <c r="H972" s="228"/>
      <c r="I972" s="69"/>
      <c r="J972" s="69"/>
      <c r="L972" s="69"/>
      <c r="M972" s="69"/>
    </row>
    <row r="973" spans="4:13">
      <c r="D973" s="228"/>
      <c r="E973" s="228"/>
      <c r="F973" s="69"/>
      <c r="G973" s="228"/>
      <c r="H973" s="228"/>
      <c r="I973" s="69"/>
      <c r="J973" s="69"/>
      <c r="L973" s="69"/>
      <c r="M973" s="69"/>
    </row>
    <row r="974" spans="4:13">
      <c r="D974" s="228"/>
      <c r="E974" s="228"/>
      <c r="F974" s="69"/>
      <c r="G974" s="228"/>
      <c r="H974" s="228"/>
      <c r="I974" s="69"/>
      <c r="J974" s="69"/>
      <c r="L974" s="69"/>
      <c r="M974" s="69"/>
    </row>
    <row r="975" spans="4:13">
      <c r="D975" s="228"/>
      <c r="E975" s="228"/>
      <c r="F975" s="69"/>
      <c r="G975" s="228"/>
      <c r="H975" s="228"/>
      <c r="I975" s="69"/>
      <c r="J975" s="69"/>
      <c r="L975" s="69"/>
      <c r="M975" s="69"/>
    </row>
    <row r="976" spans="4:13">
      <c r="D976" s="228"/>
      <c r="E976" s="228"/>
      <c r="F976" s="69"/>
      <c r="G976" s="228"/>
      <c r="H976" s="228"/>
      <c r="I976" s="69"/>
      <c r="J976" s="69"/>
      <c r="L976" s="69"/>
      <c r="M976" s="69"/>
    </row>
    <row r="977" spans="4:13">
      <c r="D977" s="228"/>
      <c r="E977" s="228"/>
      <c r="F977" s="69"/>
      <c r="G977" s="228"/>
      <c r="H977" s="228"/>
      <c r="I977" s="69"/>
      <c r="J977" s="69"/>
      <c r="L977" s="69"/>
      <c r="M977" s="69"/>
    </row>
    <row r="978" spans="4:13">
      <c r="D978" s="228"/>
      <c r="E978" s="228"/>
      <c r="F978" s="69"/>
      <c r="G978" s="228"/>
      <c r="H978" s="228"/>
      <c r="I978" s="69"/>
      <c r="J978" s="69"/>
      <c r="L978" s="69"/>
      <c r="M978" s="69"/>
    </row>
    <row r="979" spans="4:13">
      <c r="D979" s="228"/>
      <c r="E979" s="228"/>
      <c r="F979" s="69"/>
      <c r="G979" s="228"/>
      <c r="H979" s="228"/>
      <c r="I979" s="69"/>
      <c r="J979" s="69"/>
      <c r="L979" s="69"/>
      <c r="M979" s="69"/>
    </row>
    <row r="980" spans="4:13">
      <c r="D980" s="228"/>
      <c r="E980" s="228"/>
      <c r="F980" s="69"/>
      <c r="G980" s="228"/>
      <c r="H980" s="228"/>
      <c r="I980" s="69"/>
      <c r="J980" s="69"/>
      <c r="L980" s="69"/>
      <c r="M980" s="69"/>
    </row>
    <row r="981" spans="4:13">
      <c r="D981" s="228"/>
      <c r="E981" s="228"/>
      <c r="F981" s="69"/>
      <c r="G981" s="228"/>
      <c r="H981" s="228"/>
      <c r="I981" s="69"/>
      <c r="J981" s="69"/>
      <c r="L981" s="69"/>
      <c r="M981" s="69"/>
    </row>
    <row r="982" spans="4:13">
      <c r="D982" s="228"/>
      <c r="E982" s="228"/>
      <c r="F982" s="69"/>
      <c r="G982" s="228"/>
      <c r="H982" s="228"/>
      <c r="I982" s="69"/>
      <c r="J982" s="69"/>
      <c r="L982" s="69"/>
      <c r="M982" s="69"/>
    </row>
    <row r="983" spans="4:13">
      <c r="D983" s="228"/>
      <c r="E983" s="228"/>
      <c r="F983" s="69"/>
      <c r="G983" s="228"/>
      <c r="H983" s="228"/>
      <c r="I983" s="69"/>
      <c r="J983" s="69"/>
      <c r="L983" s="69"/>
      <c r="M983" s="69"/>
    </row>
    <row r="984" spans="4:13">
      <c r="D984" s="228"/>
      <c r="E984" s="228"/>
      <c r="F984" s="69"/>
      <c r="G984" s="228"/>
      <c r="H984" s="228"/>
      <c r="I984" s="69"/>
      <c r="J984" s="69"/>
      <c r="L984" s="69"/>
      <c r="M984" s="69"/>
    </row>
    <row r="985" spans="4:13">
      <c r="D985" s="228"/>
      <c r="E985" s="228"/>
      <c r="F985" s="69"/>
      <c r="G985" s="228"/>
      <c r="H985" s="228"/>
      <c r="I985" s="69"/>
      <c r="J985" s="69"/>
      <c r="L985" s="69"/>
      <c r="M985" s="69"/>
    </row>
    <row r="986" spans="4:13">
      <c r="D986" s="228"/>
      <c r="E986" s="228"/>
      <c r="F986" s="69"/>
      <c r="G986" s="228"/>
      <c r="H986" s="228"/>
      <c r="I986" s="69"/>
      <c r="J986" s="69"/>
      <c r="L986" s="69"/>
      <c r="M986" s="69"/>
    </row>
    <row r="987" spans="4:13">
      <c r="D987" s="228"/>
      <c r="E987" s="228"/>
      <c r="F987" s="69"/>
      <c r="G987" s="228"/>
      <c r="H987" s="228"/>
      <c r="I987" s="69"/>
      <c r="J987" s="69"/>
      <c r="L987" s="69"/>
      <c r="M987" s="69"/>
    </row>
    <row r="988" spans="4:13">
      <c r="D988" s="228"/>
      <c r="E988" s="228"/>
      <c r="F988" s="69"/>
      <c r="G988" s="228"/>
      <c r="H988" s="228"/>
      <c r="I988" s="69"/>
      <c r="J988" s="69"/>
      <c r="L988" s="69"/>
      <c r="M988" s="69"/>
    </row>
    <row r="989" spans="4:13">
      <c r="D989" s="228"/>
      <c r="E989" s="228"/>
      <c r="F989" s="69"/>
      <c r="G989" s="228"/>
      <c r="H989" s="228"/>
      <c r="I989" s="69"/>
      <c r="J989" s="69"/>
      <c r="L989" s="69"/>
      <c r="M989" s="69"/>
    </row>
    <row r="990" spans="4:13">
      <c r="D990" s="228"/>
      <c r="E990" s="228"/>
      <c r="F990" s="69"/>
      <c r="G990" s="228"/>
      <c r="H990" s="228"/>
      <c r="I990" s="69"/>
      <c r="J990" s="69"/>
      <c r="L990" s="69"/>
      <c r="M990" s="69"/>
    </row>
    <row r="991" spans="4:13">
      <c r="D991" s="228"/>
      <c r="E991" s="228"/>
      <c r="F991" s="69"/>
      <c r="G991" s="228"/>
      <c r="H991" s="228"/>
      <c r="I991" s="69"/>
      <c r="J991" s="69"/>
      <c r="L991" s="69"/>
      <c r="M991" s="69"/>
    </row>
    <row r="992" spans="4:13">
      <c r="D992" s="228"/>
      <c r="E992" s="228"/>
      <c r="F992" s="69"/>
      <c r="G992" s="228"/>
      <c r="H992" s="228"/>
      <c r="I992" s="69"/>
      <c r="J992" s="69"/>
      <c r="L992" s="69"/>
      <c r="M992" s="69"/>
    </row>
    <row r="993" spans="4:13">
      <c r="D993" s="228"/>
      <c r="E993" s="228"/>
      <c r="F993" s="69"/>
      <c r="G993" s="228"/>
      <c r="H993" s="228"/>
      <c r="I993" s="69"/>
      <c r="J993" s="69"/>
      <c r="L993" s="69"/>
      <c r="M993" s="69"/>
    </row>
    <row r="994" spans="4:13">
      <c r="D994" s="228"/>
      <c r="E994" s="228"/>
      <c r="F994" s="69"/>
      <c r="G994" s="228"/>
      <c r="H994" s="228"/>
      <c r="I994" s="69"/>
      <c r="J994" s="69"/>
      <c r="L994" s="69"/>
      <c r="M994" s="69"/>
    </row>
    <row r="995" spans="4:13">
      <c r="D995" s="228"/>
      <c r="E995" s="228"/>
      <c r="F995" s="69"/>
      <c r="G995" s="228"/>
      <c r="H995" s="228"/>
      <c r="I995" s="69"/>
      <c r="J995" s="69"/>
      <c r="L995" s="69"/>
      <c r="M995" s="69"/>
    </row>
    <row r="996" spans="4:13">
      <c r="D996" s="228"/>
      <c r="E996" s="228"/>
      <c r="F996" s="69"/>
      <c r="G996" s="228"/>
      <c r="H996" s="228"/>
      <c r="I996" s="69"/>
      <c r="J996" s="69"/>
      <c r="L996" s="69"/>
      <c r="M996" s="69"/>
    </row>
    <row r="997" spans="4:13">
      <c r="D997" s="228"/>
      <c r="E997" s="228"/>
      <c r="F997" s="69"/>
      <c r="G997" s="228"/>
      <c r="H997" s="228"/>
      <c r="I997" s="69"/>
      <c r="J997" s="69"/>
      <c r="L997" s="69"/>
      <c r="M997" s="69"/>
    </row>
    <row r="998" spans="4:13">
      <c r="D998" s="228"/>
      <c r="E998" s="228"/>
      <c r="F998" s="69"/>
      <c r="G998" s="228"/>
      <c r="H998" s="228"/>
      <c r="I998" s="69"/>
      <c r="J998" s="69"/>
      <c r="L998" s="69"/>
      <c r="M998" s="69"/>
    </row>
    <row r="999" spans="4:13">
      <c r="D999" s="228"/>
      <c r="E999" s="228"/>
      <c r="F999" s="69"/>
      <c r="G999" s="228"/>
      <c r="H999" s="228"/>
      <c r="I999" s="69"/>
      <c r="J999" s="69"/>
      <c r="L999" s="69"/>
      <c r="M999" s="69"/>
    </row>
    <row r="1000" spans="4:13">
      <c r="D1000" s="228"/>
      <c r="E1000" s="228"/>
      <c r="F1000" s="69"/>
      <c r="G1000" s="228"/>
      <c r="H1000" s="228"/>
      <c r="I1000" s="69"/>
      <c r="J1000" s="69"/>
      <c r="L1000" s="69"/>
      <c r="M1000" s="69"/>
    </row>
    <row r="1001" spans="4:13">
      <c r="D1001" s="228"/>
      <c r="E1001" s="228"/>
      <c r="F1001" s="69"/>
      <c r="G1001" s="228"/>
      <c r="H1001" s="228"/>
      <c r="I1001" s="69"/>
      <c r="J1001" s="69"/>
      <c r="L1001" s="69"/>
      <c r="M1001" s="69"/>
    </row>
    <row r="1002" spans="4:13">
      <c r="D1002" s="228"/>
      <c r="E1002" s="228"/>
      <c r="F1002" s="69"/>
      <c r="G1002" s="228"/>
      <c r="H1002" s="228"/>
      <c r="I1002" s="69"/>
      <c r="J1002" s="69"/>
      <c r="L1002" s="69"/>
      <c r="M1002" s="69"/>
    </row>
    <row r="1003" spans="4:13">
      <c r="D1003" s="228"/>
      <c r="E1003" s="228"/>
      <c r="F1003" s="69"/>
      <c r="G1003" s="228"/>
      <c r="H1003" s="228"/>
      <c r="I1003" s="69"/>
      <c r="J1003" s="69"/>
      <c r="L1003" s="69"/>
      <c r="M1003" s="69"/>
    </row>
    <row r="1004" spans="4:13">
      <c r="D1004" s="228"/>
      <c r="E1004" s="228"/>
      <c r="F1004" s="69"/>
      <c r="G1004" s="228"/>
      <c r="H1004" s="228"/>
      <c r="I1004" s="69"/>
      <c r="J1004" s="69"/>
      <c r="L1004" s="69"/>
      <c r="M1004" s="69"/>
    </row>
    <row r="1005" spans="4:13">
      <c r="D1005" s="228"/>
      <c r="E1005" s="228"/>
      <c r="F1005" s="69"/>
      <c r="G1005" s="228"/>
      <c r="H1005" s="228"/>
      <c r="I1005" s="69"/>
      <c r="J1005" s="69"/>
      <c r="L1005" s="69"/>
      <c r="M1005" s="69"/>
    </row>
    <row r="1006" spans="4:13">
      <c r="D1006" s="228"/>
      <c r="E1006" s="228"/>
      <c r="F1006" s="69"/>
      <c r="G1006" s="228"/>
      <c r="H1006" s="228"/>
      <c r="I1006" s="69"/>
      <c r="J1006" s="69"/>
      <c r="L1006" s="69"/>
      <c r="M1006" s="69"/>
    </row>
    <row r="1007" spans="4:13">
      <c r="D1007" s="228"/>
      <c r="E1007" s="228"/>
      <c r="F1007" s="69"/>
      <c r="G1007" s="228"/>
      <c r="H1007" s="228"/>
      <c r="I1007" s="69"/>
      <c r="J1007" s="69"/>
      <c r="L1007" s="69"/>
      <c r="M1007" s="69"/>
    </row>
    <row r="1008" spans="4:13">
      <c r="D1008" s="228"/>
      <c r="E1008" s="228"/>
      <c r="F1008" s="69"/>
      <c r="G1008" s="228"/>
      <c r="H1008" s="228"/>
      <c r="I1008" s="69"/>
      <c r="J1008" s="69"/>
      <c r="L1008" s="69"/>
      <c r="M1008" s="69"/>
    </row>
    <row r="1009" spans="4:13">
      <c r="D1009" s="228"/>
      <c r="E1009" s="228"/>
      <c r="F1009" s="69"/>
      <c r="G1009" s="228"/>
      <c r="H1009" s="228"/>
      <c r="I1009" s="69"/>
      <c r="J1009" s="69"/>
      <c r="L1009" s="69"/>
      <c r="M1009" s="69"/>
    </row>
    <row r="1010" spans="4:13">
      <c r="D1010" s="228"/>
      <c r="E1010" s="228"/>
      <c r="F1010" s="69"/>
      <c r="G1010" s="228"/>
      <c r="H1010" s="228"/>
      <c r="I1010" s="69"/>
      <c r="J1010" s="69"/>
      <c r="L1010" s="69"/>
      <c r="M1010" s="69"/>
    </row>
    <row r="1011" spans="4:13">
      <c r="D1011" s="228"/>
      <c r="E1011" s="228"/>
      <c r="F1011" s="69"/>
      <c r="G1011" s="228"/>
      <c r="H1011" s="228"/>
      <c r="I1011" s="69"/>
      <c r="J1011" s="69"/>
      <c r="L1011" s="69"/>
      <c r="M1011" s="69"/>
    </row>
    <row r="1012" spans="4:13">
      <c r="D1012" s="228"/>
      <c r="E1012" s="228"/>
      <c r="F1012" s="69"/>
      <c r="G1012" s="228"/>
      <c r="H1012" s="228"/>
      <c r="I1012" s="69"/>
      <c r="J1012" s="69"/>
      <c r="L1012" s="69"/>
      <c r="M1012" s="69"/>
    </row>
    <row r="1013" spans="4:13">
      <c r="D1013" s="228"/>
      <c r="E1013" s="228"/>
      <c r="F1013" s="69"/>
      <c r="G1013" s="228"/>
      <c r="H1013" s="228"/>
      <c r="I1013" s="69"/>
      <c r="J1013" s="69"/>
      <c r="L1013" s="69"/>
      <c r="M1013" s="69"/>
    </row>
    <row r="1014" spans="4:13">
      <c r="D1014" s="228"/>
      <c r="E1014" s="228"/>
      <c r="F1014" s="69"/>
      <c r="G1014" s="228"/>
      <c r="H1014" s="228"/>
      <c r="I1014" s="69"/>
      <c r="J1014" s="69"/>
      <c r="L1014" s="69"/>
      <c r="M1014" s="69"/>
    </row>
    <row r="1015" spans="4:13">
      <c r="D1015" s="228"/>
      <c r="E1015" s="228"/>
      <c r="F1015" s="69"/>
      <c r="G1015" s="228"/>
      <c r="H1015" s="228"/>
      <c r="I1015" s="69"/>
      <c r="J1015" s="69"/>
      <c r="L1015" s="69"/>
      <c r="M1015" s="69"/>
    </row>
    <row r="1016" spans="4:13">
      <c r="D1016" s="228"/>
      <c r="E1016" s="228"/>
      <c r="F1016" s="69"/>
      <c r="G1016" s="228"/>
      <c r="H1016" s="228"/>
      <c r="I1016" s="69"/>
      <c r="J1016" s="69"/>
      <c r="L1016" s="69"/>
      <c r="M1016" s="69"/>
    </row>
    <row r="1017" spans="4:13">
      <c r="D1017" s="228"/>
      <c r="E1017" s="228"/>
      <c r="F1017" s="69"/>
      <c r="G1017" s="228"/>
      <c r="H1017" s="228"/>
      <c r="I1017" s="69"/>
      <c r="J1017" s="69"/>
      <c r="L1017" s="69"/>
      <c r="M1017" s="69"/>
    </row>
    <row r="1018" spans="4:13">
      <c r="D1018" s="228"/>
      <c r="E1018" s="228"/>
      <c r="F1018" s="69"/>
      <c r="G1018" s="228"/>
      <c r="H1018" s="228"/>
      <c r="I1018" s="69"/>
      <c r="J1018" s="69"/>
      <c r="L1018" s="69"/>
      <c r="M1018" s="69"/>
    </row>
    <row r="1019" spans="4:13">
      <c r="D1019" s="228"/>
      <c r="E1019" s="228"/>
      <c r="F1019" s="69"/>
      <c r="G1019" s="228"/>
      <c r="H1019" s="228"/>
      <c r="I1019" s="69"/>
      <c r="J1019" s="69"/>
      <c r="L1019" s="69"/>
      <c r="M1019" s="69"/>
    </row>
    <row r="1020" spans="4:13">
      <c r="D1020" s="228"/>
      <c r="E1020" s="228"/>
      <c r="F1020" s="69"/>
      <c r="G1020" s="228"/>
      <c r="H1020" s="228"/>
      <c r="I1020" s="69"/>
      <c r="J1020" s="69"/>
      <c r="L1020" s="69"/>
      <c r="M1020" s="69"/>
    </row>
    <row r="1021" spans="4:13">
      <c r="D1021" s="228"/>
      <c r="E1021" s="228"/>
      <c r="F1021" s="69"/>
      <c r="G1021" s="228"/>
      <c r="H1021" s="228"/>
      <c r="I1021" s="69"/>
      <c r="J1021" s="69"/>
      <c r="L1021" s="69"/>
      <c r="M1021" s="69"/>
    </row>
    <row r="1022" spans="4:13">
      <c r="D1022" s="228"/>
      <c r="E1022" s="228"/>
      <c r="F1022" s="69"/>
      <c r="G1022" s="228"/>
      <c r="H1022" s="228"/>
      <c r="I1022" s="69"/>
      <c r="J1022" s="69"/>
      <c r="L1022" s="69"/>
      <c r="M1022" s="69"/>
    </row>
    <row r="1023" spans="4:13">
      <c r="D1023" s="228"/>
      <c r="E1023" s="228"/>
      <c r="F1023" s="69"/>
      <c r="G1023" s="228"/>
      <c r="H1023" s="228"/>
      <c r="I1023" s="69"/>
      <c r="J1023" s="69"/>
      <c r="L1023" s="69"/>
      <c r="M1023" s="69"/>
    </row>
    <row r="1024" spans="4:13">
      <c r="D1024" s="228"/>
      <c r="E1024" s="228"/>
      <c r="F1024" s="69"/>
      <c r="G1024" s="228"/>
      <c r="H1024" s="228"/>
      <c r="I1024" s="69"/>
      <c r="J1024" s="69"/>
      <c r="L1024" s="69"/>
      <c r="M1024" s="69"/>
    </row>
    <row r="1025" spans="4:13">
      <c r="D1025" s="228"/>
      <c r="E1025" s="228"/>
      <c r="F1025" s="69"/>
      <c r="G1025" s="228"/>
      <c r="H1025" s="228"/>
      <c r="I1025" s="69"/>
      <c r="J1025" s="69"/>
      <c r="L1025" s="69"/>
      <c r="M1025" s="69"/>
    </row>
    <row r="1026" spans="4:13">
      <c r="D1026" s="228"/>
      <c r="E1026" s="228"/>
      <c r="F1026" s="69"/>
      <c r="G1026" s="228"/>
      <c r="H1026" s="228"/>
      <c r="I1026" s="69"/>
      <c r="J1026" s="69"/>
      <c r="L1026" s="69"/>
      <c r="M1026" s="69"/>
    </row>
    <row r="1027" spans="4:13">
      <c r="D1027" s="228"/>
      <c r="E1027" s="228"/>
      <c r="F1027" s="69"/>
      <c r="G1027" s="228"/>
      <c r="H1027" s="228"/>
      <c r="I1027" s="69"/>
      <c r="J1027" s="69"/>
      <c r="L1027" s="69"/>
      <c r="M1027" s="69"/>
    </row>
    <row r="1028" spans="4:13">
      <c r="D1028" s="228"/>
      <c r="E1028" s="228"/>
      <c r="F1028" s="69"/>
      <c r="G1028" s="228"/>
      <c r="H1028" s="228"/>
      <c r="I1028" s="69"/>
      <c r="J1028" s="69"/>
      <c r="L1028" s="69"/>
      <c r="M1028" s="69"/>
    </row>
    <row r="1029" spans="4:13">
      <c r="D1029" s="228"/>
      <c r="E1029" s="228"/>
      <c r="F1029" s="69"/>
      <c r="G1029" s="228"/>
      <c r="H1029" s="228"/>
      <c r="I1029" s="69"/>
      <c r="J1029" s="69"/>
      <c r="L1029" s="69"/>
      <c r="M1029" s="69"/>
    </row>
    <row r="1030" spans="4:13">
      <c r="D1030" s="228"/>
      <c r="E1030" s="228"/>
      <c r="F1030" s="69"/>
      <c r="G1030" s="228"/>
      <c r="H1030" s="228"/>
      <c r="I1030" s="69"/>
      <c r="J1030" s="69"/>
      <c r="L1030" s="69"/>
      <c r="M1030" s="69"/>
    </row>
    <row r="1031" spans="4:13">
      <c r="D1031" s="228"/>
      <c r="E1031" s="228"/>
      <c r="F1031" s="69"/>
      <c r="G1031" s="228"/>
      <c r="H1031" s="228"/>
      <c r="I1031" s="69"/>
      <c r="J1031" s="69"/>
      <c r="L1031" s="69"/>
      <c r="M1031" s="69"/>
    </row>
    <row r="1032" spans="4:13">
      <c r="D1032" s="228"/>
      <c r="E1032" s="228"/>
      <c r="F1032" s="69"/>
      <c r="G1032" s="228"/>
      <c r="H1032" s="228"/>
      <c r="I1032" s="69"/>
      <c r="J1032" s="69"/>
      <c r="L1032" s="69"/>
      <c r="M1032" s="69"/>
    </row>
    <row r="1033" spans="4:13">
      <c r="D1033" s="228"/>
      <c r="E1033" s="228"/>
      <c r="F1033" s="69"/>
      <c r="G1033" s="228"/>
      <c r="H1033" s="228"/>
      <c r="I1033" s="69"/>
      <c r="J1033" s="69"/>
      <c r="L1033" s="69"/>
      <c r="M1033" s="69"/>
    </row>
    <row r="1034" spans="4:13">
      <c r="D1034" s="228"/>
      <c r="E1034" s="228"/>
      <c r="F1034" s="69"/>
      <c r="G1034" s="228"/>
      <c r="H1034" s="228"/>
      <c r="I1034" s="69"/>
      <c r="J1034" s="69"/>
      <c r="L1034" s="69"/>
      <c r="M1034" s="69"/>
    </row>
    <row r="1035" spans="4:13">
      <c r="D1035" s="228"/>
      <c r="E1035" s="228"/>
      <c r="F1035" s="69"/>
      <c r="G1035" s="228"/>
      <c r="H1035" s="228"/>
      <c r="I1035" s="69"/>
      <c r="J1035" s="69"/>
      <c r="L1035" s="69"/>
      <c r="M1035" s="69"/>
    </row>
    <row r="1036" spans="4:13">
      <c r="D1036" s="228"/>
      <c r="E1036" s="228"/>
      <c r="F1036" s="69"/>
      <c r="G1036" s="228"/>
      <c r="H1036" s="228"/>
      <c r="I1036" s="69"/>
      <c r="J1036" s="69"/>
      <c r="L1036" s="69"/>
      <c r="M1036" s="69"/>
    </row>
    <row r="1037" spans="4:13">
      <c r="D1037" s="228"/>
      <c r="E1037" s="228"/>
      <c r="F1037" s="69"/>
      <c r="G1037" s="228"/>
      <c r="H1037" s="228"/>
      <c r="I1037" s="69"/>
      <c r="J1037" s="69"/>
      <c r="L1037" s="69"/>
      <c r="M1037" s="69"/>
    </row>
    <row r="1038" spans="4:13">
      <c r="D1038" s="228"/>
      <c r="E1038" s="228"/>
      <c r="F1038" s="69"/>
      <c r="G1038" s="228"/>
      <c r="H1038" s="228"/>
      <c r="I1038" s="69"/>
      <c r="J1038" s="69"/>
      <c r="L1038" s="69"/>
      <c r="M1038" s="69"/>
    </row>
    <row r="1039" spans="4:13">
      <c r="D1039" s="228"/>
      <c r="E1039" s="228"/>
      <c r="F1039" s="69"/>
      <c r="G1039" s="228"/>
      <c r="H1039" s="228"/>
      <c r="I1039" s="69"/>
      <c r="J1039" s="69"/>
      <c r="L1039" s="69"/>
      <c r="M1039" s="69"/>
    </row>
    <row r="1040" spans="4:13">
      <c r="D1040" s="228"/>
      <c r="E1040" s="228"/>
      <c r="F1040" s="69"/>
      <c r="G1040" s="228"/>
      <c r="H1040" s="228"/>
      <c r="I1040" s="69"/>
      <c r="J1040" s="69"/>
      <c r="L1040" s="69"/>
      <c r="M1040" s="69"/>
    </row>
    <row r="1041" spans="4:13">
      <c r="D1041" s="228"/>
      <c r="E1041" s="228"/>
      <c r="F1041" s="69"/>
      <c r="G1041" s="228"/>
      <c r="H1041" s="228"/>
      <c r="I1041" s="69"/>
      <c r="J1041" s="69"/>
      <c r="L1041" s="69"/>
      <c r="M1041" s="69"/>
    </row>
    <row r="1042" spans="4:13">
      <c r="D1042" s="228"/>
      <c r="E1042" s="228"/>
      <c r="F1042" s="69"/>
      <c r="G1042" s="228"/>
      <c r="H1042" s="228"/>
      <c r="I1042" s="69"/>
      <c r="J1042" s="69"/>
      <c r="L1042" s="69"/>
      <c r="M1042" s="69"/>
    </row>
    <row r="1043" spans="4:13">
      <c r="D1043" s="228"/>
      <c r="E1043" s="228"/>
      <c r="F1043" s="69"/>
      <c r="G1043" s="228"/>
      <c r="H1043" s="228"/>
      <c r="I1043" s="69"/>
      <c r="J1043" s="69"/>
      <c r="L1043" s="69"/>
      <c r="M1043" s="69"/>
    </row>
    <row r="1044" spans="4:13">
      <c r="D1044" s="228"/>
      <c r="E1044" s="228"/>
      <c r="F1044" s="69"/>
      <c r="G1044" s="228"/>
      <c r="H1044" s="228"/>
      <c r="I1044" s="69"/>
      <c r="J1044" s="69"/>
      <c r="L1044" s="69"/>
      <c r="M1044" s="69"/>
    </row>
    <row r="1045" spans="4:13">
      <c r="D1045" s="228"/>
      <c r="E1045" s="228"/>
      <c r="F1045" s="69"/>
      <c r="G1045" s="228"/>
      <c r="H1045" s="228"/>
      <c r="I1045" s="69"/>
      <c r="J1045" s="69"/>
      <c r="L1045" s="69"/>
      <c r="M1045" s="69"/>
    </row>
    <row r="1046" spans="4:13">
      <c r="D1046" s="228"/>
      <c r="E1046" s="228"/>
      <c r="F1046" s="69"/>
      <c r="G1046" s="228"/>
      <c r="H1046" s="228"/>
      <c r="I1046" s="69"/>
      <c r="J1046" s="69"/>
      <c r="L1046" s="69"/>
      <c r="M1046" s="69"/>
    </row>
    <row r="1047" spans="4:13">
      <c r="D1047" s="228"/>
      <c r="E1047" s="228"/>
      <c r="F1047" s="69"/>
      <c r="G1047" s="228"/>
      <c r="H1047" s="228"/>
      <c r="I1047" s="69"/>
      <c r="J1047" s="69"/>
      <c r="L1047" s="69"/>
      <c r="M1047" s="69"/>
    </row>
    <row r="1048" spans="4:13">
      <c r="D1048" s="228"/>
      <c r="E1048" s="228"/>
      <c r="F1048" s="69"/>
      <c r="G1048" s="228"/>
      <c r="H1048" s="228"/>
      <c r="I1048" s="69"/>
      <c r="J1048" s="69"/>
      <c r="L1048" s="69"/>
      <c r="M1048" s="69"/>
    </row>
    <row r="1049" spans="4:13">
      <c r="D1049" s="228"/>
      <c r="E1049" s="228"/>
      <c r="F1049" s="69"/>
      <c r="G1049" s="228"/>
      <c r="H1049" s="228"/>
      <c r="I1049" s="69"/>
      <c r="J1049" s="69"/>
      <c r="L1049" s="69"/>
      <c r="M1049" s="69"/>
    </row>
    <row r="1050" spans="4:13">
      <c r="D1050" s="228"/>
      <c r="E1050" s="228"/>
      <c r="F1050" s="69"/>
      <c r="G1050" s="228"/>
      <c r="H1050" s="228"/>
      <c r="I1050" s="69"/>
      <c r="J1050" s="69"/>
      <c r="L1050" s="69"/>
      <c r="M1050" s="69"/>
    </row>
    <row r="1051" spans="4:13">
      <c r="D1051" s="228"/>
      <c r="E1051" s="228"/>
      <c r="F1051" s="69"/>
      <c r="G1051" s="228"/>
      <c r="H1051" s="228"/>
      <c r="I1051" s="69"/>
      <c r="J1051" s="69"/>
      <c r="L1051" s="69"/>
      <c r="M1051" s="69"/>
    </row>
    <row r="1052" spans="4:13">
      <c r="D1052" s="228"/>
      <c r="E1052" s="228"/>
      <c r="F1052" s="69"/>
      <c r="G1052" s="228"/>
      <c r="H1052" s="228"/>
      <c r="I1052" s="69"/>
      <c r="J1052" s="69"/>
      <c r="L1052" s="69"/>
      <c r="M1052" s="69"/>
    </row>
    <row r="1053" spans="4:13">
      <c r="D1053" s="228"/>
      <c r="E1053" s="228"/>
      <c r="F1053" s="69"/>
      <c r="G1053" s="228"/>
      <c r="H1053" s="228"/>
      <c r="I1053" s="69"/>
      <c r="J1053" s="69"/>
      <c r="L1053" s="69"/>
      <c r="M1053" s="69"/>
    </row>
    <row r="1054" spans="4:13">
      <c r="D1054" s="228"/>
      <c r="E1054" s="228"/>
      <c r="F1054" s="69"/>
      <c r="G1054" s="228"/>
      <c r="H1054" s="228"/>
      <c r="I1054" s="69"/>
      <c r="J1054" s="69"/>
      <c r="L1054" s="69"/>
      <c r="M1054" s="69"/>
    </row>
    <row r="1055" spans="4:13">
      <c r="D1055" s="228"/>
      <c r="E1055" s="228"/>
      <c r="F1055" s="69"/>
      <c r="G1055" s="228"/>
      <c r="H1055" s="228"/>
      <c r="I1055" s="69"/>
      <c r="J1055" s="69"/>
      <c r="L1055" s="69"/>
      <c r="M1055" s="69"/>
    </row>
    <row r="1056" spans="4:13">
      <c r="D1056" s="228"/>
      <c r="E1056" s="228"/>
      <c r="F1056" s="69"/>
      <c r="G1056" s="228"/>
      <c r="H1056" s="228"/>
      <c r="I1056" s="69"/>
      <c r="J1056" s="69"/>
      <c r="L1056" s="69"/>
      <c r="M1056" s="69"/>
    </row>
    <row r="1057" spans="4:13">
      <c r="D1057" s="228"/>
      <c r="E1057" s="228"/>
      <c r="F1057" s="69"/>
      <c r="G1057" s="228"/>
      <c r="H1057" s="228"/>
      <c r="I1057" s="69"/>
      <c r="J1057" s="69"/>
      <c r="L1057" s="69"/>
      <c r="M1057" s="69"/>
    </row>
    <row r="1058" spans="4:13">
      <c r="D1058" s="228"/>
      <c r="E1058" s="228"/>
      <c r="F1058" s="69"/>
      <c r="G1058" s="228"/>
      <c r="H1058" s="228"/>
      <c r="I1058" s="69"/>
      <c r="J1058" s="69"/>
      <c r="L1058" s="69"/>
      <c r="M1058" s="69"/>
    </row>
    <row r="1059" spans="4:13">
      <c r="D1059" s="228"/>
      <c r="E1059" s="228"/>
      <c r="F1059" s="69"/>
      <c r="G1059" s="228"/>
      <c r="H1059" s="228"/>
      <c r="I1059" s="69"/>
      <c r="J1059" s="69"/>
      <c r="L1059" s="69"/>
      <c r="M1059" s="69"/>
    </row>
    <row r="1060" spans="4:13">
      <c r="D1060" s="228"/>
      <c r="E1060" s="228"/>
      <c r="F1060" s="69"/>
      <c r="G1060" s="228"/>
      <c r="H1060" s="228"/>
      <c r="I1060" s="69"/>
      <c r="J1060" s="69"/>
      <c r="L1060" s="69"/>
      <c r="M1060" s="69"/>
    </row>
    <row r="1061" spans="4:13">
      <c r="D1061" s="228"/>
      <c r="E1061" s="228"/>
      <c r="F1061" s="69"/>
      <c r="G1061" s="228"/>
      <c r="H1061" s="228"/>
      <c r="I1061" s="69"/>
      <c r="J1061" s="69"/>
      <c r="L1061" s="69"/>
      <c r="M1061" s="69"/>
    </row>
    <row r="1062" spans="4:13">
      <c r="D1062" s="228"/>
      <c r="E1062" s="228"/>
      <c r="F1062" s="69"/>
      <c r="G1062" s="228"/>
      <c r="H1062" s="228"/>
      <c r="I1062" s="69"/>
      <c r="J1062" s="69"/>
      <c r="L1062" s="69"/>
      <c r="M1062" s="69"/>
    </row>
    <row r="1063" spans="4:13">
      <c r="D1063" s="228"/>
      <c r="E1063" s="228"/>
      <c r="F1063" s="69"/>
      <c r="G1063" s="228"/>
      <c r="H1063" s="228"/>
      <c r="I1063" s="69"/>
      <c r="J1063" s="69"/>
      <c r="L1063" s="69"/>
      <c r="M1063" s="69"/>
    </row>
    <row r="1064" spans="4:13">
      <c r="D1064" s="228"/>
      <c r="E1064" s="228"/>
      <c r="F1064" s="69"/>
      <c r="G1064" s="228"/>
      <c r="H1064" s="228"/>
      <c r="I1064" s="69"/>
      <c r="J1064" s="69"/>
      <c r="L1064" s="69"/>
      <c r="M1064" s="69"/>
    </row>
    <row r="1065" spans="4:13">
      <c r="D1065" s="228"/>
      <c r="E1065" s="228"/>
      <c r="F1065" s="69"/>
      <c r="G1065" s="228"/>
      <c r="H1065" s="228"/>
      <c r="I1065" s="69"/>
      <c r="J1065" s="69"/>
      <c r="L1065" s="69"/>
      <c r="M1065" s="69"/>
    </row>
    <row r="1066" spans="4:13">
      <c r="D1066" s="228"/>
      <c r="E1066" s="228"/>
      <c r="F1066" s="69"/>
      <c r="G1066" s="228"/>
      <c r="H1066" s="228"/>
      <c r="I1066" s="69"/>
      <c r="J1066" s="69"/>
      <c r="L1066" s="69"/>
      <c r="M1066" s="69"/>
    </row>
    <row r="1067" spans="4:13">
      <c r="D1067" s="228"/>
      <c r="E1067" s="228"/>
      <c r="F1067" s="69"/>
      <c r="G1067" s="228"/>
      <c r="H1067" s="228"/>
      <c r="I1067" s="69"/>
      <c r="J1067" s="69"/>
      <c r="L1067" s="69"/>
      <c r="M1067" s="69"/>
    </row>
    <row r="1068" spans="4:13">
      <c r="D1068" s="228"/>
      <c r="E1068" s="228"/>
      <c r="F1068" s="69"/>
      <c r="G1068" s="228"/>
      <c r="H1068" s="228"/>
      <c r="I1068" s="69"/>
      <c r="J1068" s="69"/>
      <c r="L1068" s="69"/>
      <c r="M1068" s="69"/>
    </row>
    <row r="1069" spans="4:13">
      <c r="D1069" s="228"/>
      <c r="E1069" s="228"/>
      <c r="F1069" s="69"/>
      <c r="G1069" s="228"/>
      <c r="H1069" s="228"/>
      <c r="I1069" s="69"/>
      <c r="J1069" s="69"/>
      <c r="L1069" s="69"/>
      <c r="M1069" s="69"/>
    </row>
    <row r="1070" spans="4:13">
      <c r="D1070" s="228"/>
      <c r="E1070" s="228"/>
      <c r="F1070" s="69"/>
      <c r="G1070" s="228"/>
      <c r="H1070" s="228"/>
      <c r="I1070" s="69"/>
      <c r="J1070" s="69"/>
      <c r="L1070" s="69"/>
      <c r="M1070" s="69"/>
    </row>
    <row r="1071" spans="4:13">
      <c r="D1071" s="228"/>
      <c r="E1071" s="228"/>
      <c r="F1071" s="69"/>
      <c r="G1071" s="228"/>
      <c r="H1071" s="228"/>
      <c r="I1071" s="69"/>
      <c r="J1071" s="69"/>
      <c r="L1071" s="69"/>
      <c r="M1071" s="69"/>
    </row>
    <row r="1072" spans="4:13">
      <c r="D1072" s="228"/>
      <c r="E1072" s="228"/>
      <c r="F1072" s="69"/>
      <c r="G1072" s="228"/>
      <c r="H1072" s="228"/>
      <c r="I1072" s="69"/>
      <c r="J1072" s="69"/>
      <c r="L1072" s="69"/>
      <c r="M1072" s="69"/>
    </row>
    <row r="1073" spans="4:13">
      <c r="D1073" s="228"/>
      <c r="E1073" s="228"/>
      <c r="F1073" s="69"/>
      <c r="G1073" s="228"/>
      <c r="H1073" s="228"/>
      <c r="I1073" s="69"/>
      <c r="J1073" s="69"/>
      <c r="L1073" s="69"/>
      <c r="M1073" s="69"/>
    </row>
    <row r="1074" spans="4:13">
      <c r="D1074" s="228"/>
      <c r="E1074" s="228"/>
      <c r="F1074" s="69"/>
      <c r="G1074" s="228"/>
      <c r="H1074" s="228"/>
      <c r="I1074" s="69"/>
      <c r="J1074" s="69"/>
      <c r="L1074" s="69"/>
      <c r="M1074" s="69"/>
    </row>
    <row r="1075" spans="4:13">
      <c r="D1075" s="228"/>
      <c r="E1075" s="228"/>
      <c r="F1075" s="69"/>
      <c r="G1075" s="228"/>
      <c r="H1075" s="228"/>
      <c r="I1075" s="69"/>
      <c r="J1075" s="69"/>
      <c r="L1075" s="69"/>
      <c r="M1075" s="69"/>
    </row>
    <row r="1076" spans="4:13">
      <c r="D1076" s="228"/>
      <c r="E1076" s="228"/>
      <c r="F1076" s="69"/>
      <c r="G1076" s="228"/>
      <c r="H1076" s="228"/>
      <c r="I1076" s="69"/>
      <c r="J1076" s="69"/>
      <c r="L1076" s="69"/>
      <c r="M1076" s="69"/>
    </row>
    <row r="1077" spans="4:13">
      <c r="D1077" s="228"/>
      <c r="E1077" s="228"/>
      <c r="F1077" s="69"/>
      <c r="G1077" s="228"/>
      <c r="H1077" s="228"/>
      <c r="I1077" s="69"/>
      <c r="J1077" s="69"/>
      <c r="L1077" s="69"/>
      <c r="M1077" s="69"/>
    </row>
    <row r="1078" spans="4:13">
      <c r="D1078" s="228"/>
      <c r="E1078" s="228"/>
      <c r="F1078" s="69"/>
      <c r="G1078" s="228"/>
      <c r="H1078" s="228"/>
      <c r="I1078" s="69"/>
      <c r="J1078" s="69"/>
      <c r="L1078" s="69"/>
      <c r="M1078" s="69"/>
    </row>
    <row r="1079" spans="4:13">
      <c r="D1079" s="228"/>
      <c r="E1079" s="228"/>
      <c r="F1079" s="69"/>
      <c r="G1079" s="228"/>
      <c r="H1079" s="228"/>
      <c r="I1079" s="69"/>
      <c r="J1079" s="69"/>
      <c r="L1079" s="69"/>
      <c r="M1079" s="69"/>
    </row>
    <row r="1080" spans="4:13">
      <c r="D1080" s="228"/>
      <c r="E1080" s="228"/>
      <c r="F1080" s="69"/>
      <c r="G1080" s="228"/>
      <c r="H1080" s="228"/>
      <c r="I1080" s="69"/>
      <c r="J1080" s="69"/>
      <c r="L1080" s="69"/>
      <c r="M1080" s="69"/>
    </row>
    <row r="1081" spans="4:13">
      <c r="D1081" s="228"/>
      <c r="E1081" s="228"/>
      <c r="F1081" s="69"/>
      <c r="G1081" s="228"/>
      <c r="H1081" s="228"/>
      <c r="I1081" s="69"/>
      <c r="J1081" s="69"/>
      <c r="L1081" s="69"/>
      <c r="M1081" s="69"/>
    </row>
    <row r="1082" spans="4:13">
      <c r="D1082" s="228"/>
      <c r="E1082" s="228"/>
      <c r="F1082" s="69"/>
      <c r="G1082" s="228"/>
      <c r="H1082" s="228"/>
      <c r="I1082" s="69"/>
      <c r="J1082" s="69"/>
      <c r="L1082" s="69"/>
      <c r="M1082" s="69"/>
    </row>
    <row r="1083" spans="4:13">
      <c r="D1083" s="228"/>
      <c r="E1083" s="228"/>
      <c r="F1083" s="69"/>
      <c r="G1083" s="228"/>
      <c r="H1083" s="228"/>
      <c r="I1083" s="69"/>
      <c r="J1083" s="69"/>
      <c r="L1083" s="69"/>
      <c r="M1083" s="69"/>
    </row>
    <row r="1084" spans="4:13">
      <c r="D1084" s="228"/>
      <c r="E1084" s="228"/>
      <c r="F1084" s="69"/>
      <c r="G1084" s="228"/>
      <c r="H1084" s="228"/>
      <c r="I1084" s="69"/>
      <c r="J1084" s="69"/>
      <c r="L1084" s="69"/>
      <c r="M1084" s="69"/>
    </row>
    <row r="1085" spans="4:13">
      <c r="D1085" s="228"/>
      <c r="E1085" s="228"/>
      <c r="F1085" s="69"/>
      <c r="G1085" s="228"/>
      <c r="H1085" s="228"/>
      <c r="I1085" s="69"/>
      <c r="J1085" s="69"/>
      <c r="L1085" s="69"/>
      <c r="M1085" s="69"/>
    </row>
    <row r="1086" spans="4:13">
      <c r="D1086" s="228"/>
      <c r="E1086" s="228"/>
      <c r="F1086" s="69"/>
      <c r="G1086" s="228"/>
      <c r="H1086" s="228"/>
      <c r="I1086" s="69"/>
      <c r="J1086" s="69"/>
      <c r="L1086" s="69"/>
      <c r="M1086" s="69"/>
    </row>
    <row r="1087" spans="4:13">
      <c r="D1087" s="228"/>
      <c r="E1087" s="228"/>
      <c r="F1087" s="69"/>
      <c r="G1087" s="228"/>
      <c r="H1087" s="228"/>
      <c r="I1087" s="69"/>
      <c r="J1087" s="69"/>
      <c r="L1087" s="69"/>
      <c r="M1087" s="69"/>
    </row>
    <row r="1088" spans="4:13">
      <c r="D1088" s="228"/>
      <c r="E1088" s="228"/>
      <c r="F1088" s="69"/>
      <c r="G1088" s="228"/>
      <c r="H1088" s="228"/>
      <c r="I1088" s="69"/>
      <c r="J1088" s="69"/>
      <c r="L1088" s="69"/>
      <c r="M1088" s="69"/>
    </row>
    <row r="1089" spans="4:13">
      <c r="D1089" s="228"/>
      <c r="E1089" s="228"/>
      <c r="F1089" s="69"/>
      <c r="G1089" s="228"/>
      <c r="H1089" s="228"/>
      <c r="I1089" s="69"/>
      <c r="J1089" s="69"/>
      <c r="L1089" s="69"/>
      <c r="M1089" s="69"/>
    </row>
    <row r="1090" spans="4:13">
      <c r="D1090" s="228"/>
      <c r="E1090" s="228"/>
      <c r="F1090" s="69"/>
      <c r="G1090" s="228"/>
      <c r="H1090" s="228"/>
      <c r="I1090" s="69"/>
      <c r="J1090" s="69"/>
      <c r="L1090" s="69"/>
      <c r="M1090" s="69"/>
    </row>
    <row r="1091" spans="4:13">
      <c r="D1091" s="228"/>
      <c r="E1091" s="228"/>
      <c r="F1091" s="69"/>
      <c r="G1091" s="228"/>
      <c r="H1091" s="228"/>
      <c r="I1091" s="69"/>
      <c r="J1091" s="69"/>
      <c r="L1091" s="69"/>
      <c r="M1091" s="69"/>
    </row>
    <row r="1092" spans="4:13">
      <c r="D1092" s="228"/>
      <c r="E1092" s="228"/>
      <c r="F1092" s="69"/>
      <c r="G1092" s="228"/>
      <c r="H1092" s="228"/>
      <c r="I1092" s="69"/>
      <c r="J1092" s="69"/>
      <c r="L1092" s="69"/>
      <c r="M1092" s="69"/>
    </row>
    <row r="1093" spans="4:13">
      <c r="D1093" s="228"/>
      <c r="E1093" s="228"/>
      <c r="F1093" s="69"/>
      <c r="G1093" s="228"/>
      <c r="H1093" s="228"/>
      <c r="I1093" s="69"/>
      <c r="J1093" s="69"/>
      <c r="L1093" s="69"/>
      <c r="M1093" s="69"/>
    </row>
    <row r="1094" spans="4:13">
      <c r="D1094" s="228"/>
      <c r="E1094" s="228"/>
      <c r="F1094" s="69"/>
      <c r="G1094" s="228"/>
      <c r="H1094" s="228"/>
      <c r="I1094" s="69"/>
      <c r="J1094" s="69"/>
      <c r="L1094" s="69"/>
      <c r="M1094" s="69"/>
    </row>
    <row r="1095" spans="4:13">
      <c r="D1095" s="228"/>
      <c r="E1095" s="228"/>
      <c r="F1095" s="69"/>
      <c r="G1095" s="228"/>
      <c r="H1095" s="228"/>
      <c r="I1095" s="69"/>
      <c r="J1095" s="69"/>
      <c r="L1095" s="69"/>
      <c r="M1095" s="69"/>
    </row>
    <row r="1096" spans="4:13">
      <c r="D1096" s="228"/>
      <c r="E1096" s="228"/>
      <c r="F1096" s="69"/>
      <c r="G1096" s="228"/>
      <c r="H1096" s="228"/>
      <c r="I1096" s="69"/>
      <c r="J1096" s="69"/>
      <c r="L1096" s="69"/>
      <c r="M1096" s="69"/>
    </row>
    <row r="1097" spans="4:13">
      <c r="D1097" s="228"/>
      <c r="E1097" s="228"/>
      <c r="F1097" s="69"/>
      <c r="G1097" s="228"/>
      <c r="H1097" s="228"/>
      <c r="I1097" s="69"/>
      <c r="J1097" s="69"/>
      <c r="L1097" s="69"/>
      <c r="M1097" s="69"/>
    </row>
    <row r="1098" spans="4:13">
      <c r="D1098" s="228"/>
      <c r="E1098" s="228"/>
      <c r="F1098" s="69"/>
      <c r="G1098" s="228"/>
      <c r="H1098" s="228"/>
      <c r="I1098" s="69"/>
      <c r="J1098" s="69"/>
      <c r="L1098" s="69"/>
      <c r="M1098" s="69"/>
    </row>
    <row r="1099" spans="4:13">
      <c r="D1099" s="228"/>
      <c r="E1099" s="228"/>
      <c r="F1099" s="69"/>
      <c r="G1099" s="228"/>
      <c r="H1099" s="228"/>
      <c r="I1099" s="69"/>
      <c r="J1099" s="69"/>
      <c r="L1099" s="69"/>
      <c r="M1099" s="69"/>
    </row>
    <row r="1100" spans="4:13">
      <c r="D1100" s="228"/>
      <c r="E1100" s="228"/>
      <c r="F1100" s="69"/>
      <c r="G1100" s="228"/>
      <c r="H1100" s="228"/>
      <c r="I1100" s="69"/>
      <c r="J1100" s="69"/>
      <c r="L1100" s="69"/>
      <c r="M1100" s="69"/>
    </row>
    <row r="1101" spans="4:13">
      <c r="D1101" s="228"/>
      <c r="E1101" s="228"/>
      <c r="F1101" s="69"/>
      <c r="G1101" s="228"/>
      <c r="H1101" s="228"/>
      <c r="I1101" s="69"/>
      <c r="J1101" s="69"/>
      <c r="L1101" s="69"/>
      <c r="M1101" s="69"/>
    </row>
    <row r="1102" spans="4:13">
      <c r="D1102" s="228"/>
      <c r="E1102" s="228"/>
      <c r="F1102" s="69"/>
      <c r="G1102" s="228"/>
      <c r="H1102" s="228"/>
      <c r="I1102" s="69"/>
      <c r="J1102" s="69"/>
      <c r="L1102" s="69"/>
      <c r="M1102" s="69"/>
    </row>
    <row r="1103" spans="4:13">
      <c r="D1103" s="228"/>
      <c r="E1103" s="228"/>
      <c r="F1103" s="69"/>
      <c r="G1103" s="228"/>
      <c r="H1103" s="228"/>
      <c r="I1103" s="69"/>
      <c r="J1103" s="69"/>
      <c r="L1103" s="69"/>
      <c r="M1103" s="69"/>
    </row>
    <row r="1104" spans="4:13">
      <c r="D1104" s="228"/>
      <c r="E1104" s="228"/>
      <c r="F1104" s="69"/>
      <c r="G1104" s="228"/>
      <c r="H1104" s="228"/>
      <c r="I1104" s="69"/>
      <c r="J1104" s="69"/>
      <c r="L1104" s="69"/>
      <c r="M1104" s="69"/>
    </row>
    <row r="1105" spans="4:13">
      <c r="D1105" s="228"/>
      <c r="E1105" s="228"/>
      <c r="F1105" s="69"/>
      <c r="G1105" s="228"/>
      <c r="H1105" s="228"/>
      <c r="I1105" s="69"/>
      <c r="J1105" s="69"/>
      <c r="L1105" s="69"/>
      <c r="M1105" s="69"/>
    </row>
    <row r="1106" spans="4:13">
      <c r="D1106" s="228"/>
      <c r="E1106" s="228"/>
      <c r="F1106" s="69"/>
      <c r="G1106" s="228"/>
      <c r="H1106" s="228"/>
      <c r="I1106" s="69"/>
      <c r="J1106" s="69"/>
      <c r="L1106" s="69"/>
      <c r="M1106" s="69"/>
    </row>
    <row r="1107" spans="4:13">
      <c r="D1107" s="228"/>
      <c r="E1107" s="228"/>
      <c r="F1107" s="69"/>
      <c r="G1107" s="228"/>
      <c r="H1107" s="228"/>
      <c r="I1107" s="69"/>
      <c r="J1107" s="69"/>
      <c r="L1107" s="69"/>
      <c r="M1107" s="69"/>
    </row>
    <row r="1108" spans="4:13">
      <c r="D1108" s="228"/>
      <c r="E1108" s="228"/>
      <c r="F1108" s="69"/>
      <c r="G1108" s="228"/>
      <c r="H1108" s="228"/>
      <c r="I1108" s="69"/>
      <c r="J1108" s="69"/>
      <c r="L1108" s="69"/>
      <c r="M1108" s="69"/>
    </row>
    <row r="1109" spans="4:13">
      <c r="D1109" s="228"/>
      <c r="E1109" s="228"/>
      <c r="F1109" s="69"/>
      <c r="G1109" s="228"/>
      <c r="H1109" s="228"/>
      <c r="I1109" s="69"/>
      <c r="J1109" s="69"/>
      <c r="L1109" s="69"/>
      <c r="M1109" s="69"/>
    </row>
    <row r="1110" spans="4:13">
      <c r="D1110" s="228"/>
      <c r="E1110" s="228"/>
      <c r="F1110" s="69"/>
      <c r="G1110" s="228"/>
      <c r="H1110" s="228"/>
      <c r="I1110" s="69"/>
      <c r="J1110" s="69"/>
      <c r="L1110" s="69"/>
      <c r="M1110" s="69"/>
    </row>
    <row r="1111" spans="4:13">
      <c r="D1111" s="228"/>
      <c r="E1111" s="228"/>
      <c r="F1111" s="69"/>
      <c r="G1111" s="228"/>
      <c r="H1111" s="228"/>
      <c r="I1111" s="69"/>
      <c r="J1111" s="69"/>
      <c r="L1111" s="69"/>
      <c r="M1111" s="69"/>
    </row>
    <row r="1112" spans="4:13">
      <c r="D1112" s="228"/>
      <c r="E1112" s="228"/>
      <c r="F1112" s="69"/>
      <c r="G1112" s="228"/>
      <c r="H1112" s="228"/>
      <c r="I1112" s="69"/>
      <c r="J1112" s="69"/>
      <c r="L1112" s="69"/>
      <c r="M1112" s="69"/>
    </row>
    <row r="1113" spans="4:13">
      <c r="D1113" s="228"/>
      <c r="E1113" s="228"/>
      <c r="F1113" s="69"/>
      <c r="G1113" s="228"/>
      <c r="H1113" s="228"/>
      <c r="I1113" s="69"/>
      <c r="J1113" s="69"/>
      <c r="L1113" s="69"/>
      <c r="M1113" s="69"/>
    </row>
    <row r="1114" spans="4:13">
      <c r="D1114" s="228"/>
      <c r="E1114" s="228"/>
      <c r="F1114" s="69"/>
      <c r="G1114" s="228"/>
      <c r="H1114" s="228"/>
      <c r="I1114" s="69"/>
      <c r="J1114" s="69"/>
      <c r="L1114" s="69"/>
      <c r="M1114" s="69"/>
    </row>
    <row r="1115" spans="4:13">
      <c r="D1115" s="228"/>
      <c r="E1115" s="228"/>
      <c r="F1115" s="69"/>
      <c r="G1115" s="228"/>
      <c r="H1115" s="228"/>
      <c r="I1115" s="69"/>
      <c r="J1115" s="69"/>
      <c r="L1115" s="69"/>
      <c r="M1115" s="69"/>
    </row>
    <row r="1116" spans="4:13">
      <c r="D1116" s="228"/>
      <c r="E1116" s="228"/>
      <c r="F1116" s="69"/>
      <c r="G1116" s="228"/>
      <c r="H1116" s="228"/>
      <c r="I1116" s="69"/>
      <c r="J1116" s="69"/>
      <c r="L1116" s="69"/>
      <c r="M1116" s="69"/>
    </row>
    <row r="1117" spans="4:13">
      <c r="D1117" s="228"/>
      <c r="E1117" s="228"/>
      <c r="F1117" s="69"/>
      <c r="G1117" s="228"/>
      <c r="H1117" s="228"/>
      <c r="I1117" s="69"/>
      <c r="J1117" s="69"/>
      <c r="L1117" s="69"/>
      <c r="M1117" s="69"/>
    </row>
    <row r="1118" spans="4:13">
      <c r="D1118" s="228"/>
      <c r="E1118" s="228"/>
      <c r="F1118" s="69"/>
      <c r="G1118" s="228"/>
      <c r="H1118" s="228"/>
      <c r="I1118" s="69"/>
      <c r="J1118" s="69"/>
      <c r="L1118" s="69"/>
      <c r="M1118" s="69"/>
    </row>
    <row r="1119" spans="4:13">
      <c r="D1119" s="228"/>
      <c r="E1119" s="228"/>
      <c r="F1119" s="69"/>
      <c r="G1119" s="228"/>
      <c r="H1119" s="228"/>
      <c r="I1119" s="69"/>
      <c r="J1119" s="69"/>
      <c r="L1119" s="69"/>
      <c r="M1119" s="69"/>
    </row>
    <row r="1120" spans="4:13">
      <c r="D1120" s="228"/>
      <c r="E1120" s="228"/>
      <c r="F1120" s="69"/>
      <c r="G1120" s="228"/>
      <c r="H1120" s="228"/>
      <c r="I1120" s="69"/>
      <c r="J1120" s="69"/>
      <c r="L1120" s="69"/>
      <c r="M1120" s="69"/>
    </row>
    <row r="1121" spans="4:13">
      <c r="D1121" s="228"/>
      <c r="E1121" s="228"/>
      <c r="F1121" s="69"/>
      <c r="G1121" s="228"/>
      <c r="H1121" s="228"/>
      <c r="I1121" s="69"/>
      <c r="J1121" s="69"/>
      <c r="L1121" s="69"/>
      <c r="M1121" s="69"/>
    </row>
    <row r="1122" spans="4:13">
      <c r="D1122" s="228"/>
      <c r="E1122" s="228"/>
      <c r="F1122" s="69"/>
      <c r="G1122" s="228"/>
      <c r="H1122" s="228"/>
      <c r="I1122" s="69"/>
      <c r="J1122" s="69"/>
      <c r="L1122" s="69"/>
      <c r="M1122" s="69"/>
    </row>
    <row r="1123" spans="4:13">
      <c r="D1123" s="228"/>
      <c r="E1123" s="228"/>
      <c r="F1123" s="69"/>
      <c r="G1123" s="228"/>
      <c r="H1123" s="228"/>
      <c r="I1123" s="69"/>
      <c r="J1123" s="69"/>
      <c r="L1123" s="69"/>
      <c r="M1123" s="69"/>
    </row>
    <row r="1124" spans="4:13">
      <c r="D1124" s="228"/>
      <c r="E1124" s="228"/>
      <c r="F1124" s="69"/>
      <c r="G1124" s="228"/>
      <c r="H1124" s="228"/>
      <c r="I1124" s="69"/>
      <c r="J1124" s="69"/>
      <c r="L1124" s="69"/>
      <c r="M1124" s="69"/>
    </row>
    <row r="1125" spans="4:13">
      <c r="D1125" s="228"/>
      <c r="E1125" s="228"/>
      <c r="F1125" s="69"/>
      <c r="G1125" s="228"/>
      <c r="H1125" s="228"/>
      <c r="I1125" s="69"/>
      <c r="J1125" s="69"/>
      <c r="L1125" s="69"/>
      <c r="M1125" s="69"/>
    </row>
    <row r="1126" spans="4:13">
      <c r="D1126" s="228"/>
      <c r="E1126" s="228"/>
      <c r="F1126" s="69"/>
      <c r="G1126" s="228"/>
      <c r="H1126" s="228"/>
      <c r="I1126" s="69"/>
      <c r="J1126" s="69"/>
      <c r="L1126" s="69"/>
      <c r="M1126" s="69"/>
    </row>
    <row r="1127" spans="4:13">
      <c r="D1127" s="228"/>
      <c r="E1127" s="228"/>
      <c r="F1127" s="69"/>
      <c r="G1127" s="228"/>
      <c r="H1127" s="228"/>
      <c r="I1127" s="69"/>
      <c r="J1127" s="69"/>
      <c r="L1127" s="69"/>
      <c r="M1127" s="69"/>
    </row>
    <row r="1128" spans="4:13">
      <c r="D1128" s="228"/>
      <c r="E1128" s="228"/>
      <c r="F1128" s="69"/>
      <c r="G1128" s="228"/>
      <c r="H1128" s="228"/>
      <c r="I1128" s="69"/>
      <c r="J1128" s="69"/>
      <c r="L1128" s="69"/>
      <c r="M1128" s="69"/>
    </row>
    <row r="1129" spans="4:13">
      <c r="D1129" s="228"/>
      <c r="E1129" s="228"/>
      <c r="F1129" s="69"/>
      <c r="G1129" s="228"/>
      <c r="H1129" s="228"/>
      <c r="I1129" s="69"/>
      <c r="J1129" s="69"/>
      <c r="L1129" s="69"/>
      <c r="M1129" s="69"/>
    </row>
    <row r="1130" spans="4:13">
      <c r="D1130" s="228"/>
      <c r="E1130" s="228"/>
      <c r="F1130" s="69"/>
      <c r="G1130" s="228"/>
      <c r="H1130" s="228"/>
      <c r="I1130" s="69"/>
      <c r="J1130" s="69"/>
      <c r="L1130" s="69"/>
      <c r="M1130" s="69"/>
    </row>
    <row r="1131" spans="4:13">
      <c r="D1131" s="228"/>
      <c r="E1131" s="228"/>
      <c r="F1131" s="69"/>
      <c r="G1131" s="228"/>
      <c r="H1131" s="228"/>
      <c r="I1131" s="69"/>
      <c r="J1131" s="69"/>
      <c r="L1131" s="69"/>
      <c r="M1131" s="69"/>
    </row>
    <row r="1132" spans="4:13">
      <c r="D1132" s="228"/>
      <c r="E1132" s="228"/>
      <c r="F1132" s="69"/>
      <c r="G1132" s="228"/>
      <c r="H1132" s="228"/>
      <c r="I1132" s="69"/>
      <c r="J1132" s="69"/>
      <c r="L1132" s="69"/>
      <c r="M1132" s="69"/>
    </row>
    <row r="1133" spans="4:13">
      <c r="D1133" s="228"/>
      <c r="E1133" s="228"/>
      <c r="F1133" s="69"/>
      <c r="G1133" s="228"/>
      <c r="H1133" s="228"/>
      <c r="I1133" s="69"/>
      <c r="J1133" s="69"/>
      <c r="L1133" s="69"/>
      <c r="M1133" s="69"/>
    </row>
    <row r="1134" spans="4:13">
      <c r="D1134" s="228"/>
      <c r="E1134" s="228"/>
      <c r="F1134" s="69"/>
      <c r="G1134" s="228"/>
      <c r="H1134" s="228"/>
      <c r="I1134" s="69"/>
      <c r="J1134" s="69"/>
      <c r="L1134" s="69"/>
      <c r="M1134" s="69"/>
    </row>
    <row r="1135" spans="4:13">
      <c r="D1135" s="228"/>
      <c r="E1135" s="228"/>
      <c r="F1135" s="69"/>
      <c r="G1135" s="228"/>
      <c r="H1135" s="228"/>
      <c r="I1135" s="69"/>
      <c r="J1135" s="69"/>
      <c r="L1135" s="69"/>
      <c r="M1135" s="69"/>
    </row>
    <row r="1136" spans="4:13">
      <c r="D1136" s="228"/>
      <c r="E1136" s="228"/>
      <c r="F1136" s="69"/>
      <c r="G1136" s="228"/>
      <c r="H1136" s="228"/>
      <c r="I1136" s="69"/>
      <c r="J1136" s="69"/>
      <c r="L1136" s="69"/>
      <c r="M1136" s="69"/>
    </row>
    <row r="1137" spans="4:13">
      <c r="D1137" s="228"/>
      <c r="E1137" s="228"/>
      <c r="F1137" s="69"/>
      <c r="G1137" s="228"/>
      <c r="H1137" s="228"/>
      <c r="I1137" s="69"/>
      <c r="J1137" s="69"/>
      <c r="L1137" s="69"/>
      <c r="M1137" s="69"/>
    </row>
    <row r="1138" spans="4:13">
      <c r="D1138" s="228"/>
      <c r="E1138" s="228"/>
      <c r="F1138" s="69"/>
      <c r="G1138" s="228"/>
      <c r="H1138" s="228"/>
      <c r="I1138" s="69"/>
      <c r="J1138" s="69"/>
      <c r="L1138" s="69"/>
      <c r="M1138" s="69"/>
    </row>
    <row r="1139" spans="4:13">
      <c r="D1139" s="228"/>
      <c r="E1139" s="228"/>
      <c r="F1139" s="69"/>
      <c r="G1139" s="228"/>
      <c r="H1139" s="228"/>
      <c r="I1139" s="69"/>
      <c r="J1139" s="69"/>
      <c r="L1139" s="69"/>
      <c r="M1139" s="69"/>
    </row>
    <row r="1140" spans="4:13">
      <c r="D1140" s="228"/>
      <c r="E1140" s="228"/>
      <c r="F1140" s="69"/>
      <c r="G1140" s="228"/>
      <c r="H1140" s="228"/>
      <c r="I1140" s="69"/>
      <c r="J1140" s="69"/>
      <c r="L1140" s="69"/>
      <c r="M1140" s="69"/>
    </row>
    <row r="1141" spans="4:13">
      <c r="D1141" s="228"/>
      <c r="E1141" s="228"/>
      <c r="F1141" s="69"/>
      <c r="G1141" s="228"/>
      <c r="H1141" s="228"/>
      <c r="I1141" s="69"/>
      <c r="J1141" s="69"/>
      <c r="L1141" s="69"/>
      <c r="M1141" s="69"/>
    </row>
    <row r="1142" spans="4:13">
      <c r="D1142" s="228"/>
      <c r="E1142" s="228"/>
      <c r="F1142" s="69"/>
      <c r="G1142" s="228"/>
      <c r="H1142" s="228"/>
      <c r="I1142" s="69"/>
      <c r="J1142" s="69"/>
      <c r="L1142" s="69"/>
      <c r="M1142" s="69"/>
    </row>
    <row r="1143" spans="4:13">
      <c r="D1143" s="228"/>
      <c r="E1143" s="228"/>
      <c r="F1143" s="69"/>
      <c r="G1143" s="228"/>
      <c r="H1143" s="228"/>
      <c r="I1143" s="69"/>
      <c r="J1143" s="69"/>
      <c r="L1143" s="69"/>
      <c r="M1143" s="69"/>
    </row>
    <row r="1144" spans="4:13">
      <c r="D1144" s="228"/>
      <c r="E1144" s="228"/>
      <c r="F1144" s="69"/>
      <c r="G1144" s="228"/>
      <c r="H1144" s="228"/>
      <c r="I1144" s="69"/>
      <c r="J1144" s="69"/>
      <c r="L1144" s="69"/>
      <c r="M1144" s="69"/>
    </row>
    <row r="1145" spans="4:13">
      <c r="D1145" s="228"/>
      <c r="E1145" s="228"/>
      <c r="F1145" s="69"/>
      <c r="G1145" s="228"/>
      <c r="H1145" s="228"/>
      <c r="I1145" s="69"/>
      <c r="J1145" s="69"/>
      <c r="L1145" s="69"/>
      <c r="M1145" s="69"/>
    </row>
    <row r="1146" spans="4:13">
      <c r="D1146" s="228"/>
      <c r="E1146" s="228"/>
      <c r="F1146" s="69"/>
      <c r="G1146" s="228"/>
      <c r="H1146" s="228"/>
      <c r="I1146" s="69"/>
      <c r="J1146" s="69"/>
      <c r="L1146" s="69"/>
      <c r="M1146" s="69"/>
    </row>
    <row r="1147" spans="4:13">
      <c r="D1147" s="228"/>
      <c r="E1147" s="228"/>
      <c r="F1147" s="69"/>
      <c r="G1147" s="228"/>
      <c r="H1147" s="228"/>
      <c r="I1147" s="69"/>
      <c r="J1147" s="69"/>
      <c r="L1147" s="69"/>
      <c r="M1147" s="69"/>
    </row>
    <row r="1148" spans="4:13">
      <c r="D1148" s="228"/>
      <c r="E1148" s="228"/>
      <c r="F1148" s="69"/>
      <c r="G1148" s="228"/>
      <c r="H1148" s="228"/>
      <c r="I1148" s="69"/>
      <c r="J1148" s="69"/>
      <c r="L1148" s="69"/>
      <c r="M1148" s="69"/>
    </row>
    <row r="1149" spans="4:13">
      <c r="D1149" s="228"/>
      <c r="E1149" s="228"/>
      <c r="F1149" s="69"/>
      <c r="G1149" s="228"/>
      <c r="H1149" s="228"/>
      <c r="I1149" s="69"/>
      <c r="J1149" s="69"/>
      <c r="L1149" s="69"/>
      <c r="M1149" s="69"/>
    </row>
    <row r="1150" spans="4:13">
      <c r="D1150" s="228"/>
      <c r="E1150" s="228"/>
      <c r="F1150" s="69"/>
      <c r="G1150" s="228"/>
      <c r="H1150" s="228"/>
      <c r="I1150" s="69"/>
      <c r="J1150" s="69"/>
      <c r="L1150" s="69"/>
      <c r="M1150" s="69"/>
    </row>
    <row r="1151" spans="4:13">
      <c r="D1151" s="228"/>
      <c r="E1151" s="228"/>
      <c r="F1151" s="69"/>
      <c r="G1151" s="228"/>
      <c r="H1151" s="228"/>
      <c r="I1151" s="69"/>
      <c r="J1151" s="69"/>
      <c r="L1151" s="69"/>
      <c r="M1151" s="69"/>
    </row>
    <row r="1152" spans="4:13">
      <c r="D1152" s="228"/>
      <c r="E1152" s="228"/>
      <c r="F1152" s="69"/>
      <c r="G1152" s="228"/>
      <c r="H1152" s="228"/>
      <c r="I1152" s="69"/>
      <c r="J1152" s="69"/>
      <c r="L1152" s="69"/>
      <c r="M1152" s="69"/>
    </row>
    <row r="1153" spans="4:13">
      <c r="D1153" s="228"/>
      <c r="E1153" s="228"/>
      <c r="F1153" s="69"/>
      <c r="G1153" s="228"/>
      <c r="H1153" s="228"/>
      <c r="I1153" s="69"/>
      <c r="J1153" s="69"/>
      <c r="L1153" s="69"/>
      <c r="M1153" s="69"/>
    </row>
    <row r="1154" spans="4:13">
      <c r="D1154" s="228"/>
      <c r="E1154" s="228"/>
      <c r="F1154" s="69"/>
      <c r="G1154" s="228"/>
      <c r="H1154" s="228"/>
      <c r="I1154" s="69"/>
      <c r="J1154" s="69"/>
      <c r="L1154" s="69"/>
      <c r="M1154" s="69"/>
    </row>
    <row r="1155" spans="4:13">
      <c r="D1155" s="228"/>
      <c r="E1155" s="228"/>
      <c r="F1155" s="69"/>
      <c r="G1155" s="228"/>
      <c r="H1155" s="228"/>
      <c r="I1155" s="69"/>
      <c r="J1155" s="69"/>
      <c r="L1155" s="69"/>
      <c r="M1155" s="69"/>
    </row>
    <row r="1156" spans="4:13">
      <c r="D1156" s="228"/>
      <c r="E1156" s="228"/>
      <c r="F1156" s="69"/>
      <c r="G1156" s="228"/>
      <c r="H1156" s="228"/>
      <c r="I1156" s="69"/>
      <c r="J1156" s="69"/>
      <c r="L1156" s="69"/>
      <c r="M1156" s="69"/>
    </row>
    <row r="1157" spans="4:13">
      <c r="D1157" s="228"/>
      <c r="E1157" s="228"/>
      <c r="F1157" s="69"/>
      <c r="G1157" s="228"/>
      <c r="H1157" s="228"/>
      <c r="I1157" s="69"/>
      <c r="J1157" s="69"/>
      <c r="L1157" s="69"/>
      <c r="M1157" s="69"/>
    </row>
    <row r="1158" spans="4:13">
      <c r="D1158" s="228"/>
      <c r="E1158" s="228"/>
      <c r="F1158" s="69"/>
      <c r="G1158" s="228"/>
      <c r="H1158" s="228"/>
      <c r="I1158" s="69"/>
      <c r="J1158" s="69"/>
      <c r="L1158" s="69"/>
      <c r="M1158" s="69"/>
    </row>
    <row r="1159" spans="4:13">
      <c r="D1159" s="228"/>
      <c r="E1159" s="228"/>
      <c r="F1159" s="69"/>
      <c r="G1159" s="228"/>
      <c r="H1159" s="228"/>
      <c r="I1159" s="69"/>
      <c r="J1159" s="69"/>
      <c r="L1159" s="69"/>
      <c r="M1159" s="69"/>
    </row>
    <row r="1160" spans="4:13">
      <c r="D1160" s="228"/>
      <c r="E1160" s="228"/>
      <c r="F1160" s="69"/>
      <c r="G1160" s="228"/>
      <c r="H1160" s="228"/>
      <c r="I1160" s="69"/>
      <c r="J1160" s="69"/>
      <c r="L1160" s="69"/>
      <c r="M1160" s="69"/>
    </row>
    <row r="1161" spans="4:13">
      <c r="D1161" s="228"/>
      <c r="E1161" s="228"/>
      <c r="F1161" s="69"/>
      <c r="G1161" s="228"/>
      <c r="H1161" s="228"/>
      <c r="I1161" s="69"/>
      <c r="J1161" s="69"/>
      <c r="L1161" s="69"/>
      <c r="M1161" s="69"/>
    </row>
    <row r="1162" spans="4:13">
      <c r="D1162" s="228"/>
      <c r="E1162" s="228"/>
      <c r="F1162" s="69"/>
      <c r="G1162" s="228"/>
      <c r="H1162" s="228"/>
      <c r="I1162" s="69"/>
      <c r="J1162" s="69"/>
      <c r="L1162" s="69"/>
      <c r="M1162" s="69"/>
    </row>
    <row r="1163" spans="4:13">
      <c r="D1163" s="228"/>
      <c r="E1163" s="228"/>
      <c r="F1163" s="69"/>
      <c r="G1163" s="228"/>
      <c r="H1163" s="228"/>
      <c r="I1163" s="69"/>
      <c r="J1163" s="69"/>
      <c r="L1163" s="69"/>
      <c r="M1163" s="69"/>
    </row>
    <row r="1164" spans="4:13">
      <c r="D1164" s="228"/>
      <c r="E1164" s="228"/>
      <c r="F1164" s="69"/>
      <c r="G1164" s="228"/>
      <c r="H1164" s="228"/>
      <c r="I1164" s="69"/>
      <c r="J1164" s="69"/>
      <c r="L1164" s="69"/>
      <c r="M1164" s="69"/>
    </row>
    <row r="1165" spans="4:13">
      <c r="D1165" s="228"/>
      <c r="E1165" s="228"/>
      <c r="F1165" s="69"/>
      <c r="G1165" s="228"/>
      <c r="H1165" s="228"/>
      <c r="I1165" s="69"/>
      <c r="J1165" s="69"/>
      <c r="L1165" s="69"/>
      <c r="M1165" s="69"/>
    </row>
    <row r="1166" spans="4:13">
      <c r="D1166" s="228"/>
      <c r="E1166" s="228"/>
      <c r="F1166" s="69"/>
      <c r="G1166" s="228"/>
      <c r="H1166" s="228"/>
      <c r="I1166" s="69"/>
      <c r="J1166" s="69"/>
      <c r="L1166" s="69"/>
      <c r="M1166" s="69"/>
    </row>
    <row r="1167" spans="4:13">
      <c r="D1167" s="228"/>
      <c r="E1167" s="228"/>
      <c r="F1167" s="69"/>
      <c r="G1167" s="228"/>
      <c r="H1167" s="228"/>
      <c r="I1167" s="69"/>
      <c r="J1167" s="69"/>
      <c r="L1167" s="69"/>
      <c r="M1167" s="69"/>
    </row>
    <row r="1168" spans="4:13">
      <c r="D1168" s="228"/>
      <c r="E1168" s="228"/>
      <c r="F1168" s="69"/>
      <c r="G1168" s="228"/>
      <c r="H1168" s="228"/>
      <c r="I1168" s="69"/>
      <c r="J1168" s="69"/>
      <c r="L1168" s="69"/>
      <c r="M1168" s="69"/>
    </row>
    <row r="1169" spans="4:13">
      <c r="D1169" s="228"/>
      <c r="E1169" s="228"/>
      <c r="F1169" s="69"/>
      <c r="G1169" s="228"/>
      <c r="H1169" s="228"/>
      <c r="I1169" s="69"/>
      <c r="J1169" s="69"/>
      <c r="L1169" s="69"/>
      <c r="M1169" s="69"/>
    </row>
    <row r="1170" spans="4:13">
      <c r="D1170" s="228"/>
      <c r="E1170" s="228"/>
      <c r="F1170" s="69"/>
      <c r="G1170" s="228"/>
      <c r="H1170" s="228"/>
      <c r="I1170" s="69"/>
      <c r="J1170" s="69"/>
      <c r="L1170" s="69"/>
      <c r="M1170" s="69"/>
    </row>
    <row r="1171" spans="4:13">
      <c r="D1171" s="228"/>
      <c r="E1171" s="228"/>
      <c r="F1171" s="69"/>
      <c r="G1171" s="228"/>
      <c r="H1171" s="228"/>
      <c r="I1171" s="69"/>
      <c r="J1171" s="69"/>
      <c r="L1171" s="69"/>
      <c r="M1171" s="69"/>
    </row>
    <row r="1172" spans="4:13">
      <c r="D1172" s="228"/>
      <c r="E1172" s="228"/>
      <c r="F1172" s="69"/>
      <c r="G1172" s="228"/>
      <c r="H1172" s="228"/>
      <c r="I1172" s="69"/>
      <c r="J1172" s="69"/>
      <c r="L1172" s="69"/>
      <c r="M1172" s="69"/>
    </row>
    <row r="1173" spans="4:13">
      <c r="D1173" s="228"/>
      <c r="E1173" s="228"/>
      <c r="F1173" s="69"/>
      <c r="G1173" s="228"/>
      <c r="H1173" s="228"/>
      <c r="I1173" s="69"/>
      <c r="J1173" s="69"/>
      <c r="L1173" s="69"/>
      <c r="M1173" s="69"/>
    </row>
    <row r="1174" spans="4:13">
      <c r="D1174" s="228"/>
      <c r="E1174" s="228"/>
      <c r="F1174" s="69"/>
      <c r="G1174" s="228"/>
      <c r="H1174" s="228"/>
      <c r="I1174" s="69"/>
      <c r="J1174" s="69"/>
      <c r="L1174" s="69"/>
      <c r="M1174" s="69"/>
    </row>
    <row r="1175" spans="4:13">
      <c r="D1175" s="228"/>
      <c r="E1175" s="228"/>
      <c r="F1175" s="69"/>
      <c r="G1175" s="228"/>
      <c r="H1175" s="228"/>
      <c r="I1175" s="69"/>
      <c r="J1175" s="69"/>
      <c r="L1175" s="69"/>
      <c r="M1175" s="69"/>
    </row>
    <row r="1176" spans="4:13">
      <c r="D1176" s="228"/>
      <c r="E1176" s="228"/>
      <c r="F1176" s="69"/>
      <c r="G1176" s="228"/>
      <c r="H1176" s="228"/>
      <c r="I1176" s="69"/>
      <c r="J1176" s="69"/>
      <c r="L1176" s="69"/>
      <c r="M1176" s="69"/>
    </row>
    <row r="1177" spans="4:13">
      <c r="D1177" s="228"/>
      <c r="E1177" s="228"/>
      <c r="F1177" s="69"/>
      <c r="G1177" s="228"/>
      <c r="H1177" s="228"/>
      <c r="I1177" s="69"/>
      <c r="J1177" s="69"/>
      <c r="L1177" s="69"/>
      <c r="M1177" s="69"/>
    </row>
    <row r="1178" spans="4:13">
      <c r="D1178" s="228"/>
      <c r="E1178" s="228"/>
      <c r="F1178" s="69"/>
      <c r="G1178" s="228"/>
      <c r="H1178" s="228"/>
      <c r="I1178" s="69"/>
      <c r="J1178" s="69"/>
      <c r="L1178" s="69"/>
      <c r="M1178" s="69"/>
    </row>
    <row r="1179" spans="4:13">
      <c r="D1179" s="228"/>
      <c r="E1179" s="228"/>
      <c r="F1179" s="69"/>
      <c r="G1179" s="228"/>
      <c r="H1179" s="228"/>
      <c r="I1179" s="69"/>
      <c r="J1179" s="69"/>
      <c r="L1179" s="69"/>
      <c r="M1179" s="69"/>
    </row>
    <row r="1180" spans="4:13">
      <c r="D1180" s="228"/>
      <c r="E1180" s="228"/>
      <c r="F1180" s="69"/>
      <c r="G1180" s="228"/>
      <c r="H1180" s="228"/>
      <c r="I1180" s="69"/>
      <c r="J1180" s="69"/>
      <c r="L1180" s="69"/>
      <c r="M1180" s="69"/>
    </row>
    <row r="1181" spans="4:13">
      <c r="D1181" s="228"/>
      <c r="E1181" s="228"/>
      <c r="F1181" s="69"/>
      <c r="G1181" s="228"/>
      <c r="H1181" s="228"/>
      <c r="I1181" s="69"/>
      <c r="J1181" s="69"/>
      <c r="L1181" s="69"/>
      <c r="M1181" s="69"/>
    </row>
    <row r="1182" spans="4:13">
      <c r="D1182" s="228"/>
      <c r="E1182" s="228"/>
      <c r="F1182" s="69"/>
      <c r="G1182" s="228"/>
      <c r="H1182" s="228"/>
      <c r="I1182" s="69"/>
      <c r="J1182" s="69"/>
      <c r="L1182" s="69"/>
      <c r="M1182" s="69"/>
    </row>
    <row r="1183" spans="4:13">
      <c r="D1183" s="228"/>
      <c r="E1183" s="228"/>
      <c r="F1183" s="69"/>
      <c r="G1183" s="228"/>
      <c r="H1183" s="228"/>
      <c r="I1183" s="69"/>
      <c r="J1183" s="69"/>
      <c r="L1183" s="69"/>
      <c r="M1183" s="69"/>
    </row>
    <row r="1184" spans="4:13">
      <c r="D1184" s="228"/>
      <c r="E1184" s="228"/>
      <c r="F1184" s="69"/>
      <c r="G1184" s="228"/>
      <c r="H1184" s="228"/>
      <c r="I1184" s="69"/>
      <c r="J1184" s="69"/>
      <c r="L1184" s="69"/>
      <c r="M1184" s="69"/>
    </row>
    <row r="1185" spans="4:13">
      <c r="D1185" s="228"/>
      <c r="E1185" s="228"/>
      <c r="F1185" s="69"/>
      <c r="G1185" s="228"/>
      <c r="H1185" s="228"/>
      <c r="I1185" s="69"/>
      <c r="J1185" s="69"/>
      <c r="L1185" s="69"/>
      <c r="M1185" s="69"/>
    </row>
    <row r="1186" spans="4:13">
      <c r="D1186" s="228"/>
      <c r="E1186" s="228"/>
      <c r="F1186" s="69"/>
      <c r="G1186" s="228"/>
      <c r="H1186" s="228"/>
      <c r="I1186" s="69"/>
      <c r="J1186" s="69"/>
      <c r="L1186" s="69"/>
      <c r="M1186" s="69"/>
    </row>
    <row r="1187" spans="4:13">
      <c r="D1187" s="228"/>
      <c r="E1187" s="228"/>
      <c r="F1187" s="69"/>
      <c r="G1187" s="228"/>
      <c r="H1187" s="228"/>
      <c r="I1187" s="69"/>
      <c r="J1187" s="69"/>
      <c r="L1187" s="69"/>
      <c r="M1187" s="69"/>
    </row>
    <row r="1188" spans="4:13">
      <c r="D1188" s="228"/>
      <c r="E1188" s="228"/>
      <c r="F1188" s="69"/>
      <c r="G1188" s="228"/>
      <c r="H1188" s="228"/>
      <c r="I1188" s="69"/>
      <c r="J1188" s="69"/>
      <c r="L1188" s="69"/>
      <c r="M1188" s="69"/>
    </row>
    <row r="1189" spans="4:13">
      <c r="D1189" s="228"/>
      <c r="E1189" s="228"/>
      <c r="F1189" s="69"/>
      <c r="G1189" s="228"/>
      <c r="H1189" s="228"/>
      <c r="I1189" s="69"/>
      <c r="J1189" s="69"/>
      <c r="L1189" s="69"/>
      <c r="M1189" s="69"/>
    </row>
    <row r="1190" spans="4:13">
      <c r="D1190" s="228"/>
      <c r="E1190" s="228"/>
      <c r="F1190" s="69"/>
      <c r="G1190" s="228"/>
      <c r="H1190" s="228"/>
      <c r="I1190" s="69"/>
      <c r="J1190" s="69"/>
      <c r="L1190" s="69"/>
      <c r="M1190" s="69"/>
    </row>
    <row r="1191" spans="4:13">
      <c r="D1191" s="228"/>
      <c r="E1191" s="228"/>
      <c r="F1191" s="69"/>
      <c r="G1191" s="228"/>
      <c r="H1191" s="228"/>
      <c r="I1191" s="69"/>
      <c r="J1191" s="69"/>
      <c r="L1191" s="69"/>
      <c r="M1191" s="69"/>
    </row>
    <row r="1192" spans="4:13">
      <c r="D1192" s="228"/>
      <c r="E1192" s="228"/>
      <c r="F1192" s="69"/>
      <c r="G1192" s="228"/>
      <c r="H1192" s="228"/>
      <c r="I1192" s="69"/>
      <c r="J1192" s="69"/>
      <c r="L1192" s="69"/>
      <c r="M1192" s="69"/>
    </row>
    <row r="1193" spans="4:13">
      <c r="D1193" s="228"/>
      <c r="E1193" s="228"/>
      <c r="F1193" s="69"/>
      <c r="G1193" s="228"/>
      <c r="H1193" s="228"/>
      <c r="I1193" s="69"/>
      <c r="J1193" s="69"/>
      <c r="L1193" s="69"/>
      <c r="M1193" s="69"/>
    </row>
    <row r="1194" spans="4:13">
      <c r="D1194" s="228"/>
      <c r="E1194" s="228"/>
      <c r="F1194" s="69"/>
      <c r="G1194" s="228"/>
      <c r="H1194" s="228"/>
      <c r="I1194" s="69"/>
      <c r="J1194" s="69"/>
      <c r="L1194" s="69"/>
      <c r="M1194" s="69"/>
    </row>
    <row r="1195" spans="4:13">
      <c r="D1195" s="228"/>
      <c r="E1195" s="228"/>
      <c r="F1195" s="69"/>
      <c r="G1195" s="228"/>
      <c r="H1195" s="228"/>
      <c r="I1195" s="69"/>
      <c r="J1195" s="69"/>
      <c r="L1195" s="69"/>
      <c r="M1195" s="69"/>
    </row>
    <row r="1196" spans="4:13">
      <c r="D1196" s="228"/>
      <c r="E1196" s="228"/>
      <c r="F1196" s="69"/>
      <c r="G1196" s="228"/>
      <c r="H1196" s="228"/>
      <c r="I1196" s="69"/>
      <c r="J1196" s="69"/>
      <c r="L1196" s="69"/>
      <c r="M1196" s="69"/>
    </row>
    <row r="1197" spans="4:13">
      <c r="D1197" s="228"/>
      <c r="E1197" s="228"/>
      <c r="F1197" s="69"/>
      <c r="G1197" s="228"/>
      <c r="H1197" s="228"/>
      <c r="I1197" s="69"/>
      <c r="J1197" s="69"/>
      <c r="L1197" s="69"/>
      <c r="M1197" s="69"/>
    </row>
    <row r="1198" spans="4:13">
      <c r="D1198" s="228"/>
      <c r="E1198" s="228"/>
      <c r="F1198" s="69"/>
      <c r="G1198" s="228"/>
      <c r="H1198" s="228"/>
      <c r="I1198" s="69"/>
      <c r="J1198" s="69"/>
      <c r="L1198" s="69"/>
      <c r="M1198" s="69"/>
    </row>
    <row r="1199" spans="4:13">
      <c r="D1199" s="228"/>
      <c r="E1199" s="228"/>
      <c r="F1199" s="69"/>
      <c r="G1199" s="228"/>
      <c r="H1199" s="228"/>
      <c r="I1199" s="69"/>
      <c r="J1199" s="69"/>
      <c r="L1199" s="69"/>
      <c r="M1199" s="69"/>
    </row>
    <row r="1200" spans="4:13">
      <c r="D1200" s="228"/>
      <c r="E1200" s="228"/>
      <c r="F1200" s="69"/>
      <c r="G1200" s="228"/>
      <c r="H1200" s="228"/>
      <c r="I1200" s="69"/>
      <c r="J1200" s="69"/>
      <c r="L1200" s="69"/>
      <c r="M1200" s="69"/>
    </row>
    <row r="1201" spans="4:13">
      <c r="D1201" s="228"/>
      <c r="E1201" s="228"/>
      <c r="F1201" s="69"/>
      <c r="G1201" s="228"/>
      <c r="H1201" s="228"/>
      <c r="I1201" s="69"/>
      <c r="J1201" s="69"/>
      <c r="L1201" s="69"/>
      <c r="M1201" s="69"/>
    </row>
    <row r="1202" spans="4:13">
      <c r="D1202" s="228"/>
      <c r="E1202" s="228"/>
      <c r="F1202" s="69"/>
      <c r="G1202" s="228"/>
      <c r="H1202" s="228"/>
      <c r="I1202" s="69"/>
      <c r="J1202" s="69"/>
      <c r="L1202" s="69"/>
      <c r="M1202" s="69"/>
    </row>
    <row r="1203" spans="4:13">
      <c r="D1203" s="228"/>
      <c r="E1203" s="228"/>
      <c r="F1203" s="69"/>
      <c r="G1203" s="228"/>
      <c r="H1203" s="228"/>
      <c r="I1203" s="69"/>
      <c r="J1203" s="69"/>
      <c r="L1203" s="69"/>
      <c r="M1203" s="69"/>
    </row>
    <row r="1204" spans="4:13">
      <c r="D1204" s="228"/>
      <c r="E1204" s="228"/>
      <c r="F1204" s="69"/>
      <c r="G1204" s="228"/>
      <c r="H1204" s="228"/>
      <c r="I1204" s="69"/>
      <c r="J1204" s="69"/>
      <c r="L1204" s="69"/>
      <c r="M1204" s="69"/>
    </row>
    <row r="1205" spans="4:13">
      <c r="D1205" s="228"/>
      <c r="E1205" s="228"/>
      <c r="F1205" s="69"/>
      <c r="G1205" s="228"/>
      <c r="H1205" s="228"/>
      <c r="I1205" s="69"/>
      <c r="J1205" s="69"/>
      <c r="L1205" s="69"/>
      <c r="M1205" s="69"/>
    </row>
    <row r="1206" spans="4:13">
      <c r="D1206" s="228"/>
      <c r="E1206" s="228"/>
      <c r="F1206" s="69"/>
      <c r="G1206" s="228"/>
      <c r="H1206" s="228"/>
      <c r="I1206" s="69"/>
      <c r="J1206" s="69"/>
      <c r="L1206" s="69"/>
      <c r="M1206" s="69"/>
    </row>
    <row r="1207" spans="4:13">
      <c r="D1207" s="228"/>
      <c r="E1207" s="228"/>
      <c r="F1207" s="69"/>
      <c r="G1207" s="228"/>
      <c r="H1207" s="228"/>
      <c r="I1207" s="69"/>
      <c r="J1207" s="69"/>
      <c r="L1207" s="69"/>
      <c r="M1207" s="69"/>
    </row>
    <row r="1208" spans="4:13">
      <c r="D1208" s="228"/>
      <c r="E1208" s="228"/>
      <c r="F1208" s="69"/>
      <c r="G1208" s="228"/>
      <c r="H1208" s="228"/>
      <c r="I1208" s="69"/>
      <c r="J1208" s="69"/>
      <c r="L1208" s="69"/>
      <c r="M1208" s="69"/>
    </row>
    <row r="1209" spans="4:13">
      <c r="D1209" s="228"/>
      <c r="E1209" s="228"/>
      <c r="F1209" s="69"/>
      <c r="G1209" s="228"/>
      <c r="H1209" s="228"/>
      <c r="I1209" s="69"/>
      <c r="J1209" s="69"/>
      <c r="L1209" s="69"/>
      <c r="M1209" s="69"/>
    </row>
    <row r="1210" spans="4:13">
      <c r="D1210" s="228"/>
      <c r="E1210" s="228"/>
      <c r="F1210" s="69"/>
      <c r="G1210" s="228"/>
      <c r="H1210" s="228"/>
      <c r="I1210" s="69"/>
      <c r="J1210" s="69"/>
      <c r="L1210" s="69"/>
      <c r="M1210" s="69"/>
    </row>
    <row r="1211" spans="4:13">
      <c r="D1211" s="228"/>
      <c r="E1211" s="228"/>
      <c r="F1211" s="69"/>
      <c r="G1211" s="228"/>
      <c r="H1211" s="228"/>
      <c r="I1211" s="69"/>
      <c r="J1211" s="69"/>
      <c r="L1211" s="69"/>
      <c r="M1211" s="69"/>
    </row>
    <row r="1212" spans="4:13">
      <c r="D1212" s="228"/>
      <c r="E1212" s="228"/>
      <c r="F1212" s="69"/>
      <c r="G1212" s="228"/>
      <c r="H1212" s="228"/>
      <c r="I1212" s="69"/>
      <c r="J1212" s="69"/>
      <c r="L1212" s="69"/>
      <c r="M1212" s="69"/>
    </row>
    <row r="1213" spans="4:13">
      <c r="D1213" s="228"/>
      <c r="E1213" s="228"/>
      <c r="F1213" s="69"/>
      <c r="G1213" s="228"/>
      <c r="H1213" s="228"/>
      <c r="I1213" s="69"/>
      <c r="J1213" s="69"/>
      <c r="L1213" s="69"/>
      <c r="M1213" s="69"/>
    </row>
    <row r="1214" spans="4:13">
      <c r="D1214" s="228"/>
      <c r="E1214" s="228"/>
      <c r="F1214" s="69"/>
      <c r="G1214" s="228"/>
      <c r="H1214" s="228"/>
      <c r="I1214" s="69"/>
      <c r="J1214" s="69"/>
      <c r="L1214" s="69"/>
      <c r="M1214" s="69"/>
    </row>
    <row r="1215" spans="4:13">
      <c r="D1215" s="228"/>
      <c r="E1215" s="228"/>
      <c r="F1215" s="69"/>
      <c r="G1215" s="228"/>
      <c r="H1215" s="228"/>
      <c r="I1215" s="69"/>
      <c r="J1215" s="69"/>
      <c r="L1215" s="69"/>
      <c r="M1215" s="69"/>
    </row>
    <row r="1216" spans="4:13">
      <c r="D1216" s="228"/>
      <c r="E1216" s="228"/>
      <c r="F1216" s="69"/>
      <c r="G1216" s="228"/>
      <c r="H1216" s="228"/>
      <c r="I1216" s="69"/>
      <c r="J1216" s="69"/>
      <c r="L1216" s="69"/>
      <c r="M1216" s="69"/>
    </row>
    <row r="1217" spans="4:13">
      <c r="D1217" s="228"/>
      <c r="E1217" s="228"/>
      <c r="F1217" s="69"/>
      <c r="G1217" s="228"/>
      <c r="H1217" s="228"/>
      <c r="I1217" s="69"/>
      <c r="J1217" s="69"/>
      <c r="L1217" s="69"/>
      <c r="M1217" s="69"/>
    </row>
    <row r="1218" spans="4:13">
      <c r="D1218" s="228"/>
      <c r="E1218" s="228"/>
      <c r="F1218" s="69"/>
      <c r="G1218" s="228"/>
      <c r="H1218" s="228"/>
      <c r="I1218" s="69"/>
      <c r="J1218" s="69"/>
      <c r="L1218" s="69"/>
      <c r="M1218" s="69"/>
    </row>
    <row r="1219" spans="4:13">
      <c r="D1219" s="228"/>
      <c r="E1219" s="228"/>
      <c r="F1219" s="69"/>
      <c r="G1219" s="228"/>
      <c r="H1219" s="228"/>
      <c r="I1219" s="69"/>
      <c r="J1219" s="69"/>
      <c r="L1219" s="69"/>
      <c r="M1219" s="69"/>
    </row>
    <row r="1220" spans="4:13">
      <c r="D1220" s="228"/>
      <c r="E1220" s="228"/>
      <c r="F1220" s="69"/>
      <c r="G1220" s="228"/>
      <c r="H1220" s="228"/>
      <c r="I1220" s="69"/>
      <c r="J1220" s="69"/>
      <c r="L1220" s="69"/>
      <c r="M1220" s="69"/>
    </row>
    <row r="1221" spans="4:13">
      <c r="D1221" s="228"/>
      <c r="E1221" s="228"/>
      <c r="F1221" s="69"/>
      <c r="G1221" s="228"/>
      <c r="H1221" s="228"/>
      <c r="I1221" s="69"/>
      <c r="J1221" s="69"/>
      <c r="L1221" s="69"/>
      <c r="M1221" s="69"/>
    </row>
    <row r="1222" spans="4:13">
      <c r="D1222" s="228"/>
      <c r="E1222" s="228"/>
      <c r="F1222" s="69"/>
      <c r="G1222" s="228"/>
      <c r="H1222" s="228"/>
      <c r="I1222" s="69"/>
      <c r="J1222" s="69"/>
      <c r="L1222" s="69"/>
      <c r="M1222" s="69"/>
    </row>
    <row r="1223" spans="4:13">
      <c r="D1223" s="228"/>
      <c r="E1223" s="228"/>
      <c r="F1223" s="69"/>
      <c r="G1223" s="228"/>
      <c r="H1223" s="228"/>
      <c r="I1223" s="69"/>
      <c r="J1223" s="69"/>
      <c r="L1223" s="69"/>
      <c r="M1223" s="69"/>
    </row>
    <row r="1224" spans="4:13">
      <c r="D1224" s="228"/>
      <c r="E1224" s="228"/>
      <c r="F1224" s="69"/>
      <c r="G1224" s="228"/>
      <c r="H1224" s="228"/>
      <c r="I1224" s="69"/>
      <c r="J1224" s="69"/>
      <c r="L1224" s="69"/>
      <c r="M1224" s="69"/>
    </row>
    <row r="1225" spans="4:13">
      <c r="D1225" s="228"/>
      <c r="E1225" s="228"/>
      <c r="F1225" s="69"/>
      <c r="G1225" s="228"/>
      <c r="H1225" s="228"/>
      <c r="I1225" s="69"/>
      <c r="J1225" s="69"/>
      <c r="L1225" s="69"/>
      <c r="M1225" s="69"/>
    </row>
    <row r="1226" spans="4:13">
      <c r="D1226" s="228"/>
      <c r="E1226" s="228"/>
      <c r="F1226" s="69"/>
      <c r="G1226" s="228"/>
      <c r="H1226" s="228"/>
      <c r="I1226" s="69"/>
      <c r="J1226" s="69"/>
      <c r="L1226" s="69"/>
      <c r="M1226" s="69"/>
    </row>
    <row r="1227" spans="4:13">
      <c r="D1227" s="228"/>
      <c r="E1227" s="228"/>
      <c r="F1227" s="69"/>
      <c r="G1227" s="228"/>
      <c r="H1227" s="228"/>
      <c r="I1227" s="69"/>
      <c r="J1227" s="69"/>
      <c r="L1227" s="69"/>
      <c r="M1227" s="69"/>
    </row>
    <row r="1228" spans="4:13">
      <c r="D1228" s="228"/>
      <c r="E1228" s="228"/>
      <c r="F1228" s="69"/>
      <c r="G1228" s="228"/>
      <c r="H1228" s="228"/>
      <c r="I1228" s="69"/>
      <c r="J1228" s="69"/>
      <c r="L1228" s="69"/>
      <c r="M1228" s="69"/>
    </row>
    <row r="1229" spans="4:13">
      <c r="D1229" s="228"/>
      <c r="E1229" s="228"/>
      <c r="F1229" s="69"/>
      <c r="G1229" s="228"/>
      <c r="H1229" s="228"/>
      <c r="I1229" s="69"/>
      <c r="J1229" s="69"/>
      <c r="L1229" s="69"/>
      <c r="M1229" s="69"/>
    </row>
    <row r="1230" spans="4:13">
      <c r="D1230" s="228"/>
      <c r="E1230" s="228"/>
      <c r="F1230" s="69"/>
      <c r="G1230" s="228"/>
      <c r="H1230" s="228"/>
      <c r="I1230" s="69"/>
      <c r="J1230" s="69"/>
      <c r="L1230" s="69"/>
      <c r="M1230" s="69"/>
    </row>
    <row r="1231" spans="4:13">
      <c r="D1231" s="228"/>
      <c r="E1231" s="228"/>
      <c r="F1231" s="69"/>
      <c r="G1231" s="228"/>
      <c r="H1231" s="228"/>
      <c r="I1231" s="69"/>
      <c r="J1231" s="69"/>
      <c r="L1231" s="69"/>
      <c r="M1231" s="69"/>
    </row>
    <row r="1232" spans="4:13">
      <c r="D1232" s="228"/>
      <c r="E1232" s="228"/>
      <c r="F1232" s="69"/>
      <c r="G1232" s="228"/>
      <c r="H1232" s="228"/>
      <c r="I1232" s="69"/>
      <c r="J1232" s="69"/>
      <c r="L1232" s="69"/>
      <c r="M1232" s="69"/>
    </row>
    <row r="1233" spans="4:13">
      <c r="D1233" s="228"/>
      <c r="E1233" s="228"/>
      <c r="F1233" s="69"/>
      <c r="G1233" s="228"/>
      <c r="H1233" s="228"/>
      <c r="I1233" s="69"/>
      <c r="J1233" s="69"/>
      <c r="L1233" s="69"/>
      <c r="M1233" s="69"/>
    </row>
    <row r="1234" spans="4:13">
      <c r="D1234" s="228"/>
      <c r="E1234" s="228"/>
      <c r="F1234" s="69"/>
      <c r="G1234" s="228"/>
      <c r="H1234" s="228"/>
      <c r="I1234" s="69"/>
      <c r="J1234" s="69"/>
      <c r="L1234" s="69"/>
      <c r="M1234" s="69"/>
    </row>
    <row r="1235" spans="4:13">
      <c r="D1235" s="228"/>
      <c r="E1235" s="228"/>
      <c r="F1235" s="69"/>
      <c r="G1235" s="228"/>
      <c r="H1235" s="228"/>
      <c r="I1235" s="69"/>
      <c r="J1235" s="69"/>
      <c r="L1235" s="69"/>
      <c r="M1235" s="69"/>
    </row>
    <row r="1236" spans="4:13">
      <c r="D1236" s="228"/>
      <c r="E1236" s="228"/>
      <c r="F1236" s="69"/>
      <c r="G1236" s="228"/>
      <c r="H1236" s="228"/>
      <c r="I1236" s="69"/>
      <c r="J1236" s="69"/>
      <c r="L1236" s="69"/>
      <c r="M1236" s="69"/>
    </row>
    <row r="1237" spans="4:13">
      <c r="D1237" s="228"/>
      <c r="E1237" s="228"/>
      <c r="F1237" s="69"/>
      <c r="G1237" s="228"/>
      <c r="H1237" s="228"/>
      <c r="I1237" s="69"/>
      <c r="J1237" s="69"/>
      <c r="L1237" s="69"/>
      <c r="M1237" s="69"/>
    </row>
    <row r="1238" spans="4:13">
      <c r="D1238" s="228"/>
      <c r="E1238" s="228"/>
      <c r="F1238" s="69"/>
      <c r="G1238" s="228"/>
      <c r="H1238" s="228"/>
      <c r="I1238" s="69"/>
      <c r="J1238" s="69"/>
      <c r="L1238" s="69"/>
      <c r="M1238" s="69"/>
    </row>
    <row r="1239" spans="4:13">
      <c r="D1239" s="228"/>
      <c r="E1239" s="228"/>
      <c r="F1239" s="69"/>
      <c r="G1239" s="228"/>
      <c r="H1239" s="228"/>
      <c r="I1239" s="69"/>
      <c r="J1239" s="69"/>
      <c r="L1239" s="69"/>
      <c r="M1239" s="69"/>
    </row>
    <row r="1240" spans="4:13">
      <c r="D1240" s="228"/>
      <c r="E1240" s="228"/>
      <c r="F1240" s="69"/>
      <c r="G1240" s="228"/>
      <c r="H1240" s="228"/>
      <c r="I1240" s="69"/>
      <c r="J1240" s="69"/>
      <c r="L1240" s="69"/>
      <c r="M1240" s="69"/>
    </row>
    <row r="1241" spans="4:13">
      <c r="D1241" s="228"/>
      <c r="E1241" s="228"/>
      <c r="F1241" s="69"/>
      <c r="G1241" s="228"/>
      <c r="H1241" s="228"/>
      <c r="I1241" s="69"/>
      <c r="J1241" s="69"/>
      <c r="L1241" s="69"/>
      <c r="M1241" s="69"/>
    </row>
    <row r="1242" spans="4:13">
      <c r="D1242" s="228"/>
      <c r="E1242" s="228"/>
      <c r="F1242" s="69"/>
      <c r="G1242" s="228"/>
      <c r="H1242" s="228"/>
      <c r="I1242" s="69"/>
      <c r="J1242" s="69"/>
      <c r="L1242" s="69"/>
      <c r="M1242" s="69"/>
    </row>
    <row r="1243" spans="4:13">
      <c r="D1243" s="228"/>
      <c r="E1243" s="228"/>
      <c r="F1243" s="69"/>
      <c r="G1243" s="228"/>
      <c r="H1243" s="228"/>
      <c r="I1243" s="69"/>
      <c r="J1243" s="69"/>
      <c r="L1243" s="69"/>
      <c r="M1243" s="69"/>
    </row>
    <row r="1244" spans="4:13">
      <c r="D1244" s="228"/>
      <c r="E1244" s="228"/>
      <c r="F1244" s="69"/>
      <c r="G1244" s="228"/>
      <c r="H1244" s="228"/>
      <c r="I1244" s="69"/>
      <c r="J1244" s="69"/>
      <c r="L1244" s="69"/>
      <c r="M1244" s="69"/>
    </row>
    <row r="1245" spans="4:13">
      <c r="D1245" s="228"/>
      <c r="E1245" s="228"/>
      <c r="F1245" s="69"/>
      <c r="G1245" s="228"/>
      <c r="H1245" s="228"/>
      <c r="I1245" s="69"/>
      <c r="J1245" s="69"/>
      <c r="L1245" s="69"/>
      <c r="M1245" s="69"/>
    </row>
    <row r="1246" spans="4:13">
      <c r="D1246" s="228"/>
      <c r="E1246" s="228"/>
      <c r="F1246" s="69"/>
      <c r="G1246" s="228"/>
      <c r="H1246" s="228"/>
      <c r="I1246" s="69"/>
      <c r="J1246" s="69"/>
      <c r="L1246" s="69"/>
      <c r="M1246" s="69"/>
    </row>
    <row r="1247" spans="4:13">
      <c r="D1247" s="228"/>
      <c r="E1247" s="228"/>
      <c r="F1247" s="69"/>
      <c r="G1247" s="228"/>
      <c r="H1247" s="228"/>
      <c r="I1247" s="69"/>
      <c r="J1247" s="69"/>
      <c r="L1247" s="69"/>
      <c r="M1247" s="69"/>
    </row>
    <row r="1248" spans="4:13">
      <c r="D1248" s="228"/>
      <c r="E1248" s="228"/>
      <c r="F1248" s="69"/>
      <c r="G1248" s="228"/>
      <c r="H1248" s="228"/>
      <c r="I1248" s="69"/>
      <c r="J1248" s="69"/>
      <c r="L1248" s="69"/>
      <c r="M1248" s="69"/>
    </row>
    <row r="1249" spans="4:13">
      <c r="D1249" s="228"/>
      <c r="E1249" s="228"/>
      <c r="F1249" s="69"/>
      <c r="G1249" s="228"/>
      <c r="H1249" s="228"/>
      <c r="I1249" s="69"/>
      <c r="J1249" s="69"/>
      <c r="L1249" s="69"/>
      <c r="M1249" s="69"/>
    </row>
    <row r="1250" spans="4:13">
      <c r="D1250" s="228"/>
      <c r="E1250" s="228"/>
      <c r="F1250" s="69"/>
      <c r="G1250" s="228"/>
      <c r="H1250" s="228"/>
      <c r="I1250" s="69"/>
      <c r="J1250" s="69"/>
      <c r="L1250" s="69"/>
      <c r="M1250" s="69"/>
    </row>
    <row r="1251" spans="4:13">
      <c r="D1251" s="228"/>
      <c r="E1251" s="228"/>
      <c r="F1251" s="69"/>
      <c r="G1251" s="228"/>
      <c r="H1251" s="228"/>
      <c r="I1251" s="69"/>
      <c r="J1251" s="69"/>
      <c r="L1251" s="69"/>
      <c r="M1251" s="69"/>
    </row>
    <row r="1252" spans="4:13">
      <c r="D1252" s="228"/>
      <c r="E1252" s="228"/>
      <c r="F1252" s="69"/>
      <c r="G1252" s="228"/>
      <c r="H1252" s="228"/>
      <c r="I1252" s="69"/>
      <c r="J1252" s="69"/>
      <c r="L1252" s="69"/>
      <c r="M1252" s="69"/>
    </row>
    <row r="1253" spans="4:13">
      <c r="D1253" s="228"/>
      <c r="E1253" s="228"/>
      <c r="F1253" s="69"/>
      <c r="G1253" s="228"/>
      <c r="H1253" s="228"/>
      <c r="I1253" s="69"/>
      <c r="J1253" s="69"/>
      <c r="L1253" s="69"/>
      <c r="M1253" s="69"/>
    </row>
    <row r="1254" spans="4:13">
      <c r="D1254" s="228"/>
      <c r="E1254" s="228"/>
      <c r="F1254" s="69"/>
      <c r="G1254" s="228"/>
      <c r="H1254" s="228"/>
      <c r="I1254" s="69"/>
      <c r="J1254" s="69"/>
      <c r="L1254" s="69"/>
      <c r="M1254" s="69"/>
    </row>
    <row r="1255" spans="4:13">
      <c r="D1255" s="228"/>
      <c r="E1255" s="228"/>
      <c r="F1255" s="69"/>
      <c r="G1255" s="228"/>
      <c r="H1255" s="228"/>
      <c r="I1255" s="69"/>
      <c r="J1255" s="69"/>
      <c r="L1255" s="69"/>
      <c r="M1255" s="69"/>
    </row>
    <row r="1256" spans="4:13">
      <c r="D1256" s="228"/>
      <c r="E1256" s="228"/>
      <c r="F1256" s="69"/>
      <c r="G1256" s="228"/>
      <c r="H1256" s="228"/>
      <c r="I1256" s="69"/>
      <c r="J1256" s="69"/>
      <c r="L1256" s="69"/>
      <c r="M1256" s="69"/>
    </row>
    <row r="1257" spans="4:13">
      <c r="D1257" s="228"/>
      <c r="E1257" s="228"/>
      <c r="F1257" s="69"/>
      <c r="G1257" s="228"/>
      <c r="H1257" s="228"/>
      <c r="I1257" s="69"/>
      <c r="J1257" s="69"/>
      <c r="L1257" s="69"/>
      <c r="M1257" s="69"/>
    </row>
    <row r="1258" spans="4:13">
      <c r="D1258" s="228"/>
      <c r="E1258" s="228"/>
      <c r="F1258" s="69"/>
      <c r="G1258" s="228"/>
      <c r="H1258" s="228"/>
      <c r="I1258" s="69"/>
      <c r="J1258" s="69"/>
      <c r="L1258" s="69"/>
      <c r="M1258" s="69"/>
    </row>
    <row r="1259" spans="4:13">
      <c r="D1259" s="228"/>
      <c r="E1259" s="228"/>
      <c r="F1259" s="69"/>
      <c r="G1259" s="228"/>
      <c r="H1259" s="228"/>
      <c r="I1259" s="69"/>
      <c r="J1259" s="69"/>
      <c r="L1259" s="69"/>
      <c r="M1259" s="69"/>
    </row>
    <row r="1260" spans="4:13">
      <c r="D1260" s="228"/>
      <c r="E1260" s="228"/>
      <c r="F1260" s="69"/>
      <c r="G1260" s="228"/>
      <c r="H1260" s="228"/>
      <c r="I1260" s="69"/>
      <c r="J1260" s="69"/>
      <c r="L1260" s="69"/>
      <c r="M1260" s="69"/>
    </row>
    <row r="1261" spans="4:13">
      <c r="D1261" s="228"/>
      <c r="E1261" s="228"/>
      <c r="F1261" s="69"/>
      <c r="G1261" s="228"/>
      <c r="H1261" s="228"/>
      <c r="I1261" s="69"/>
      <c r="J1261" s="69"/>
      <c r="L1261" s="69"/>
      <c r="M1261" s="69"/>
    </row>
    <row r="1262" spans="4:13">
      <c r="D1262" s="228"/>
      <c r="E1262" s="228"/>
      <c r="F1262" s="69"/>
      <c r="G1262" s="228"/>
      <c r="H1262" s="228"/>
      <c r="I1262" s="69"/>
      <c r="J1262" s="69"/>
      <c r="L1262" s="69"/>
      <c r="M1262" s="69"/>
    </row>
    <row r="1263" spans="4:13">
      <c r="D1263" s="228"/>
      <c r="E1263" s="228"/>
      <c r="F1263" s="69"/>
      <c r="G1263" s="228"/>
      <c r="H1263" s="228"/>
      <c r="I1263" s="69"/>
      <c r="J1263" s="69"/>
      <c r="L1263" s="69"/>
      <c r="M1263" s="69"/>
    </row>
    <row r="1264" spans="4:13">
      <c r="D1264" s="228"/>
      <c r="E1264" s="228"/>
      <c r="F1264" s="69"/>
      <c r="G1264" s="228"/>
      <c r="H1264" s="228"/>
      <c r="I1264" s="69"/>
      <c r="J1264" s="69"/>
      <c r="L1264" s="69"/>
      <c r="M1264" s="69"/>
    </row>
    <row r="1265" spans="4:13">
      <c r="D1265" s="228"/>
      <c r="E1265" s="228"/>
      <c r="F1265" s="69"/>
      <c r="G1265" s="228"/>
      <c r="H1265" s="228"/>
      <c r="I1265" s="69"/>
      <c r="J1265" s="69"/>
      <c r="L1265" s="69"/>
      <c r="M1265" s="69"/>
    </row>
    <row r="1266" spans="4:13">
      <c r="D1266" s="228"/>
      <c r="E1266" s="228"/>
      <c r="F1266" s="69"/>
      <c r="G1266" s="228"/>
      <c r="H1266" s="228"/>
      <c r="I1266" s="69"/>
      <c r="J1266" s="69"/>
      <c r="L1266" s="69"/>
      <c r="M1266" s="69"/>
    </row>
    <row r="1267" spans="4:13">
      <c r="D1267" s="228"/>
      <c r="E1267" s="228"/>
      <c r="F1267" s="69"/>
      <c r="G1267" s="228"/>
      <c r="H1267" s="228"/>
      <c r="I1267" s="69"/>
      <c r="J1267" s="69"/>
      <c r="L1267" s="69"/>
      <c r="M1267" s="69"/>
    </row>
    <row r="1268" spans="4:13">
      <c r="D1268" s="228"/>
      <c r="E1268" s="228"/>
      <c r="F1268" s="69"/>
      <c r="G1268" s="228"/>
      <c r="H1268" s="228"/>
      <c r="I1268" s="69"/>
      <c r="J1268" s="69"/>
      <c r="L1268" s="69"/>
      <c r="M1268" s="69"/>
    </row>
    <row r="1269" spans="4:13">
      <c r="D1269" s="228"/>
      <c r="E1269" s="228"/>
      <c r="F1269" s="69"/>
      <c r="G1269" s="228"/>
      <c r="H1269" s="228"/>
      <c r="I1269" s="69"/>
      <c r="J1269" s="69"/>
      <c r="L1269" s="69"/>
      <c r="M1269" s="69"/>
    </row>
    <row r="1270" spans="4:13">
      <c r="D1270" s="228"/>
      <c r="E1270" s="228"/>
      <c r="F1270" s="69"/>
      <c r="G1270" s="228"/>
      <c r="H1270" s="228"/>
      <c r="I1270" s="69"/>
      <c r="J1270" s="69"/>
      <c r="L1270" s="69"/>
      <c r="M1270" s="69"/>
    </row>
    <row r="1271" spans="4:13">
      <c r="D1271" s="228"/>
      <c r="E1271" s="228"/>
      <c r="F1271" s="69"/>
      <c r="G1271" s="228"/>
      <c r="H1271" s="228"/>
      <c r="I1271" s="69"/>
      <c r="J1271" s="69"/>
      <c r="L1271" s="69"/>
      <c r="M1271" s="69"/>
    </row>
    <row r="1272" spans="4:13">
      <c r="D1272" s="228"/>
      <c r="E1272" s="228"/>
      <c r="F1272" s="69"/>
      <c r="G1272" s="228"/>
      <c r="H1272" s="228"/>
      <c r="I1272" s="69"/>
      <c r="J1272" s="69"/>
      <c r="L1272" s="69"/>
      <c r="M1272" s="69"/>
    </row>
    <row r="1273" spans="4:13">
      <c r="D1273" s="228"/>
      <c r="E1273" s="228"/>
      <c r="F1273" s="69"/>
      <c r="G1273" s="228"/>
      <c r="H1273" s="228"/>
      <c r="I1273" s="69"/>
      <c r="J1273" s="69"/>
      <c r="L1273" s="69"/>
      <c r="M1273" s="69"/>
    </row>
    <row r="1274" spans="4:13">
      <c r="D1274" s="228"/>
      <c r="E1274" s="228"/>
      <c r="F1274" s="69"/>
      <c r="G1274" s="228"/>
      <c r="H1274" s="228"/>
      <c r="I1274" s="69"/>
      <c r="J1274" s="69"/>
      <c r="L1274" s="69"/>
      <c r="M1274" s="69"/>
    </row>
    <row r="1275" spans="4:13">
      <c r="D1275" s="228"/>
      <c r="E1275" s="228"/>
      <c r="F1275" s="69"/>
      <c r="G1275" s="228"/>
      <c r="H1275" s="228"/>
      <c r="I1275" s="69"/>
      <c r="J1275" s="69"/>
      <c r="L1275" s="69"/>
      <c r="M1275" s="69"/>
    </row>
    <row r="1276" spans="4:13">
      <c r="D1276" s="228"/>
      <c r="E1276" s="228"/>
      <c r="F1276" s="69"/>
      <c r="G1276" s="228"/>
      <c r="H1276" s="228"/>
      <c r="I1276" s="69"/>
      <c r="J1276" s="69"/>
      <c r="L1276" s="69"/>
      <c r="M1276" s="69"/>
    </row>
    <row r="1277" spans="4:13">
      <c r="D1277" s="228"/>
      <c r="E1277" s="228"/>
      <c r="F1277" s="69"/>
      <c r="G1277" s="228"/>
      <c r="H1277" s="228"/>
      <c r="I1277" s="69"/>
      <c r="J1277" s="69"/>
      <c r="L1277" s="69"/>
      <c r="M1277" s="69"/>
    </row>
    <row r="1278" spans="4:13">
      <c r="D1278" s="228"/>
      <c r="E1278" s="228"/>
      <c r="F1278" s="69"/>
      <c r="G1278" s="228"/>
      <c r="H1278" s="228"/>
      <c r="I1278" s="69"/>
      <c r="J1278" s="69"/>
      <c r="L1278" s="69"/>
      <c r="M1278" s="69"/>
    </row>
    <row r="1279" spans="4:13">
      <c r="D1279" s="228"/>
      <c r="E1279" s="228"/>
      <c r="F1279" s="69"/>
      <c r="G1279" s="228"/>
      <c r="H1279" s="228"/>
      <c r="I1279" s="69"/>
      <c r="J1279" s="69"/>
      <c r="L1279" s="69"/>
      <c r="M1279" s="69"/>
    </row>
    <row r="1280" spans="4:13">
      <c r="D1280" s="228"/>
      <c r="E1280" s="228"/>
      <c r="F1280" s="69"/>
      <c r="G1280" s="228"/>
      <c r="H1280" s="228"/>
      <c r="I1280" s="69"/>
      <c r="J1280" s="69"/>
      <c r="L1280" s="69"/>
      <c r="M1280" s="69"/>
    </row>
    <row r="1281" spans="4:13">
      <c r="D1281" s="228"/>
      <c r="E1281" s="228"/>
      <c r="F1281" s="69"/>
      <c r="G1281" s="228"/>
      <c r="H1281" s="228"/>
      <c r="I1281" s="69"/>
      <c r="J1281" s="69"/>
      <c r="L1281" s="69"/>
      <c r="M1281" s="69"/>
    </row>
    <row r="1282" spans="4:13">
      <c r="D1282" s="228"/>
      <c r="E1282" s="228"/>
      <c r="F1282" s="69"/>
      <c r="G1282" s="228"/>
      <c r="H1282" s="228"/>
      <c r="I1282" s="69"/>
      <c r="J1282" s="69"/>
      <c r="L1282" s="69"/>
      <c r="M1282" s="69"/>
    </row>
    <row r="1283" spans="4:13">
      <c r="D1283" s="228"/>
      <c r="E1283" s="228"/>
      <c r="F1283" s="69"/>
      <c r="G1283" s="228"/>
      <c r="H1283" s="228"/>
      <c r="I1283" s="69"/>
      <c r="J1283" s="69"/>
      <c r="L1283" s="69"/>
      <c r="M1283" s="69"/>
    </row>
    <row r="1284" spans="4:13">
      <c r="D1284" s="228"/>
      <c r="E1284" s="228"/>
      <c r="F1284" s="69"/>
      <c r="G1284" s="228"/>
      <c r="H1284" s="228"/>
      <c r="I1284" s="69"/>
      <c r="J1284" s="69"/>
      <c r="L1284" s="69"/>
      <c r="M1284" s="69"/>
    </row>
    <row r="1285" spans="4:13">
      <c r="D1285" s="228"/>
      <c r="E1285" s="228"/>
      <c r="F1285" s="69"/>
      <c r="G1285" s="228"/>
      <c r="H1285" s="228"/>
      <c r="I1285" s="69"/>
      <c r="J1285" s="69"/>
      <c r="L1285" s="69"/>
      <c r="M1285" s="69"/>
    </row>
    <row r="1286" spans="4:13">
      <c r="D1286" s="228"/>
      <c r="E1286" s="228"/>
      <c r="F1286" s="69"/>
      <c r="G1286" s="228"/>
      <c r="H1286" s="228"/>
      <c r="I1286" s="69"/>
      <c r="J1286" s="69"/>
      <c r="L1286" s="69"/>
      <c r="M1286" s="69"/>
    </row>
    <row r="1287" spans="4:13">
      <c r="D1287" s="228"/>
      <c r="E1287" s="228"/>
      <c r="F1287" s="69"/>
      <c r="G1287" s="228"/>
      <c r="H1287" s="228"/>
      <c r="I1287" s="69"/>
      <c r="J1287" s="69"/>
      <c r="L1287" s="69"/>
      <c r="M1287" s="69"/>
    </row>
    <row r="1288" spans="4:13">
      <c r="D1288" s="228"/>
      <c r="E1288" s="228"/>
      <c r="F1288" s="69"/>
      <c r="G1288" s="228"/>
      <c r="H1288" s="228"/>
      <c r="I1288" s="69"/>
      <c r="J1288" s="69"/>
      <c r="L1288" s="69"/>
      <c r="M1288" s="69"/>
    </row>
    <row r="1289" spans="4:13">
      <c r="D1289" s="228"/>
      <c r="E1289" s="228"/>
      <c r="F1289" s="69"/>
      <c r="G1289" s="228"/>
      <c r="H1289" s="228"/>
      <c r="I1289" s="69"/>
      <c r="J1289" s="69"/>
      <c r="L1289" s="69"/>
      <c r="M1289" s="69"/>
    </row>
    <row r="1290" spans="4:13">
      <c r="D1290" s="228"/>
      <c r="E1290" s="228"/>
      <c r="F1290" s="69"/>
      <c r="G1290" s="228"/>
      <c r="H1290" s="228"/>
      <c r="I1290" s="69"/>
      <c r="J1290" s="69"/>
      <c r="L1290" s="69"/>
      <c r="M1290" s="69"/>
    </row>
    <row r="1291" spans="4:13">
      <c r="D1291" s="228"/>
      <c r="E1291" s="228"/>
      <c r="F1291" s="69"/>
      <c r="G1291" s="228"/>
      <c r="H1291" s="228"/>
      <c r="I1291" s="69"/>
      <c r="J1291" s="69"/>
      <c r="L1291" s="69"/>
      <c r="M1291" s="69"/>
    </row>
    <row r="1292" spans="4:13">
      <c r="D1292" s="228"/>
      <c r="E1292" s="228"/>
      <c r="F1292" s="69"/>
      <c r="G1292" s="228"/>
      <c r="H1292" s="228"/>
      <c r="I1292" s="69"/>
      <c r="J1292" s="69"/>
      <c r="L1292" s="69"/>
      <c r="M1292" s="69"/>
    </row>
    <row r="1293" spans="4:13">
      <c r="D1293" s="228"/>
      <c r="E1293" s="228"/>
      <c r="F1293" s="69"/>
      <c r="G1293" s="228"/>
      <c r="H1293" s="228"/>
      <c r="I1293" s="69"/>
      <c r="J1293" s="69"/>
      <c r="L1293" s="69"/>
      <c r="M1293" s="69"/>
    </row>
    <row r="1294" spans="4:13">
      <c r="D1294" s="228"/>
      <c r="E1294" s="228"/>
      <c r="F1294" s="69"/>
      <c r="G1294" s="228"/>
      <c r="H1294" s="228"/>
      <c r="I1294" s="69"/>
      <c r="J1294" s="69"/>
      <c r="L1294" s="69"/>
      <c r="M1294" s="69"/>
    </row>
    <row r="1295" spans="4:13">
      <c r="D1295" s="228"/>
      <c r="E1295" s="228"/>
      <c r="F1295" s="69"/>
      <c r="G1295" s="228"/>
      <c r="H1295" s="228"/>
      <c r="I1295" s="69"/>
      <c r="J1295" s="69"/>
      <c r="L1295" s="69"/>
      <c r="M1295" s="69"/>
    </row>
    <row r="1296" spans="4:13">
      <c r="D1296" s="228"/>
      <c r="E1296" s="228"/>
      <c r="F1296" s="69"/>
      <c r="G1296" s="228"/>
      <c r="H1296" s="228"/>
      <c r="I1296" s="69"/>
      <c r="J1296" s="69"/>
      <c r="L1296" s="69"/>
      <c r="M1296" s="69"/>
    </row>
    <row r="1297" spans="4:13">
      <c r="D1297" s="228"/>
      <c r="E1297" s="228"/>
      <c r="F1297" s="69"/>
      <c r="G1297" s="228"/>
      <c r="H1297" s="228"/>
      <c r="I1297" s="69"/>
      <c r="J1297" s="69"/>
      <c r="L1297" s="69"/>
      <c r="M1297" s="69"/>
    </row>
    <row r="1298" spans="4:13">
      <c r="D1298" s="228"/>
      <c r="E1298" s="228"/>
      <c r="F1298" s="69"/>
      <c r="G1298" s="228"/>
      <c r="H1298" s="228"/>
      <c r="I1298" s="69"/>
      <c r="J1298" s="69"/>
      <c r="L1298" s="69"/>
      <c r="M1298" s="69"/>
    </row>
    <row r="1299" spans="4:13">
      <c r="D1299" s="228"/>
      <c r="E1299" s="228"/>
      <c r="F1299" s="69"/>
      <c r="G1299" s="228"/>
      <c r="H1299" s="228"/>
      <c r="I1299" s="69"/>
      <c r="J1299" s="69"/>
      <c r="L1299" s="69"/>
      <c r="M1299" s="69"/>
    </row>
    <row r="1300" spans="4:13">
      <c r="D1300" s="228"/>
      <c r="E1300" s="228"/>
      <c r="F1300" s="69"/>
      <c r="G1300" s="228"/>
      <c r="H1300" s="228"/>
      <c r="I1300" s="69"/>
      <c r="J1300" s="69"/>
      <c r="L1300" s="69"/>
      <c r="M1300" s="69"/>
    </row>
    <row r="1301" spans="4:13">
      <c r="D1301" s="228"/>
      <c r="E1301" s="228"/>
      <c r="F1301" s="69"/>
      <c r="G1301" s="228"/>
      <c r="H1301" s="228"/>
      <c r="I1301" s="69"/>
      <c r="J1301" s="69"/>
      <c r="L1301" s="69"/>
      <c r="M1301" s="69"/>
    </row>
    <row r="1302" spans="4:13">
      <c r="D1302" s="228"/>
      <c r="E1302" s="228"/>
      <c r="F1302" s="69"/>
      <c r="G1302" s="228"/>
      <c r="H1302" s="228"/>
      <c r="I1302" s="69"/>
      <c r="J1302" s="69"/>
      <c r="L1302" s="69"/>
      <c r="M1302" s="69"/>
    </row>
    <row r="1303" spans="4:13">
      <c r="D1303" s="228"/>
      <c r="E1303" s="228"/>
      <c r="F1303" s="69"/>
      <c r="G1303" s="228"/>
      <c r="H1303" s="228"/>
      <c r="I1303" s="69"/>
      <c r="J1303" s="69"/>
      <c r="L1303" s="69"/>
      <c r="M1303" s="69"/>
    </row>
    <row r="1304" spans="4:13">
      <c r="D1304" s="228"/>
      <c r="E1304" s="228"/>
      <c r="F1304" s="69"/>
      <c r="G1304" s="228"/>
      <c r="H1304" s="228"/>
      <c r="I1304" s="69"/>
      <c r="J1304" s="69"/>
      <c r="L1304" s="69"/>
      <c r="M1304" s="69"/>
    </row>
    <row r="1305" spans="4:13">
      <c r="D1305" s="228"/>
      <c r="E1305" s="228"/>
      <c r="F1305" s="69"/>
      <c r="G1305" s="228"/>
      <c r="H1305" s="228"/>
      <c r="I1305" s="69"/>
      <c r="J1305" s="69"/>
      <c r="L1305" s="69"/>
      <c r="M1305" s="69"/>
    </row>
    <row r="1306" spans="4:13">
      <c r="D1306" s="228"/>
      <c r="E1306" s="228"/>
      <c r="F1306" s="69"/>
      <c r="G1306" s="228"/>
      <c r="H1306" s="228"/>
      <c r="I1306" s="69"/>
      <c r="J1306" s="69"/>
      <c r="L1306" s="69"/>
      <c r="M1306" s="69"/>
    </row>
    <row r="1307" spans="4:13">
      <c r="D1307" s="228"/>
      <c r="E1307" s="228"/>
      <c r="F1307" s="69"/>
      <c r="G1307" s="228"/>
      <c r="H1307" s="228"/>
      <c r="I1307" s="69"/>
      <c r="J1307" s="69"/>
      <c r="L1307" s="69"/>
      <c r="M1307" s="69"/>
    </row>
    <row r="1308" spans="4:13">
      <c r="D1308" s="228"/>
      <c r="E1308" s="228"/>
      <c r="F1308" s="69"/>
      <c r="G1308" s="228"/>
      <c r="H1308" s="228"/>
      <c r="I1308" s="69"/>
      <c r="J1308" s="69"/>
      <c r="L1308" s="69"/>
      <c r="M1308" s="69"/>
    </row>
    <row r="1309" spans="4:13">
      <c r="D1309" s="228"/>
      <c r="E1309" s="228"/>
      <c r="F1309" s="69"/>
      <c r="G1309" s="228"/>
      <c r="H1309" s="228"/>
      <c r="I1309" s="69"/>
      <c r="J1309" s="69"/>
      <c r="L1309" s="69"/>
      <c r="M1309" s="69"/>
    </row>
    <row r="1310" spans="4:13">
      <c r="D1310" s="228"/>
      <c r="E1310" s="228"/>
      <c r="F1310" s="69"/>
      <c r="G1310" s="228"/>
      <c r="H1310" s="228"/>
      <c r="I1310" s="69"/>
      <c r="J1310" s="69"/>
      <c r="L1310" s="69"/>
      <c r="M1310" s="69"/>
    </row>
    <row r="1311" spans="4:13">
      <c r="D1311" s="228"/>
      <c r="E1311" s="228"/>
      <c r="F1311" s="69"/>
      <c r="G1311" s="228"/>
      <c r="H1311" s="228"/>
      <c r="I1311" s="69"/>
      <c r="J1311" s="69"/>
      <c r="L1311" s="69"/>
      <c r="M1311" s="69"/>
    </row>
    <row r="1312" spans="4:13">
      <c r="D1312" s="228"/>
      <c r="E1312" s="228"/>
      <c r="F1312" s="69"/>
      <c r="G1312" s="228"/>
      <c r="H1312" s="228"/>
      <c r="I1312" s="69"/>
      <c r="J1312" s="69"/>
      <c r="L1312" s="69"/>
      <c r="M1312" s="69"/>
    </row>
    <row r="1313" spans="4:13">
      <c r="D1313" s="228"/>
      <c r="E1313" s="228"/>
      <c r="F1313" s="69"/>
      <c r="G1313" s="228"/>
      <c r="H1313" s="228"/>
      <c r="I1313" s="69"/>
      <c r="J1313" s="69"/>
      <c r="L1313" s="69"/>
      <c r="M1313" s="69"/>
    </row>
    <row r="1314" spans="4:13">
      <c r="D1314" s="228"/>
      <c r="E1314" s="228"/>
      <c r="F1314" s="69"/>
      <c r="G1314" s="228"/>
      <c r="H1314" s="228"/>
      <c r="I1314" s="69"/>
      <c r="J1314" s="69"/>
      <c r="L1314" s="69"/>
      <c r="M1314" s="69"/>
    </row>
    <row r="1315" spans="4:13">
      <c r="D1315" s="228"/>
      <c r="E1315" s="228"/>
      <c r="F1315" s="69"/>
      <c r="G1315" s="228"/>
      <c r="H1315" s="228"/>
      <c r="I1315" s="69"/>
      <c r="J1315" s="69"/>
      <c r="L1315" s="69"/>
      <c r="M1315" s="69"/>
    </row>
    <row r="1316" spans="4:13">
      <c r="D1316" s="228"/>
      <c r="E1316" s="228"/>
      <c r="F1316" s="69"/>
      <c r="G1316" s="228"/>
      <c r="H1316" s="228"/>
      <c r="I1316" s="69"/>
      <c r="J1316" s="69"/>
      <c r="L1316" s="69"/>
      <c r="M1316" s="69"/>
    </row>
    <row r="1317" spans="4:13">
      <c r="D1317" s="228"/>
      <c r="E1317" s="228"/>
      <c r="F1317" s="69"/>
      <c r="G1317" s="228"/>
      <c r="H1317" s="228"/>
      <c r="I1317" s="69"/>
      <c r="J1317" s="69"/>
      <c r="L1317" s="69"/>
      <c r="M1317" s="69"/>
    </row>
    <row r="1318" spans="4:13">
      <c r="D1318" s="228"/>
      <c r="E1318" s="228"/>
      <c r="F1318" s="69"/>
      <c r="G1318" s="228"/>
      <c r="H1318" s="228"/>
      <c r="I1318" s="69"/>
      <c r="J1318" s="69"/>
      <c r="L1318" s="69"/>
      <c r="M1318" s="69"/>
    </row>
    <row r="1319" spans="4:13">
      <c r="D1319" s="228"/>
      <c r="E1319" s="228"/>
      <c r="F1319" s="69"/>
      <c r="G1319" s="228"/>
      <c r="H1319" s="228"/>
      <c r="I1319" s="69"/>
      <c r="J1319" s="69"/>
      <c r="L1319" s="69"/>
      <c r="M1319" s="69"/>
    </row>
    <row r="1320" spans="4:13">
      <c r="D1320" s="228"/>
      <c r="E1320" s="228"/>
      <c r="F1320" s="69"/>
      <c r="G1320" s="228"/>
      <c r="H1320" s="228"/>
      <c r="I1320" s="69"/>
      <c r="J1320" s="69"/>
      <c r="L1320" s="69"/>
      <c r="M1320" s="69"/>
    </row>
    <row r="1321" spans="4:13">
      <c r="D1321" s="228"/>
      <c r="E1321" s="228"/>
      <c r="F1321" s="69"/>
      <c r="G1321" s="228"/>
      <c r="H1321" s="228"/>
      <c r="I1321" s="69"/>
      <c r="J1321" s="69"/>
      <c r="L1321" s="69"/>
      <c r="M1321" s="69"/>
    </row>
    <row r="1322" spans="4:13">
      <c r="D1322" s="228"/>
      <c r="E1322" s="228"/>
      <c r="F1322" s="69"/>
      <c r="G1322" s="228"/>
      <c r="H1322" s="228"/>
      <c r="I1322" s="69"/>
      <c r="J1322" s="69"/>
      <c r="L1322" s="69"/>
      <c r="M1322" s="69"/>
    </row>
    <row r="1323" spans="4:13">
      <c r="D1323" s="228"/>
      <c r="E1323" s="228"/>
      <c r="F1323" s="69"/>
      <c r="G1323" s="228"/>
      <c r="H1323" s="228"/>
      <c r="I1323" s="69"/>
      <c r="J1323" s="69"/>
      <c r="L1323" s="69"/>
      <c r="M1323" s="69"/>
    </row>
    <row r="1324" spans="4:13">
      <c r="D1324" s="228"/>
      <c r="E1324" s="228"/>
      <c r="F1324" s="69"/>
      <c r="G1324" s="228"/>
      <c r="H1324" s="228"/>
      <c r="I1324" s="69"/>
      <c r="J1324" s="69"/>
      <c r="L1324" s="69"/>
      <c r="M1324" s="69"/>
    </row>
    <row r="1325" spans="4:13">
      <c r="D1325" s="228"/>
      <c r="E1325" s="228"/>
      <c r="F1325" s="69"/>
      <c r="G1325" s="228"/>
      <c r="H1325" s="228"/>
      <c r="I1325" s="69"/>
      <c r="J1325" s="69"/>
      <c r="L1325" s="69"/>
      <c r="M1325" s="69"/>
    </row>
    <row r="1326" spans="4:13">
      <c r="D1326" s="228"/>
      <c r="E1326" s="228"/>
      <c r="F1326" s="69"/>
      <c r="G1326" s="228"/>
      <c r="H1326" s="228"/>
      <c r="I1326" s="69"/>
      <c r="J1326" s="69"/>
      <c r="L1326" s="69"/>
      <c r="M1326" s="69"/>
    </row>
    <row r="1327" spans="4:13">
      <c r="D1327" s="228"/>
      <c r="E1327" s="228"/>
      <c r="F1327" s="69"/>
      <c r="G1327" s="228"/>
      <c r="H1327" s="228"/>
      <c r="I1327" s="69"/>
      <c r="J1327" s="69"/>
      <c r="L1327" s="69"/>
      <c r="M1327" s="69"/>
    </row>
    <row r="1328" spans="4:13">
      <c r="D1328" s="228"/>
      <c r="E1328" s="228"/>
      <c r="F1328" s="69"/>
      <c r="G1328" s="228"/>
      <c r="H1328" s="228"/>
      <c r="I1328" s="69"/>
      <c r="J1328" s="69"/>
      <c r="L1328" s="69"/>
      <c r="M1328" s="69"/>
    </row>
    <row r="1329" spans="4:13">
      <c r="D1329" s="228"/>
      <c r="E1329" s="228"/>
      <c r="F1329" s="69"/>
      <c r="G1329" s="228"/>
      <c r="H1329" s="228"/>
      <c r="I1329" s="69"/>
      <c r="J1329" s="69"/>
      <c r="L1329" s="69"/>
      <c r="M1329" s="69"/>
    </row>
    <row r="1330" spans="4:13">
      <c r="D1330" s="228"/>
      <c r="E1330" s="228"/>
      <c r="F1330" s="69"/>
      <c r="G1330" s="228"/>
      <c r="H1330" s="228"/>
      <c r="I1330" s="69"/>
      <c r="J1330" s="69"/>
      <c r="L1330" s="69"/>
      <c r="M1330" s="69"/>
    </row>
    <row r="1331" spans="4:13">
      <c r="D1331" s="228"/>
      <c r="E1331" s="228"/>
      <c r="F1331" s="69"/>
      <c r="G1331" s="228"/>
      <c r="H1331" s="228"/>
      <c r="I1331" s="69"/>
      <c r="J1331" s="69"/>
      <c r="L1331" s="69"/>
      <c r="M1331" s="69"/>
    </row>
    <row r="1332" spans="4:13">
      <c r="D1332" s="228"/>
      <c r="E1332" s="228"/>
      <c r="F1332" s="69"/>
      <c r="G1332" s="228"/>
      <c r="H1332" s="228"/>
      <c r="I1332" s="69"/>
      <c r="J1332" s="69"/>
      <c r="L1332" s="69"/>
      <c r="M1332" s="69"/>
    </row>
    <row r="1333" spans="4:13">
      <c r="D1333" s="228"/>
      <c r="E1333" s="228"/>
      <c r="F1333" s="69"/>
      <c r="G1333" s="228"/>
      <c r="H1333" s="228"/>
      <c r="I1333" s="69"/>
      <c r="J1333" s="69"/>
      <c r="L1333" s="69"/>
      <c r="M1333" s="69"/>
    </row>
    <row r="1334" spans="4:13">
      <c r="D1334" s="228"/>
      <c r="E1334" s="228"/>
      <c r="F1334" s="69"/>
      <c r="G1334" s="228"/>
      <c r="H1334" s="228"/>
      <c r="I1334" s="69"/>
      <c r="J1334" s="69"/>
      <c r="L1334" s="69"/>
      <c r="M1334" s="69"/>
    </row>
    <row r="1335" spans="4:13">
      <c r="D1335" s="228"/>
      <c r="E1335" s="228"/>
      <c r="F1335" s="69"/>
      <c r="G1335" s="228"/>
      <c r="H1335" s="228"/>
      <c r="I1335" s="69"/>
      <c r="J1335" s="69"/>
      <c r="L1335" s="69"/>
      <c r="M1335" s="69"/>
    </row>
    <row r="1336" spans="4:13">
      <c r="D1336" s="228"/>
      <c r="E1336" s="228"/>
      <c r="F1336" s="69"/>
      <c r="G1336" s="228"/>
      <c r="H1336" s="228"/>
      <c r="I1336" s="69"/>
      <c r="J1336" s="69"/>
      <c r="L1336" s="69"/>
      <c r="M1336" s="69"/>
    </row>
    <row r="1337" spans="4:13">
      <c r="D1337" s="228"/>
      <c r="E1337" s="228"/>
      <c r="F1337" s="69"/>
      <c r="G1337" s="228"/>
      <c r="H1337" s="228"/>
      <c r="I1337" s="69"/>
      <c r="J1337" s="69"/>
      <c r="L1337" s="69"/>
      <c r="M1337" s="69"/>
    </row>
    <row r="1338" spans="4:13">
      <c r="D1338" s="228"/>
      <c r="E1338" s="228"/>
      <c r="F1338" s="69"/>
      <c r="G1338" s="228"/>
      <c r="H1338" s="228"/>
      <c r="I1338" s="69"/>
      <c r="J1338" s="69"/>
      <c r="L1338" s="69"/>
      <c r="M1338" s="69"/>
    </row>
    <row r="1339" spans="4:13">
      <c r="D1339" s="228"/>
      <c r="E1339" s="228"/>
      <c r="F1339" s="69"/>
      <c r="G1339" s="228"/>
      <c r="H1339" s="228"/>
      <c r="I1339" s="69"/>
      <c r="J1339" s="69"/>
      <c r="L1339" s="69"/>
      <c r="M1339" s="69"/>
    </row>
    <row r="1340" spans="4:13">
      <c r="D1340" s="228"/>
      <c r="E1340" s="228"/>
      <c r="F1340" s="69"/>
      <c r="G1340" s="228"/>
      <c r="H1340" s="228"/>
      <c r="I1340" s="69"/>
      <c r="J1340" s="69"/>
      <c r="L1340" s="69"/>
      <c r="M1340" s="69"/>
    </row>
    <row r="1341" spans="4:13">
      <c r="D1341" s="228"/>
      <c r="E1341" s="228"/>
      <c r="F1341" s="69"/>
      <c r="G1341" s="228"/>
      <c r="H1341" s="228"/>
      <c r="I1341" s="69"/>
      <c r="J1341" s="69"/>
      <c r="L1341" s="69"/>
      <c r="M1341" s="69"/>
    </row>
    <row r="1342" spans="4:13">
      <c r="D1342" s="228"/>
      <c r="E1342" s="228"/>
      <c r="F1342" s="69"/>
      <c r="G1342" s="228"/>
      <c r="H1342" s="228"/>
      <c r="I1342" s="69"/>
      <c r="J1342" s="69"/>
      <c r="L1342" s="69"/>
      <c r="M1342" s="69"/>
    </row>
    <row r="1343" spans="4:13">
      <c r="D1343" s="228"/>
      <c r="E1343" s="228"/>
      <c r="F1343" s="69"/>
      <c r="G1343" s="228"/>
      <c r="H1343" s="228"/>
      <c r="I1343" s="69"/>
      <c r="J1343" s="69"/>
      <c r="L1343" s="69"/>
      <c r="M1343" s="69"/>
    </row>
    <row r="1344" spans="4:13">
      <c r="D1344" s="228"/>
      <c r="E1344" s="228"/>
      <c r="F1344" s="69"/>
      <c r="G1344" s="228"/>
      <c r="H1344" s="228"/>
      <c r="I1344" s="69"/>
      <c r="J1344" s="69"/>
      <c r="L1344" s="69"/>
      <c r="M1344" s="69"/>
    </row>
    <row r="1345" spans="4:13">
      <c r="D1345" s="228"/>
      <c r="E1345" s="228"/>
      <c r="F1345" s="69"/>
      <c r="G1345" s="228"/>
      <c r="H1345" s="228"/>
      <c r="I1345" s="69"/>
      <c r="J1345" s="69"/>
      <c r="L1345" s="69"/>
      <c r="M1345" s="69"/>
    </row>
    <row r="1346" spans="4:13">
      <c r="D1346" s="228"/>
      <c r="E1346" s="228"/>
      <c r="F1346" s="69"/>
      <c r="G1346" s="228"/>
      <c r="H1346" s="228"/>
      <c r="I1346" s="69"/>
      <c r="J1346" s="69"/>
      <c r="L1346" s="69"/>
      <c r="M1346" s="69"/>
    </row>
    <row r="1347" spans="4:13">
      <c r="D1347" s="228"/>
      <c r="E1347" s="228"/>
      <c r="F1347" s="69"/>
      <c r="G1347" s="228"/>
      <c r="H1347" s="228"/>
      <c r="I1347" s="69"/>
      <c r="J1347" s="69"/>
      <c r="L1347" s="69"/>
      <c r="M1347" s="69"/>
    </row>
    <row r="1348" spans="4:13">
      <c r="D1348" s="228"/>
      <c r="E1348" s="228"/>
      <c r="F1348" s="69"/>
      <c r="G1348" s="228"/>
      <c r="H1348" s="228"/>
      <c r="I1348" s="69"/>
      <c r="J1348" s="69"/>
      <c r="L1348" s="69"/>
      <c r="M1348" s="69"/>
    </row>
    <row r="1349" spans="4:13">
      <c r="D1349" s="228"/>
      <c r="E1349" s="228"/>
      <c r="F1349" s="69"/>
      <c r="G1349" s="228"/>
      <c r="H1349" s="228"/>
      <c r="I1349" s="69"/>
      <c r="J1349" s="69"/>
      <c r="L1349" s="69"/>
      <c r="M1349" s="69"/>
    </row>
    <row r="1350" spans="4:13">
      <c r="D1350" s="228"/>
      <c r="E1350" s="228"/>
      <c r="F1350" s="69"/>
      <c r="G1350" s="228"/>
      <c r="H1350" s="228"/>
      <c r="I1350" s="69"/>
      <c r="J1350" s="69"/>
      <c r="L1350" s="69"/>
      <c r="M1350" s="69"/>
    </row>
    <row r="1351" spans="4:13">
      <c r="D1351" s="228"/>
      <c r="E1351" s="228"/>
      <c r="F1351" s="69"/>
      <c r="G1351" s="228"/>
      <c r="H1351" s="228"/>
      <c r="I1351" s="69"/>
      <c r="J1351" s="69"/>
      <c r="L1351" s="69"/>
      <c r="M1351" s="69"/>
    </row>
    <row r="1352" spans="4:13">
      <c r="D1352" s="228"/>
      <c r="E1352" s="228"/>
      <c r="F1352" s="69"/>
      <c r="G1352" s="228"/>
      <c r="H1352" s="228"/>
      <c r="I1352" s="69"/>
      <c r="J1352" s="69"/>
      <c r="L1352" s="69"/>
      <c r="M1352" s="69"/>
    </row>
    <row r="1353" spans="4:13">
      <c r="D1353" s="228"/>
      <c r="E1353" s="228"/>
      <c r="F1353" s="69"/>
      <c r="G1353" s="228"/>
      <c r="H1353" s="228"/>
      <c r="I1353" s="69"/>
      <c r="J1353" s="69"/>
      <c r="L1353" s="69"/>
      <c r="M1353" s="69"/>
    </row>
    <row r="1354" spans="4:13">
      <c r="D1354" s="228"/>
      <c r="E1354" s="228"/>
      <c r="F1354" s="69"/>
      <c r="G1354" s="228"/>
      <c r="H1354" s="228"/>
      <c r="I1354" s="69"/>
      <c r="J1354" s="69"/>
      <c r="L1354" s="69"/>
      <c r="M1354" s="69"/>
    </row>
    <row r="1355" spans="4:13">
      <c r="D1355" s="228"/>
      <c r="E1355" s="228"/>
      <c r="F1355" s="69"/>
      <c r="G1355" s="228"/>
      <c r="H1355" s="228"/>
      <c r="I1355" s="69"/>
      <c r="J1355" s="69"/>
      <c r="L1355" s="69"/>
      <c r="M1355" s="69"/>
    </row>
    <row r="1356" spans="4:13">
      <c r="D1356" s="228"/>
      <c r="E1356" s="228"/>
      <c r="F1356" s="69"/>
      <c r="G1356" s="228"/>
      <c r="H1356" s="228"/>
      <c r="I1356" s="69"/>
      <c r="J1356" s="69"/>
      <c r="L1356" s="69"/>
      <c r="M1356" s="69"/>
    </row>
    <row r="1357" spans="4:13">
      <c r="D1357" s="228"/>
      <c r="E1357" s="228"/>
      <c r="F1357" s="69"/>
      <c r="G1357" s="228"/>
      <c r="H1357" s="228"/>
      <c r="I1357" s="69"/>
      <c r="J1357" s="69"/>
      <c r="L1357" s="69"/>
      <c r="M1357" s="69"/>
    </row>
    <row r="1358" spans="4:13">
      <c r="D1358" s="228"/>
      <c r="E1358" s="228"/>
      <c r="F1358" s="69"/>
      <c r="G1358" s="228"/>
      <c r="H1358" s="228"/>
      <c r="I1358" s="69"/>
      <c r="J1358" s="69"/>
      <c r="L1358" s="69"/>
      <c r="M1358" s="69"/>
    </row>
    <row r="1359" spans="4:13">
      <c r="D1359" s="228"/>
      <c r="E1359" s="228"/>
      <c r="F1359" s="69"/>
      <c r="G1359" s="228"/>
      <c r="H1359" s="228"/>
      <c r="I1359" s="69"/>
      <c r="J1359" s="69"/>
      <c r="L1359" s="69"/>
      <c r="M1359" s="69"/>
    </row>
    <row r="1360" spans="4:13">
      <c r="D1360" s="228"/>
      <c r="E1360" s="228"/>
      <c r="F1360" s="69"/>
      <c r="G1360" s="228"/>
      <c r="H1360" s="228"/>
      <c r="I1360" s="69"/>
      <c r="J1360" s="69"/>
      <c r="L1360" s="69"/>
      <c r="M1360" s="69"/>
    </row>
    <row r="1361" spans="4:13">
      <c r="D1361" s="228"/>
      <c r="E1361" s="228"/>
      <c r="F1361" s="69"/>
      <c r="G1361" s="228"/>
      <c r="H1361" s="228"/>
      <c r="I1361" s="69"/>
      <c r="J1361" s="69"/>
      <c r="L1361" s="69"/>
      <c r="M1361" s="69"/>
    </row>
    <row r="1362" spans="4:13">
      <c r="D1362" s="228"/>
      <c r="E1362" s="228"/>
      <c r="F1362" s="69"/>
      <c r="G1362" s="228"/>
      <c r="H1362" s="228"/>
      <c r="I1362" s="69"/>
      <c r="J1362" s="69"/>
      <c r="L1362" s="69"/>
      <c r="M1362" s="69"/>
    </row>
    <row r="1363" spans="4:13">
      <c r="D1363" s="228"/>
      <c r="E1363" s="228"/>
      <c r="F1363" s="69"/>
      <c r="G1363" s="228"/>
      <c r="H1363" s="228"/>
      <c r="I1363" s="69"/>
      <c r="J1363" s="69"/>
      <c r="L1363" s="69"/>
      <c r="M1363" s="69"/>
    </row>
    <row r="1364" spans="4:13">
      <c r="D1364" s="228"/>
      <c r="E1364" s="228"/>
      <c r="F1364" s="69"/>
      <c r="G1364" s="228"/>
      <c r="H1364" s="228"/>
      <c r="I1364" s="69"/>
      <c r="J1364" s="69"/>
      <c r="L1364" s="69"/>
      <c r="M1364" s="69"/>
    </row>
    <row r="1365" spans="4:13">
      <c r="D1365" s="228"/>
      <c r="E1365" s="228"/>
      <c r="F1365" s="69"/>
      <c r="G1365" s="228"/>
      <c r="H1365" s="228"/>
      <c r="I1365" s="69"/>
      <c r="J1365" s="69"/>
      <c r="L1365" s="69"/>
      <c r="M1365" s="69"/>
    </row>
    <row r="1366" spans="4:13">
      <c r="D1366" s="228"/>
      <c r="E1366" s="228"/>
      <c r="F1366" s="69"/>
      <c r="G1366" s="228"/>
      <c r="H1366" s="228"/>
      <c r="I1366" s="69"/>
      <c r="J1366" s="69"/>
      <c r="L1366" s="69"/>
      <c r="M1366" s="69"/>
    </row>
    <row r="1367" spans="4:13">
      <c r="D1367" s="228"/>
      <c r="E1367" s="228"/>
      <c r="F1367" s="69"/>
      <c r="G1367" s="228"/>
      <c r="H1367" s="228"/>
      <c r="I1367" s="69"/>
      <c r="J1367" s="69"/>
      <c r="L1367" s="69"/>
      <c r="M1367" s="69"/>
    </row>
    <row r="1368" spans="4:13">
      <c r="D1368" s="228"/>
      <c r="E1368" s="228"/>
      <c r="F1368" s="69"/>
      <c r="G1368" s="228"/>
      <c r="H1368" s="228"/>
      <c r="I1368" s="69"/>
      <c r="J1368" s="69"/>
      <c r="L1368" s="69"/>
      <c r="M1368" s="69"/>
    </row>
    <row r="1369" spans="4:13">
      <c r="D1369" s="228"/>
      <c r="E1369" s="228"/>
      <c r="F1369" s="69"/>
      <c r="G1369" s="228"/>
      <c r="H1369" s="228"/>
      <c r="I1369" s="69"/>
      <c r="J1369" s="69"/>
      <c r="L1369" s="69"/>
      <c r="M1369" s="69"/>
    </row>
    <row r="1370" spans="4:13">
      <c r="D1370" s="228"/>
      <c r="E1370" s="228"/>
      <c r="F1370" s="69"/>
      <c r="G1370" s="228"/>
      <c r="H1370" s="228"/>
      <c r="I1370" s="69"/>
      <c r="J1370" s="69"/>
      <c r="L1370" s="69"/>
      <c r="M1370" s="69"/>
    </row>
    <row r="1371" spans="4:13">
      <c r="D1371" s="228"/>
      <c r="E1371" s="228"/>
      <c r="F1371" s="69"/>
      <c r="G1371" s="228"/>
      <c r="H1371" s="228"/>
      <c r="I1371" s="69"/>
      <c r="J1371" s="69"/>
      <c r="L1371" s="69"/>
      <c r="M1371" s="69"/>
    </row>
    <row r="1372" spans="4:13">
      <c r="D1372" s="228"/>
      <c r="E1372" s="228"/>
      <c r="F1372" s="69"/>
      <c r="G1372" s="228"/>
      <c r="H1372" s="228"/>
      <c r="I1372" s="69"/>
      <c r="J1372" s="69"/>
      <c r="L1372" s="69"/>
      <c r="M1372" s="69"/>
    </row>
    <row r="1373" spans="4:13">
      <c r="D1373" s="228"/>
      <c r="E1373" s="228"/>
      <c r="F1373" s="69"/>
      <c r="G1373" s="228"/>
      <c r="H1373" s="228"/>
      <c r="I1373" s="69"/>
      <c r="J1373" s="69"/>
      <c r="L1373" s="69"/>
      <c r="M1373" s="69"/>
    </row>
    <row r="1374" spans="4:13">
      <c r="D1374" s="228"/>
      <c r="E1374" s="228"/>
      <c r="F1374" s="69"/>
      <c r="G1374" s="228"/>
      <c r="H1374" s="228"/>
      <c r="I1374" s="69"/>
      <c r="J1374" s="69"/>
      <c r="L1374" s="69"/>
      <c r="M1374" s="69"/>
    </row>
    <row r="1375" spans="4:13">
      <c r="D1375" s="228"/>
      <c r="E1375" s="228"/>
      <c r="F1375" s="69"/>
      <c r="G1375" s="228"/>
      <c r="H1375" s="228"/>
      <c r="I1375" s="69"/>
      <c r="J1375" s="69"/>
      <c r="L1375" s="69"/>
      <c r="M1375" s="69"/>
    </row>
    <row r="1376" spans="4:13">
      <c r="D1376" s="228"/>
      <c r="E1376" s="228"/>
      <c r="F1376" s="69"/>
      <c r="G1376" s="228"/>
      <c r="H1376" s="228"/>
      <c r="I1376" s="69"/>
      <c r="J1376" s="69"/>
      <c r="L1376" s="69"/>
      <c r="M1376" s="69"/>
    </row>
    <row r="1377" spans="4:12">
      <c r="D1377" s="228"/>
      <c r="E1377" s="228"/>
      <c r="F1377" s="69"/>
      <c r="G1377" s="228"/>
      <c r="H1377" s="228"/>
      <c r="I1377" s="69"/>
      <c r="J1377" s="69"/>
      <c r="L1377" s="69"/>
    </row>
    <row r="1378" spans="4:12">
      <c r="D1378" s="228"/>
      <c r="E1378" s="228"/>
      <c r="F1378" s="69"/>
      <c r="G1378" s="228"/>
      <c r="H1378" s="228"/>
      <c r="I1378" s="69"/>
      <c r="J1378" s="69"/>
      <c r="L1378" s="69"/>
    </row>
    <row r="1379" spans="4:12">
      <c r="D1379" s="228"/>
      <c r="E1379" s="228"/>
      <c r="F1379" s="69"/>
      <c r="G1379" s="228"/>
      <c r="H1379" s="228"/>
      <c r="I1379" s="69"/>
      <c r="J1379" s="69"/>
      <c r="L1379" s="69"/>
    </row>
    <row r="1380" spans="4:12">
      <c r="D1380" s="228"/>
      <c r="E1380" s="228"/>
      <c r="F1380" s="69"/>
      <c r="G1380" s="228"/>
      <c r="H1380" s="228"/>
      <c r="I1380" s="69"/>
      <c r="J1380" s="69"/>
      <c r="L1380" s="69"/>
    </row>
    <row r="1381" spans="4:12">
      <c r="D1381" s="228"/>
      <c r="E1381" s="228"/>
      <c r="F1381" s="69"/>
      <c r="G1381" s="228"/>
      <c r="H1381" s="228"/>
      <c r="I1381" s="69"/>
      <c r="J1381" s="69"/>
      <c r="L1381" s="69"/>
    </row>
    <row r="1382" spans="4:12">
      <c r="D1382" s="228"/>
      <c r="E1382" s="228"/>
      <c r="F1382" s="69"/>
      <c r="G1382" s="228"/>
      <c r="H1382" s="228"/>
      <c r="I1382" s="69"/>
      <c r="J1382" s="69"/>
      <c r="L1382" s="69"/>
    </row>
    <row r="1383" spans="4:12">
      <c r="D1383" s="228"/>
      <c r="E1383" s="228"/>
      <c r="F1383" s="69"/>
      <c r="G1383" s="228"/>
      <c r="H1383" s="228"/>
      <c r="I1383" s="69"/>
      <c r="J1383" s="69"/>
      <c r="L1383" s="69"/>
    </row>
    <row r="1384" spans="4:12">
      <c r="D1384" s="228"/>
      <c r="E1384" s="228"/>
      <c r="F1384" s="69"/>
      <c r="G1384" s="228"/>
      <c r="H1384" s="228"/>
      <c r="I1384" s="69"/>
      <c r="J1384" s="69"/>
      <c r="L1384" s="69"/>
    </row>
    <row r="1385" spans="4:12">
      <c r="D1385" s="228"/>
      <c r="E1385" s="228"/>
      <c r="F1385" s="69"/>
      <c r="G1385" s="228"/>
      <c r="H1385" s="228"/>
      <c r="I1385" s="69"/>
      <c r="J1385" s="69"/>
      <c r="L1385" s="69"/>
    </row>
    <row r="1386" spans="4:12">
      <c r="D1386" s="228"/>
      <c r="E1386" s="228"/>
      <c r="F1386" s="69"/>
      <c r="G1386" s="228"/>
      <c r="H1386" s="228"/>
      <c r="I1386" s="69"/>
      <c r="J1386" s="69"/>
      <c r="L1386" s="69"/>
    </row>
    <row r="1387" spans="4:12">
      <c r="D1387" s="228"/>
      <c r="E1387" s="228"/>
      <c r="F1387" s="69"/>
      <c r="G1387" s="228"/>
      <c r="H1387" s="228"/>
      <c r="I1387" s="69"/>
      <c r="J1387" s="69"/>
      <c r="L1387" s="69"/>
    </row>
    <row r="1388" spans="4:12">
      <c r="D1388" s="228"/>
      <c r="E1388" s="228"/>
      <c r="F1388" s="69"/>
      <c r="G1388" s="228"/>
      <c r="H1388" s="228"/>
      <c r="I1388" s="69"/>
      <c r="J1388" s="69"/>
      <c r="L1388" s="69"/>
    </row>
    <row r="1389" spans="4:12">
      <c r="D1389" s="228"/>
      <c r="E1389" s="228"/>
      <c r="F1389" s="69"/>
      <c r="G1389" s="228"/>
      <c r="H1389" s="228"/>
      <c r="I1389" s="69"/>
      <c r="J1389" s="69"/>
      <c r="L1389" s="69"/>
    </row>
    <row r="1390" spans="4:12">
      <c r="D1390" s="228"/>
      <c r="E1390" s="228"/>
      <c r="F1390" s="69"/>
      <c r="G1390" s="228"/>
      <c r="H1390" s="228"/>
      <c r="I1390" s="69"/>
      <c r="J1390" s="69"/>
      <c r="L1390" s="69"/>
    </row>
    <row r="1391" spans="4:12">
      <c r="D1391" s="228"/>
      <c r="E1391" s="228"/>
      <c r="F1391" s="69"/>
      <c r="G1391" s="228"/>
      <c r="H1391" s="228"/>
      <c r="I1391" s="69"/>
      <c r="J1391" s="69"/>
      <c r="L1391" s="69"/>
    </row>
    <row r="1392" spans="4:12">
      <c r="D1392" s="228"/>
      <c r="E1392" s="228"/>
      <c r="F1392" s="69"/>
      <c r="G1392" s="228"/>
      <c r="H1392" s="228"/>
      <c r="I1392" s="69"/>
      <c r="J1392" s="69"/>
      <c r="L1392" s="69"/>
    </row>
    <row r="1393" spans="4:12">
      <c r="D1393" s="228"/>
      <c r="E1393" s="228"/>
      <c r="F1393" s="69"/>
      <c r="G1393" s="228"/>
      <c r="H1393" s="228"/>
      <c r="I1393" s="69"/>
      <c r="J1393" s="69"/>
      <c r="L1393" s="69"/>
    </row>
    <row r="1394" spans="4:12">
      <c r="D1394" s="228"/>
      <c r="E1394" s="228"/>
      <c r="F1394" s="69"/>
      <c r="G1394" s="228"/>
      <c r="H1394" s="228"/>
      <c r="I1394" s="69"/>
      <c r="J1394" s="69"/>
      <c r="L1394" s="69"/>
    </row>
    <row r="1395" spans="4:12">
      <c r="D1395" s="228"/>
      <c r="E1395" s="228"/>
      <c r="F1395" s="69"/>
      <c r="G1395" s="228"/>
      <c r="H1395" s="228"/>
      <c r="I1395" s="69"/>
      <c r="J1395" s="69"/>
      <c r="L1395" s="69"/>
    </row>
    <row r="1396" spans="4:12">
      <c r="D1396" s="228"/>
      <c r="E1396" s="228"/>
      <c r="F1396" s="69"/>
      <c r="G1396" s="228"/>
      <c r="H1396" s="228"/>
      <c r="I1396" s="69"/>
      <c r="J1396" s="69"/>
      <c r="L1396" s="69"/>
    </row>
    <row r="1397" spans="4:12">
      <c r="D1397" s="228"/>
      <c r="E1397" s="228"/>
      <c r="F1397" s="69"/>
      <c r="G1397" s="228"/>
      <c r="H1397" s="228"/>
      <c r="I1397" s="69"/>
      <c r="J1397" s="69"/>
      <c r="L1397" s="69"/>
    </row>
    <row r="1398" spans="4:12">
      <c r="D1398" s="228"/>
      <c r="E1398" s="228"/>
      <c r="F1398" s="69"/>
      <c r="G1398" s="228"/>
      <c r="H1398" s="228"/>
      <c r="I1398" s="69"/>
      <c r="J1398" s="69"/>
      <c r="L1398" s="69"/>
    </row>
    <row r="1399" spans="4:12">
      <c r="D1399" s="228"/>
      <c r="E1399" s="228"/>
      <c r="F1399" s="69"/>
      <c r="G1399" s="228"/>
      <c r="H1399" s="228"/>
      <c r="I1399" s="69"/>
      <c r="J1399" s="69"/>
      <c r="L1399" s="69"/>
    </row>
    <row r="1400" spans="4:12">
      <c r="D1400" s="228"/>
      <c r="E1400" s="228"/>
      <c r="F1400" s="69"/>
      <c r="G1400" s="228"/>
      <c r="H1400" s="228"/>
      <c r="I1400" s="69"/>
      <c r="J1400" s="69"/>
      <c r="L1400" s="69"/>
    </row>
    <row r="1401" spans="4:12">
      <c r="D1401" s="228"/>
      <c r="E1401" s="228"/>
      <c r="F1401" s="69"/>
      <c r="G1401" s="228"/>
      <c r="H1401" s="228"/>
      <c r="I1401" s="69"/>
      <c r="J1401" s="69"/>
      <c r="L1401" s="69"/>
    </row>
    <row r="1402" spans="4:12">
      <c r="D1402" s="228"/>
      <c r="E1402" s="228"/>
      <c r="F1402" s="69"/>
      <c r="G1402" s="228"/>
      <c r="H1402" s="228"/>
      <c r="I1402" s="69"/>
      <c r="J1402" s="69"/>
      <c r="L1402" s="69"/>
    </row>
    <row r="1403" spans="4:12">
      <c r="D1403" s="228"/>
      <c r="E1403" s="228"/>
      <c r="F1403" s="69"/>
      <c r="G1403" s="228"/>
      <c r="H1403" s="228"/>
      <c r="I1403" s="69"/>
      <c r="J1403" s="69"/>
      <c r="L1403" s="69"/>
    </row>
    <row r="1404" spans="4:12">
      <c r="D1404" s="228"/>
      <c r="E1404" s="228"/>
      <c r="F1404" s="69"/>
      <c r="G1404" s="228"/>
      <c r="H1404" s="228"/>
      <c r="I1404" s="69"/>
      <c r="J1404" s="69"/>
      <c r="L1404" s="69"/>
    </row>
    <row r="1405" spans="4:12">
      <c r="D1405" s="228"/>
      <c r="E1405" s="228"/>
      <c r="F1405" s="69"/>
      <c r="G1405" s="228"/>
      <c r="H1405" s="228"/>
      <c r="I1405" s="69"/>
      <c r="J1405" s="69"/>
      <c r="L1405" s="69"/>
    </row>
    <row r="1406" spans="4:12">
      <c r="D1406" s="228"/>
      <c r="E1406" s="228"/>
      <c r="F1406" s="69"/>
      <c r="G1406" s="228"/>
      <c r="H1406" s="228"/>
      <c r="I1406" s="69"/>
      <c r="J1406" s="69"/>
      <c r="L1406" s="69"/>
    </row>
    <row r="1407" spans="4:12">
      <c r="D1407" s="228"/>
      <c r="E1407" s="228"/>
      <c r="F1407" s="69"/>
      <c r="G1407" s="228"/>
      <c r="H1407" s="228"/>
      <c r="I1407" s="69"/>
      <c r="J1407" s="69"/>
      <c r="L1407" s="69"/>
    </row>
    <row r="1408" spans="4:12">
      <c r="D1408" s="228"/>
      <c r="E1408" s="228"/>
      <c r="F1408" s="69"/>
      <c r="G1408" s="228"/>
      <c r="H1408" s="228"/>
      <c r="I1408" s="69"/>
      <c r="J1408" s="69"/>
      <c r="L1408" s="69"/>
    </row>
    <row r="1409" spans="4:12">
      <c r="D1409" s="228"/>
      <c r="E1409" s="228"/>
      <c r="F1409" s="69"/>
      <c r="G1409" s="228"/>
      <c r="H1409" s="228"/>
      <c r="I1409" s="69"/>
      <c r="J1409" s="69"/>
      <c r="L1409" s="69"/>
    </row>
    <row r="1410" spans="4:12">
      <c r="D1410" s="228"/>
      <c r="E1410" s="228"/>
      <c r="F1410" s="69"/>
      <c r="G1410" s="228"/>
      <c r="H1410" s="228"/>
      <c r="I1410" s="69"/>
      <c r="J1410" s="69"/>
      <c r="L1410" s="69"/>
    </row>
    <row r="1411" spans="4:12">
      <c r="D1411" s="228"/>
      <c r="E1411" s="228"/>
      <c r="F1411" s="69"/>
      <c r="G1411" s="228"/>
      <c r="H1411" s="228"/>
      <c r="I1411" s="69"/>
      <c r="J1411" s="69"/>
      <c r="L1411" s="69"/>
    </row>
    <row r="1412" spans="4:12">
      <c r="D1412" s="228"/>
      <c r="E1412" s="228"/>
      <c r="F1412" s="69"/>
      <c r="G1412" s="228"/>
      <c r="H1412" s="228"/>
      <c r="I1412" s="69"/>
      <c r="J1412" s="69"/>
      <c r="L1412" s="69"/>
    </row>
    <row r="1413" spans="4:12">
      <c r="D1413" s="228"/>
      <c r="E1413" s="228"/>
      <c r="F1413" s="69"/>
      <c r="G1413" s="228"/>
      <c r="H1413" s="228"/>
      <c r="I1413" s="69"/>
      <c r="J1413" s="69"/>
      <c r="L1413" s="69"/>
    </row>
    <row r="1414" spans="4:12">
      <c r="D1414" s="228"/>
      <c r="E1414" s="228"/>
      <c r="F1414" s="69"/>
      <c r="G1414" s="228"/>
      <c r="H1414" s="228"/>
      <c r="I1414" s="69"/>
      <c r="J1414" s="69"/>
      <c r="L1414" s="69"/>
    </row>
    <row r="1415" spans="4:12">
      <c r="D1415" s="228"/>
      <c r="E1415" s="228"/>
      <c r="F1415" s="69"/>
      <c r="G1415" s="228"/>
      <c r="H1415" s="228"/>
      <c r="I1415" s="69"/>
      <c r="J1415" s="69"/>
      <c r="L1415" s="69"/>
    </row>
    <row r="1416" spans="4:12">
      <c r="D1416" s="228"/>
      <c r="E1416" s="228"/>
      <c r="F1416" s="69"/>
      <c r="G1416" s="228"/>
      <c r="H1416" s="228"/>
      <c r="I1416" s="69"/>
      <c r="J1416" s="69"/>
      <c r="L1416" s="69"/>
    </row>
    <row r="1417" spans="4:12">
      <c r="D1417" s="228"/>
      <c r="E1417" s="228"/>
      <c r="F1417" s="69"/>
      <c r="G1417" s="228"/>
      <c r="H1417" s="228"/>
      <c r="I1417" s="69"/>
      <c r="J1417" s="69"/>
      <c r="L1417" s="69"/>
    </row>
    <row r="1418" spans="4:12">
      <c r="D1418" s="228"/>
      <c r="E1418" s="228"/>
      <c r="F1418" s="69"/>
      <c r="G1418" s="228"/>
      <c r="H1418" s="228"/>
      <c r="I1418" s="69"/>
      <c r="J1418" s="69"/>
      <c r="L1418" s="69"/>
    </row>
    <row r="1419" spans="4:12">
      <c r="D1419" s="228"/>
      <c r="E1419" s="228"/>
      <c r="F1419" s="69"/>
      <c r="G1419" s="228"/>
      <c r="H1419" s="228"/>
      <c r="I1419" s="69"/>
      <c r="J1419" s="69"/>
      <c r="L1419" s="69"/>
    </row>
    <row r="1420" spans="4:12">
      <c r="D1420" s="228"/>
      <c r="E1420" s="228"/>
      <c r="F1420" s="69"/>
      <c r="G1420" s="228"/>
      <c r="H1420" s="228"/>
      <c r="I1420" s="69"/>
      <c r="J1420" s="69"/>
      <c r="L1420" s="69"/>
    </row>
    <row r="1421" spans="4:12">
      <c r="D1421" s="228"/>
      <c r="E1421" s="228"/>
      <c r="F1421" s="69"/>
      <c r="G1421" s="228"/>
      <c r="H1421" s="228"/>
      <c r="I1421" s="69"/>
      <c r="J1421" s="69"/>
      <c r="L1421" s="69"/>
    </row>
    <row r="1422" spans="4:12">
      <c r="D1422" s="228"/>
      <c r="E1422" s="228"/>
      <c r="F1422" s="69"/>
      <c r="G1422" s="228"/>
      <c r="H1422" s="228"/>
      <c r="I1422" s="69"/>
      <c r="J1422" s="69"/>
      <c r="L1422" s="69"/>
    </row>
    <row r="1423" spans="4:12">
      <c r="D1423" s="228"/>
      <c r="E1423" s="228"/>
      <c r="F1423" s="69"/>
      <c r="G1423" s="228"/>
      <c r="H1423" s="228"/>
      <c r="I1423" s="69"/>
      <c r="J1423" s="69"/>
      <c r="L1423" s="69"/>
    </row>
    <row r="1424" spans="4:12">
      <c r="D1424" s="228"/>
      <c r="E1424" s="228"/>
      <c r="F1424" s="69"/>
      <c r="G1424" s="228"/>
      <c r="H1424" s="228"/>
      <c r="I1424" s="69"/>
      <c r="J1424" s="69"/>
      <c r="L1424" s="69"/>
    </row>
    <row r="1425" spans="4:12">
      <c r="D1425" s="228"/>
      <c r="E1425" s="228"/>
      <c r="F1425" s="69"/>
      <c r="G1425" s="228"/>
      <c r="H1425" s="228"/>
      <c r="I1425" s="69"/>
      <c r="J1425" s="69"/>
      <c r="L1425" s="69"/>
    </row>
    <row r="1426" spans="4:12">
      <c r="D1426" s="228"/>
      <c r="E1426" s="228"/>
      <c r="F1426" s="69"/>
      <c r="G1426" s="228"/>
      <c r="H1426" s="228"/>
      <c r="I1426" s="69"/>
      <c r="J1426" s="69"/>
      <c r="L1426" s="69"/>
    </row>
    <row r="1427" spans="4:12">
      <c r="D1427" s="228"/>
      <c r="E1427" s="228"/>
      <c r="F1427" s="69"/>
      <c r="G1427" s="228"/>
      <c r="H1427" s="228"/>
      <c r="I1427" s="69"/>
      <c r="J1427" s="69"/>
      <c r="L1427" s="69"/>
    </row>
    <row r="1428" spans="4:12">
      <c r="D1428" s="228"/>
      <c r="E1428" s="228"/>
      <c r="F1428" s="69"/>
      <c r="G1428" s="228"/>
      <c r="H1428" s="228"/>
      <c r="I1428" s="69"/>
      <c r="J1428" s="69"/>
      <c r="L1428" s="69"/>
    </row>
    <row r="1429" spans="4:12">
      <c r="D1429" s="228"/>
      <c r="E1429" s="228"/>
      <c r="F1429" s="69"/>
      <c r="G1429" s="228"/>
      <c r="H1429" s="228"/>
      <c r="I1429" s="69"/>
      <c r="J1429" s="69"/>
      <c r="L1429" s="69"/>
    </row>
    <row r="1430" spans="4:12">
      <c r="D1430" s="228"/>
      <c r="E1430" s="228"/>
      <c r="F1430" s="69"/>
      <c r="G1430" s="228"/>
      <c r="H1430" s="228"/>
      <c r="I1430" s="69"/>
      <c r="J1430" s="69"/>
      <c r="L1430" s="69"/>
    </row>
    <row r="1431" spans="4:12">
      <c r="D1431" s="228"/>
      <c r="E1431" s="228"/>
      <c r="F1431" s="69"/>
      <c r="G1431" s="228"/>
      <c r="H1431" s="228"/>
      <c r="I1431" s="69"/>
      <c r="J1431" s="69"/>
      <c r="L1431" s="69"/>
    </row>
    <row r="1432" spans="4:12">
      <c r="D1432" s="228"/>
      <c r="E1432" s="228"/>
      <c r="F1432" s="69"/>
      <c r="G1432" s="228"/>
      <c r="H1432" s="228"/>
      <c r="I1432" s="69"/>
      <c r="J1432" s="69"/>
      <c r="L1432" s="69"/>
    </row>
  </sheetData>
  <sortState ref="A3:J1432">
    <sortCondition descending="1" ref="H5"/>
  </sortState>
  <mergeCells count="1">
    <mergeCell ref="L1:M1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261889" r:id="rId4" name="btnDrawRawFNC">
          <controlPr defaultSize="0" autoLine="0" r:id="rId5">
            <anchor>
              <from>
                <xdr:col>13</xdr:col>
                <xdr:colOff>285750</xdr:colOff>
                <xdr:row>0</xdr:row>
                <xdr:rowOff>0</xdr:rowOff>
              </from>
              <to>
                <xdr:col>18</xdr:col>
                <xdr:colOff>123825</xdr:colOff>
                <xdr:row>2</xdr:row>
                <xdr:rowOff>133350</xdr:rowOff>
              </to>
            </anchor>
          </controlPr>
        </control>
      </mc:Choice>
      <mc:Fallback>
        <control shapeId="4261889" r:id="rId4" name="btnDrawRawFNC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74</vt:i4>
      </vt:variant>
    </vt:vector>
  </HeadingPairs>
  <TitlesOfParts>
    <vt:vector size="87" baseType="lpstr">
      <vt:lpstr>Pre</vt:lpstr>
      <vt:lpstr>BASE</vt:lpstr>
      <vt:lpstr>Accident Rate</vt:lpstr>
      <vt:lpstr>터널교통량등제원</vt:lpstr>
      <vt:lpstr>사고시나리오한글용</vt:lpstr>
      <vt:lpstr>EVC Result</vt:lpstr>
      <vt:lpstr>EVC_Result_BF</vt:lpstr>
      <vt:lpstr>EVC_Result_BF2</vt:lpstr>
      <vt:lpstr>대피시간_한글용</vt:lpstr>
      <vt:lpstr>표준시나리오</vt:lpstr>
      <vt:lpstr>FNCurve2</vt:lpstr>
      <vt:lpstr>Raw_Senario</vt:lpstr>
      <vt:lpstr>Raw_FNC</vt:lpstr>
      <vt:lpstr>_rp1</vt:lpstr>
      <vt:lpstr>_rp2</vt:lpstr>
      <vt:lpstr>_rp3</vt:lpstr>
      <vt:lpstr>_rp4</vt:lpstr>
      <vt:lpstr>_rp5</vt:lpstr>
      <vt:lpstr>_rp6</vt:lpstr>
      <vt:lpstr>BASE</vt:lpstr>
      <vt:lpstr>CFF</vt:lpstr>
      <vt:lpstr>CNV0</vt:lpstr>
      <vt:lpstr>CNVC</vt:lpstr>
      <vt:lpstr>CongRate</vt:lpstr>
      <vt:lpstr>EVCResultStart</vt:lpstr>
      <vt:lpstr>exMAX</vt:lpstr>
      <vt:lpstr>ExMin</vt:lpstr>
      <vt:lpstr>FireRate</vt:lpstr>
      <vt:lpstr>FNChartStart</vt:lpstr>
      <vt:lpstr>FNCurve</vt:lpstr>
      <vt:lpstr>FNcurveStart</vt:lpstr>
      <vt:lpstr>LFR.010</vt:lpstr>
      <vt:lpstr>LFR.020</vt:lpstr>
      <vt:lpstr>LFR.030</vt:lpstr>
      <vt:lpstr>LFR.100</vt:lpstr>
      <vt:lpstr>LFR.PC</vt:lpstr>
      <vt:lpstr>LGVK</vt:lpstr>
      <vt:lpstr>nExit</vt:lpstr>
      <vt:lpstr>NFF</vt:lpstr>
      <vt:lpstr>nFire</vt:lpstr>
      <vt:lpstr>NNV0</vt:lpstr>
      <vt:lpstr>NNVC</vt:lpstr>
      <vt:lpstr>NotSerious</vt:lpstr>
      <vt:lpstr>npersonpday</vt:lpstr>
      <vt:lpstr>npersonpveh</vt:lpstr>
      <vt:lpstr>PC</vt:lpstr>
      <vt:lpstr>PcCont</vt:lpstr>
      <vt:lpstr>PCVK</vt:lpstr>
      <vt:lpstr>표준시나리오!Print_Area</vt:lpstr>
      <vt:lpstr>ProjectBaseFolderName</vt:lpstr>
      <vt:lpstr>ProjectName</vt:lpstr>
      <vt:lpstr>ptExit</vt:lpstr>
      <vt:lpstr>ranEVCFire</vt:lpstr>
      <vt:lpstr>RATE_HZV</vt:lpstr>
      <vt:lpstr>RawFNChartStart</vt:lpstr>
      <vt:lpstr>RAWfncsTART</vt:lpstr>
      <vt:lpstr>RawFNcurve</vt:lpstr>
      <vt:lpstr>ResultBF2Table</vt:lpstr>
      <vt:lpstr>rHVB</vt:lpstr>
      <vt:lpstr>rHVS</vt:lpstr>
      <vt:lpstr>rHVT</vt:lpstr>
      <vt:lpstr>SenarioEXTable</vt:lpstr>
      <vt:lpstr>SenarioTable</vt:lpstr>
      <vt:lpstr>SPVK</vt:lpstr>
      <vt:lpstr>TACCRate</vt:lpstr>
      <vt:lpstr>TL</vt:lpstr>
      <vt:lpstr>TOT.VK.HRR010</vt:lpstr>
      <vt:lpstr>TOT.VK.HRR020</vt:lpstr>
      <vt:lpstr>TOT.VK.HRR020.NOT.SER</vt:lpstr>
      <vt:lpstr>TOT.VK.HRR030</vt:lpstr>
      <vt:lpstr>TOT.VK.HRR100</vt:lpstr>
      <vt:lpstr>TOTALVK</vt:lpstr>
      <vt:lpstr>TRVK</vt:lpstr>
      <vt:lpstr>TVehkm</vt:lpstr>
      <vt:lpstr>VK.HRR010</vt:lpstr>
      <vt:lpstr>VK.HRR020</vt:lpstr>
      <vt:lpstr>VK.HRR020.dn</vt:lpstr>
      <vt:lpstr>VK.HRR030</vt:lpstr>
      <vt:lpstr>vk.hrr030.dn</vt:lpstr>
      <vt:lpstr>VK.HRR100</vt:lpstr>
      <vt:lpstr>vk.hrr100.dn</vt:lpstr>
      <vt:lpstr>VK.LG</vt:lpstr>
      <vt:lpstr>VK.PC</vt:lpstr>
      <vt:lpstr>VK.TOTAL</vt:lpstr>
      <vt:lpstr>WV0</vt:lpstr>
      <vt:lpstr>WVP</vt:lpstr>
      <vt:lpstr>WVR</vt:lpstr>
    </vt:vector>
  </TitlesOfParts>
  <Company>건축설비과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유지오3</dc:creator>
  <cp:lastModifiedBy>USER</cp:lastModifiedBy>
  <cp:lastPrinted>2009-07-27T05:08:16Z</cp:lastPrinted>
  <dcterms:created xsi:type="dcterms:W3CDTF">2005-09-16T12:32:53Z</dcterms:created>
  <dcterms:modified xsi:type="dcterms:W3CDTF">2026-06-05T00:02:46Z</dcterms:modified>
</cp:coreProperties>
</file>